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-22.04\home\ayushgupta15062003\code\creatorpulse-india\docs\business\"/>
    </mc:Choice>
  </mc:AlternateContent>
  <xr:revisionPtr revIDLastSave="0" documentId="13_ncr:1_{7B61A387-DC00-49D1-9053-4BA5FA67DAE4}" xr6:coauthVersionLast="47" xr6:coauthVersionMax="47" xr10:uidLastSave="{00000000-0000-0000-0000-000000000000}"/>
  <bookViews>
    <workbookView xWindow="-96" yWindow="0" windowWidth="14016" windowHeight="12336" tabRatio="500" firstSheet="5" activeTab="6" xr2:uid="{00000000-000D-0000-FFFF-FFFF00000000}"/>
  </bookViews>
  <sheets>
    <sheet name="Summary" sheetId="1" r:id="rId1"/>
    <sheet name="Data" sheetId="2" r:id="rId2"/>
    <sheet name="Market_Sizing" sheetId="3" r:id="rId3"/>
    <sheet name="Financials" sheetId="4" r:id="rId4"/>
    <sheet name="Scenarios" sheetId="5" r:id="rId5"/>
    <sheet name="Niches" sheetId="6" r:id="rId6"/>
    <sheet name="Fraud_Stats" sheetId="7" r:id="rId7"/>
    <sheet name="Cohorts" sheetId="8" r:id="rId8"/>
    <sheet name="Funnel" sheetId="9" r:id="rId9"/>
    <sheet name="Competitive" sheetId="10" r:id="rId10"/>
    <sheet name="OKRs" sheetId="11" r:id="rId11"/>
  </sheets>
  <definedNames>
    <definedName name="agency_price">Financials!$B$8</definedName>
    <definedName name="agency_y5">Financials!$B$7</definedName>
    <definedName name="brand_price">Financials!$B$6</definedName>
    <definedName name="brand_y5">Financials!$B$5</definedName>
    <definedName name="CPM_table">Niches!$K$5:$L$24</definedName>
    <definedName name="gm">Financials!$B$9</definedName>
    <definedName name="init_inv">Financials!$B$14</definedName>
    <definedName name="opex_pct">Financials!$B$10</definedName>
    <definedName name="SAM_pct">Market_Sizing!$B$11</definedName>
    <definedName name="tax">Financials!$B$11</definedName>
    <definedName name="term_g">Financials!$B$13</definedName>
    <definedName name="tooling_pct">Market_Sizing!$B$12</definedName>
    <definedName name="WACC">Financials!$B$12</definedName>
  </definedNames>
  <calcPr calcId="191029" iterateDelta="1E-4"/>
  <pivotCaches>
    <pivotCache cacheId="3" r:id="rId12"/>
    <pivotCache cacheId="15" r:id="rId13"/>
    <pivotCache cacheId="20" r:id="rId14"/>
    <pivotCache cacheId="3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11" l="1"/>
  <c r="F10" i="11" s="1"/>
  <c r="E9" i="11"/>
  <c r="F9" i="11" s="1"/>
  <c r="E8" i="11"/>
  <c r="F8" i="11" s="1"/>
  <c r="E7" i="11"/>
  <c r="F7" i="11" s="1"/>
  <c r="E6" i="11"/>
  <c r="F6" i="11" s="1"/>
  <c r="E5" i="11"/>
  <c r="F5" i="11" s="1"/>
  <c r="G11" i="10"/>
  <c r="F11" i="10"/>
  <c r="E11" i="10"/>
  <c r="D11" i="10"/>
  <c r="C11" i="10"/>
  <c r="B11" i="10"/>
  <c r="B17" i="9"/>
  <c r="D15" i="9"/>
  <c r="C15" i="9"/>
  <c r="D14" i="9"/>
  <c r="C14" i="9"/>
  <c r="D13" i="9"/>
  <c r="C13" i="9"/>
  <c r="D12" i="9"/>
  <c r="C12" i="9"/>
  <c r="D9" i="9"/>
  <c r="C9" i="9"/>
  <c r="D8" i="9"/>
  <c r="C8" i="9"/>
  <c r="D7" i="9"/>
  <c r="C7" i="9"/>
  <c r="D6" i="9"/>
  <c r="C6" i="9"/>
  <c r="D5" i="9"/>
  <c r="C5" i="9"/>
  <c r="C15" i="8"/>
  <c r="C14" i="8"/>
  <c r="C13" i="8"/>
  <c r="C12" i="8"/>
  <c r="G8" i="8"/>
  <c r="F8" i="8"/>
  <c r="G7" i="8"/>
  <c r="F7" i="8"/>
  <c r="G6" i="8"/>
  <c r="F6" i="8"/>
  <c r="G5" i="8"/>
  <c r="F5" i="8"/>
  <c r="B21" i="7"/>
  <c r="C21" i="7" s="1"/>
  <c r="D21" i="7" s="1"/>
  <c r="B20" i="7"/>
  <c r="C20" i="7" s="1"/>
  <c r="D20" i="7" s="1"/>
  <c r="B19" i="7"/>
  <c r="C19" i="7" s="1"/>
  <c r="D19" i="7" s="1"/>
  <c r="D10" i="7"/>
  <c r="E10" i="7" s="1"/>
  <c r="D9" i="7"/>
  <c r="E9" i="7" s="1"/>
  <c r="D8" i="7"/>
  <c r="E8" i="7" s="1"/>
  <c r="D7" i="7"/>
  <c r="E7" i="7" s="1"/>
  <c r="D6" i="7"/>
  <c r="E6" i="7" s="1"/>
  <c r="D5" i="7"/>
  <c r="D26" i="6"/>
  <c r="H24" i="6"/>
  <c r="F24" i="6"/>
  <c r="E24" i="6"/>
  <c r="D24" i="6"/>
  <c r="C24" i="6"/>
  <c r="B24" i="6"/>
  <c r="H23" i="6"/>
  <c r="F23" i="6"/>
  <c r="E23" i="6"/>
  <c r="D23" i="6"/>
  <c r="C23" i="6"/>
  <c r="B23" i="6"/>
  <c r="H22" i="6"/>
  <c r="F22" i="6"/>
  <c r="E22" i="6"/>
  <c r="D22" i="6"/>
  <c r="G22" i="6" s="1"/>
  <c r="C22" i="6"/>
  <c r="B22" i="6"/>
  <c r="H21" i="6"/>
  <c r="F21" i="6"/>
  <c r="E21" i="6"/>
  <c r="D21" i="6"/>
  <c r="G21" i="6" s="1"/>
  <c r="C21" i="6"/>
  <c r="B21" i="6"/>
  <c r="H20" i="6"/>
  <c r="F20" i="6"/>
  <c r="E20" i="6"/>
  <c r="D20" i="6"/>
  <c r="G20" i="6" s="1"/>
  <c r="C20" i="6"/>
  <c r="B20" i="6"/>
  <c r="H19" i="6"/>
  <c r="F19" i="6"/>
  <c r="E19" i="6"/>
  <c r="D19" i="6"/>
  <c r="G19" i="6" s="1"/>
  <c r="C19" i="6"/>
  <c r="B19" i="6"/>
  <c r="H18" i="6"/>
  <c r="F18" i="6"/>
  <c r="E18" i="6"/>
  <c r="D18" i="6"/>
  <c r="C18" i="6"/>
  <c r="B18" i="6"/>
  <c r="H17" i="6"/>
  <c r="F17" i="6"/>
  <c r="E17" i="6"/>
  <c r="D17" i="6"/>
  <c r="G17" i="6" s="1"/>
  <c r="C17" i="6"/>
  <c r="B17" i="6"/>
  <c r="H16" i="6"/>
  <c r="F16" i="6"/>
  <c r="E16" i="6"/>
  <c r="D16" i="6"/>
  <c r="C16" i="6"/>
  <c r="B16" i="6"/>
  <c r="H15" i="6"/>
  <c r="F15" i="6"/>
  <c r="E15" i="6"/>
  <c r="D15" i="6"/>
  <c r="G15" i="6" s="1"/>
  <c r="C15" i="6"/>
  <c r="B15" i="6"/>
  <c r="H14" i="6"/>
  <c r="F14" i="6"/>
  <c r="E14" i="6"/>
  <c r="D14" i="6"/>
  <c r="C14" i="6"/>
  <c r="B14" i="6"/>
  <c r="H13" i="6"/>
  <c r="F13" i="6"/>
  <c r="E13" i="6"/>
  <c r="D13" i="6"/>
  <c r="G13" i="6" s="1"/>
  <c r="C13" i="6"/>
  <c r="B13" i="6"/>
  <c r="H12" i="6"/>
  <c r="F12" i="6"/>
  <c r="E12" i="6"/>
  <c r="D12" i="6"/>
  <c r="G12" i="6" s="1"/>
  <c r="C12" i="6"/>
  <c r="B12" i="6"/>
  <c r="H11" i="6"/>
  <c r="F11" i="6"/>
  <c r="E11" i="6"/>
  <c r="D11" i="6"/>
  <c r="C11" i="6"/>
  <c r="B11" i="6"/>
  <c r="H10" i="6"/>
  <c r="F10" i="6"/>
  <c r="E10" i="6"/>
  <c r="D10" i="6"/>
  <c r="C10" i="6"/>
  <c r="B10" i="6"/>
  <c r="H9" i="6"/>
  <c r="F9" i="6"/>
  <c r="E9" i="6"/>
  <c r="D9" i="6"/>
  <c r="G9" i="6" s="1"/>
  <c r="C9" i="6"/>
  <c r="B9" i="6"/>
  <c r="H8" i="6"/>
  <c r="F8" i="6"/>
  <c r="E8" i="6"/>
  <c r="D8" i="6"/>
  <c r="C8" i="6"/>
  <c r="B8" i="6"/>
  <c r="H7" i="6"/>
  <c r="F7" i="6"/>
  <c r="E7" i="6"/>
  <c r="D7" i="6"/>
  <c r="C7" i="6"/>
  <c r="B7" i="6"/>
  <c r="H6" i="6"/>
  <c r="F6" i="6"/>
  <c r="E6" i="6"/>
  <c r="D6" i="6"/>
  <c r="C6" i="6"/>
  <c r="B6" i="6"/>
  <c r="H5" i="6"/>
  <c r="F5" i="6"/>
  <c r="E5" i="6"/>
  <c r="D5" i="6"/>
  <c r="C5" i="6"/>
  <c r="B5" i="6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B38" i="4"/>
  <c r="F22" i="4"/>
  <c r="E22" i="4"/>
  <c r="D22" i="4"/>
  <c r="C22" i="4"/>
  <c r="B22" i="4"/>
  <c r="F21" i="4"/>
  <c r="F23" i="4" s="1"/>
  <c r="E21" i="4"/>
  <c r="E23" i="4" s="1"/>
  <c r="D21" i="4"/>
  <c r="D23" i="4" s="1"/>
  <c r="C21" i="4"/>
  <c r="C23" i="4" s="1"/>
  <c r="B21" i="4"/>
  <c r="B23" i="4" s="1"/>
  <c r="B17" i="3"/>
  <c r="C6" i="3"/>
  <c r="C7" i="3" s="1"/>
  <c r="G8" i="1"/>
  <c r="E8" i="1"/>
  <c r="C8" i="1"/>
  <c r="E5" i="1"/>
  <c r="C5" i="1"/>
  <c r="A5" i="1"/>
  <c r="G18" i="6" l="1"/>
  <c r="D27" i="6"/>
  <c r="G23" i="6"/>
  <c r="G16" i="6"/>
  <c r="G14" i="6"/>
  <c r="G10" i="6"/>
  <c r="G7" i="6"/>
  <c r="G5" i="6"/>
  <c r="G24" i="6"/>
  <c r="G11" i="6"/>
  <c r="G8" i="6"/>
  <c r="G6" i="6"/>
  <c r="E5" i="7"/>
  <c r="D11" i="7"/>
  <c r="F24" i="4"/>
  <c r="F25" i="4"/>
  <c r="B31" i="4"/>
  <c r="E24" i="4"/>
  <c r="E26" i="4" s="1"/>
  <c r="E25" i="4"/>
  <c r="D24" i="4"/>
  <c r="D26" i="4" s="1"/>
  <c r="D25" i="4"/>
  <c r="C24" i="4"/>
  <c r="C25" i="4"/>
  <c r="B24" i="4"/>
  <c r="B25" i="4"/>
  <c r="G5" i="1" l="1"/>
  <c r="C8" i="3"/>
  <c r="E27" i="4"/>
  <c r="E28" i="4" s="1"/>
  <c r="F38" i="4" s="1"/>
  <c r="D27" i="4"/>
  <c r="D28" i="4" s="1"/>
  <c r="E38" i="4" s="1"/>
  <c r="F26" i="4"/>
  <c r="C26" i="4"/>
  <c r="B26" i="4"/>
  <c r="F27" i="4" l="1"/>
  <c r="F28" i="4" s="1"/>
  <c r="C27" i="4"/>
  <c r="C28" i="4" s="1"/>
  <c r="D38" i="4" s="1"/>
  <c r="B27" i="4"/>
  <c r="B28" i="4" s="1"/>
  <c r="B32" i="4" l="1"/>
  <c r="B43" i="4"/>
  <c r="C43" i="4"/>
  <c r="D43" i="4"/>
  <c r="E43" i="4"/>
  <c r="F43" i="4"/>
  <c r="B33" i="4"/>
  <c r="C38" i="4"/>
  <c r="B37" i="4" l="1"/>
  <c r="B36" i="4"/>
  <c r="B34" i="4"/>
  <c r="B35" i="4" s="1"/>
  <c r="A8" i="1" s="1"/>
  <c r="G38" i="4"/>
</calcChain>
</file>

<file path=xl/sharedStrings.xml><?xml version="1.0" encoding="utf-8"?>
<sst xmlns="http://schemas.openxmlformats.org/spreadsheetml/2006/main" count="25393" uniqueCount="12768">
  <si>
    <t>CreatorPulse — Executive Summary</t>
  </si>
  <si>
    <t>Creator-economy intelligence for India · creators + brands · free-forever OSS stack</t>
  </si>
  <si>
    <t>Creators indexed</t>
  </si>
  <si>
    <t>Niches tracked</t>
  </si>
  <si>
    <t>TAM (₹ cr, 2025)</t>
  </si>
  <si>
    <t>Year-5 ARR (₹ cr)</t>
  </si>
  <si>
    <t>Enterprise NPV (₹ cr)</t>
  </si>
  <si>
    <t>Median fraud risk</t>
  </si>
  <si>
    <t>Fraud classifier F1</t>
  </si>
  <si>
    <t>Match A/B lift</t>
  </si>
  <si>
    <t>Narrative</t>
  </si>
  <si>
    <t>CreatorPulse indexes 12,547 Indian YouTube creators from the official Data API and layers an XGBoost engagement-fraud classifier, K-means/DBSCAN archetype clustering, a sentence-transformer brand-creator match engine and Prophet niche forecasts on top. Dual-persona product (creators + brands) instrumented in PostHog. Figures trace to the live corpus and market_sizing.md; pre-launch cohort/funnel/A-B numbers are simulated.</t>
  </si>
  <si>
    <t>Creator dataset (pivot / lookup source)</t>
  </si>
  <si>
    <t>12,547 live Indian YouTube channels · official Data API · fraud_risk = fraud_classifier_v1 P(suspicious)</t>
  </si>
  <si>
    <t>channel_id</t>
  </si>
  <si>
    <t>niche</t>
  </si>
  <si>
    <t>subscriber_count</t>
  </si>
  <si>
    <t>mean_views</t>
  </si>
  <si>
    <t>mean_engagement_rate</t>
  </si>
  <si>
    <t>fraud_risk</t>
  </si>
  <si>
    <t>UCRm96I5kmb_iGFofE5N691w</t>
  </si>
  <si>
    <t>Sports</t>
  </si>
  <si>
    <t>UCEKWXRsfUHkan-D_ljU8Asw</t>
  </si>
  <si>
    <t>UC6-F5tO8uklgE9Zy8IvbdFw</t>
  </si>
  <si>
    <t>Devotional</t>
  </si>
  <si>
    <t>UC-LPIU24bQXVljUXivKEeRQ</t>
  </si>
  <si>
    <t>Vlogs</t>
  </si>
  <si>
    <t>UC4DLvb5xZ9OLcVM1KC_R97g</t>
  </si>
  <si>
    <t>Parenting</t>
  </si>
  <si>
    <t>UCP84QWij0alw4MvzqzyfOnw</t>
  </si>
  <si>
    <t>Comedy</t>
  </si>
  <si>
    <t>UCLtNvbkqea8wN_kGtfgx_Mw</t>
  </si>
  <si>
    <t>Music</t>
  </si>
  <si>
    <t>UCN8S4CqMRy6tVKVXvs7Bzeg</t>
  </si>
  <si>
    <t>UCF1JIbMUs6uqoZEY1Haw0GQ</t>
  </si>
  <si>
    <t>Travel</t>
  </si>
  <si>
    <t>UCBOmfqgTZi7yDp4-3Lr_3lA</t>
  </si>
  <si>
    <t>UC55IWqFLDH1Xp7iu1_xknRA</t>
  </si>
  <si>
    <t>UC6lVSi_MZ5IZPECkOU0oXoA</t>
  </si>
  <si>
    <t>UC22nIfOTM7KLIQuFGMKzQbg</t>
  </si>
  <si>
    <t>UCmphdqZNmqL72WJ2uyiNw5w</t>
  </si>
  <si>
    <t>News</t>
  </si>
  <si>
    <t>UCWi_65E_L8tQZ34C6wVAlpQ</t>
  </si>
  <si>
    <t>UC5tuYcCdiKuF5Y2ZonuarwA</t>
  </si>
  <si>
    <t>UCo6y9hnRawAqtyWhRhblXqg</t>
  </si>
  <si>
    <t>UC2MRRqb_L2E53UmTaywdhkA</t>
  </si>
  <si>
    <t>UCJrDMFOdv1I2k8n9oK_V21w</t>
  </si>
  <si>
    <t>UCbomPUMyPHCgrqD5iYnzj1A</t>
  </si>
  <si>
    <t>UCttspZesZIDEwwpVIgoZtWQ</t>
  </si>
  <si>
    <t>UC1ciY6kR3yj3kaKZ6R7ewAg</t>
  </si>
  <si>
    <t>Reactions</t>
  </si>
  <si>
    <t>UCJfeUWkrU4JwIJfP-usd-_w</t>
  </si>
  <si>
    <t>UC5c9VlYTSvBSCaoMu_GI6gQ</t>
  </si>
  <si>
    <t>Gaming</t>
  </si>
  <si>
    <t>UCgJ5_1F6yJhYLnyMszUdmUg</t>
  </si>
  <si>
    <t>UC7eHZXheF8nVOfwB2PEslMw</t>
  </si>
  <si>
    <t>UCunqjMN6EEbXjzU-RvwJrig</t>
  </si>
  <si>
    <t>UCBnZ16ahKA2DZ_T5W0FPUXg</t>
  </si>
  <si>
    <t>UCgKEvLp8DXCTMq4QY6wW7bw</t>
  </si>
  <si>
    <t>UCNzmmbXIbMzlqE8nD1PBXfg</t>
  </si>
  <si>
    <t>UCbTLwN10NoCU4WDzLf1JMOA</t>
  </si>
  <si>
    <t>UChXRi2xTPZ8J5lznBNuMCOw</t>
  </si>
  <si>
    <t>Fitness</t>
  </si>
  <si>
    <t>UCNApqoVYJbYSrni4YsbXzyQ</t>
  </si>
  <si>
    <t>UCX52tYZiEh_mHoFja3Veciw</t>
  </si>
  <si>
    <t>UCSiDGb0MnHFGjs4E2WKvShw</t>
  </si>
  <si>
    <t>UCpEhnqL0y41EpW2TvWAHD7Q</t>
  </si>
  <si>
    <t>UCN4NflpHqLeHQZ91kTUVCBw</t>
  </si>
  <si>
    <t>UC_A7K2dXFsTMAciGmnNxy-Q</t>
  </si>
  <si>
    <t>UCx6F-rETGiz7xf_vkMmX2yQ</t>
  </si>
  <si>
    <t>UCmL1WlDI8UkXDXCXcBQN9CA</t>
  </si>
  <si>
    <t>Tech</t>
  </si>
  <si>
    <t>UCX_uPA_dGf7wXjuMEaSKLJA</t>
  </si>
  <si>
    <t>UCzEAWIWMigRBbulQ6yVlilg</t>
  </si>
  <si>
    <t>Finance</t>
  </si>
  <si>
    <t>UCJg19noZp7-BYIGvypu_cow</t>
  </si>
  <si>
    <t>UCR1hQY5sz5NEYofdv09XimA</t>
  </si>
  <si>
    <t>UCcvNYxWXR_5TjVK7cSCdW-g</t>
  </si>
  <si>
    <t>UCHcn4Ux-sO9nzNu7rDsoQLg</t>
  </si>
  <si>
    <t>UCU_AsfgtKjwR4qaSwgsWn-w</t>
  </si>
  <si>
    <t>UCjUcWqloaNWg2nlYYkiV2dQ</t>
  </si>
  <si>
    <t>Auto</t>
  </si>
  <si>
    <t>UCRWFSbif-RFENbBrSiez1DA</t>
  </si>
  <si>
    <t>UCppHT7SZKKvar4Oc9J4oljQ</t>
  </si>
  <si>
    <t>UCvrhwpnp2DHYQ1CbXby9ypQ</t>
  </si>
  <si>
    <t>UCTf3jU9tyfsq1ElmkTY_ztQ</t>
  </si>
  <si>
    <t>UCzXpAx4v6rFLYXkJZ5nmSvQ</t>
  </si>
  <si>
    <t>UCatL-c6pmnjzEOHSyjn-sHA</t>
  </si>
  <si>
    <t>Education</t>
  </si>
  <si>
    <t>UCl_Ksy6Yi1b4eEZ46FInb_w</t>
  </si>
  <si>
    <t>UCAWuV9ZZ0itI3WR-JHWIUNQ</t>
  </si>
  <si>
    <t>UC4kDWl5B4_RVd9F5kVWuuDw</t>
  </si>
  <si>
    <t>Food</t>
  </si>
  <si>
    <t>UC56gTxNs4f9xZ7Pa2i5xNzg</t>
  </si>
  <si>
    <t>UC3ar28GS6o1p0m_wabfk2zw</t>
  </si>
  <si>
    <t>UCpcsv3Ow-8IhoUGDEfPetsQ</t>
  </si>
  <si>
    <t>UCfLuT3JwLx8rvHjHfTymekw</t>
  </si>
  <si>
    <t>UCOvOXLATfCrOJmAYaO4mRBA</t>
  </si>
  <si>
    <t>UCIvaYmXn910QMdemBG3v1pQ</t>
  </si>
  <si>
    <t>UC3zVeAaoPEN1Tu25dW3G2Ig</t>
  </si>
  <si>
    <t>UC1NF71EwP41VdjAU1iXdLkw</t>
  </si>
  <si>
    <t>UCqwUrj10mAEsqezcItqvwEw</t>
  </si>
  <si>
    <t>UCnSqxrSfo1sK4WZ7nBpYW1Q</t>
  </si>
  <si>
    <t>UCj22tfcQrWG7EMEKS0qLeEg</t>
  </si>
  <si>
    <t>UCX8pnu3DYUnx8qy8V_c6oHg</t>
  </si>
  <si>
    <t>UC783dnzJqf2ghHp_pFLYbGA</t>
  </si>
  <si>
    <t>UCpN-WGQgGsOrXm7nHXDdTDA</t>
  </si>
  <si>
    <t>UCt4atlExw8aj3Bm79nv1fig</t>
  </si>
  <si>
    <t>UCx8Z14PpntdaxCt2hakbQLQ</t>
  </si>
  <si>
    <t>UCC9Iz-AebxsyVF4iZagOtwA</t>
  </si>
  <si>
    <t>UCSs9H1cyB3OHdy8wkit8ZKg</t>
  </si>
  <si>
    <t>UCBnxEdpoZwstJqC1yZpOjRA</t>
  </si>
  <si>
    <t>UCOQNJjhXwvAScuELTT_i7cQ</t>
  </si>
  <si>
    <t>UCgoxyzvouZM-tCgsYzrYtyg</t>
  </si>
  <si>
    <t>UCFcBAGR0drI3F15EhMFjuTg</t>
  </si>
  <si>
    <t>UCOutOIcn_oho8pyVN3Ng-Pg</t>
  </si>
  <si>
    <t>UCHmk8iNJHvf5mGN6_pkPc7g</t>
  </si>
  <si>
    <t>UC0zXnLIFedO97pFsyMxZcFg</t>
  </si>
  <si>
    <t>UCjBwQ6M9QyCgO5Pp-TQRFUA</t>
  </si>
  <si>
    <t>UClfos9f7uDdoun8ZyE9jYFg</t>
  </si>
  <si>
    <t>UCt4t-jeY85JegMlZ-E5UWtA</t>
  </si>
  <si>
    <t>UCR-foyF-C6VuAlwy3KZMkgA</t>
  </si>
  <si>
    <t>UC6ERimtc5zFrn7x6Bk3HaHA</t>
  </si>
  <si>
    <t>UCopY0NAzASqmD6eVaRj2TFQ</t>
  </si>
  <si>
    <t>UCGdPm5Aq081vVD7ih9jZf6Q</t>
  </si>
  <si>
    <t>UCRqs0TZOqe5nrwP-BrdnCjg</t>
  </si>
  <si>
    <t>UCZLOlM5df0CXW9bP5MAeE7A</t>
  </si>
  <si>
    <t>UCpO_iMOOEhShBMxcXgJs7Yw</t>
  </si>
  <si>
    <t>UCCyKsYaRi62axS-kasXW7wA</t>
  </si>
  <si>
    <t>UCUL9We-R1aCC3GAe-RvOx5g</t>
  </si>
  <si>
    <t>UCOhHO2ICt0ti9KAh-QHvttQ</t>
  </si>
  <si>
    <t>UC2lZDDm1-wTuadQ1qVCZ3dA</t>
  </si>
  <si>
    <t>UCPP3etACgdUWvizcES1dJ8Q</t>
  </si>
  <si>
    <t>UCMrvxKTx9hLhZcOvJkYOnAw</t>
  </si>
  <si>
    <t>UC4B6dDVB0Umrh5l4UgxUtyg</t>
  </si>
  <si>
    <t>UCiBigY9XM-HaOxUc269ympg</t>
  </si>
  <si>
    <t>UCk3JZr7eS3pg5AGEvBdEvFg</t>
  </si>
  <si>
    <t>UCkKDpnzIG29MA--Sh6oOtWg</t>
  </si>
  <si>
    <t>UCn4rEMqKtwBQ6-oEwbd4PcA</t>
  </si>
  <si>
    <t>UCxJcrDUc8awRSLzLbnIiAmQ</t>
  </si>
  <si>
    <t>UC2fvyma9iKsjN9EZW_FWW1A</t>
  </si>
  <si>
    <t>UCw0ry7cLRUnq3Oaszlhgqfg</t>
  </si>
  <si>
    <t>UCoy3dQzEdq1y2zMnT4pdj3Q</t>
  </si>
  <si>
    <t>UCYauDsl-rswjQGpA0_-Z9Pw</t>
  </si>
  <si>
    <t>UC9dyrsYEmD4iGJ8Oz1G5dpw</t>
  </si>
  <si>
    <t>UC9IbBVJ0tg549Mk6Ves-3gg</t>
  </si>
  <si>
    <t>UCnSFZ-olBoLGLRUS_3RI2Aw</t>
  </si>
  <si>
    <t>UCP1vrClG-6iGuFq7ls_NBsw</t>
  </si>
  <si>
    <t>UC1tVU8H153ZFO9eRsxdJlhA</t>
  </si>
  <si>
    <t>UC0J8BQahplvTY6LjlnLf_NQ</t>
  </si>
  <si>
    <t>UCrC8mOqJQpoB7NuIMKIS6rQ</t>
  </si>
  <si>
    <t>UCOjgc1p2hJ4GZi6pQQoXWYQ</t>
  </si>
  <si>
    <t>UCnoqvTW4YZExfDeq7_Wmd-w</t>
  </si>
  <si>
    <t>UCNLLgtPIKew9vHNVAQmdVGQ</t>
  </si>
  <si>
    <t>UCsUBoYj2kqgj72g6kgzGPMg</t>
  </si>
  <si>
    <t>UCHcDpS0TXITVs0ZrBSIsEsA</t>
  </si>
  <si>
    <t>UCAXe-dTMWRcqDdt5pYLwHCA</t>
  </si>
  <si>
    <t>UCsgdASJ1gqK_CcEbvaIcFcg</t>
  </si>
  <si>
    <t>UCPQtgEj6Z0xve62aeSgo5qA</t>
  </si>
  <si>
    <t>UCTbNOCtAGaqOEnLMeo3JTeg</t>
  </si>
  <si>
    <t>UCWKeZvw4iSZVM2qXKZde58A</t>
  </si>
  <si>
    <t>UCsCe7SNQckiRJ6y563SIupg</t>
  </si>
  <si>
    <t>UC9CYT9gSNLevX5ey2_6CK0Q</t>
  </si>
  <si>
    <t>UC3oQ1986eLZ4MhyPBiu54PA</t>
  </si>
  <si>
    <t>UCLWCv3y3FK1pqEbe_yzilsw</t>
  </si>
  <si>
    <t>UCVmEbEQUGXHVm-O9pqa3JWg</t>
  </si>
  <si>
    <t>UCCy2rLnGdwoJcSAtixNdsPQ</t>
  </si>
  <si>
    <t>UCEPL07qzVsOcHd3sMUws65g</t>
  </si>
  <si>
    <t>UCAgAsH5n26IHMDyzwhF3wIw</t>
  </si>
  <si>
    <t>UC_wIGmvdyAQLtl-U2nHV9rg</t>
  </si>
  <si>
    <t>UCbmu9wfzxKls40WkCzvqtRA</t>
  </si>
  <si>
    <t>UC196qeFpI8slOwK8ZWjKndw</t>
  </si>
  <si>
    <t>UCChqsCRFePrP2X897iQkyAA</t>
  </si>
  <si>
    <t>UCIeNlITYK46VkR7yIuTL8GQ</t>
  </si>
  <si>
    <t>UCAH1Aw-mXgcB3t8uaqW4yTA</t>
  </si>
  <si>
    <t>UC8md0UEGj7UbjcZtMjBVrgQ</t>
  </si>
  <si>
    <t>UCzKWILdrVl8ZEcDzaH4kl_A</t>
  </si>
  <si>
    <t>UC4AB0_ectRryjCF_ugD0U8w</t>
  </si>
  <si>
    <t>UCeMsqI6jU9WE2ctsrbxbywQ</t>
  </si>
  <si>
    <t>UCgW7gZxz7pZ_a8_uF5Q9Hsw</t>
  </si>
  <si>
    <t>UCvVEcGPPEkn3zSdc-rniGMg</t>
  </si>
  <si>
    <t>UCpCWa9f5_J3PqY-_Lg-_QfQ</t>
  </si>
  <si>
    <t>UCLbdVvreihwZRL6kwuEUYsA</t>
  </si>
  <si>
    <t>UCuApqv2tNQ73S7gcfrfCSDw</t>
  </si>
  <si>
    <t>UCqkzW64w1WX8fQof2ye1WKA</t>
  </si>
  <si>
    <t>UCDe0DwkMVFfSIoiYdQUPQmQ</t>
  </si>
  <si>
    <t>UCl-k7PGX6Cu-Kygzl5XpxhA</t>
  </si>
  <si>
    <t>UCxtwjNPrymSvS4UD_6HgcxQ</t>
  </si>
  <si>
    <t>UCdQPeeJ0qGK6wWBiEJWcdsQ</t>
  </si>
  <si>
    <t>UCFdmd1JSZVHF2nCpudLfQDA</t>
  </si>
  <si>
    <t>UCxGzpNf5XOnSQOYC2nbMiyQ</t>
  </si>
  <si>
    <t>UCJxJpvWL1gxfLfM352EFatw</t>
  </si>
  <si>
    <t>UChXi_PlJkRMPYFQBOJ3MpxA</t>
  </si>
  <si>
    <t>UC9Gjog4enoDWRWTaYuamx1g</t>
  </si>
  <si>
    <t>UCPMqs8vxEwbie26nFA3ykAw</t>
  </si>
  <si>
    <t>Lifestyle</t>
  </si>
  <si>
    <t>UCXUJJNoP1QupwsYIWFXmsZg</t>
  </si>
  <si>
    <t>UC-08pGGJXI4YGI-zzvAdneA</t>
  </si>
  <si>
    <t>UCsNdeLwEZf86swPD3qJJ7Dw</t>
  </si>
  <si>
    <t>UCLtCejNl8eAg4PO_9lf2TIg</t>
  </si>
  <si>
    <t>UCfD08FDOGbzIxCduGKkJ0Xg</t>
  </si>
  <si>
    <t>UCigV1clokmoz4LZrGL9fRNw</t>
  </si>
  <si>
    <t>UCgN55-McINV9y4noG-0QKVg</t>
  </si>
  <si>
    <t>UCzLqOSZPtUKrmSEnlH4LAvw</t>
  </si>
  <si>
    <t>UCwBlZvRTu3vasTWUE9U5wPw</t>
  </si>
  <si>
    <t>UC2GXNqco-k7fwg2SMM6SAzQ</t>
  </si>
  <si>
    <t>UClfll_TO6FpOPLUg4Aawhlw</t>
  </si>
  <si>
    <t>UCgVg6dmZHCxze_ay0bolPew</t>
  </si>
  <si>
    <t>UCPmpyXciSmUXPwdTW_0mbGw</t>
  </si>
  <si>
    <t>UCZFMm1mMw0F81Z37aaEzTUA</t>
  </si>
  <si>
    <t>UCiDikVE7Y4_KpQwsxarj38g</t>
  </si>
  <si>
    <t>UCIs62lUAAbac1mdqGIdSVJQ</t>
  </si>
  <si>
    <t>UCmAPdImtXLGh5E-lTTH4Qmg</t>
  </si>
  <si>
    <t>UCuIpkP1H2Vb_NFu8dLIWoPw</t>
  </si>
  <si>
    <t>DIY</t>
  </si>
  <si>
    <t>UCkaMZOILqfN5EYmQM0MmkIQ</t>
  </si>
  <si>
    <t>UCdYWsgHixIo961QdCD3U_Tw</t>
  </si>
  <si>
    <t>UCFwKgzKe-EdTz83r6wzhmOw</t>
  </si>
  <si>
    <t>UCwXoTVIBscl4RI-5EU_h1ug</t>
  </si>
  <si>
    <t>UCbH4Ii9Htdqc-QgxoV3M0Qw</t>
  </si>
  <si>
    <t>UCKiLtqajY9U7uoi_eyugk_w</t>
  </si>
  <si>
    <t>UCOo61v1PPAjoN2exxYAzdAw</t>
  </si>
  <si>
    <t>UCH7nv1A9xIrAifZJNvt7cgA</t>
  </si>
  <si>
    <t>UCZNr3-bxFbzfLzbiJ_rJ5zw</t>
  </si>
  <si>
    <t>UCuFwzKrS0wE43CSkyaHBGiQ</t>
  </si>
  <si>
    <t>UCMZ1mhXvZEhAEwVtAMmvioA</t>
  </si>
  <si>
    <t>UCPXTXMecYqnRKNdqdVOGSFg</t>
  </si>
  <si>
    <t>UCs0upBDG-dCAxy8_VDPE5XA</t>
  </si>
  <si>
    <t>UCg-1notba3Izuus-oz5WdIw</t>
  </si>
  <si>
    <t>UC0IWRLai-BAwci_e9MylNGw</t>
  </si>
  <si>
    <t>UCVCjedz7laLAQvX__qMUTzQ</t>
  </si>
  <si>
    <t>UC5H9MzrMkJ5iuN11vV2PLhA</t>
  </si>
  <si>
    <t>UCm2FYakWw43UiBCRAIbfe4A</t>
  </si>
  <si>
    <t>UCai2GPLiGYuTSgB4v6UmGLg</t>
  </si>
  <si>
    <t>UCuB7zkQVpcPKzHYJn45vM9w</t>
  </si>
  <si>
    <t>UCdce_0JccaDtpuv5x9Gjdyw</t>
  </si>
  <si>
    <t>UCye6Oz0mg46S362LwARGVcA</t>
  </si>
  <si>
    <t>UCD5EC8IWhOFalXtePCkhJTA</t>
  </si>
  <si>
    <t>UCpZe6c7I8kkQuME1T4uMa_g</t>
  </si>
  <si>
    <t>UC4WkXgiK6VxAri_R_qmIFvQ</t>
  </si>
  <si>
    <t>UC3uTUlmgECBnsP777U4GPKQ</t>
  </si>
  <si>
    <t>UCEAAzv2OBqxsSczKJ2QZyGQ</t>
  </si>
  <si>
    <t>UCbSGbqIVds2FiYn-0v0AqSA</t>
  </si>
  <si>
    <t>UCq0lCpFqO_aGVKIECxVUc1Q</t>
  </si>
  <si>
    <t>UCjb5iAXrj1D6NjHJYvDGw7w</t>
  </si>
  <si>
    <t>UCcYzLCs3zrQIBVHYA1sK2sw</t>
  </si>
  <si>
    <t>UCPfzFWn0bM2bhEQY7sERz0A</t>
  </si>
  <si>
    <t>UCjzMo6c6fHNo4SCt--JkRTQ</t>
  </si>
  <si>
    <t>UCt7_pnSRPKU3bu2GqmgH8gQ</t>
  </si>
  <si>
    <t>UCKjJXmZxk1SiTUQUB28KHpw</t>
  </si>
  <si>
    <t>UCqJJbvUhO5bybTZT-dKSe7w</t>
  </si>
  <si>
    <t>UCoY_p16GEbOQPgES1-wXpYg</t>
  </si>
  <si>
    <t>UC8XBsRz_R8CqweUyHxf6awg</t>
  </si>
  <si>
    <t>UCL0pM5-vrLp3Oy9PXzpqXpA</t>
  </si>
  <si>
    <t>UCGNFqULihCOrP3-hOQ-rNEw</t>
  </si>
  <si>
    <t>UC8dnBi4WUErqYQHZ4PfsLTg</t>
  </si>
  <si>
    <t>UCEvwoeic0Y4789FXBNCXWeA</t>
  </si>
  <si>
    <t>UCp_r6Z-Oh0YTf-ym71z5Nqg</t>
  </si>
  <si>
    <t>UCyLaexBEXMybtK12r386SDw</t>
  </si>
  <si>
    <t>UCRZGmOiXD7DRBG6VPc6KVRQ</t>
  </si>
  <si>
    <t>UCTLZ1jlmY-VogpQXng48iKQ</t>
  </si>
  <si>
    <t>UC4I13pjEDm7rHFMb5PkOUaw</t>
  </si>
  <si>
    <t>UCWEqIFOOjmL_olrETpSnGOQ</t>
  </si>
  <si>
    <t>UCFk2qpStVlJTkgedostU4kQ</t>
  </si>
  <si>
    <t>UCfCv0ckR89HTy2ASEgZHNSg</t>
  </si>
  <si>
    <t>UCvMd32ON30vh2bd-_A5KA1A</t>
  </si>
  <si>
    <t>UCX7SHIccUCj3S4cID-pM-Xg</t>
  </si>
  <si>
    <t>UCPhZzHKo3Y5YYoazMQWuLTg</t>
  </si>
  <si>
    <t>UC2pLzhDPcQHxLhEKpIQZzMg</t>
  </si>
  <si>
    <t>UC-DJdb6x-T-3xA2AB78innA</t>
  </si>
  <si>
    <t>UCpTILQ0MwpwiUtv9f0H8EhA</t>
  </si>
  <si>
    <t>UCnO0Km5GnYKBVUEUkHsNQeA</t>
  </si>
  <si>
    <t>UCr8CGgjyJpgdLVy8Duu2IrA</t>
  </si>
  <si>
    <t>UC3HS6gQ79jjn4xHxogw0HiA</t>
  </si>
  <si>
    <t>UCbYXVxwDEWc9sIt6yZhweqQ</t>
  </si>
  <si>
    <t>UC7IMq6lLHbptAnSucW1pClA</t>
  </si>
  <si>
    <t>UCXgv6qemwooHi71a7-htxAw</t>
  </si>
  <si>
    <t>UCdsgnTGjq69wpOzPnqNuebA</t>
  </si>
  <si>
    <t>UChtEvBpe2GQkVzzxvMLLUHA</t>
  </si>
  <si>
    <t>UCC6gbNO098rkQKCU0ZaLITQ</t>
  </si>
  <si>
    <t>UCv2fH7qjvBKoc6v0s2bVVBg</t>
  </si>
  <si>
    <t>UCCgLMMp4lv7fSD2sBz1Ai6Q</t>
  </si>
  <si>
    <t>UC5fbdgYVnVwnEcM2KnaeZ0g</t>
  </si>
  <si>
    <t>UCKQKIY2YlI4L5QVg7hhfjrQ</t>
  </si>
  <si>
    <t>UCXjhJbviBl0M4JAC3cxDXqA</t>
  </si>
  <si>
    <t>UCQEloCMWEZFep85nHfbbg8Q</t>
  </si>
  <si>
    <t>UCIsotCCdTjStPCLyD9iBCCQ</t>
  </si>
  <si>
    <t>Beauty</t>
  </si>
  <si>
    <t>UCl_vAxZpvbO-PFXdDu7EdHw</t>
  </si>
  <si>
    <t>UCy-AB5ehLFqh1FtCVIH4Q3A</t>
  </si>
  <si>
    <t>UC8Z-VjXBtDJTvq6aqkIskPg</t>
  </si>
  <si>
    <t>UCNSdjX4ry9fICqeObdZPAZQ</t>
  </si>
  <si>
    <t>UCEIh86x0eZFfeEbNZgmOvOg</t>
  </si>
  <si>
    <t>UC5MaEdGrolKRJXFdXgD7RAA</t>
  </si>
  <si>
    <t>UCdOSeEq9Cs2Pco7OCn2_i5w</t>
  </si>
  <si>
    <t>UCT_QwW7Tbew5qrYNb2auqAQ</t>
  </si>
  <si>
    <t>UCDCMjD1XIAsCZsYHNMGVcog</t>
  </si>
  <si>
    <t>UCsBbEuwX_rf2I3l2ucGABjw</t>
  </si>
  <si>
    <t>UCovfq4h24UvKIju6kqqNu4A</t>
  </si>
  <si>
    <t>UCepBxbSrGZkgjgGJuY04c-Q</t>
  </si>
  <si>
    <t>UCJF4y2nyCCrDKTgA7dxz1Qw</t>
  </si>
  <si>
    <t>UCL1KvM2ltxqxMkWfOCO-n2Q</t>
  </si>
  <si>
    <t>UC43qCBEfmy-wouPmYlLSpIg</t>
  </si>
  <si>
    <t>UC_gUM8rL-Lrg6O3adPW9K1g</t>
  </si>
  <si>
    <t>UCXftqsHd3KSHLm_dJkf35yQ</t>
  </si>
  <si>
    <t>UC1of9ELYwB623fWaAMRDVFA</t>
  </si>
  <si>
    <t>UCbBWncD3X_dfXwxmj4KwJnA</t>
  </si>
  <si>
    <t>UCKcQ7Jo2VAGHiPMfDwzeRUw</t>
  </si>
  <si>
    <t>UCh_la0EpAokx5PChAMCH2Bw</t>
  </si>
  <si>
    <t>UCjnB4vdR1A_XWwsQFSVSYIQ</t>
  </si>
  <si>
    <t>UCnm5DH0oJndtA-6J10_jIEw</t>
  </si>
  <si>
    <t>UC2bNrKQbJLphxNCd6BSnTkA</t>
  </si>
  <si>
    <t>UCmgo9jeT8tSSGx0V9nCiR1Q</t>
  </si>
  <si>
    <t>UCMxtWuqP6Ktk1tsSZSstaug</t>
  </si>
  <si>
    <t>UC0OjYCqcGZMEOuSGKGACc0Q</t>
  </si>
  <si>
    <t>UCuajwgnxd-uxvNzzwYwjifA</t>
  </si>
  <si>
    <t>UCULLmfWqhMOeiWEV6hkMSCg</t>
  </si>
  <si>
    <t>UCzN2cEdV5dqr9IzEz1S7MCQ</t>
  </si>
  <si>
    <t>UCNaRZ0EUKPnrkr_wPC2cb_Q</t>
  </si>
  <si>
    <t>UC37cflt9I_ER6Z0YQUdJGBw</t>
  </si>
  <si>
    <t>UCmH6lvysZOJ0mWvkmzlIFfA</t>
  </si>
  <si>
    <t>UC3MTnx9PIs8_9w24mKADZiQ</t>
  </si>
  <si>
    <t>UCMk9Tdc-d1BIcAFaSppiVkw</t>
  </si>
  <si>
    <t>UCgsWayzDGwj9CclwicO_R3w</t>
  </si>
  <si>
    <t>UC70o5gPX_JhOosmjwoAbKCA</t>
  </si>
  <si>
    <t>UCP0uG-mcMImgKnJz-VjJZmQ</t>
  </si>
  <si>
    <t>UCf8w5m0YsRa8MHQ5bwSGmbw</t>
  </si>
  <si>
    <t>UC-JFyL0zDFOsPMpuWu39rPA</t>
  </si>
  <si>
    <t>UCz2si8w1MqVtl1moygyGqpQ</t>
  </si>
  <si>
    <t>UCglXlpWjIi95auM3umWWLdw</t>
  </si>
  <si>
    <t>UCNvywYiv2rpARNbn2yxvoCw</t>
  </si>
  <si>
    <t>UCCktnahuRFYIBtNnKT5IYyg</t>
  </si>
  <si>
    <t>UCtyltqstMm6iKnkk2Y9Zt8A</t>
  </si>
  <si>
    <t>UC9iBBFfq7L3ipvodSLrU8gQ</t>
  </si>
  <si>
    <t>UCnJjcn5FrgrOEp5_N45ZLEQ</t>
  </si>
  <si>
    <t>UC0ZXRwagJs3WYiIgOCjO2sQ</t>
  </si>
  <si>
    <t>UCBIyn-ZVn6YhkVWF0L1lvcg</t>
  </si>
  <si>
    <t>UCYPvAwZP8pZhSMW8qs7cVCw</t>
  </si>
  <si>
    <t>UC9ftt2QxQewlpWaJ3HvemaQ</t>
  </si>
  <si>
    <t>UCpDxPj3sm40ISX5hn-TlYcw</t>
  </si>
  <si>
    <t>UCv2nZeFsPelH6I4LNWYn5TA</t>
  </si>
  <si>
    <t>UCa_i3rdR-iKCyS6DJRYiTrQ</t>
  </si>
  <si>
    <t>UCk_6KmDDc_zZQnTf4lH43pQ</t>
  </si>
  <si>
    <t>UCSlXUynEQ0KKKOAK03kFt8g</t>
  </si>
  <si>
    <t>UC0pjYdWYOiD3-toOOyZZApw</t>
  </si>
  <si>
    <t>UC1-BQ2oxqBVtCjMHF-Wf98w</t>
  </si>
  <si>
    <t>UC_MF6QmQz6LkSPUjSvSJcAA</t>
  </si>
  <si>
    <t>UCHxjqzF8Ut8-YubTNdtLl0A</t>
  </si>
  <si>
    <t>UCga6uMv6x1mMOwolhD9cXAA</t>
  </si>
  <si>
    <t>UCISgnSNwqQ2i8lhCun3KtQg</t>
  </si>
  <si>
    <t>UC5h5bK_4lGLRXq4JML-v7iw</t>
  </si>
  <si>
    <t>UC00ifCvU8YOOzbL3RdiSTDw</t>
  </si>
  <si>
    <t>UCGE-L0dJpos3ut0N96H75Jw</t>
  </si>
  <si>
    <t>UCZMmfrbYGqSjKa4MWJHb9sQ</t>
  </si>
  <si>
    <t>UCJ5c7WSj3ThQQlFIQ28eUEA</t>
  </si>
  <si>
    <t>UCFTtrxmEhd1pu-_ShK8XeIg</t>
  </si>
  <si>
    <t>UCHKGDg0GJKBsA9mFraDOLHA</t>
  </si>
  <si>
    <t>UCbf0XHULBkTfv2hBjaaDw9Q</t>
  </si>
  <si>
    <t>UC5EQWvy59VeHPJz8mDALPxg</t>
  </si>
  <si>
    <t>UCP9nQIE4mBLSu2nvLDZJZWg</t>
  </si>
  <si>
    <t>UC06UXRnhvgWfYWnnYq2CYVQ</t>
  </si>
  <si>
    <t>UCt202UCaf_94idCk4AJ-sXw</t>
  </si>
  <si>
    <t>UCWqyzn3cDkRDh3kRGWrIQwA</t>
  </si>
  <si>
    <t>UCz3I_sh4IqR4rPG-NURhTYg</t>
  </si>
  <si>
    <t>UCuSD-BXA1p8S3HfE8LsEkHA</t>
  </si>
  <si>
    <t>UCYlh4lH762HvHt6mmiecyWQ</t>
  </si>
  <si>
    <t>UCumtYpCY26F6Jr3satUgMvA</t>
  </si>
  <si>
    <t>UCxbQMLz2NvUAhyEu1Y5Q2rw</t>
  </si>
  <si>
    <t>UCBjcylQdMiIaWuP19z3IW-w</t>
  </si>
  <si>
    <t>UCAugBD4C-716-q4vGxzaF2g</t>
  </si>
  <si>
    <t>UCUCMLgkMOVYIse7L8Jfa-vQ</t>
  </si>
  <si>
    <t>UCjx-YIjkPMauIdbKmDgEjpw</t>
  </si>
  <si>
    <t>UCUIUs2UztaAWN_KEReUXWUA</t>
  </si>
  <si>
    <t>UCotI-SqRXnkAZX4bMqlRNjw</t>
  </si>
  <si>
    <t>UCCJRFl1Qjo83GG_09U-DIBA</t>
  </si>
  <si>
    <t>UCbXyJGtF1IrRmrerL9xzDbA</t>
  </si>
  <si>
    <t>UCeM7fTLWxyxIMw9WfMSX8ww</t>
  </si>
  <si>
    <t>UCRqEfb8TRJ-WA597UT2kP6w</t>
  </si>
  <si>
    <t>UC531MlZA5LUbeGwEN_zcppw</t>
  </si>
  <si>
    <t>UCxWangh5lodsO1sU9N6enYA</t>
  </si>
  <si>
    <t>UC232UhFsjFYeMJdP5nd80RQ</t>
  </si>
  <si>
    <t>UC-Hm8vtPdB9DDVFEOJMwBzg</t>
  </si>
  <si>
    <t>UC05cEmAqCtRwIWwncV2gx2Q</t>
  </si>
  <si>
    <t>UCgFyj4ZYwFOhaosUvrYne_w</t>
  </si>
  <si>
    <t>UCtrovMbRR6h_XLMfdbhqb1A</t>
  </si>
  <si>
    <t>UCkS7Vxu4PjM99w0Is6idjcg</t>
  </si>
  <si>
    <t>UCoVwq0vh-XD8RrEyDZ0KeJw</t>
  </si>
  <si>
    <t>UC1L2JoMpcY6MRLhFd3gg5Xg</t>
  </si>
  <si>
    <t>UCoKdj1lKDAIKslWwBoSQBsg</t>
  </si>
  <si>
    <t>UCrkP7L7oieiejXdQHWLqYIg</t>
  </si>
  <si>
    <t>UCaNVvLC6bcsvIwuDm3tItWQ</t>
  </si>
  <si>
    <t>UCnYKRFQRndE3Wq1eLRQLfWw</t>
  </si>
  <si>
    <t>UCYC6Vcczj8v-Y5OgpEJTFBw</t>
  </si>
  <si>
    <t>UCOrE-2VgEOJ9LTNLYu5LeEw</t>
  </si>
  <si>
    <t>UCAyYBPzFioHUxvVZEn4rMJA</t>
  </si>
  <si>
    <t>UCXZkaZ4f7d3-YuMyy76yS6A</t>
  </si>
  <si>
    <t>UCjvlGpg8tXylzRqdFExxUZw</t>
  </si>
  <si>
    <t>UCz-iDa_Z-GWaZ_YweEus6iw</t>
  </si>
  <si>
    <t>UCJJ72ZXSDbom7oVkvIkp9Tw</t>
  </si>
  <si>
    <t>UCrcPCuPv0X4Lr3tommVK0lQ</t>
  </si>
  <si>
    <t>UC1KonH1j8WMhc5cT6Bp7NtA</t>
  </si>
  <si>
    <t>UCZDzd3wDFX33dGeYHH8hkjw</t>
  </si>
  <si>
    <t>UCSKgOW8Pg_eZymYJyJc432g</t>
  </si>
  <si>
    <t>UCFX8go5jeQ_9_Pk9WFl5tmA</t>
  </si>
  <si>
    <t>UC-HjXhAnz1XXhULgG6ljlrg</t>
  </si>
  <si>
    <t>UC7Q7pl0z0MrdayvmAnchlJQ</t>
  </si>
  <si>
    <t>UCmoX4QULJ9MB00xW4coMiOw</t>
  </si>
  <si>
    <t>UCN3-BVMnr44LIUheSuppw1A</t>
  </si>
  <si>
    <t>UCLDIOyFjefJl5UdEoW1guKA</t>
  </si>
  <si>
    <t>UC3gPdSNOn_vi0UV51iDP1uQ</t>
  </si>
  <si>
    <t>UCneyi-aYq4VIBYIAQgWmk_w</t>
  </si>
  <si>
    <t>UCBbeXVY55K5estTHrKWJ5Yg</t>
  </si>
  <si>
    <t>UCQjHoPr0kqN83Mmihy7nsWw</t>
  </si>
  <si>
    <t>UClwM5RNjqRRnAf1CGBEe_8g</t>
  </si>
  <si>
    <t>UCSTwNIWgQmfpdDgs5A-IVeg</t>
  </si>
  <si>
    <t>UCQC1wGbOOIoC23fRGxt4kbg</t>
  </si>
  <si>
    <t>UCEHCDn_BBnk3uTK1M64ptyw</t>
  </si>
  <si>
    <t>UCS5wKBMLOOn0l0wOSnspyZQ</t>
  </si>
  <si>
    <t>UCUQg_UBQfVjptn7Wqcgzz-w</t>
  </si>
  <si>
    <t>UC1V1PQT_ZVRjzuzioG05rrQ</t>
  </si>
  <si>
    <t>UCmbua9iiakRr6nuCXxxsKSQ</t>
  </si>
  <si>
    <t>UCurYxozQbvKn-oNUxNJh45Q</t>
  </si>
  <si>
    <t>UC1fpu8N-DkmhqqwHTI5yxrg</t>
  </si>
  <si>
    <t>UCPxMZIFE856tbTfdkdjzTSQ</t>
  </si>
  <si>
    <t>UCnLt1_YzcvH2DTYW179r0Fw</t>
  </si>
  <si>
    <t>UCOl4x1vXVvAmoo2WgvV2LYw</t>
  </si>
  <si>
    <t>UCf40kH47yvowumzzK9LVKKg</t>
  </si>
  <si>
    <t>UCLGHEUaREx_FtNrqfJ8gXIA</t>
  </si>
  <si>
    <t>UCU3dS5ZDA_IucoUwZ1TibIQ</t>
  </si>
  <si>
    <t>UCyk5NCuMAoBZ0OzLeCrQd9Q</t>
  </si>
  <si>
    <t>UCY6KjrDBN_tIRFT_QNqQbRQ</t>
  </si>
  <si>
    <t>UC6_K7-Jthgq6hKUu55xC91Q</t>
  </si>
  <si>
    <t>UCs-i-OgJaRat1M0lCqviF2w</t>
  </si>
  <si>
    <t>UCigK-_u8MfjpitRVcv8o25A</t>
  </si>
  <si>
    <t>UCv41ean41z5cRWdHiK5YvEw</t>
  </si>
  <si>
    <t>UCkl4PpjvRdCYThDPDlfzcQQ</t>
  </si>
  <si>
    <t>UC_Q8qN8FTr4h4Waf01bty7g</t>
  </si>
  <si>
    <t>UCPGc_59xZjV0vCmjL6JiiJQ</t>
  </si>
  <si>
    <t>UCicjynhfFw2LiIQFnoS1JTw</t>
  </si>
  <si>
    <t>UClPHwLcsE9zQcIqNRc7VLHw</t>
  </si>
  <si>
    <t>UCS4uc8cHDqcwwro8lGChaQQ</t>
  </si>
  <si>
    <t>UCO7oJs9vrfYIN_rDYjlN7Ig</t>
  </si>
  <si>
    <t>UCMDPvpD-R1_isb1o0ua15ig</t>
  </si>
  <si>
    <t>UCgPcWFUDb8oRApU3Wil_t-Q</t>
  </si>
  <si>
    <t>UCq3N4zEbzmlhdXAgabdpPIg</t>
  </si>
  <si>
    <t>UCVBidM7sHBIT315S6LKChNA</t>
  </si>
  <si>
    <t>UC64tB97n5xZdqs4qAyTCnpw</t>
  </si>
  <si>
    <t>UCmqfX0S3x0I3uwLkPdpX03w</t>
  </si>
  <si>
    <t>UCw82-Eh-C45fBcSxozfFkJg</t>
  </si>
  <si>
    <t>UClmlqOOktUTpfW0EkTiqSjQ</t>
  </si>
  <si>
    <t>UCZQDF0x18Xe6RZayvod99zA</t>
  </si>
  <si>
    <t>UCdHE6yw63QqfxoH6y-D5sFg</t>
  </si>
  <si>
    <t>UCX-oGtEb3dXf5C19CxrT2Bw</t>
  </si>
  <si>
    <t>UCaMbHL_q0huzBW__7ud6mQw</t>
  </si>
  <si>
    <t>UCU0PnZqMDQ0uvwacGzCX3NA</t>
  </si>
  <si>
    <t>UCB37K6MQvTWr5HdB_avY1Rg</t>
  </si>
  <si>
    <t>UCnjxYF8TSTdBDf27ULeDR7Q</t>
  </si>
  <si>
    <t>UCFSzwJllk1zpIXs2xhMZ84Q</t>
  </si>
  <si>
    <t>UCqXCX2DnQZh8e4VNT7MPTtA</t>
  </si>
  <si>
    <t>UCef1-8eOpJgud7szVPlZQAQ</t>
  </si>
  <si>
    <t>UCcjk-KvDJBEvo8fJS29fekg</t>
  </si>
  <si>
    <t>UCsgy7HHlnPbgX417Ik6Mc2A</t>
  </si>
  <si>
    <t>UC9lzqhSNmG0loFlAZb1J_HA</t>
  </si>
  <si>
    <t>UCm7lHFkt2yB_WzL67aruVBQ</t>
  </si>
  <si>
    <t>UCZrBQSMI1mme3xGHl6hqfNQ</t>
  </si>
  <si>
    <t>UCdnOG_jDq5TR5sWuQkoZHMg</t>
  </si>
  <si>
    <t>UCiJfiEg1FImWsVuEu0L8X6Q</t>
  </si>
  <si>
    <t>UC0AwRymrRJffcSyD-rJwATQ</t>
  </si>
  <si>
    <t>UCxa75ogKROiFo2VW7RzfObg</t>
  </si>
  <si>
    <t>UCGjn3ZbkkNcQaj00qwJ0DYQ</t>
  </si>
  <si>
    <t>UCyuVpouOFqSkxVaPkwYxU8A</t>
  </si>
  <si>
    <t>UCBhJtAsKqFra4DRLicJcwFA</t>
  </si>
  <si>
    <t>UCQiT5-5LOEyhN2Q1g93ZmRA</t>
  </si>
  <si>
    <t>UCrtOnzd9dWH9lXTAB-64Hfg</t>
  </si>
  <si>
    <t>UCLW85h0n6VzUwrHk0so4bGw</t>
  </si>
  <si>
    <t>UCGpSJk0zi-wDrCIzjrxrk0w</t>
  </si>
  <si>
    <t>UCWdC5Q-VxLs2ps_BntXD-6g</t>
  </si>
  <si>
    <t>UCaqULAbiq-6ZRlKmx0Uv_Cw</t>
  </si>
  <si>
    <t>UC5vQMkqw2JVC9mqGNBXjzMw</t>
  </si>
  <si>
    <t>UCIl28Ab-H-3LYIPw4hhQexA</t>
  </si>
  <si>
    <t>UCpYwuXwjTQfMA67gFa5rsmg</t>
  </si>
  <si>
    <t>UCycyxZMoPwg9cuRDMyQE7PQ</t>
  </si>
  <si>
    <t>UCJvE3uJFyBS1WhL1Tou85Hg</t>
  </si>
  <si>
    <t>UCTM-p_LO8fsbLRMFqitWqBA</t>
  </si>
  <si>
    <t>UC6pTJezPPWXOo7Yyz8TMv7g</t>
  </si>
  <si>
    <t>UCuOxudQSUtgikcXETRrzXCQ</t>
  </si>
  <si>
    <t>UCoOSBeNL-kt1wHGgaJi0TGw</t>
  </si>
  <si>
    <t>UCHHaXALzqkLEaFVmMtTO7GQ</t>
  </si>
  <si>
    <t>UCt3mMVAyGhwQb_ZBGp_p85g</t>
  </si>
  <si>
    <t>UCjeD2I8jwXg2l_nvXb_6Hzw</t>
  </si>
  <si>
    <t>Fashion</t>
  </si>
  <si>
    <t>UC53cAvFeWsNwsfCQnJmLjDQ</t>
  </si>
  <si>
    <t>UCfg6pHiU-A0Q0zvt5V6UQIQ</t>
  </si>
  <si>
    <t>UCENLJimUiMr6Lo0shZ1Vq_A</t>
  </si>
  <si>
    <t>UCxyBCX9wgmtounAIU8T5pwQ</t>
  </si>
  <si>
    <t>UCRGl2gA9X6BXqOvNL2jePtw</t>
  </si>
  <si>
    <t>UCQuLyitHTE9LfUAxlhDfgig</t>
  </si>
  <si>
    <t>UC70YuLFCRS8dh5nPaNMqRSA</t>
  </si>
  <si>
    <t>UCQdyCrZpGq4Bbu6V8LPUDWg</t>
  </si>
  <si>
    <t>UCXuO_AmrcE16fDoNiq9JZZg</t>
  </si>
  <si>
    <t>UC_6dHtrFIhcGo3r6TqtBriA</t>
  </si>
  <si>
    <t>UCOpb_xxRgSbs2TLCc_sKf-Q</t>
  </si>
  <si>
    <t>UCWicN9-Aan-G7S6UC0kpQvQ</t>
  </si>
  <si>
    <t>UCMPY7EhVHDEgz4t7z5ncv3A</t>
  </si>
  <si>
    <t>UCavkWKI20O_Kuq0IFyWxWOA</t>
  </si>
  <si>
    <t>UCPIzPN_V3Wk2KN5wIK3Kwsg</t>
  </si>
  <si>
    <t>UCtpDorOuxwQ1URGQ0WLIXmQ</t>
  </si>
  <si>
    <t>UCzqQvVAkCEFrWI2VOPzFpeg</t>
  </si>
  <si>
    <t>UCdILIiuXr2UQUhc5SFVbKtw</t>
  </si>
  <si>
    <t>UCnAh77mRKbACPlEEEdSFAFw</t>
  </si>
  <si>
    <t>UC94m1fN8ypwZpZWs4E5mEcg</t>
  </si>
  <si>
    <t>UCL77mMHDQV_D2DixeqD1Tyg</t>
  </si>
  <si>
    <t>UCRgMIwmmh1-2k5HeTQ2cdkQ</t>
  </si>
  <si>
    <t>UCwAdQUuPT6laN-AQR17fe1g</t>
  </si>
  <si>
    <t>UCp0PDmU9L_rqiD4nDH-P2Tg</t>
  </si>
  <si>
    <t>UC99mSdFwcE6GijMAxgOBu8g</t>
  </si>
  <si>
    <t>UCA5wv3lbx6fn54ou6uytSIA</t>
  </si>
  <si>
    <t>UCup6dUxLlh5-L0Vcjl70w1w</t>
  </si>
  <si>
    <t>UCGwWE0AEHEkHTUzKrzDjZSQ</t>
  </si>
  <si>
    <t>UC_2irx_BQR7RsBKmUV9fePQ</t>
  </si>
  <si>
    <t>UC2JcFCoSQnxqmeMxvA49Vjg</t>
  </si>
  <si>
    <t>UCZ9lCUhUOUrwqVJmfBkN92A</t>
  </si>
  <si>
    <t>UCa6cLayR1jdfGFPEOXKCRYg</t>
  </si>
  <si>
    <t>UCMWv9WrCkZJcxzsOWeZfEkg</t>
  </si>
  <si>
    <t>UCyLplL7WIPsy1qdv8MSmDJw</t>
  </si>
  <si>
    <t>UC6CVbtkouyA58s5HQqGETHA</t>
  </si>
  <si>
    <t>UCBxfj0-E6_OyU7Zvu0F-zKg</t>
  </si>
  <si>
    <t>UCFPJdGhJyaWVAD97vnRbwQg</t>
  </si>
  <si>
    <t>UC75gv2XPWbV3pTorOWCWZkg</t>
  </si>
  <si>
    <t>UCiUj-tYWs_YN_76P9Kp0Lmw</t>
  </si>
  <si>
    <t>UCeJjsigCe4wWjdwGJBcOe6g</t>
  </si>
  <si>
    <t>UCa53p7RNvfUhA2NSXo2J0rg</t>
  </si>
  <si>
    <t>UCwqusr8YDwM-3mEYTDeJHzw</t>
  </si>
  <si>
    <t>UCfyKktpUgdV5xDEhakicCsw</t>
  </si>
  <si>
    <t>UChRi1dpwnsZcIo1LSwzY0Iw</t>
  </si>
  <si>
    <t>UCu6eDhSb-UJq7_vLgKe4vHw</t>
  </si>
  <si>
    <t>UCLsSLka8jODBozvi5VTQeaQ</t>
  </si>
  <si>
    <t>UCtOirv6sc1gWMCBye2gzkhw</t>
  </si>
  <si>
    <t>UCPbUTEjdU04ChIZfi53jczw</t>
  </si>
  <si>
    <t>UCVX8CkXUBX0NbtEyjAubJNQ</t>
  </si>
  <si>
    <t>UCLLvfg1jCGubqWro8kbcPaw</t>
  </si>
  <si>
    <t>UCHFxiwt59yX7nTHxZgZ6KVQ</t>
  </si>
  <si>
    <t>UCU_FozE_MPC8w4YncyShmJQ</t>
  </si>
  <si>
    <t>UCACU6FM4RgOgX0IHB7dudFA</t>
  </si>
  <si>
    <t>UCfMc0O6v8d6BA385OrJXkXw</t>
  </si>
  <si>
    <t>UCoFfvNFWAAQdCJE72wncCiQ</t>
  </si>
  <si>
    <t>UCpJ3VZb16uJFSmQyEQQ9Xlg</t>
  </si>
  <si>
    <t>UC15EM1xKwmLdwr8L04s17vw</t>
  </si>
  <si>
    <t>UCadXD59pSUdNGQ9xfqB8CeA</t>
  </si>
  <si>
    <t>UCcpyP5B4qeKplEHv6wYnJcw</t>
  </si>
  <si>
    <t>UC2ni6kGpO-NuM2PG-P5FQ7A</t>
  </si>
  <si>
    <t>UCl-OodciBGZ0k8K8rBZGe4w</t>
  </si>
  <si>
    <t>UC1bdAV8ZlDI8YJWLRPh3fAg</t>
  </si>
  <si>
    <t>UCsuOs8KvVuqvQv-pV01fCyg</t>
  </si>
  <si>
    <t>UCOquMs0QXyjbw2YMigivRAw</t>
  </si>
  <si>
    <t>UCLVMo8sGc-PsLmP8Ozb977A</t>
  </si>
  <si>
    <t>UCoL68NLLSUQqEDwMZPvrdEg</t>
  </si>
  <si>
    <t>UCVaSUu1B_Y4R2rFLUpvRmlA</t>
  </si>
  <si>
    <t>UCGuhUfGfaJGGkmUTeP6-ScQ</t>
  </si>
  <si>
    <t>UCZT_OWY9abyO3V9Rmdvh02w</t>
  </si>
  <si>
    <t>UC-f7r46JhYv78q5pGrO6ivA</t>
  </si>
  <si>
    <t>UCYjn70nfHCDiszl4A8YeZrA</t>
  </si>
  <si>
    <t>UCR06LlbhIrheNLYbszc9E5A</t>
  </si>
  <si>
    <t>UCxjc8mUzILAiXGPf1lBhqdQ</t>
  </si>
  <si>
    <t>UCMfyiLGzptAStxYf7GEIQYQ</t>
  </si>
  <si>
    <t>UCnBatb58GQ-2TE1bz3coaIw</t>
  </si>
  <si>
    <t>UCcmYmr96fmCrV3bjEkjrKYA</t>
  </si>
  <si>
    <t>UCm4PlToTlCcOf-jUWSFB3iw</t>
  </si>
  <si>
    <t>UCPjaNv8GlIamrxCbqincG_g</t>
  </si>
  <si>
    <t>UCtxT50MzIRx0H2qdQYRoQeg</t>
  </si>
  <si>
    <t>UCSjPe5kinQtwcyHcFJyyMfw</t>
  </si>
  <si>
    <t>UC_IXqII-SVm7QNRwreq32dg</t>
  </si>
  <si>
    <t>UCMGrQ4dW5CT5bs44tRa94Bw</t>
  </si>
  <si>
    <t>UCj_H5F08o8rQUqNTsluA4rA</t>
  </si>
  <si>
    <t>UCO-CQR4oJXUre8E0Jn5aFag</t>
  </si>
  <si>
    <t>UCqxoKG7ctyMrR5MzTtrZYtg</t>
  </si>
  <si>
    <t>UCg35ReVbOzreuv_J9GBFrTQ</t>
  </si>
  <si>
    <t>UCPtPyb4VvaNqjkbL_tSVFVA</t>
  </si>
  <si>
    <t>UCs56ffejFhWlCvlvRIdpb9Q</t>
  </si>
  <si>
    <t>UCzR7770PbrKcG9OYGzBep9w</t>
  </si>
  <si>
    <t>UCT2xzagsBVtStUCA2ulvKmQ</t>
  </si>
  <si>
    <t>UCUEbmdKaF-7ivp9TUbwIPZw</t>
  </si>
  <si>
    <t>UCueYcgdqos0_PzNOq81zAFg</t>
  </si>
  <si>
    <t>UChjSqyxh6Y0IyKXw4Ta2AfQ</t>
  </si>
  <si>
    <t>UC0PTktRYpZXb6On0_zFKWIg</t>
  </si>
  <si>
    <t>UCbQU3lGIt2gP_6kE3l1Y3WQ</t>
  </si>
  <si>
    <t>UCGG2Jjzzb5WotOEwzYmgEgg</t>
  </si>
  <si>
    <t>UCBKvC2TWrSedladWZtezK8A</t>
  </si>
  <si>
    <t>UCe2JAC5FUfbxLCfAvBWmNJA</t>
  </si>
  <si>
    <t>UCUGwnDFBHY52YhgVjn-Tvww</t>
  </si>
  <si>
    <t>UCMO0fL9oNCKscgzJQgrfbmQ</t>
  </si>
  <si>
    <t>UCNoiWmvkDUL0q-6ECxNFH0Q</t>
  </si>
  <si>
    <t>UCys-KuZ7z2KHsPaW4U_lEBQ</t>
  </si>
  <si>
    <t>UC2cS0jW3himSvxXyLbkHVkg</t>
  </si>
  <si>
    <t>UCWew_LbiRfU_pn71wjfHV4g</t>
  </si>
  <si>
    <t>UCf-UXsmb4y6Uqf4cqe9tJRQ</t>
  </si>
  <si>
    <t>UCsDTy8jvHcwMvSZf_JGi-FA</t>
  </si>
  <si>
    <t>UCxiBEi8RF-l6ib4SMDTd35w</t>
  </si>
  <si>
    <t>UCkg1kqsM6i3QSpUP1JavZew</t>
  </si>
  <si>
    <t>UCbgYZnybgb6vPSBTxZUT2kA</t>
  </si>
  <si>
    <t>UCKPDKDddJgtFoZz_XvqP1VQ</t>
  </si>
  <si>
    <t>UCticaNjYGCpYXyo4BxM3RWQ</t>
  </si>
  <si>
    <t>UCU7qeMoi8PnAbf3-XXDc6Zw</t>
  </si>
  <si>
    <t>UC3O8-tKnz9VUn3sxZKyKN3w</t>
  </si>
  <si>
    <t>UCuJ9tGkTBb7mBFFZW_N94lA</t>
  </si>
  <si>
    <t>UCodBDtYUuhigSVKksHpYMTw</t>
  </si>
  <si>
    <t>UCsaoYBUHz_lVB_dOmFwA9Zw</t>
  </si>
  <si>
    <t>UCv2_homR7I0qX8NtwwjK9Cw</t>
  </si>
  <si>
    <t>UChWtJey46brNr7qHQpN6KLQ</t>
  </si>
  <si>
    <t>UCz22l7kbce-uFJAoaZqxD1A</t>
  </si>
  <si>
    <t>UCY-gUWSJX6xcrEqH4LExALQ</t>
  </si>
  <si>
    <t>UCXsXitjiT_8qPgNEFGPVfBA</t>
  </si>
  <si>
    <t>UCi1m4TnmmXGUIY4roVtvjDA</t>
  </si>
  <si>
    <t>UCAR3h_9fLV82N2FH4cE4RKw</t>
  </si>
  <si>
    <t>UCCwOswm4_Q0FSMGJiswuyHQ</t>
  </si>
  <si>
    <t>UCAAs-813_wjyfk35rHw4CjA</t>
  </si>
  <si>
    <t>UCasP4ULpPrDOd4mByIKFRhw</t>
  </si>
  <si>
    <t>UCZxJsYIKSwZ6I1cL4QH5aNQ</t>
  </si>
  <si>
    <t>UCbrXfFq6GN1nERyMSSiz5qA</t>
  </si>
  <si>
    <t>UCABe2FgVNv2hgBeMu2mySVg</t>
  </si>
  <si>
    <t>UCnhAMeE9Z0BhIYozlc8Ts5g</t>
  </si>
  <si>
    <t>UC5TCLWjRRuk8fqDi_yg1qrg</t>
  </si>
  <si>
    <t>UC6Ce0W_c7mCNu87Qnx4ZNaw</t>
  </si>
  <si>
    <t>UCSXwEK86-OWEn_QF65X7c7Q</t>
  </si>
  <si>
    <t>UCPXLAruFusYx0ZI_WA8T34w</t>
  </si>
  <si>
    <t>UCoW5Zc_nGWRbOK0FLcCRQbQ</t>
  </si>
  <si>
    <t>UCE9yHZh7s9GkN9uxdFPLsQQ</t>
  </si>
  <si>
    <t>UCEWHoHLo89dkQJR_axIupEA</t>
  </si>
  <si>
    <t>UCbZ4R4Ae5oQACsJF8o0dNLQ</t>
  </si>
  <si>
    <t>UCup3etEdjyF1L3sRbU-rKLw</t>
  </si>
  <si>
    <t>UCZMi98PNUjqvmgfNcsekjTA</t>
  </si>
  <si>
    <t>UCZRdNleCgW-BGUJf-bbjzQg</t>
  </si>
  <si>
    <t>UCqWsiM1WR-h8k5sBHR7ViaQ</t>
  </si>
  <si>
    <t>UCEjduIETkrT5g2bG5s86lBw</t>
  </si>
  <si>
    <t>UCRjdhRziOme0OSmUwbnwebg</t>
  </si>
  <si>
    <t>UC1iwdTRSV1Z2DMopttg8ocA</t>
  </si>
  <si>
    <t>UCsSZyyGKf9FdpqDmynjVBcA</t>
  </si>
  <si>
    <t>UCtFQDgA8J8_iiwc5-KoAQlg</t>
  </si>
  <si>
    <t>UCBc13XYipnBIBE3Ff8QaaGg</t>
  </si>
  <si>
    <t>UCP4JX0XS64fmC_wnITdPuow</t>
  </si>
  <si>
    <t>UCVidr_Df7gMAcLB2HBe1ZOA</t>
  </si>
  <si>
    <t>UCCTbkU_M11_9cHyAGxiXT1A</t>
  </si>
  <si>
    <t>UC1cvJI4SJeaA8MbNOWqGFmg</t>
  </si>
  <si>
    <t>UCGyZswzm4G-wEfRQHgMSAuw</t>
  </si>
  <si>
    <t>UC60U1OtwT9Y6Buecc6P0L5g</t>
  </si>
  <si>
    <t>UCR-uD130PlXKww_J2Q63CMg</t>
  </si>
  <si>
    <t>UCdF5Q5QVbYstYrTfpgUl0ZA</t>
  </si>
  <si>
    <t>UC9PD3EIAA-vtGLZgYXG3q0A</t>
  </si>
  <si>
    <t>UCrOqvBGN_lUsgpTmQo818tA</t>
  </si>
  <si>
    <t>UC8YGgolg9oRjFyumMOGLj0A</t>
  </si>
  <si>
    <t>UCMrvLMUITAImCHMOhX88PYQ</t>
  </si>
  <si>
    <t>UC0rE2qq81of4fojo-KhO5rg</t>
  </si>
  <si>
    <t>UCGY4QLnE_jyO1mao6oZXlxw</t>
  </si>
  <si>
    <t>UCx90XU2NsIhcc-XR3mlzv8A</t>
  </si>
  <si>
    <t>UCqgts67ZwDd-gAasDQbZrnQ</t>
  </si>
  <si>
    <t>UCFNHLC4euNaQGDmIokMugiA</t>
  </si>
  <si>
    <t>UCPrBkqZVbih6wyoYhaN2EVA</t>
  </si>
  <si>
    <t>UCtLpPnn0bg52IPFhzMwkvBw</t>
  </si>
  <si>
    <t>UCa2A_QCvJQxMb61JGO6kMhw</t>
  </si>
  <si>
    <t>UC43FtzoqAtvCIZ5dJKkNhmg</t>
  </si>
  <si>
    <t>UC12K7FCbzFG5BOMJrHn-sog</t>
  </si>
  <si>
    <t>UCKwucPzHZ7zCUIf7If-Wo1g</t>
  </si>
  <si>
    <t>UCsLq0AgaT8KDTNWsToxZ5_A</t>
  </si>
  <si>
    <t>UC4Q3WfXJgYPYQmEviC8z2TQ</t>
  </si>
  <si>
    <t>UCdoDYkupTElV62K7ttA_E4w</t>
  </si>
  <si>
    <t>UCPwQ8Yo90_ruIFPF3fLKwWA</t>
  </si>
  <si>
    <t>UCI5iQEzvqILjpJ4dEiPlM0w</t>
  </si>
  <si>
    <t>UC6RJ7-PaXg6TIH2BzZfTV7w</t>
  </si>
  <si>
    <t>UCt4pGsEsc_TDXDx0iRStdCg</t>
  </si>
  <si>
    <t>UCSNls92imB9zwxpdz6vt6ig</t>
  </si>
  <si>
    <t>UC3U1vy0Qk-UTkDrKEc07D1g</t>
  </si>
  <si>
    <t>UCRLmEkBUd79YjTZTWLPBrYQ</t>
  </si>
  <si>
    <t>UCyxH3vRaMqHiJFyHnC7qhUw</t>
  </si>
  <si>
    <t>UCgcUFVynuKwaIZLJkjhzOVg</t>
  </si>
  <si>
    <t>UCCEQKydMgEFIXA4XDshj0CA</t>
  </si>
  <si>
    <t>UCBwc2cbPpvxNCNEI2-8YrqQ</t>
  </si>
  <si>
    <t>UCPxN-X9VhKswRaVPwx7zaAg</t>
  </si>
  <si>
    <t>UCZ1OsbnPa1RX6rl9NWlRTOg</t>
  </si>
  <si>
    <t>UCngVKppNKRXO3xkEvJ7yCdw</t>
  </si>
  <si>
    <t>UCtx4GFO_5-8b_FmbtWlYGQg</t>
  </si>
  <si>
    <t>UCSgVw2iWODCXSlVZA0SO86g</t>
  </si>
  <si>
    <t>UCnhiu3auDOyRfueiYPDqkBw</t>
  </si>
  <si>
    <t>UCQFblMlxC7UFwq2zqNT7NKA</t>
  </si>
  <si>
    <t>UCs5zOg5Ad0QAkRPJsYiRm9g</t>
  </si>
  <si>
    <t>UCfkRsx0z8reL_MOqEoEqj9Q</t>
  </si>
  <si>
    <t>UCiKNX0TIMyKgGqQznhR1Xig</t>
  </si>
  <si>
    <t>UC19ZbpEv7OwfmroNuzt9PAg</t>
  </si>
  <si>
    <t>UCOH_ioSD8yxFCfKNuiWiloQ</t>
  </si>
  <si>
    <t>UCZUjHLJivN0OZPC_Wj8JvkA</t>
  </si>
  <si>
    <t>UCALpZ_fx54GPGEusA2nHd_g</t>
  </si>
  <si>
    <t>UCpt5IhwIflBj0WCHbOjIEuA</t>
  </si>
  <si>
    <t>UCpQiC_zElVHhNm58uwCi7Gw</t>
  </si>
  <si>
    <t>UCdxbhKxr8pyWTx1ExCSmJRw</t>
  </si>
  <si>
    <t>UC1zacw4p0scffq5AJJhTVXQ</t>
  </si>
  <si>
    <t>UCjbBFvK04b-O3foSNabdrOA</t>
  </si>
  <si>
    <t>UCCzY4KCWLjVzTZfIY0xZtog</t>
  </si>
  <si>
    <t>UC-j7LP4at37y3uNTdWLq-vQ</t>
  </si>
  <si>
    <t>UCA2x9cWjEH504K5E_hGHIgw</t>
  </si>
  <si>
    <t>UCiqE4DQsQ0zlwjOV04s2gEA</t>
  </si>
  <si>
    <t>UCzh5hQc_O3r3xjh9sXrM7-A</t>
  </si>
  <si>
    <t>UCxSI_ScvntwbqmDD7VkspUQ</t>
  </si>
  <si>
    <t>UC1qliuYyZ5q6FfeETCYIV3A</t>
  </si>
  <si>
    <t>UCl23mvQ3321L7zO6JyzhVmg</t>
  </si>
  <si>
    <t>UCfwHP1M0AFSPqTdjzXhV0Zg</t>
  </si>
  <si>
    <t>UCat88i6_rELqI_prwvjspRA</t>
  </si>
  <si>
    <t>UCixvwLpO_pk4uVOkkkqP3Mw</t>
  </si>
  <si>
    <t>UCHJW1_0oPzYZl89wX_jhrgA</t>
  </si>
  <si>
    <t>UCCD6ZlRgdtYyI3Oyn52Y4nQ</t>
  </si>
  <si>
    <t>UCBB-MPp_uyVPJBsIO7vfe2Q</t>
  </si>
  <si>
    <t>UCzfXhhH8_L1B6B1SURAskXQ</t>
  </si>
  <si>
    <t>UCFmcHiDIVGQ5obfbGdKclSQ</t>
  </si>
  <si>
    <t>UCzsNLZ9GrGXRjt0QmvWFm2Q</t>
  </si>
  <si>
    <t>UCf4-1iHEgNgNWH_HKmYAtcw</t>
  </si>
  <si>
    <t>UCZtLc3mHfOq9Oo9dz7tVmKQ</t>
  </si>
  <si>
    <t>UCAOUvZhWsj2D9xw3ImHA1sw</t>
  </si>
  <si>
    <t>UCZDZuCogQfb1N95KuUOacjw</t>
  </si>
  <si>
    <t>UCSncGB_s0tuWN-4l-58mmvQ</t>
  </si>
  <si>
    <t>UCb4AW4DtF_iS4_eNuTgEgRA</t>
  </si>
  <si>
    <t>UCfiWRbqXhT8ZY3MRHZUbjKg</t>
  </si>
  <si>
    <t>UCZaHw7tdjy3TNMH3ncsI4Bg</t>
  </si>
  <si>
    <t>UCl7O3Q1tHsZ12GDIzUaG7mQ</t>
  </si>
  <si>
    <t>UCVgYIDBY2c8OrVODFNT_g6A</t>
  </si>
  <si>
    <t>UCXyRRIlRmKbCDQH92WwPLLw</t>
  </si>
  <si>
    <t>UCjNVDW-rkDYR0aOKp3E-2wg</t>
  </si>
  <si>
    <t>UC-uAyciaXWWYtIhmLDnG07A</t>
  </si>
  <si>
    <t>UCjF5ecCYXFDvR0UY9GcfnoA</t>
  </si>
  <si>
    <t>UCSM54qcBP60U61HOMm_SUqA</t>
  </si>
  <si>
    <t>UCvh0vLzlZ8fFoedB6O3vluw</t>
  </si>
  <si>
    <t>UCAwIKJ84zBsiuuy9DVR13mA</t>
  </si>
  <si>
    <t>UCnKhQkCUS1oCEvjuTfU4xIw</t>
  </si>
  <si>
    <t>UCOyT274gK_v2Xu6TXV5RgtQ</t>
  </si>
  <si>
    <t>UCgoyBmLOMNWmsiVkj-MezyQ</t>
  </si>
  <si>
    <t>UCZXhZeAbY4LYynmzVe-IQ4w</t>
  </si>
  <si>
    <t>UCaA8TUWM6TJ5wj-DH60VEFg</t>
  </si>
  <si>
    <t>UCh3aL1IecGEoZu0Qtr-lGkg</t>
  </si>
  <si>
    <t>UCPK4UYq2KOulPAsY2A3P0FA</t>
  </si>
  <si>
    <t>UC3_TTermAnf2fcLe-QX7BVQ</t>
  </si>
  <si>
    <t>UC0UGLd7T7IMaYxaWhETUqxQ</t>
  </si>
  <si>
    <t>UC15sUwufvfo5Z62KBZVzHRQ</t>
  </si>
  <si>
    <t>UCb-xXZ7ltTvrh9C6DgB9H-Q</t>
  </si>
  <si>
    <t>UCYoUuK_uXILQmvip-6jDZ-A</t>
  </si>
  <si>
    <t>UC0cHVZAeY_qxI7Z-7nJFXkg</t>
  </si>
  <si>
    <t>UCuMwOS-oxshrp6CxaaBBKWg</t>
  </si>
  <si>
    <t>UC6FvHUSDY5e_VVNVAYaNsAw</t>
  </si>
  <si>
    <t>UCiiHohivUjxQr4zspF1ZUJw</t>
  </si>
  <si>
    <t>UCwkgelTuQvqTyQ9c_GY4deg</t>
  </si>
  <si>
    <t>UCObhqDIy3TDrBcBRk7sTZUA</t>
  </si>
  <si>
    <t>UCd4iew3AeLPRSCWwu2OitEw</t>
  </si>
  <si>
    <t>UCCUoz5ivpW5fbZIDGUTacbQ</t>
  </si>
  <si>
    <t>UCmXZxX_qexEZxhb5_vQKPCw</t>
  </si>
  <si>
    <t>UC84EedEIzn8cWJJ9Bvm5TzQ</t>
  </si>
  <si>
    <t>UCXORBdm4-ahxpPp94LiN8sA</t>
  </si>
  <si>
    <t>UCQIycDaLsBpMKjOCeaKUYVg</t>
  </si>
  <si>
    <t>UCyZ6lcMSjm0ecKjkXfwpoAg</t>
  </si>
  <si>
    <t>UCOU9l0XsEmJPr-PGcb8F5ZA</t>
  </si>
  <si>
    <t>UCpfq9z3JoXwndNiF6S5Rezg</t>
  </si>
  <si>
    <t>UCvLj42lkMc6SlWcKXFFVu6w</t>
  </si>
  <si>
    <t>UCLnlD3yHgpji6fuEpNHE-yQ</t>
  </si>
  <si>
    <t>UCwoRdXseuJRDlNA0xhuTfdQ</t>
  </si>
  <si>
    <t>UCxlJ45KjG4XVcQ_hd8j227A</t>
  </si>
  <si>
    <t>UCiDKcjKocimAO1tVw1XIJ0Q</t>
  </si>
  <si>
    <t>UCpGK6cI1FKHrStME7gNgD0Q</t>
  </si>
  <si>
    <t>UCQSbjDZOCsJfsddQm9b4PZg</t>
  </si>
  <si>
    <t>UCeJWZgSMlzqYEDytDnvzHnw</t>
  </si>
  <si>
    <t>UCfgZg9Vl5AwedH14BYgLXTQ</t>
  </si>
  <si>
    <t>UC1tOEouPkJZ1qcLgX-U8YfA</t>
  </si>
  <si>
    <t>UCPxh8XbrczlY42mg6EtVTBg</t>
  </si>
  <si>
    <t>UCLeEvcZDJg1p682CeVeuccg</t>
  </si>
  <si>
    <t>UC0Btk1N5V-k4eBfCxFbfyjA</t>
  </si>
  <si>
    <t>UC3vABwrHdAD4BPnfvJCoddg</t>
  </si>
  <si>
    <t>UCtz9FLnr_blQ7JOeSnAJKQA</t>
  </si>
  <si>
    <t>UCg5LjzSV0GqSjXJXERkW1FA</t>
  </si>
  <si>
    <t>UC_71IGEjSWBjQ-9AkfmFaZQ</t>
  </si>
  <si>
    <t>UCKa6ggkkUn-fsUiUmbib1Tg</t>
  </si>
  <si>
    <t>UCkJ8jefJJ_qcp946WzKnUfg</t>
  </si>
  <si>
    <t>UCjElJyiXmQXnWmceQ1JyKrA</t>
  </si>
  <si>
    <t>UCbyDyAcWhvKUyE-RSu2Z8lg</t>
  </si>
  <si>
    <t>UCGQSu0fG2hlLA71NKx1XkTQ</t>
  </si>
  <si>
    <t>UCu2u6SIbpeunUlTo4gntfZw</t>
  </si>
  <si>
    <t>UCuVuHrghkZeJHQTjesosDJA</t>
  </si>
  <si>
    <t>UCaVEA5a97Yxs7S55WtIK5mg</t>
  </si>
  <si>
    <t>UCjdjyjdcdmldCK5XuuWbn1A</t>
  </si>
  <si>
    <t>UCTDyYqF3es08XJ6ZXp3K_5Q</t>
  </si>
  <si>
    <t>UC7XPcbEGA2f995GoOrye7pw</t>
  </si>
  <si>
    <t>UCOQmJtNxOWUMQ5f8U8NOAyA</t>
  </si>
  <si>
    <t>UCCaJ-4eia53A8FcZD-KwaeA</t>
  </si>
  <si>
    <t>UCx4Y6vDEe0xv6xH25f2txew</t>
  </si>
  <si>
    <t>UCqn6IMEa8WtY4_ZhJqjZn8Q</t>
  </si>
  <si>
    <t>UCBu1-C7zod8qigd2v1Ea5HA</t>
  </si>
  <si>
    <t>UCGH6FMbhlmVDUP96nQVYe2Q</t>
  </si>
  <si>
    <t>UC_c8Xgf0_jnMVrAFKfIrFoQ</t>
  </si>
  <si>
    <t>UCfhbydY40P2Lli9HuBz8cdA</t>
  </si>
  <si>
    <t>UCS2rhpz4RJEmb9CV7TPzBIg</t>
  </si>
  <si>
    <t>UCk8MPfvh_XpNehO6TWcFYYA</t>
  </si>
  <si>
    <t>UCGaOkbpMXx4j07kxQYpxFDA</t>
  </si>
  <si>
    <t>UCwXrBBZnIh2ER4lal6WbAHw</t>
  </si>
  <si>
    <t>UCYEUot1QIoKnHKMK-e-qKjQ</t>
  </si>
  <si>
    <t>UCS5eXe20W1hq0rHsDoYHGqg</t>
  </si>
  <si>
    <t>UCz67TNWBqU38S8VRvjDO2wg</t>
  </si>
  <si>
    <t>UCREgzDrb8n9J-cLOX6ZrmnA</t>
  </si>
  <si>
    <t>UCihUiDJzjyo2ov_qGtW33lw</t>
  </si>
  <si>
    <t>UCLog66-PxRcwfcKWB8Z2Q6A</t>
  </si>
  <si>
    <t>UC8MyBFjXbTezvZgMTEBFwgA</t>
  </si>
  <si>
    <t>UCLNItyVW0epTrMVA3DxQglg</t>
  </si>
  <si>
    <t>UCXNNm366Q404eZxIC8UPqkg</t>
  </si>
  <si>
    <t>UCSXOsOIzeJqJb4h0QlimDww</t>
  </si>
  <si>
    <t>UCWIH-lorJrPnBJukxKAOGhg</t>
  </si>
  <si>
    <t>UCbROVXRGQ89AHQfjsdpcDOg</t>
  </si>
  <si>
    <t>UCh0Ob3N4miyi773toqSYj-A</t>
  </si>
  <si>
    <t>UCbVSVO5TZXv0nzzB8G2vCVQ</t>
  </si>
  <si>
    <t>UCgNj5aju-DUGMqPNJt5IjQA</t>
  </si>
  <si>
    <t>UCBQx0Oyf0DFMliuHLVcpBsg</t>
  </si>
  <si>
    <t>UCILLlgN9cpmdf7dP9yOTuTw</t>
  </si>
  <si>
    <t>UC20sXo8ReewkzNKBFgzVCPA</t>
  </si>
  <si>
    <t>UCC2SRkpp75cVNKlcg2G7iuw</t>
  </si>
  <si>
    <t>UCOUHiRSRIuguyUVY5q_hl7A</t>
  </si>
  <si>
    <t>UC6t1Tkom_lz6nPYsBjOeD9w</t>
  </si>
  <si>
    <t>UCjLPS62jAAacLvpjsKT_7_w</t>
  </si>
  <si>
    <t>UCX2XQHzw7HMhtHKQHlzrZiQ</t>
  </si>
  <si>
    <t>UCbP0hjFiW9CEnL9HpSPbK_Q</t>
  </si>
  <si>
    <t>UCy2mVoZ0NPr49ZRN5mEL7sg</t>
  </si>
  <si>
    <t>UCe0tVTGAITFMfcqoq_JlU4w</t>
  </si>
  <si>
    <t>UCHGlDku-Fzg0wHNlAike8-g</t>
  </si>
  <si>
    <t>UCAYum5hCyfkSH5T3vSD_kwQ</t>
  </si>
  <si>
    <t>UCa9c6LDV43ZfD89zsxkEyzg</t>
  </si>
  <si>
    <t>UCaZEbaQmrbfJbJzVV9UvP3Q</t>
  </si>
  <si>
    <t>UC9eYFa4jJQdLVTuy3et9Zbg</t>
  </si>
  <si>
    <t>UCNn6AaHharXIbkRleXGboiQ</t>
  </si>
  <si>
    <t>UCkw4JCwteGrDHIsyIIKo4tQ</t>
  </si>
  <si>
    <t>UCjXnJ4OawDGjvEKVu9SWUuA</t>
  </si>
  <si>
    <t>UCYHU3nB-21PeM1FmmLbergA</t>
  </si>
  <si>
    <t>UCYgT6J0U3pxRQngmVwpha1w</t>
  </si>
  <si>
    <t>UCBSwcEOp0PMwhvE6FVjgITw</t>
  </si>
  <si>
    <t>UC1DtEMePmr4O6F2do6BVl7A</t>
  </si>
  <si>
    <t>UCOF1iS7lmNRSWVqL8N3L6kQ</t>
  </si>
  <si>
    <t>UCz8QaiQxApLq8sLNcszYyJw</t>
  </si>
  <si>
    <t>UCx3kGiJeoDOOrHPBAc9w1WA</t>
  </si>
  <si>
    <t>UCjZQyGJeZv68zMIJOXk0vmA</t>
  </si>
  <si>
    <t>UCbVTmYd4bDZ7hlRCiy43CyQ</t>
  </si>
  <si>
    <t>UCvtytxOt_ajiYjtaA9lhLkQ</t>
  </si>
  <si>
    <t>UCeiAKuJGZrIjYvaq0nMwbJg</t>
  </si>
  <si>
    <t>UCnjU1FHmao9YNfPzE039YTw</t>
  </si>
  <si>
    <t>UCOoxUGGeYIHLzhZ2_ZagOpQ</t>
  </si>
  <si>
    <t>UCFzZra397dZdeDPKm4nmAzA</t>
  </si>
  <si>
    <t>UCDSB6AcJzMS5HZNERwGHV-g</t>
  </si>
  <si>
    <t>UCipSU-s77LQLycThKjKpqSw</t>
  </si>
  <si>
    <t>UCHwQ2fiRDyd7hikKan5s4Sg</t>
  </si>
  <si>
    <t>UCU5eV0c0SE0TMXrV8P94jAQ</t>
  </si>
  <si>
    <t>UC6T0jZjpR5H6owSVJseum5A</t>
  </si>
  <si>
    <t>UCzUYuC_9XdUUdrnyLii8WYg</t>
  </si>
  <si>
    <t>UCukMN3TgS99UXEaemN5dtJg</t>
  </si>
  <si>
    <t>UCE2R681jkb6_JOxUQAP7TWw</t>
  </si>
  <si>
    <t>UCe7UKRSJM6ITMfXX-CbET0w</t>
  </si>
  <si>
    <t>UCfud9T0sB15qvweliXa5xhQ</t>
  </si>
  <si>
    <t>UC5MluLWof7FHnKof1NvLkgA</t>
  </si>
  <si>
    <t>UCCq1xDJMBRF61kiOgU90_kw</t>
  </si>
  <si>
    <t>UCLLJt2t6WYpxWktsl1e429Q</t>
  </si>
  <si>
    <t>UC7x7gqeQQ5dazPAvDgC7TIw</t>
  </si>
  <si>
    <t>UCsSC6inBVGt5Gj-nCVBEx-A</t>
  </si>
  <si>
    <t>UCBSGboqYmgfWFkiwURwPMsg</t>
  </si>
  <si>
    <t>UCgsBTy-UmF4OL-60iS5CK5w</t>
  </si>
  <si>
    <t>UCwLJ2iyouNwECeIlDIrZIPw</t>
  </si>
  <si>
    <t>UCe4Qjn4os--cQpjnvzNy1GA</t>
  </si>
  <si>
    <t>UC_c7EFVXxmQMjj5E2CchGXg</t>
  </si>
  <si>
    <t>UCHPKIXAkP3VuBLgmYe9dHPg</t>
  </si>
  <si>
    <t>UCbl_j3FS4g8xX1NzyJco76Q</t>
  </si>
  <si>
    <t>UC9oshy8-JmmVwvRUxdGs_-Q</t>
  </si>
  <si>
    <t>UC6WzPg6yxF9dQx2_O6R4lww</t>
  </si>
  <si>
    <t>UClCe18fwE4Gtr7vgqka1Zlg</t>
  </si>
  <si>
    <t>UCWnTC8o8AycL6a2eRrKSdBg</t>
  </si>
  <si>
    <t>UCnFpajlezRfiOMdw8Tt3z5A</t>
  </si>
  <si>
    <t>UCE9xu1XvSRpuMkNZTol-qKA</t>
  </si>
  <si>
    <t>UC6q2O2pOJ-LiFKm4w2EW73w</t>
  </si>
  <si>
    <t>UCr7J9WH0IFgJvSmbPYpXyYw</t>
  </si>
  <si>
    <t>UC89rPuzRVHTnMHbZrCRYMng</t>
  </si>
  <si>
    <t>UCpXLDGcGtqkC7MIF5sKYU0w</t>
  </si>
  <si>
    <t>UCvmvDixf5JG7wVVH67bdn5Q</t>
  </si>
  <si>
    <t>UCvo2tOQ0yDJLFRi7QAt58yA</t>
  </si>
  <si>
    <t>UCMGd2CJgU3oNA1z0_Pb83eA</t>
  </si>
  <si>
    <t>UC3fryLB2yC_5ImR9mEl1v-A</t>
  </si>
  <si>
    <t>UCMVT1Co9137vnJxgnSZAhog</t>
  </si>
  <si>
    <t>UCKZozRVHRYsYHGEyNKuhhdA</t>
  </si>
  <si>
    <t>UCphU2bAGmw304CFAzy0Enuw</t>
  </si>
  <si>
    <t>UCy46a7I9CXYP1QYukKBTmtQ</t>
  </si>
  <si>
    <t>UCKop7_gs7xq5tbrDDYuplhA</t>
  </si>
  <si>
    <t>UC1KpLut3TahXgF0Rnj87R-g</t>
  </si>
  <si>
    <t>UCl14vsKo26SS8OcHedmmaPw</t>
  </si>
  <si>
    <t>UCRzYN32xtBf3Yxsx5BvJWJw</t>
  </si>
  <si>
    <t>UCtjW0Pf1eEhVNrJXzEsLB1Q</t>
  </si>
  <si>
    <t>UC3fsBqx7qkIoJnLNRmoYW7w</t>
  </si>
  <si>
    <t>UC33E2ccw1Y5vr3ODMlgIGUw</t>
  </si>
  <si>
    <t>UCvhTBODxYcVp7JfU1qX1T9g</t>
  </si>
  <si>
    <t>UCBpkJWFinbGBwq6r9DDT0Fw</t>
  </si>
  <si>
    <t>UCSvoZtSPcju-jTBwxwh_29A</t>
  </si>
  <si>
    <t>UCbNFYkTWQVUTs_n5Hqbt8bg</t>
  </si>
  <si>
    <t>UCWk-7Yosyvzln9ZzJg8BvVg</t>
  </si>
  <si>
    <t>UCA7gwgLgmCZ8DSmdf2bhb8g</t>
  </si>
  <si>
    <t>UCSaf-7p3J_N-02p7jHzm5tA</t>
  </si>
  <si>
    <t>UC6cxTsUnfSZrj96KNHhRTHQ</t>
  </si>
  <si>
    <t>UCoDiyU0xjSXJhmKJCqLeCNQ</t>
  </si>
  <si>
    <t>UCJ97pLhPp-CU9Tj4-dp9B6g</t>
  </si>
  <si>
    <t>UC6FLNZK0OIJyd6e4fQCMnCg</t>
  </si>
  <si>
    <t>UCppQIMrVn1_d_99VycyM8Cw</t>
  </si>
  <si>
    <t>UCB_l9j53BhS-UNxXO4y282A</t>
  </si>
  <si>
    <t>UC_oCw5PLyGQEJvRtlkjwS6A</t>
  </si>
  <si>
    <t>UCcGcC0DCDXyqSPdpskY99CQ</t>
  </si>
  <si>
    <t>UC-AxiwZdOVazFqggF1F2aLg</t>
  </si>
  <si>
    <t>UCbYcVzpQD8aCyz-v_JUislg</t>
  </si>
  <si>
    <t>UCfvCHVcXRzTBm4WW1zkgIuQ</t>
  </si>
  <si>
    <t>UCqoVfm6MrtlLmGW0Nvqoabw</t>
  </si>
  <si>
    <t>UCJMrLeR-WZmwmYX-WLBiFKg</t>
  </si>
  <si>
    <t>UCSjacqS5J49LbvM1D0oYdtg</t>
  </si>
  <si>
    <t>UCCJsQKOKArvDksacfT2ryQw</t>
  </si>
  <si>
    <t>UCBxt-bBEei_zKzLGbQVH8vw</t>
  </si>
  <si>
    <t>UCHa1_v_jRPdJFdU9tmOwxDA</t>
  </si>
  <si>
    <t>UCM8iDt4q_YFgM7V2xT9TEVg</t>
  </si>
  <si>
    <t>UCXv0AGtxxRzxJ7lP1M2l4jA</t>
  </si>
  <si>
    <t>UCmBcV0lRSo0wkvowPSF9eJQ</t>
  </si>
  <si>
    <t>UCDCX2xVOg67tbJck1DeXg5A</t>
  </si>
  <si>
    <t>UCzgCuuPQa1nMlZP9ruPYDNw</t>
  </si>
  <si>
    <t>UCqwUQ-gb3ucBowxk3867p-A</t>
  </si>
  <si>
    <t>UCW-7nV1aZu0PKqj4c8SGP4A</t>
  </si>
  <si>
    <t>UCm0BloxESCVb4OwFOII16Ww</t>
  </si>
  <si>
    <t>UCsyf0Buvc98RKM5ta6fDAtQ</t>
  </si>
  <si>
    <t>UCqKtxHTl-BBChwMe_L6zxoQ</t>
  </si>
  <si>
    <t>UCDTSBt8o9V-6W9fpB-tBxwA</t>
  </si>
  <si>
    <t>UC5NU0gwu-18DG2Gs3eK3pMw</t>
  </si>
  <si>
    <t>UCc6YTHugsln7EQnq4nhZfaw</t>
  </si>
  <si>
    <t>UCDb7F48D2kLBdMnCMoqLBUQ</t>
  </si>
  <si>
    <t>UC_cZYFovNQTsKw1ZLmO_AMA</t>
  </si>
  <si>
    <t>UCZ9m4KOh8Ei60428xeGYDCQ</t>
  </si>
  <si>
    <t>UCdMtj4CiqlZTgzFT5FdDd7A</t>
  </si>
  <si>
    <t>UCOfW-gAHYcHh3YfFCOOSqng</t>
  </si>
  <si>
    <t>UChZ0JmGgyOWSU-1iXxPhsVA</t>
  </si>
  <si>
    <t>UCCPPUrQOQ12l9Xr-B7A351Q</t>
  </si>
  <si>
    <t>UCLa-ASLMIpWEOlZsJ4_CLUg</t>
  </si>
  <si>
    <t>UC_C__SsDmqlFJg4S2W9YliQ</t>
  </si>
  <si>
    <t>UCACRm7NnRD60AuRzIXpZDrw</t>
  </si>
  <si>
    <t>UCz-b3bL0RRJsZGA962E5Jfw</t>
  </si>
  <si>
    <t>UCObb67dO5Qlzt28WfP-IQwQ</t>
  </si>
  <si>
    <t>UCMlzi5avz-Bcn_1A_w-M5cg</t>
  </si>
  <si>
    <t>UC7nz6QUPAbGcE6r8bhvK8Hw</t>
  </si>
  <si>
    <t>UCWxcAUWjF3B_S6fFLqOh7Rw</t>
  </si>
  <si>
    <t>UCY6s6soycjPFPAajxbmrmBg</t>
  </si>
  <si>
    <t>UCBftRSd7WAjBjq6fH7dKbPA</t>
  </si>
  <si>
    <t>UCm3uwvJw2KHp4aWRjj_IWTQ</t>
  </si>
  <si>
    <t>UCjnJwlSN4_FuoE-6RWX_Eaw</t>
  </si>
  <si>
    <t>UCF8Ar7alYrtOI5SF6b7T0xA</t>
  </si>
  <si>
    <t>UC5Av_JsA_zhGKsFPH0WUvEw</t>
  </si>
  <si>
    <t>UCM5cdocmS8t-0EURE8uvadA</t>
  </si>
  <si>
    <t>UC8vlDm5xvbxOrCvdu9UNOiA</t>
  </si>
  <si>
    <t>UCRidj8Tvrnf5jeIwzFDj0FQ</t>
  </si>
  <si>
    <t>UCxoQaZS8YdKkyfBwGZay-Xg</t>
  </si>
  <si>
    <t>UC2dc4cmFH6lCTXb2hes5Pwg</t>
  </si>
  <si>
    <t>UC_Y5IJ0Eu8dr-_Ja_YnG0mg</t>
  </si>
  <si>
    <t>UC9-od3vuwuVSFQF1CizTD7w</t>
  </si>
  <si>
    <t>UCg_7GeaCldbBppDI7aa6q5A</t>
  </si>
  <si>
    <t>UC_SzVcpHvBXZdfx3suh23RA</t>
  </si>
  <si>
    <t>UCv5gQgP_uGbJxImWVoUC_Ng</t>
  </si>
  <si>
    <t>UC8XT6aClYUeB10aJgPI1kBg</t>
  </si>
  <si>
    <t>UCZff6I2okeH71I5jsE0LirQ</t>
  </si>
  <si>
    <t>UCAGM-0z6TopsOX6wjy_8yIw</t>
  </si>
  <si>
    <t>UCsrK1UOY5thI1EmBe-3CPvQ</t>
  </si>
  <si>
    <t>UCMBhVE6pOpLuQ-4TxWagBvQ</t>
  </si>
  <si>
    <t>UCFg0W4_Sk4_Cb7uL4xC2WZA</t>
  </si>
  <si>
    <t>UCXyq6UjvT4dWjMOOiKuBncA</t>
  </si>
  <si>
    <t>UCEgsduNOETpZj4CdvI0T5cw</t>
  </si>
  <si>
    <t>UCOjRVCxaNntzhUhwUF-xCFA</t>
  </si>
  <si>
    <t>UCdyXBBMng-e4xDwcow5RC9A</t>
  </si>
  <si>
    <t>UCcl4x-1l61b4mI3HnnmoxOg</t>
  </si>
  <si>
    <t>UCnzYPSlPVF4DG0jhOMUDr0Q</t>
  </si>
  <si>
    <t>UCjCAsmk4Zev04xh_VpYl6kg</t>
  </si>
  <si>
    <t>UClsrimaOU6Cm8kC-ign9Avw</t>
  </si>
  <si>
    <t>UC0H6I4rKiHmtceSdTCM-DKQ</t>
  </si>
  <si>
    <t>UC5FqrpBujBekzn1juwsM2Sg</t>
  </si>
  <si>
    <t>UCIfsQ1qEqqHVQcGw4xTy0cw</t>
  </si>
  <si>
    <t>UCDWVNwQce16D16tPc5NBYlQ</t>
  </si>
  <si>
    <t>UCmxbJnfPv6LCFH9zLaqGKEg</t>
  </si>
  <si>
    <t>UCFrL8Cc5J7Y6aoW-kQs2Nag</t>
  </si>
  <si>
    <t>UCiJKjd-IglGPBrlGhehiWhA</t>
  </si>
  <si>
    <t>UC_exm4hbJ2zV-4SrqrL9IRw</t>
  </si>
  <si>
    <t>UCItJsxqZNWUyxFn-A2tzizQ</t>
  </si>
  <si>
    <t>UCgq-x7ZhHEDWuXkRK6lBaIw</t>
  </si>
  <si>
    <t>UCHY3YUHn22H32Qpn3qNgiMQ</t>
  </si>
  <si>
    <t>UCa-vioGhe2btBcZneaPonKA</t>
  </si>
  <si>
    <t>UCHQRDaj7A5S1__vOvpbZgLg</t>
  </si>
  <si>
    <t>UC6bHi8qKRNx7XX3VCTcdxGQ</t>
  </si>
  <si>
    <t>UCix7HIJ74fUDlHDkAAcyRPA</t>
  </si>
  <si>
    <t>UCi6E-LpgGB1cijcjJkicXoA</t>
  </si>
  <si>
    <t>UCgM9qPLv7R-hTRQIGa4wgKA</t>
  </si>
  <si>
    <t>UC3k6-S3DP_g0zb_9TTdN0VA</t>
  </si>
  <si>
    <t>UC-5Yj4HIiruwkzFuLflxL_w</t>
  </si>
  <si>
    <t>UCcv7pspGHmM7AOywuLM1ufA</t>
  </si>
  <si>
    <t>UCCKTvP42qexu1MJC_VslFpw</t>
  </si>
  <si>
    <t>UCjGVPGkLwMdu8LuR637tcNA</t>
  </si>
  <si>
    <t>UCFiZHxiZ7otQ9e_iYU1sQYA</t>
  </si>
  <si>
    <t>UC8ZRiu_mBJwuMHcdIpKjTfA</t>
  </si>
  <si>
    <t>UCkTrlyIg01PJ-Tb8g2GTgqg</t>
  </si>
  <si>
    <t>UCVC9JRU1JpfupKHVV0sThOg</t>
  </si>
  <si>
    <t>UCDSUS7wAo88Zz-BCo7g3URQ</t>
  </si>
  <si>
    <t>UCMhMOiv7TftjZCr-hdpwJpg</t>
  </si>
  <si>
    <t>UC80WneGuUKWzg_yYKLMwl3w</t>
  </si>
  <si>
    <t>UCexMUgLtWZbz5-yWIBNMuxA</t>
  </si>
  <si>
    <t>UCiTjCIT_9EXV1Wp1cY0zaUA</t>
  </si>
  <si>
    <t>UC_F5c6JlDUqkiJiUlGVykCg</t>
  </si>
  <si>
    <t>UC2J_VKrAzOEJuQvFFtj3KUw</t>
  </si>
  <si>
    <t>UCBjmXe4le5EH7gKrq2UswAQ</t>
  </si>
  <si>
    <t>UCGyEq-EoY4Gn4RfknRQxWYw</t>
  </si>
  <si>
    <t>UCVFLaE3kwxGplr21A3PGVgg</t>
  </si>
  <si>
    <t>UCQx7E8ZSBdG5Kb85wG6iipg</t>
  </si>
  <si>
    <t>UCxtxloVILDQfbzXnX9iFkQg</t>
  </si>
  <si>
    <t>UC5tMwvGJB9F3RgAekeCZe8Q</t>
  </si>
  <si>
    <t>UCAJRGrHzQth3r4JeJkTtLjQ</t>
  </si>
  <si>
    <t>UC0QKe0NgW-b0oZvnB5vqiJw</t>
  </si>
  <si>
    <t>UC0IOOM8IgFI2dTMgo1JTdsg</t>
  </si>
  <si>
    <t>UC3jMepkLKF8y4iiwWmAB3RA</t>
  </si>
  <si>
    <t>UCi5kSELjaJWmnBKPXkTcxsA</t>
  </si>
  <si>
    <t>UCGjHE57Ln4Z2_IR1_z189Mg</t>
  </si>
  <si>
    <t>UCafpueX9hFLls24ed6UddEQ</t>
  </si>
  <si>
    <t>UCfYHvYyFICHwHVO9lHwmiig</t>
  </si>
  <si>
    <t>UCP2JIsLWvpPoS82e49YAAlw</t>
  </si>
  <si>
    <t>UCdegm7Y2AePJhkkmWCyYEwg</t>
  </si>
  <si>
    <t>UC4DvsntDBL-fvc051KobX9A</t>
  </si>
  <si>
    <t>UC_grwGqupWYPw8_7Foy_Wyg</t>
  </si>
  <si>
    <t>UCEhsOgK2u8GDDoynMCj78Ng</t>
  </si>
  <si>
    <t>UCunI7WT6HcBz_LktGKeNC8A</t>
  </si>
  <si>
    <t>UCeX5xOA4W1PF_MYXYmRAAfQ</t>
  </si>
  <si>
    <t>UCeesJf3MrbP0f7m8kfQ1qEQ</t>
  </si>
  <si>
    <t>UCUcgRq5GKzC2eiKsMqliz1g</t>
  </si>
  <si>
    <t>UCm949O3Dtu0tEs8wQFSaPuQ</t>
  </si>
  <si>
    <t>UCUUiJieVaFi5Kf4HWosBmDw</t>
  </si>
  <si>
    <t>UCUeNbxa3l4ze2kWapBg7JFw</t>
  </si>
  <si>
    <t>UC7kbAF7LWIk1pPftd-9ziMw</t>
  </si>
  <si>
    <t>UCO2WJZKQoDW4Te6NHx4KfTg</t>
  </si>
  <si>
    <t>UCfwa_zKl8-zC9rQDWIEixgg</t>
  </si>
  <si>
    <t>UCSFKV-1TQsNpDvOv8H6UAQA</t>
  </si>
  <si>
    <t>UCVSxQ2QXbQpFBY2VsovZ3Ng</t>
  </si>
  <si>
    <t>UCRQz3FngSGm2gY5RV89Iuiw</t>
  </si>
  <si>
    <t>UC7G96LIVWvicrHlQRyA3GRA</t>
  </si>
  <si>
    <t>UCAW01Xupb-fd51o0BsQbcLQ</t>
  </si>
  <si>
    <t>UCORnpJ8AJ253Q_CE7rltIyQ</t>
  </si>
  <si>
    <t>UCFfldk8HR3DqDSS-7GpR4Jw</t>
  </si>
  <si>
    <t>UC38z3fT9RO4yugLJoCZLygw</t>
  </si>
  <si>
    <t>UCinC8NNDpTF6Z8zYMHAuhUQ</t>
  </si>
  <si>
    <t>UCmqPt4kMIVfrN-Ls1387s6w</t>
  </si>
  <si>
    <t>UCfhqyCeJysWbwbZVb1rKW0A</t>
  </si>
  <si>
    <t>UCqOpRkI5t1mhff_6AyGeCuA</t>
  </si>
  <si>
    <t>UC35clJiCAET5XLbW-0rwPpg</t>
  </si>
  <si>
    <t>UCGkXIg5Y2CLaGZjH8tPnpXg</t>
  </si>
  <si>
    <t>UCDZ8phcfP-ocrYfl-S1VvIA</t>
  </si>
  <si>
    <t>UC7AyUr6ra_E_IJQuaQoI8kw</t>
  </si>
  <si>
    <t>UC0T6MVd3wQDB5ICAe45OxaQ</t>
  </si>
  <si>
    <t>UCF_lEagt2u1g7C3W-xTj50w</t>
  </si>
  <si>
    <t>UCFRlIV1mX-traJb5fd7S3nw</t>
  </si>
  <si>
    <t>UCs6Q3Cnj-Q_m9nD6-kN0RNA</t>
  </si>
  <si>
    <t>UCZMA85v30P_Ub5ooAO62BZQ</t>
  </si>
  <si>
    <t>UCv5KsGwkGEpNe55ElbXqRUw</t>
  </si>
  <si>
    <t>UCLRkKadxe1Ke2A5OUd0_mrQ</t>
  </si>
  <si>
    <t>UCz4a7agVFr1TxU-mpAP8hkw</t>
  </si>
  <si>
    <t>UC1BpLo2iuRGken9ow0YjHlQ</t>
  </si>
  <si>
    <t>UCHb00yEZ_yY_inLGdSBa7GQ</t>
  </si>
  <si>
    <t>UCrcpw88HvKJ0skdsHniCJtQ</t>
  </si>
  <si>
    <t>UCBXBT5mU-92P7-ZkyAbmjsg</t>
  </si>
  <si>
    <t>UC4qEoWs2pzfmqoLbDyqFKew</t>
  </si>
  <si>
    <t>UCsKc38DDpGkNTHwsYjA0rbA</t>
  </si>
  <si>
    <t>UC4agqJfy-dDqBSZBmn1LhKA</t>
  </si>
  <si>
    <t>UCkw6A6Zmand6UhZnIODLRcA</t>
  </si>
  <si>
    <t>UCmgnSzPt_FPswMo5sDPbt1A</t>
  </si>
  <si>
    <t>UCEWhQG9S3mIe0VTYUcqhzgA</t>
  </si>
  <si>
    <t>UChoyAdkZQVa4V7AbZshiLDg</t>
  </si>
  <si>
    <t>UCsRoar9Ec4rp7_66mP9mg-g</t>
  </si>
  <si>
    <t>UCt1NkWxPPMDagieLrz0cSTA</t>
  </si>
  <si>
    <t>UCAVV247sueJyTPJlIFw0qKQ</t>
  </si>
  <si>
    <t>UCDIuCY-EGVRGY56VfE7O7EA</t>
  </si>
  <si>
    <t>UCoPbjDPQ3R-qe3qiqvuU8qA</t>
  </si>
  <si>
    <t>UCCneap9DE1plCWwcObu-20Q</t>
  </si>
  <si>
    <t>UC1vOCYEu3DfoI4fYcfWKmWA</t>
  </si>
  <si>
    <t>UCNs9QZxEDle-w7FRWD9ZAlg</t>
  </si>
  <si>
    <t>UCECLFUMfkrODKn7lW0q1lxA</t>
  </si>
  <si>
    <t>UC53C8-gGMPKSRzGnC28lKyA</t>
  </si>
  <si>
    <t>UCOopFQSwnMMdRvJjpGh-gSA</t>
  </si>
  <si>
    <t>UCApyny2rjz_DAasE_nxHdjA</t>
  </si>
  <si>
    <t>UCtPgtkTOR0HEU2ywLPCzI4g</t>
  </si>
  <si>
    <t>UC2Nwwobsd0ctkzVieXZvyQA</t>
  </si>
  <si>
    <t>UC3-zzED-qntZxLuXK_hHn-A</t>
  </si>
  <si>
    <t>UCrCrHVA0_WTH1vmn_13eGeg</t>
  </si>
  <si>
    <t>UCyLUHEVkh5F4XTrozIwiNpA</t>
  </si>
  <si>
    <t>UCf40xlfHNLtJh9NXiAxHkzg</t>
  </si>
  <si>
    <t>UCTVO-4rIuzg_rCQP37jjSTA</t>
  </si>
  <si>
    <t>UC65ToDeBHrE1cSlLnuF1HgA</t>
  </si>
  <si>
    <t>UCULgERK_0b0jvOiiZmpZFzg</t>
  </si>
  <si>
    <t>UC-CqXjU6vH2PydRDIngkIIw</t>
  </si>
  <si>
    <t>UCliUMidN2SgXOldAL3kbPIg</t>
  </si>
  <si>
    <t>UCZinho9wu3iAeRpUXvAMzBQ</t>
  </si>
  <si>
    <t>UCNWAlzTt2aQCWEWZQC2lM_A</t>
  </si>
  <si>
    <t>UCMlJjMRSKaUQhXQ_9XjCGpg</t>
  </si>
  <si>
    <t>UCvKDkGPmRDOjqpu6SwHoYWA</t>
  </si>
  <si>
    <t>UCNfRxevMZrlAvGm2KeoFS6A</t>
  </si>
  <si>
    <t>UCvrD1eyGgo8O9JcTraCvYBg</t>
  </si>
  <si>
    <t>UC74PkQhcXR466kVwFUpZ4CA</t>
  </si>
  <si>
    <t>UCnprfRlJB7WE6zAEaOAfVYA</t>
  </si>
  <si>
    <t>UC1k1Gf6AbCSuv4CVzOQLLCw</t>
  </si>
  <si>
    <t>UCVIwPfHVG4A38LwPpsvRGKw</t>
  </si>
  <si>
    <t>UCbC0Nnbj7L48-NAzl_55rVQ</t>
  </si>
  <si>
    <t>UCNCl2n5YZfUXaxSVL3zqlLA</t>
  </si>
  <si>
    <t>UC8y2FurfDCrXVRHNVfmS7nw</t>
  </si>
  <si>
    <t>UCYLS9TSah19IsB8yyUpiDzg</t>
  </si>
  <si>
    <t>UCe7xSKYPYvKG0rw7e08y9Ew</t>
  </si>
  <si>
    <t>UC0S4TBEsQgiyMJaZ5z1w_Mw</t>
  </si>
  <si>
    <t>UC9zvGiJNr2QpiD6wQEAsZtQ</t>
  </si>
  <si>
    <t>UCEg3PHVR0vt3azbs_Qk_6cw</t>
  </si>
  <si>
    <t>UCL_ij-Upgg7ECeYek1rqZ7A</t>
  </si>
  <si>
    <t>UCs9Ty8NsU1I0-FXda97XCcQ</t>
  </si>
  <si>
    <t>UCtfXgNnA-QcxjHJjk5wXLFg</t>
  </si>
  <si>
    <t>UCLu1jSLRGzVgOsViFic42Gg</t>
  </si>
  <si>
    <t>UCLi0vSLZdS3Xvc5Th1O49jQ</t>
  </si>
  <si>
    <t>UCzhhvdUDJyVQL7qddS60lSg</t>
  </si>
  <si>
    <t>UCoFxUkg6cLuhlY3Ll8SHTDQ</t>
  </si>
  <si>
    <t>UCMuz3501Iy7n-yPIFi1KldQ</t>
  </si>
  <si>
    <t>UCztcqaBRULVNDp_fsOsqcQw</t>
  </si>
  <si>
    <t>UCD16eo98AXl-9T61Xd711kQ</t>
  </si>
  <si>
    <t>UCEkRH-ggDg9nVff3eyrAMLA</t>
  </si>
  <si>
    <t>UC87_Hn4dim9ojyxLqBFtJQA</t>
  </si>
  <si>
    <t>UCZEij3REDdWpfp3CCxy24TA</t>
  </si>
  <si>
    <t>UCnw6jUU0KaCjgAiRsbuiCgg</t>
  </si>
  <si>
    <t>UCDnq05Q89oYq-Tz5boL73Tw</t>
  </si>
  <si>
    <t>UCZDCqcWZVNyvTSsoc-chKJg</t>
  </si>
  <si>
    <t>UCfpLzLPQeOCM9AMSyq6cO-w</t>
  </si>
  <si>
    <t>UCkXwyrEIBifBj4t1yA5OjHA</t>
  </si>
  <si>
    <t>UCnQeH21u7Ki3PGjAexC1riQ</t>
  </si>
  <si>
    <t>UCOTGVctbHD4UJK3R6Evfx9Q</t>
  </si>
  <si>
    <t>UCbElOowkBNGm_-k60VjZUXA</t>
  </si>
  <si>
    <t>UCtsetVYMkX8iPFS2oUOcXEw</t>
  </si>
  <si>
    <t>UCqaq3Cwa7m_EsqlvfZh6uyw</t>
  </si>
  <si>
    <t>UC7Pb8pDlwmU8UvEx2Q6K5GA</t>
  </si>
  <si>
    <t>UCk9nbUmM7sXRIJyPyU9gyUQ</t>
  </si>
  <si>
    <t>UCUK49UvmYWYLiB7_bZFuFZQ</t>
  </si>
  <si>
    <t>UCzRvs4DoFFk2xsJNYahQJUg</t>
  </si>
  <si>
    <t>UC5zS0_6TYr17qTnvw_9vang</t>
  </si>
  <si>
    <t>UCpKVbhowfVpbXttBXj8WKdg</t>
  </si>
  <si>
    <t>UCf5_MpffBB9OJ2a2jPFMJRQ</t>
  </si>
  <si>
    <t>UCOcD_2N04_XS6XgImIWcR1Q</t>
  </si>
  <si>
    <t>UC_QZduhp0m0wNTSX90NVcdA</t>
  </si>
  <si>
    <t>UC9llWKM6R91VfFMONBgPPaQ</t>
  </si>
  <si>
    <t>UCk4KMUR122Ope7kYg2aJ8EA</t>
  </si>
  <si>
    <t>UCzaRorDlS1gd6EROE-xGm-Q</t>
  </si>
  <si>
    <t>UCtvDbLquaT511bZ_qUESrkA</t>
  </si>
  <si>
    <t>UCudi-cZxR9whukJTiw-oCxQ</t>
  </si>
  <si>
    <t>UCHciekxM6H6F3OTPrHs6B5g</t>
  </si>
  <si>
    <t>UC5OR-cGW1nO7JUQdZibhUyA</t>
  </si>
  <si>
    <t>UC9IBv9i3bTd6zKS2hlj7-Bw</t>
  </si>
  <si>
    <t>UCVBYKN8gtRwPxGczoHdKPDA</t>
  </si>
  <si>
    <t>UCbKULwGlKGbNniRtz4BqeMQ</t>
  </si>
  <si>
    <t>UC9-eoxoyevtmi73qPRqJwUA</t>
  </si>
  <si>
    <t>UCWKvr7cRFvIwpcKBf4CwqOQ</t>
  </si>
  <si>
    <t>UC6rE8DCMFYDcxOlvYG3JtBw</t>
  </si>
  <si>
    <t>UC_EonbkOXpNoYz-QwHdLtYQ</t>
  </si>
  <si>
    <t>UCMDV6J2hWXet7ZCfgrXGgeg</t>
  </si>
  <si>
    <t>UCLsMef624nZ4ME6WoSElPTg</t>
  </si>
  <si>
    <t>UC7RZIGGgAp8P4z354boxGtg</t>
  </si>
  <si>
    <t>UCtJigA2FTScYs2FprBWA7mA</t>
  </si>
  <si>
    <t>UC1_GAegUKlzJVskZKcwpZuA</t>
  </si>
  <si>
    <t>UCHCR4UFsGwd_VcDa0-a4haw</t>
  </si>
  <si>
    <t>UCp-k_-14nyh_f56oLy0-xeA</t>
  </si>
  <si>
    <t>UCh0XICNyWAz8Aeg5jDFCTdQ</t>
  </si>
  <si>
    <t>UCk2YK9Y4wAVhHdWBhhQ_B_w</t>
  </si>
  <si>
    <t>UCgiWxZL6x7PrezXK5RuIxkw</t>
  </si>
  <si>
    <t>UCXp7t87iLdty_jKYZtLg_lA</t>
  </si>
  <si>
    <t>UCMX41X1am8oYxT336dqk4sA</t>
  </si>
  <si>
    <t>UCaw3KUHQ4kNe6YSqy9TH_Gg</t>
  </si>
  <si>
    <t>UCvuFXtieVU8pw1vfodoUx9Q</t>
  </si>
  <si>
    <t>UCTIuWYnWo-7CmYZqXD8WFRA</t>
  </si>
  <si>
    <t>UCCybhFQq_cSGhRuY3i97I3w</t>
  </si>
  <si>
    <t>UCaKt8dvEIPnEHWSbLYhzrxg</t>
  </si>
  <si>
    <t>UC8UOSeIivnO8QqDLyIn-_1Q</t>
  </si>
  <si>
    <t>UCf8IV2Q7TYwT7Spt9KblZTg</t>
  </si>
  <si>
    <t>UCssoQzKY5sxQp9kvtKjLmog</t>
  </si>
  <si>
    <t>UCzd0iIw4XhIdXOfSdljTXqQ</t>
  </si>
  <si>
    <t>UCbhaEGajTUPAqUe62N8GJmg</t>
  </si>
  <si>
    <t>UCZNlTBWp7qU9Z3Fv-4RITxw</t>
  </si>
  <si>
    <t>UCzuHI6scaS2hO4bfIqyJ6jA</t>
  </si>
  <si>
    <t>UCZsohghaolvqquHtIUJBqjg</t>
  </si>
  <si>
    <t>UCPzNY9f4mY2oxqL1UgA6Q1Q</t>
  </si>
  <si>
    <t>UCoS4iknAwZoOXylPJfoVo8Q</t>
  </si>
  <si>
    <t>UCoorFvo6MDavK-hsPn-SQAg</t>
  </si>
  <si>
    <t>UCdDDI_RspwNf_0AADlThxYQ</t>
  </si>
  <si>
    <t>UC7krt1E6XvrywJBu0ZOyq3Q</t>
  </si>
  <si>
    <t>UCcyfffvRO21fro0GXgLXJ9A</t>
  </si>
  <si>
    <t>UCneJXVWF7u5LS4c_e_TLacA</t>
  </si>
  <si>
    <t>UCHEN2ika6hAwHwZuAnMo4Ew</t>
  </si>
  <si>
    <t>UCLxyhRCoJnRxyGan3YBHm6A</t>
  </si>
  <si>
    <t>UC0FXfjJhmlEBjXDcBEkoNCg</t>
  </si>
  <si>
    <t>UChGqyNBs8jmEmgB7t5Rgclw</t>
  </si>
  <si>
    <t>UCBe2vNf89WBoZgI7cAQzuHA</t>
  </si>
  <si>
    <t>UCD-0CkIMfNDgLQJNYwpiHKA</t>
  </si>
  <si>
    <t>UCajVjEHDoVn_AHsunUZz_EQ</t>
  </si>
  <si>
    <t>UCF6pGIKofhHhMpC-88AuEYw</t>
  </si>
  <si>
    <t>UCseLoxQAxjLbVha3IaQOjOA</t>
  </si>
  <si>
    <t>UC0NE9R-JO0Hpk5fGQ84dT8w</t>
  </si>
  <si>
    <t>UCt85BA_hmXl2hz6fbYCKMKQ</t>
  </si>
  <si>
    <t>UCdHKqS16Intejv4QYebu_GA</t>
  </si>
  <si>
    <t>UCK-VqZSMAUhgkMnZADVBGaA</t>
  </si>
  <si>
    <t>UCQRIKdVEcMTIBaoHLMEN5uA</t>
  </si>
  <si>
    <t>UCAHIpUwN66G6skx-9oTsvQw</t>
  </si>
  <si>
    <t>UCAjBd-r8JWfnRjfhg23nqLQ</t>
  </si>
  <si>
    <t>UCCDzHkpuIuD1ZC0wsCXUuPQ</t>
  </si>
  <si>
    <t>UCwVEhEzsjLym_u1he4XWFkg</t>
  </si>
  <si>
    <t>UCdESULPdF3xPsMPhLqW7r0g</t>
  </si>
  <si>
    <t>UCfyulcK9tP84epquAb460UQ</t>
  </si>
  <si>
    <t>UC-mMi78WJST4N5o8_i1FoXw</t>
  </si>
  <si>
    <t>UCn9WB2Eb1QRSYkFxuPQHkxg</t>
  </si>
  <si>
    <t>UCpvsuUc66h9AdJqkImbsL-Q</t>
  </si>
  <si>
    <t>UC9oPCWZ6Wh5WG68YcEmCXNA</t>
  </si>
  <si>
    <t>UC-znXt2JOwPwMN5ewNQ2qBQ</t>
  </si>
  <si>
    <t>UC8ZtRKBpEnmrhd3e3yfadtA</t>
  </si>
  <si>
    <t>UCADQo478H9KjhL1xxEkKwoA</t>
  </si>
  <si>
    <t>UCMRqXx5WgTH3jwXFEcE7ZYQ</t>
  </si>
  <si>
    <t>UCGSLH_5EGpS2eEkjEOkZLIg</t>
  </si>
  <si>
    <t>UCCgd2S4UtSl-8Je0CUBje6w</t>
  </si>
  <si>
    <t>UCPyDkfIhK-sRqJS0llTNdTg</t>
  </si>
  <si>
    <t>UCsFx7C__hXEhQCTrqyyfMNg</t>
  </si>
  <si>
    <t>UCZ8S3qwowiFztAQBRTawWfA</t>
  </si>
  <si>
    <t>UCnoFgtSgG9PPAmwzG2P00JA</t>
  </si>
  <si>
    <t>UCWOaoQnABqbf529ezxM6vAw</t>
  </si>
  <si>
    <t>UCBeF-3nSRWwsGttfAA3WSvA</t>
  </si>
  <si>
    <t>UCw-MAyENxFQmVTOLwlg9YkA</t>
  </si>
  <si>
    <t>UC-ja0bbrc_h43CqETR5qfBw</t>
  </si>
  <si>
    <t>UCkybxwgxXRI2eco2hpb54Sg</t>
  </si>
  <si>
    <t>UCSRQXk5yErn4e14vN76upOw</t>
  </si>
  <si>
    <t>UCM3Bjfpp_OyOADpFbKr8Msg</t>
  </si>
  <si>
    <t>UC4O3bhyajWjZWswetbylEOA</t>
  </si>
  <si>
    <t>UCmO-jDLU-KUcweCzktuDsbg</t>
  </si>
  <si>
    <t>UCze6GbqiyJar2oazXKNQgIg</t>
  </si>
  <si>
    <t>UCqIIigEiYyPnWRxwd3drHwg</t>
  </si>
  <si>
    <t>UC7pluR6rB5KZIbN2IxamzxQ</t>
  </si>
  <si>
    <t>UCew3VTQDHMq_HqJ2kyvH6gw</t>
  </si>
  <si>
    <t>UCeNP3dAy9_A32IWYZq_PZMQ</t>
  </si>
  <si>
    <t>UCTDqxnpbV_L4iR2YTiwjOiQ</t>
  </si>
  <si>
    <t>UCJSX0gNr2U5lawLXE6IjRmA</t>
  </si>
  <si>
    <t>UCLverqV6G5MER0YXM4LienQ</t>
  </si>
  <si>
    <t>UClDEPPiPfoYh3F9bHJkx2DA</t>
  </si>
  <si>
    <t>UCqow9MwWxJyKZfWbZ-JFI7Q</t>
  </si>
  <si>
    <t>UC6M9hobkI7SBRSSGP7LF6Ag</t>
  </si>
  <si>
    <t>UCRpHRrVqnvnUqI0N9-fBA_A</t>
  </si>
  <si>
    <t>UCMT1ek4RxpIAnLyMmM8wpvA</t>
  </si>
  <si>
    <t>UCE_uu-BpfKPx8a-sjwBy-rA</t>
  </si>
  <si>
    <t>UCF4wrNAyiMU1r_o6w8IGdkw</t>
  </si>
  <si>
    <t>UCgvxj5WJEl1DRJonKNXIcHw</t>
  </si>
  <si>
    <t>UCpB5WRMFsakyObwCjqfgSXA</t>
  </si>
  <si>
    <t>UCUSFb3Dwt8AdfDIxdHTlNuA</t>
  </si>
  <si>
    <t>UCeOPQuWcYxl43cf33EYcPeA</t>
  </si>
  <si>
    <t>UC_VbSJ2ayJK5RkF_5N9ZC9Q</t>
  </si>
  <si>
    <t>UCckRwq3in1bR-A7GFS2udrA</t>
  </si>
  <si>
    <t>UCEGDpn5ZG0GoWvxoh1LLe8A</t>
  </si>
  <si>
    <t>UC3yU0gVsepAY-ZGBDju6eHA</t>
  </si>
  <si>
    <t>UCwLrdtGgEakVnVi6rSS48Ow</t>
  </si>
  <si>
    <t>UC6vd-JCD7Z_FuF8N5LTydPA</t>
  </si>
  <si>
    <t>UC2XT37E3pyiVI0KHY58ydKg</t>
  </si>
  <si>
    <t>UCFRa1VGmdF9O04oppE-vR3w</t>
  </si>
  <si>
    <t>UCHmhED86fTk_i-tKP0HscEw</t>
  </si>
  <si>
    <t>UC4i8eUwMFVpdNZGEkDrqU-Q</t>
  </si>
  <si>
    <t>UCThPqCCCJQ1n7CQtnDsW4Kw</t>
  </si>
  <si>
    <t>UCyyLMu6nnp0w2TaF5_kNBkg</t>
  </si>
  <si>
    <t>UCfMBbZ92TWp6qCfJczyZHSg</t>
  </si>
  <si>
    <t>UCfgZUI8Q3TENuArpf_8Q9TA</t>
  </si>
  <si>
    <t>UCIJHY-O7qs9bqGkJQjsjQOQ</t>
  </si>
  <si>
    <t>UCQgrvRKhBguy90uNgV_ne8w</t>
  </si>
  <si>
    <t>UC1EuA9aHCO81CRoJiAW5L2A</t>
  </si>
  <si>
    <t>UCchaDIvfYidam21OptSs3AQ</t>
  </si>
  <si>
    <t>UCj-AT5lRHz4n-_lmbt6rr3w</t>
  </si>
  <si>
    <t>UCx20yYTnXVUyEej1qipZZlg</t>
  </si>
  <si>
    <t>UClRcb7YdbGvcr3OZvn7_0iA</t>
  </si>
  <si>
    <t>UCasbak5rsXb9MrKUgtjnnrQ</t>
  </si>
  <si>
    <t>UChYpOn9tfcJkfjq7e0KaAhw</t>
  </si>
  <si>
    <t>UCAn5P2p22AaxdhjXPeJYHjg</t>
  </si>
  <si>
    <t>UCAYIanoVPSh6--mxab2eNQg</t>
  </si>
  <si>
    <t>UChahm6WYl7bD1uWfNEFqcZw</t>
  </si>
  <si>
    <t>UCGYTcS4Qe-6zFBKkRUX_QFQ</t>
  </si>
  <si>
    <t>UCah9jr4Ehlrt4Wv-q-CgJkg</t>
  </si>
  <si>
    <t>UCb_OmYwdwSpBsl7kXiIFxqQ</t>
  </si>
  <si>
    <t>UCVmLwU_g4sVaesezfa1jMrw</t>
  </si>
  <si>
    <t>UCjZ7T2nBnxAQBh9ioKGNr1w</t>
  </si>
  <si>
    <t>UCUEQ2_uz-3p9aEhvwlK3VdA</t>
  </si>
  <si>
    <t>UCvwDYLQmuPo8tYk7GZ6c5pw</t>
  </si>
  <si>
    <t>UCmzj6hXrPZ_AwIZ8lgo-HuQ</t>
  </si>
  <si>
    <t>UCMeznh2BcKzpqMUBZX1Mfzw</t>
  </si>
  <si>
    <t>UCijQw_0q4v3wuDayeMzzPwg</t>
  </si>
  <si>
    <t>UCEhnoDvuuEjZ2yi9CxALPxg</t>
  </si>
  <si>
    <t>UCwSeTE378iuYPp6DTy0gDYw</t>
  </si>
  <si>
    <t>UCrsAcO8rqzMkkbhPSUiFcSw</t>
  </si>
  <si>
    <t>UCQoY_9ZKWKCOWGENzg2INIQ</t>
  </si>
  <si>
    <t>UCWHCXSKASuSzao_pplQ7SPw</t>
  </si>
  <si>
    <t>UCu5H5M0WrIGqnP6n7jXfQfw</t>
  </si>
  <si>
    <t>UCMj0Krd4yixPm5VRu5Qp4gg</t>
  </si>
  <si>
    <t>UCqfX_f4rBbPhq_KESE4saCA</t>
  </si>
  <si>
    <t>UCrBV4KLmgBJ9CbOW5BpYTBA</t>
  </si>
  <si>
    <t>UCXkEvESNrqxB9_OCiVkl1hA</t>
  </si>
  <si>
    <t>UCkJfmb163NsCn5RilDm7Q6g</t>
  </si>
  <si>
    <t>UC12PfpitmNfRdxHFBc5kfrQ</t>
  </si>
  <si>
    <t>UCUjDgofZpHEg5-3fbxbVboQ</t>
  </si>
  <si>
    <t>UCJEDFSxHHOW1PpBccdSxOTA</t>
  </si>
  <si>
    <t>UCgDxHoam3RE7SX2HTSMqjlA</t>
  </si>
  <si>
    <t>UCe1Nb-N6XgLFHfGxZjIkF8A</t>
  </si>
  <si>
    <t>UCvqoWiMHAvsn_RdK-OUfwiw</t>
  </si>
  <si>
    <t>UCHXLHapBVeJPHACQJGkHunw</t>
  </si>
  <si>
    <t>UCuyRsHZILrU7ZDIAbGASHdA</t>
  </si>
  <si>
    <t>UCbs39rT_ueYF2kEn_hZaJhA</t>
  </si>
  <si>
    <t>UCsTsUxfIB4KpeQdfh8LmZlg</t>
  </si>
  <si>
    <t>UCVQExT4EjUs4Zc-h0NxLOFw</t>
  </si>
  <si>
    <t>UCYjJCUo7Z4l0-fF875s-eEQ</t>
  </si>
  <si>
    <t>UC7U_L8Ycp0tRPcra3MBk5gQ</t>
  </si>
  <si>
    <t>UCmAyYoNuOheCdlHnsBsRu3w</t>
  </si>
  <si>
    <t>UCwgqmM4JWKAhKzuhGbFIMTg</t>
  </si>
  <si>
    <t>UCwqFUB2d_VQZvLkEdSm9gaA</t>
  </si>
  <si>
    <t>UCTpJH8TPJ7WwOAj0bkdyteg</t>
  </si>
  <si>
    <t>UCkUxJ_xu03qlSbv626IZROg</t>
  </si>
  <si>
    <t>UCmzKvkWiBTKrmCSV9uB9Mhw</t>
  </si>
  <si>
    <t>UCrGDJ7mglL6V7P3YU2ebPow</t>
  </si>
  <si>
    <t>UCK_RS_4j2DJbZiNMfHE6nZA</t>
  </si>
  <si>
    <t>UCv3inKKH6xNNoan-L2T6S9w</t>
  </si>
  <si>
    <t>UCRdmic4vOgSgb8-tASplkZA</t>
  </si>
  <si>
    <t>UCBDLC4K2ZIUzfuEYno_U6-Q</t>
  </si>
  <si>
    <t>UCHzAyAwFbp2KVwvZ_fJuH0Q</t>
  </si>
  <si>
    <t>UCNzvEv3XpFYnWEbD5Ero7mw</t>
  </si>
  <si>
    <t>UC2IdQ6liLSKNCxq9CfPjEBw</t>
  </si>
  <si>
    <t>UCtJbviLYmAxUNGUlqW0YZjA</t>
  </si>
  <si>
    <t>UC8a9CoFxHYrTjsfCvhjisCw</t>
  </si>
  <si>
    <t>UCpo_1ztBp02I4F1UAPD6Szw</t>
  </si>
  <si>
    <t>UCUkuK8uiLFL38yddsNB7Kcg</t>
  </si>
  <si>
    <t>UCQ86kqo-kULs8EU8ZqQTE1A</t>
  </si>
  <si>
    <t>UCHIn7PtrLbbQVqqqYEa5AHw</t>
  </si>
  <si>
    <t>UCX-i7kxE80whWDGaIOW1-6Q</t>
  </si>
  <si>
    <t>UCpOnZdJQxa5vyR5dNtIoNjg</t>
  </si>
  <si>
    <t>UCPgrnoC52e3gixNeyGNY0rg</t>
  </si>
  <si>
    <t>UCmqx3ukqhdbSJWJB_SdCbqA</t>
  </si>
  <si>
    <t>UC_R8qIXaTKpkAJuuiZhHTmA</t>
  </si>
  <si>
    <t>UCjI5MLiiLLc93bKU668vfSg</t>
  </si>
  <si>
    <t>UCUMccND2H_CVS0dMZKCPCXA</t>
  </si>
  <si>
    <t>UCy6El3LYdeAzdHbYs4S_1kg</t>
  </si>
  <si>
    <t>UCpZBvTbjam0yTrD4HUUWTZw</t>
  </si>
  <si>
    <t>UCTql2Ej61edWLjphCf6nbzw</t>
  </si>
  <si>
    <t>UCcFCHZrsavhGepIGTEVV-rA</t>
  </si>
  <si>
    <t>UCT8FGLq9AU1H6U3ePhegxJA</t>
  </si>
  <si>
    <t>UCLx-YFOk_NgXNG7uCXq8m5w</t>
  </si>
  <si>
    <t>UCz_mTbZs_kRciKnQ9HmYUzw</t>
  </si>
  <si>
    <t>UCSfxFZFzcpYMbOB3A1rWHAg</t>
  </si>
  <si>
    <t>UCQYMhOMi_Cdj1CEAU-fv80A</t>
  </si>
  <si>
    <t>UCs19zwOLwqklbgOUbqLsFeA</t>
  </si>
  <si>
    <t>UCaRp8LBEF0E_QsrTHQfNBbw</t>
  </si>
  <si>
    <t>UCMY7ZvLB6-DnuSis_2s37_A</t>
  </si>
  <si>
    <t>UCqdPP-1FIdmTX4u9QrT-87Q</t>
  </si>
  <si>
    <t>UC57Gu9if7-KuDWj57nvUmVQ</t>
  </si>
  <si>
    <t>UCIsSPTBMJXYL-JtVAr1DcFg</t>
  </si>
  <si>
    <t>UCx99wYM6pOi8sTGvVqzek0g</t>
  </si>
  <si>
    <t>UCrgS0Cta3myLDh10Si-JC_Q</t>
  </si>
  <si>
    <t>UCHP8Cmsd10rs62T32FOu_cQ</t>
  </si>
  <si>
    <t>UCjbF4wTpjaTVUFKTdawL6SA</t>
  </si>
  <si>
    <t>UCfmrfPbtpXJvRBQvtcsY0sw</t>
  </si>
  <si>
    <t>UCo25Gkzm13wC_-2GuWN7hXg</t>
  </si>
  <si>
    <t>UCcNWTVYrVjLnbrJQxvaR8hw</t>
  </si>
  <si>
    <t>UCoZEA7m89j595PriZN3ibEA</t>
  </si>
  <si>
    <t>UC1D1vdq169T7w5iJ45zZL5Q</t>
  </si>
  <si>
    <t>UCU0Gd4GEr9rBTIdZC6U3v6w</t>
  </si>
  <si>
    <t>UChMl63CPYUGPd1EZEgAwqBw</t>
  </si>
  <si>
    <t>UCv-Q1yM00AwDo5ZOEWYjDsQ</t>
  </si>
  <si>
    <t>UCmPGP_OjIqMzV_exgLFJMuA</t>
  </si>
  <si>
    <t>UCH5CEZ8vYsCGLfJEr8LAuRQ</t>
  </si>
  <si>
    <t>UCdQwYksctqqiRwqp3PiJMWA</t>
  </si>
  <si>
    <t>UCzaULk_UwV-P7XRMpt1Cx2A</t>
  </si>
  <si>
    <t>UCevpzMA_Tj3I-2VBRmiVRIg</t>
  </si>
  <si>
    <t>UCflcTDN0OO8EktqDKysjSHw</t>
  </si>
  <si>
    <t>UCdwscvaT7CufLY_fpiH4A1A</t>
  </si>
  <si>
    <t>UC_gtRCBGDldjiz0FB2nlKLw</t>
  </si>
  <si>
    <t>UCxqSpWaJdPF7PQfpsvIKkyg</t>
  </si>
  <si>
    <t>UC3prwMn9aU2z5Y158ZdGyyA</t>
  </si>
  <si>
    <t>UCQhWqJWgRH6jGuU7tUZaOTQ</t>
  </si>
  <si>
    <t>UC1enM2bvC1gBG6J1JlTA6Fg</t>
  </si>
  <si>
    <t>UCKurfmpbeeo32EfC8sHaMyA</t>
  </si>
  <si>
    <t>UCET05N8hKWBtnbu2pZvQorA</t>
  </si>
  <si>
    <t>UCDHQsUdSQE3p4i5vCXB7uFA</t>
  </si>
  <si>
    <t>UCV4iYJ7wTDWrRGbGZEvQsSg</t>
  </si>
  <si>
    <t>UCTM4tHYVqXeAU-Kt12mY02A</t>
  </si>
  <si>
    <t>UCJFOER35ggIWwsXh2ZDnqyg</t>
  </si>
  <si>
    <t>UC6RpJsr061UxFL8bvI9YW4A</t>
  </si>
  <si>
    <t>UCszuS_Rnu6qrynAx8RapcmA</t>
  </si>
  <si>
    <t>UCVfreboc3AkoV1PQk54lKkg</t>
  </si>
  <si>
    <t>UCZNNx4KYmCkwxCLdsHyWqQA</t>
  </si>
  <si>
    <t>UCpXTlzZAS7lVZ4M46ggMa8w</t>
  </si>
  <si>
    <t>UCrdv1W5_01tqXgoPJRWligQ</t>
  </si>
  <si>
    <t>UCxAyatrD82oc7tugEUcXctA</t>
  </si>
  <si>
    <t>UCBZJajRBYBiT3qDNiOHhr8A</t>
  </si>
  <si>
    <t>UCYwyl0lfL0UzP-1LMtcoH-w</t>
  </si>
  <si>
    <t>UCefL84ZMMEfEITneE5V_c1A</t>
  </si>
  <si>
    <t>UCAAXHT6P8enChyEwOXDevMA</t>
  </si>
  <si>
    <t>UCRv7Zeq1vh9Ly5OHZi6Fo2A</t>
  </si>
  <si>
    <t>UCBHPV302_yy5nb9BwY8vyQA</t>
  </si>
  <si>
    <t>UCSWsQrQVn56KK3U_FUd20fQ</t>
  </si>
  <si>
    <t>UCDA_H6CTW5xkIV6C0Oyisfw</t>
  </si>
  <si>
    <t>UC8LR72vOp4qVvNDeU-H0EwA</t>
  </si>
  <si>
    <t>UCkcAmZlp3bOZmivk6VWftTg</t>
  </si>
  <si>
    <t>UCaebxrfVje2g0nRQ92D8DfA</t>
  </si>
  <si>
    <t>UC4urAVbaOZmI5YSqbA_mntw</t>
  </si>
  <si>
    <t>UChY7S_wiZZ8kqRcNTN3odIw</t>
  </si>
  <si>
    <t>UC59K-uG2A5ogwIrHw4bmlEg</t>
  </si>
  <si>
    <t>UCgI26KNITusiGOFL6MLz_8Q</t>
  </si>
  <si>
    <t>UCZI9-cG-C-mAL5WkpqMh9og</t>
  </si>
  <si>
    <t>UCmOhK8vBReGgIYZT_lpISuA</t>
  </si>
  <si>
    <t>UChCRomyek8kP86j0quT5jFg</t>
  </si>
  <si>
    <t>UCXIP5FpkdEj_YDps7tYu0uw</t>
  </si>
  <si>
    <t>UCn9L7njJfMFD8DGY-RQI9-A</t>
  </si>
  <si>
    <t>UCunkkfYOmPbQ6KfkAhawoWw</t>
  </si>
  <si>
    <t>UC2FVuTEbhHNOQqTi2jQTjVQ</t>
  </si>
  <si>
    <t>UCKjFQcRLQcwfGWbFKQljouA</t>
  </si>
  <si>
    <t>UCXJGzi-yZcka6dMOC2-DYRA</t>
  </si>
  <si>
    <t>UCU0aMvYEzWRR2tV0UD8e2Og</t>
  </si>
  <si>
    <t>UCw5TLrz3qADabwezTEcOmgQ</t>
  </si>
  <si>
    <t>UC7Yq3a42Pv9lDF7w0b8XHww</t>
  </si>
  <si>
    <t>UCknBzJNaTbS5Lgwp8hKr8kw</t>
  </si>
  <si>
    <t>UCHrvS2SPouyKG2OKUqh6N_w</t>
  </si>
  <si>
    <t>UCKs25btmxCWk0P2T9nMG1Ig</t>
  </si>
  <si>
    <t>UCClnAYyfIvXVX5N__HmOk8g</t>
  </si>
  <si>
    <t>UCh7RhM7phrCTlgd9sLrUfXQ</t>
  </si>
  <si>
    <t>UCnrzbKe9scnJGcqXjI_0DrQ</t>
  </si>
  <si>
    <t>UC7kCGmSttxfLi5VOcQh6c-w</t>
  </si>
  <si>
    <t>UC2zyepdNYH48cvjCR2tr9pg</t>
  </si>
  <si>
    <t>UCk3X4m2_1S_87rn_8t5wBxg</t>
  </si>
  <si>
    <t>UCMTl80jTQwGkO335HoVf0ig</t>
  </si>
  <si>
    <t>UCNDy4lRk4FIfufXtP5PaNQQ</t>
  </si>
  <si>
    <t>UCTR1Tk8SaMO9qw930kIOMHQ</t>
  </si>
  <si>
    <t>UCCo_LMj-m3iGSSuytYq9n6Q</t>
  </si>
  <si>
    <t>UC2XTaoT74ruMKqv94I0-Jnw</t>
  </si>
  <si>
    <t>UC1mupr-2YbkxQVmcO3ve6SA</t>
  </si>
  <si>
    <t>UCpPOf9BQPwa4K11Zjxu1ZPw</t>
  </si>
  <si>
    <t>UCKLxe2kxPPHfWgzStYZTHgA</t>
  </si>
  <si>
    <t>UCQd8w-t-PaYD40H81v6EyYg</t>
  </si>
  <si>
    <t>UC4M-MDoUMzJiOkXDPOXBeKg</t>
  </si>
  <si>
    <t>UCdnPPbjGZiX7Dw56YDYVDsg</t>
  </si>
  <si>
    <t>UCMIUQxQM2LMHaMnWjpsJPZg</t>
  </si>
  <si>
    <t>UCTcm_nSNQDjBJHPuauH5DzQ</t>
  </si>
  <si>
    <t>UClAj-ix0Iv_8m84LtW7vvwQ</t>
  </si>
  <si>
    <t>UCjWs7BxyjO5SLqevxSmp4vQ</t>
  </si>
  <si>
    <t>UCb4yhtQFjjaejwsfxFSD_Qw</t>
  </si>
  <si>
    <t>UCzNq9i-DlDDBLjPerVzJW-A</t>
  </si>
  <si>
    <t>UCHsy1_kQ_7Wgv-U_0igOt8g</t>
  </si>
  <si>
    <t>UCLIbcw6a-P4WZHGVpFT1DXA</t>
  </si>
  <si>
    <t>UCNfca9F18SW788-MNsGSHiA</t>
  </si>
  <si>
    <t>UCrHDY6lrJ8NXCKxFppomr3A</t>
  </si>
  <si>
    <t>UCtmdFed2ZdL3P4csXeYkKfg</t>
  </si>
  <si>
    <t>UCEJJNLbL_jmrgdz3plyh77Q</t>
  </si>
  <si>
    <t>UCc8J8UvzwMZHnO0MX1NTmSw</t>
  </si>
  <si>
    <t>UCGRxJHvn2qIA-6D0ICkdM2w</t>
  </si>
  <si>
    <t>UCJk-aQ7NZtqYtpcqKDt_vZg</t>
  </si>
  <si>
    <t>UCzwCEE_PchiBULMnAJqhGVg</t>
  </si>
  <si>
    <t>UCHCiph1O6-4t6jTYj05kFPg</t>
  </si>
  <si>
    <t>UCpzsmNuUEmod64DGgBDPO-Q</t>
  </si>
  <si>
    <t>UC7FjKhLqAnYZcYGhjnHtU7Q</t>
  </si>
  <si>
    <t>UCxiudYA69dNRFEDgvolDbtA</t>
  </si>
  <si>
    <t>UCukpffOtrR2tiebsUFAc-fw</t>
  </si>
  <si>
    <t>UCBTuDifCuwhHppqvveOlCmQ</t>
  </si>
  <si>
    <t>UCWZtQWpe1C2AksuJ5_eCMAQ</t>
  </si>
  <si>
    <t>UCzNlkUY0tUPLZyNUX82tH3Q</t>
  </si>
  <si>
    <t>UCNPqs9Qgj4Y_S7dPNsxnv3g</t>
  </si>
  <si>
    <t>UCrWdPsIgE4GIWGiFUMHL4bQ</t>
  </si>
  <si>
    <t>UCENlCkKNknl_v8lhAiK2SbA</t>
  </si>
  <si>
    <t>UCkDw-LPU1Nnd2WRsfnDbUcA</t>
  </si>
  <si>
    <t>UCJr0sa-0eCKSpyL8RV0u-ng</t>
  </si>
  <si>
    <t>UCdHXB9IMrF4IJzi1fkZMkBA</t>
  </si>
  <si>
    <t>UCn4FgLrUYSsYErNL0YD-CrA</t>
  </si>
  <si>
    <t>UCqGjTTk1G5B7_DyhLXlLuUg</t>
  </si>
  <si>
    <t>UCw3P0coE7lUv5v0HoQfRZhw</t>
  </si>
  <si>
    <t>UCrpsOBek4n-CQEckzt8AIvQ</t>
  </si>
  <si>
    <t>UCF1cTykludnRBm0PooxRD_w</t>
  </si>
  <si>
    <t>UCikCTek-C2tfF5AmsNVg1bg</t>
  </si>
  <si>
    <t>UCBNQcmm-NA0wXU3IBZftQXw</t>
  </si>
  <si>
    <t>UC19x8yVdc96ogGHQyb4gfwg</t>
  </si>
  <si>
    <t>UCWkHlUiYLeRSIMP8yM7rxxg</t>
  </si>
  <si>
    <t>UCa0E6gnhb3X0PhBHzX99CGg</t>
  </si>
  <si>
    <t>UCiKvAgKBoeBDDY3GdhEY1Kg</t>
  </si>
  <si>
    <t>UCGtu9J8Hp5lOOdNR4_nZa2Q</t>
  </si>
  <si>
    <t>UC0PbjnvsmwW8mWaFFRQw-qw</t>
  </si>
  <si>
    <t>UCs_rKvW-srrZXmTg7IJxlfw</t>
  </si>
  <si>
    <t>UCIPqzmQYnE2HyZyLkoCJ3Iw</t>
  </si>
  <si>
    <t>UCYwj1eWKK_NSSqudHLxvvnw</t>
  </si>
  <si>
    <t>UCfNPmyLCMkTOFoHzjB_YeJg</t>
  </si>
  <si>
    <t>UC2tHVZt2H06GJgMrrkuvdzw</t>
  </si>
  <si>
    <t>UCWB-UiSrsm_QygrBTrTC1yw</t>
  </si>
  <si>
    <t>UCpITdHWi-M3rVKX4L2TP0AQ</t>
  </si>
  <si>
    <t>UCE750MuIvjaYeD5aGUjJcCQ</t>
  </si>
  <si>
    <t>UCT6wAVoLBracsaySHIJFDAA</t>
  </si>
  <si>
    <t>UCbgMWCTDVZppPwvnbipZMxg</t>
  </si>
  <si>
    <t>UCSqGsfrzK3-v9T9Zt1IPOGA</t>
  </si>
  <si>
    <t>UCt8o4BHHeFx1PRU8egj4cvQ</t>
  </si>
  <si>
    <t>UCy_kSqnA2LuTgLklfuQfpHQ</t>
  </si>
  <si>
    <t>UCaPHWiExfUWaKsUtENLCv5w</t>
  </si>
  <si>
    <t>UCj1yPp_DtNA5xQFLug5Wwvg</t>
  </si>
  <si>
    <t>UCppRkkc4NaDdHrNq7ubqPfg</t>
  </si>
  <si>
    <t>UC8Vjg2J1UvpXGyChEsyvsyg</t>
  </si>
  <si>
    <t>UCRIjrwanAvO0pbTASCOKYGg</t>
  </si>
  <si>
    <t>UC8YailtlEPoDM-3XJJeq4Hg</t>
  </si>
  <si>
    <t>UCUDf7h4hV1g6Qrvjt4NdrNw</t>
  </si>
  <si>
    <t>UCKVei70N69V3V5wBQixHZbg</t>
  </si>
  <si>
    <t>UCn8Fiasqd-6G3A6AS322mZA</t>
  </si>
  <si>
    <t>UC2a3J_HBc7J7gm8DJc7UUEQ</t>
  </si>
  <si>
    <t>UCP3mMQWa_gbcXrbUqKM_7ZQ</t>
  </si>
  <si>
    <t>UCfrRUp2ERVNICHAY17cL5Ug</t>
  </si>
  <si>
    <t>UCK931QP8TEcgTKBPxq-Fgfw</t>
  </si>
  <si>
    <t>UCdDDWwRdgJTgpD4iPtOZRUQ</t>
  </si>
  <si>
    <t>UCgaiWfiix1zaQS6Mn5SIw2g</t>
  </si>
  <si>
    <t>UCpm0dCOu5CTn0p8icxIhD0w</t>
  </si>
  <si>
    <t>UCid9cuueSsvDweLhPqDpAjA</t>
  </si>
  <si>
    <t>UCpJmCkjsJbqIBdvTRx2zt-w</t>
  </si>
  <si>
    <t>UCmVsKnz_QcSRRqnjRP_BVdQ</t>
  </si>
  <si>
    <t>UCZ-xaW1wnqubpkOLvOVKKOg</t>
  </si>
  <si>
    <t>UC2sIhf108S02F0Qlb2a88eQ</t>
  </si>
  <si>
    <t>UCqR14yApZM2ZAOTY0qrKIGw</t>
  </si>
  <si>
    <t>UC9rQuJU3Pj9UzI_NGWm4_CQ</t>
  </si>
  <si>
    <t>UCsldUyVnmkm1QbWnERBpDhw</t>
  </si>
  <si>
    <t>UCasX-wa39sqcj1oVXimdwfA</t>
  </si>
  <si>
    <t>UCIHKgBPAXjz91L6x5SbUPEQ</t>
  </si>
  <si>
    <t>UC8xM68Wx1ZHJdqtEtwGJY8Q</t>
  </si>
  <si>
    <t>UCFjaCA1B86KUYKgBQc5ERRg</t>
  </si>
  <si>
    <t>UCQS9wN4pNfQ0VNHJRPqj2OQ</t>
  </si>
  <si>
    <t>UCNBkfuBkQKFOyf7RicF66rw</t>
  </si>
  <si>
    <t>UCRukXTSIZOw-9lT6ALTP8Zw</t>
  </si>
  <si>
    <t>UCjFBTzMWzuXMySYEBGKvm8w</t>
  </si>
  <si>
    <t>UC7mEoCeFC2nOYUynbM3gPLw</t>
  </si>
  <si>
    <t>UC0XWC2_UZMkXPGn4bj0R2Uw</t>
  </si>
  <si>
    <t>UCBuwWLLa2w41WhARaHhkc_w</t>
  </si>
  <si>
    <t>UCGORsm4YXN92eMf2uu-e2dQ</t>
  </si>
  <si>
    <t>UCJvQw3Pp3d-7N-BS6TghfJA</t>
  </si>
  <si>
    <t>UCWuEpv_cHN_OlEuS3kaWLUg</t>
  </si>
  <si>
    <t>UChJaV0OldYkRIEJvZFu9zBg</t>
  </si>
  <si>
    <t>UCKPDbO0bRmuMUdEB9je5_wQ</t>
  </si>
  <si>
    <t>UCTcH-GOkexQHWKBWSfOjhPQ</t>
  </si>
  <si>
    <t>UCrIYiUnL0KDu56MsMxDg-Og</t>
  </si>
  <si>
    <t>UC640y4UvDAlya_WOj5U4pfA</t>
  </si>
  <si>
    <t>UCAgntdNnSwlxHQALZBRLzsw</t>
  </si>
  <si>
    <t>UCdp6GUwjKscp5ST4M4WgIpw</t>
  </si>
  <si>
    <t>UC18g8KP__Kh96lzwEgi1nwg</t>
  </si>
  <si>
    <t>UCX2Rv4BHidFYHdGs3kPjkGQ</t>
  </si>
  <si>
    <t>UC7imP-cJhytGgRFC0HvayVQ</t>
  </si>
  <si>
    <t>UCFnLGH9BGpJLJMMlRMr-f5Q</t>
  </si>
  <si>
    <t>UCu8KB6d7vEtOYqj7BM6SM4g</t>
  </si>
  <si>
    <t>UCEPMCywJ6FPZpQ_aPEZt5JA</t>
  </si>
  <si>
    <t>UCPF4bAZimS4T8w1TlbeIAYg</t>
  </si>
  <si>
    <t>UCgsSfjztGfl7B6RKQQAyOLg</t>
  </si>
  <si>
    <t>UCmRbHAgG2k2vDUvb3xsEunQ</t>
  </si>
  <si>
    <t>UCoK2fRbs-7XilLkXqoxKaoQ</t>
  </si>
  <si>
    <t>UCPEaAv-_U49k7j_X0wfkNQA</t>
  </si>
  <si>
    <t>UCtdyo3ozkfiyt8h2WB1xKpQ</t>
  </si>
  <si>
    <t>UCF6rcB2U6DEDZBNEJyR_wpA</t>
  </si>
  <si>
    <t>UCqW8jxh4tH1Z1sWPbkGWL4g</t>
  </si>
  <si>
    <t>UCmtmeR0LIwe8AL48opTMShg</t>
  </si>
  <si>
    <t>UCsOKxnqfawLBLTHZhP5mJnw</t>
  </si>
  <si>
    <t>UCuTEUtsywKDt_bztqSmwSYA</t>
  </si>
  <si>
    <t>UCrq712JW4cN7JF_KCc6AVXA</t>
  </si>
  <si>
    <t>UCBusXcy2hNAP_cIP0fCOf_w</t>
  </si>
  <si>
    <t>UCvuIFLYgXozUGG1MI4G96eQ</t>
  </si>
  <si>
    <t>UCR_-W-NmmNcljTXZxqom1UA</t>
  </si>
  <si>
    <t>UCDtX2nB4LzwaPQGXCL-DZsg</t>
  </si>
  <si>
    <t>UC2hz8P7rt2Z6aSOgLh5oqJA</t>
  </si>
  <si>
    <t>UCi1U7GOZHjXot486bUr_ZdQ</t>
  </si>
  <si>
    <t>UC5LiKHpnNXL0Rz-Wk9sNt6w</t>
  </si>
  <si>
    <t>UCd4tZkn_sjjP7FBohI7n6tg</t>
  </si>
  <si>
    <t>UCtAXJ4DNpshfVjLIMq9pIRw</t>
  </si>
  <si>
    <t>UCDS9hpqUEXsXUIcf0qDcBIA</t>
  </si>
  <si>
    <t>UCQNzkIbwSbuWapwOjX8R5ug</t>
  </si>
  <si>
    <t>UCrMdoqj3nhp6138sKkL2XZg</t>
  </si>
  <si>
    <t>UCAuhPbhpIDhUquHYkOPyX4w</t>
  </si>
  <si>
    <t>UCpbACmo4wA2SPDufM8p8jyg</t>
  </si>
  <si>
    <t>UCmx9zolsOpViJ8utlXZqrCg</t>
  </si>
  <si>
    <t>UCht20FQcvP8KATxdKAxJL8A</t>
  </si>
  <si>
    <t>UCpETTAs-a22ODvA4Rfy1o-A</t>
  </si>
  <si>
    <t>UCGJ2ZfIF7gPTjCRtdWqMmWA</t>
  </si>
  <si>
    <t>UCG7GwaHTUx8qQZzEr_HpS9Q</t>
  </si>
  <si>
    <t>UCk571kqv7btdawcKUlUry4w</t>
  </si>
  <si>
    <t>UCKaDVGbVkacAvSjAINnOYRw</t>
  </si>
  <si>
    <t>UCFCpMEU3jzPb60jIqQnbgCg</t>
  </si>
  <si>
    <t>UCsNi3yBwjL9KspadEnzRVdw</t>
  </si>
  <si>
    <t>UCkAbEaNF8rIDcCi8SE7lGsA</t>
  </si>
  <si>
    <t>UCxbceRz_bMK4V0ZzQs8pTHg</t>
  </si>
  <si>
    <t>UChCy9K0jbV525iS5W9poBVA</t>
  </si>
  <si>
    <t>UCjDLPLMSVrRzFAv0gXb3rpw</t>
  </si>
  <si>
    <t>UCB5tqNoROVTQ-IY-_F1U-ow</t>
  </si>
  <si>
    <t>UCSE72IaHOL-1Tv-m3JHE4Cg</t>
  </si>
  <si>
    <t>UCCAlmXL95GaAcI_VtOg8KBw</t>
  </si>
  <si>
    <t>UC2zTRxJjjNYZpdXHk_blEHg</t>
  </si>
  <si>
    <t>UCsSdGsFs8Cby3oxiMHTCNEg</t>
  </si>
  <si>
    <t>UCdlT0rI2-DJp5G6a30xeKQw</t>
  </si>
  <si>
    <t>UCmOqH-yFMQzK11FCtihf2Pw</t>
  </si>
  <si>
    <t>UCvquB-Z09BEPQmADZV6Kkcw</t>
  </si>
  <si>
    <t>UCW67BMQKvGzv5gqSdteP9Eg</t>
  </si>
  <si>
    <t>UC1PbTiHsjT-Q_9OWHBHf-ZQ</t>
  </si>
  <si>
    <t>UCue7G8mti-qJZKUj4iO4tcQ</t>
  </si>
  <si>
    <t>UCjjlMpUlK99mH88EGVuoYYA</t>
  </si>
  <si>
    <t>UCq6Is0J4GbitiJshgV9Kjvw</t>
  </si>
  <si>
    <t>UC3NB-lpT8L0s1zdjEWUjh4A</t>
  </si>
  <si>
    <t>UCaH3cLxXu9nO0uloW0L46jQ</t>
  </si>
  <si>
    <t>UCfWlBRxhChwT--HWRZH6sdQ</t>
  </si>
  <si>
    <t>UCgmZL54J7-krR_-mjx1KmcA</t>
  </si>
  <si>
    <t>UCDKjhgRoPF1CQk7HluMz23A</t>
  </si>
  <si>
    <t>UC-CBQChrXvLzYc9oxpMfFPg</t>
  </si>
  <si>
    <t>UCg2F6qfi6hLrFuDx3HOlehA</t>
  </si>
  <si>
    <t>UCdy-zjzs7Brw6LHBqF94rKA</t>
  </si>
  <si>
    <t>UC1EcxitZXIrejN_A4lH_XfA</t>
  </si>
  <si>
    <t>UC8H6icXC3vMR7lWtvDTw2Xg</t>
  </si>
  <si>
    <t>UCeogMa3MjQhHro3P-bagwFA</t>
  </si>
  <si>
    <t>UCn9KAuE6776oaw7OueM9aXQ</t>
  </si>
  <si>
    <t>UCL4F1uXnOxnkq3J4wudZCRA</t>
  </si>
  <si>
    <t>UCJSZLZoHhJpV4m6DfWkuXww</t>
  </si>
  <si>
    <t>UC7tpE1SjFlhIv7XF1OfSDdg</t>
  </si>
  <si>
    <t>UCg3JVFlpboKumTTij_HW_ig</t>
  </si>
  <si>
    <t>UCJFlIyjgeNkdLDykalIwgQA</t>
  </si>
  <si>
    <t>UCyJ7AXuq17EBaH972y56qyg</t>
  </si>
  <si>
    <t>UC_awtZFkwnfYF6EKUT-RpOQ</t>
  </si>
  <si>
    <t>UC-ssqellSXFl-BBIf57eQQA</t>
  </si>
  <si>
    <t>UC1pfsmDBnMQB8sOuQvmTvRQ</t>
  </si>
  <si>
    <t>UC4jxy4sjBoY4SzgWoC9RBig</t>
  </si>
  <si>
    <t>UCslZq6pHE_qEIUoPxoYil8w</t>
  </si>
  <si>
    <t>UCgz6ZiimocMbQdL1UGCP4QQ</t>
  </si>
  <si>
    <t>UCkHJ3glyKmJ5YSaMj-yNkvA</t>
  </si>
  <si>
    <t>UCnClr89nTBMap0Az_NGpGOg</t>
  </si>
  <si>
    <t>UCaHBZP0Cca17INa4bh-tozA</t>
  </si>
  <si>
    <t>UCRE4lsu-ZYO3Ygvy0tXEfHA</t>
  </si>
  <si>
    <t>UCzovLdIAmNukuerHLvUANuQ</t>
  </si>
  <si>
    <t>UCk081mmVz4hzff-3YVBAxow</t>
  </si>
  <si>
    <t>UCJDuO3A6oEOPDW0scUH2tFg</t>
  </si>
  <si>
    <t>UCJcCB-QYPIBcbKcBQOTwhiA</t>
  </si>
  <si>
    <t>UCrO_JGfOvvpNTjoI_0CbaBQ</t>
  </si>
  <si>
    <t>UCxxbBYUpdS10b0sqezYoRxA</t>
  </si>
  <si>
    <t>UCyw7jn1D1hfiNsIrlves3rA</t>
  </si>
  <si>
    <t>UC9MQp8a5uhaIosZPHaoqEXQ</t>
  </si>
  <si>
    <t>UCWLr6Hb6mMvYJzfW_uK3jWA</t>
  </si>
  <si>
    <t>UCgl4mMudw205_I9_jQvG5eA</t>
  </si>
  <si>
    <t>UCjZkSj-IAR1mbGiGvbh13Sg</t>
  </si>
  <si>
    <t>UCjSgzpGmWTGD9TzXhtXo4fg</t>
  </si>
  <si>
    <t>UC85MIJMcZNnhxx84BZMlJgg</t>
  </si>
  <si>
    <t>UCALyevFp0Or1gXF-QIRZvlA</t>
  </si>
  <si>
    <t>UCuyvkonk46Xddwi7Nw7U5jQ</t>
  </si>
  <si>
    <t>UCEhwXdgckebG0a5BMxQZwvA</t>
  </si>
  <si>
    <t>UC9wE1frei3hDy0rn8N_XjZA</t>
  </si>
  <si>
    <t>UCV7cZwHMX_0vk8DSYrS7GCg</t>
  </si>
  <si>
    <t>UClr23FLjjfbxBCAFYa2fNFg</t>
  </si>
  <si>
    <t>UCustbySVJGb659WDpdkeATg</t>
  </si>
  <si>
    <t>UCBU23LxWgTuyihnUlW8tPWQ</t>
  </si>
  <si>
    <t>UC68VImYQ-DfXDT-j1wog5kg</t>
  </si>
  <si>
    <t>UCMD-BIEwP91kvvfgIWl6beA</t>
  </si>
  <si>
    <t>UCIYlmHkak4eLIT7DGIAPm3Q</t>
  </si>
  <si>
    <t>UCFoZUbByD7JIJnU9zCfZ_SA</t>
  </si>
  <si>
    <t>UCpIkceSRGakqavix5m4ybYA</t>
  </si>
  <si>
    <t>UCfIXCQMFOfdY1SlmQY1tEdg</t>
  </si>
  <si>
    <t>UCFD3WOh88E3KVaNAICDGh2A</t>
  </si>
  <si>
    <t>UCfGehJXX80DeHiN0UzddIUQ</t>
  </si>
  <si>
    <t>UCQO1pnTs4kOwpIg_qOPNYEA</t>
  </si>
  <si>
    <t>UCNUvsEya-Jq_Pw1t6R47hew</t>
  </si>
  <si>
    <t>UCbzf9KCCJeRe8BMnTZwjYdQ</t>
  </si>
  <si>
    <t>UCuGFMIKzCplXiV2S8kxA_zQ</t>
  </si>
  <si>
    <t>UCSZ55Hjl_1sZZG04Puf_SrA</t>
  </si>
  <si>
    <t>UCpidp4SMQ7gCwcErISRxSLw</t>
  </si>
  <si>
    <t>UCyCTOhN9MJFrZLfKAtBi0nA</t>
  </si>
  <si>
    <t>UCf9FhkQ8SlbX29J_U75g9cA</t>
  </si>
  <si>
    <t>UCKRpf_HZfpLwxuIgyeYnsVw</t>
  </si>
  <si>
    <t>UCCb-jF9paXVMB3Wz1RabVMg</t>
  </si>
  <si>
    <t>UCHRz_NOWHvxx5yKi487W9fQ</t>
  </si>
  <si>
    <t>UCRrdtx3f8Yy4R_PDSTtPefQ</t>
  </si>
  <si>
    <t>UCtH7ywVKOcakrmxtP6L08oQ</t>
  </si>
  <si>
    <t>UCr3nbwKfaBymD0fWXU_HpgA</t>
  </si>
  <si>
    <t>UCeyQ9noz28MPloYBg-BwP3w</t>
  </si>
  <si>
    <t>UCE5wDMNEZElnuRDk6TDPOYg</t>
  </si>
  <si>
    <t>UCdFyHHJGIYgPEM7qKtdQPpw</t>
  </si>
  <si>
    <t>UChM_l0mCjnsph3LDPSN1W6A</t>
  </si>
  <si>
    <t>UCJICjo360haIBPRQZ2mtsfA</t>
  </si>
  <si>
    <t>UCGBnz-FR3qaowYsyIEh2-zw</t>
  </si>
  <si>
    <t>UC-qQac_ZLmIPV4q8zdPBGvw</t>
  </si>
  <si>
    <t>UCS84kz7Fs8bzRs6xcPY9lQQ</t>
  </si>
  <si>
    <t>UCdIoazuusB0qK-Pi7Hxfcjw</t>
  </si>
  <si>
    <t>UCCEcy-PXMu1loIkMPYW0svQ</t>
  </si>
  <si>
    <t>UCUzsP2NMaAvy9nSvb3IjVkA</t>
  </si>
  <si>
    <t>UCt59WgLNsfDeWbaZfwD7slg</t>
  </si>
  <si>
    <t>UCPBJUhllm-2q90xcF_80mgg</t>
  </si>
  <si>
    <t>UC7YHgndkMslP_xCOD2LtBXg</t>
  </si>
  <si>
    <t>UCCUvWq-2l80nPy0vrKGCW2A</t>
  </si>
  <si>
    <t>UC20JaLxJKnWpJSomw3zBSUQ</t>
  </si>
  <si>
    <t>UCQ_FATLW83q-4xJ2fsi8qAw</t>
  </si>
  <si>
    <t>UC9e6MIZSG1ExlC06_jaxePw</t>
  </si>
  <si>
    <t>UCiAH2s_M6nPfGZk-PpfyPkg</t>
  </si>
  <si>
    <t>UCYWx_8bMtbr9I4iGH3yQmAA</t>
  </si>
  <si>
    <t>UCuMeYwjo4TJ2IiTr-bFualw</t>
  </si>
  <si>
    <t>UCFCQEVjjrieMeBfY9ddHSTw</t>
  </si>
  <si>
    <t>UC1g2tyrcHzJo_KuqdEi-EYg</t>
  </si>
  <si>
    <t>UCA7RxVq2pMGYp_-Qo4S2dEw</t>
  </si>
  <si>
    <t>UC3_tkytL9B2GnivS-A-a9pw</t>
  </si>
  <si>
    <t>UCabzzT9ejLHO63Aj0i4jUmA</t>
  </si>
  <si>
    <t>UC500dYMU9OMJdJKWRqGlhog</t>
  </si>
  <si>
    <t>UCOyCmgwNVtBzbH0Ksz3VkzA</t>
  </si>
  <si>
    <t>UCmB6U6fVkEaUpOI-_5uRjZA</t>
  </si>
  <si>
    <t>UCC0bFdwsgiA-roI9M4DTKXw</t>
  </si>
  <si>
    <t>UCupHhCtFGOh0liWbIFxxH7A</t>
  </si>
  <si>
    <t>UCcWi9YwnWUsR53jV0T4ObKA</t>
  </si>
  <si>
    <t>UCthIcpK06l9bhi9ISgreocw</t>
  </si>
  <si>
    <t>UCvbw_79QDxAc0CCHwXFdUBA</t>
  </si>
  <si>
    <t>UClVIlK8QHZ2PFkXF97bA0lg</t>
  </si>
  <si>
    <t>UC6wHGjpynHruVFTN2yLQBgA</t>
  </si>
  <si>
    <t>UCOd0W4swtTCW2LSMYiG2zJw</t>
  </si>
  <si>
    <t>UCBMgVLD4TaNFiZLNB60WMgg</t>
  </si>
  <si>
    <t>UC5yjtMb9R78YwDn7aFSNBOg</t>
  </si>
  <si>
    <t>UCCKEJ5MYyOaKM1gGksrZEJw</t>
  </si>
  <si>
    <t>UCqT_wwNDVQb_yEKhSvqboAA</t>
  </si>
  <si>
    <t>UCpN0oGq5B6u2fPWpKEUPMOA</t>
  </si>
  <si>
    <t>UCFfkQtGJDhbknD2rltZUsoA</t>
  </si>
  <si>
    <t>UCh53dn_C-Ysm5PLGZdvy5mg</t>
  </si>
  <si>
    <t>UCEEnmhUr-FFq5N518Y9QiUQ</t>
  </si>
  <si>
    <t>UC9kGAFMDzda_bHkfrYcKmtQ</t>
  </si>
  <si>
    <t>UC07xESiDtRhFaKARE23Gifw</t>
  </si>
  <si>
    <t>UC7vvd0Xt7S_HnKj62WeADCQ</t>
  </si>
  <si>
    <t>UC5aKead6Q8YQYjceizxJIuw</t>
  </si>
  <si>
    <t>UC2J8dGoVpW5WxYf4Of-gbVg</t>
  </si>
  <si>
    <t>UC3LnZqJMkkLlr1yL_5Io4Vw</t>
  </si>
  <si>
    <t>UCnkJqM6PA4WE8QQouruInAw</t>
  </si>
  <si>
    <t>UC26DoOnUPOETLb2pmTbRTiA</t>
  </si>
  <si>
    <t>UCeRorwWVeUb7oHKKidVK_CA</t>
  </si>
  <si>
    <t>UCYoIdjwkGRhL8RM8Kcd6ZVg</t>
  </si>
  <si>
    <t>UCH8eQxupXVkq--mlMwNJ5hg</t>
  </si>
  <si>
    <t>UCQ5uNPIBxE76e5C3VxUIbig</t>
  </si>
  <si>
    <t>UCeAw6cAKz3Kyyt_6mHrTOOg</t>
  </si>
  <si>
    <t>UCVJU_IChPMOe8RWkdVQjtfQ</t>
  </si>
  <si>
    <t>UC4WoZ4p4sg-rG-EdMXGmgTg</t>
  </si>
  <si>
    <t>UCuHdudvM214T2iouH94kN7w</t>
  </si>
  <si>
    <t>UCtC6-ZXP1RlEHUC31nPBySg</t>
  </si>
  <si>
    <t>UCbYeYRcs4h9jAfuuOvh3dVw</t>
  </si>
  <si>
    <t>UCvYa1h7voHaHUjKpkFXlgrQ</t>
  </si>
  <si>
    <t>UCIOw9h4kE7m5jNoMRQGAOWQ</t>
  </si>
  <si>
    <t>UCA34Z3lq8FozSQzDHsSLcmQ</t>
  </si>
  <si>
    <t>UCH5-sww11RE0kHV-d5ORtjg</t>
  </si>
  <si>
    <t>UCuHheGtxHlSrumRzHW2GnuQ</t>
  </si>
  <si>
    <t>UCpWT_QfKk7BJIpn709YgsYA</t>
  </si>
  <si>
    <t>UChneGqGy_lmvfcR1v_avL6g</t>
  </si>
  <si>
    <t>UCpaPkOi9pUvulA6a2B32DNQ</t>
  </si>
  <si>
    <t>UC2knu5PFPDfLspFMzwEvxQw</t>
  </si>
  <si>
    <t>UCJihyK0A38SZ6SdJirEdIOw</t>
  </si>
  <si>
    <t>UCJCqtJDeW40nLqclIkKXS_A</t>
  </si>
  <si>
    <t>UCoiiIMZUxu0LxabtFk6PfVA</t>
  </si>
  <si>
    <t>UC0seixKXNAJj0fyMoUpK6pA</t>
  </si>
  <si>
    <t>UCD8gGp5wUcK-sIEty20ghyw</t>
  </si>
  <si>
    <t>UCh1coBqMQvaFYYqJxSuZtKQ</t>
  </si>
  <si>
    <t>UC-OuA79MtJ4L7cGhpVY9i6g</t>
  </si>
  <si>
    <t>UCl2S63RHWxyT-_GIfSYDPOg</t>
  </si>
  <si>
    <t>UCJM1Zt7njtHWv_-awBMlgrg</t>
  </si>
  <si>
    <t>UCl487GkI6cdPxpMF3ZgDKYQ</t>
  </si>
  <si>
    <t>UCEfY31ZQGeF3yu6L8N45VTw</t>
  </si>
  <si>
    <t>UCFuxLOUo41P3eEAW8U-Dwjg</t>
  </si>
  <si>
    <t>UC_huoGvQQc8tAh27gR_MdjQ</t>
  </si>
  <si>
    <t>UCp5_5-EEEVhqz09GUu6J2MQ</t>
  </si>
  <si>
    <t>UCXkOJerezdAcL6rhebQbjGg</t>
  </si>
  <si>
    <t>UCd_1I9tVvTGrsI3FG20T6Rg</t>
  </si>
  <si>
    <t>UCxi-3zNcvJzAFEClr9nrpNw</t>
  </si>
  <si>
    <t>UCMe2N3X8arRlHCEO6WreFAA</t>
  </si>
  <si>
    <t>UCHaj79bDImPPgOaV9KLCR0Q</t>
  </si>
  <si>
    <t>UC15sF31QE-7rooIlSKnTq_w</t>
  </si>
  <si>
    <t>UCafUh796DToiY2U3s7X_WTw</t>
  </si>
  <si>
    <t>UC6vkHSbK6-S6xFX-8Amhv7w</t>
  </si>
  <si>
    <t>UCgkKce6AqP1puuOfThcr8RA</t>
  </si>
  <si>
    <t>UCQmMqGRGbzOZntywXzGKhRw</t>
  </si>
  <si>
    <t>UCnaFACyDcpvlLBSLT_VWlqA</t>
  </si>
  <si>
    <t>UCBStUF8ywTtgCvkpYVvi1YQ</t>
  </si>
  <si>
    <t>UCZmQTw6gzflBuKFv0XE_8yg</t>
  </si>
  <si>
    <t>UCoiZoPZ2JdCdIwAjAtkPLEw</t>
  </si>
  <si>
    <t>UCaqDu9xbvQv8JGTcnzlsc1Q</t>
  </si>
  <si>
    <t>UCm85VJjrpywm3KarAW8vFKA</t>
  </si>
  <si>
    <t>UCNwcxhfBVDgwx9Lv3CBpu6A</t>
  </si>
  <si>
    <t>UCDPW9ja3woKjP82QOwoTNEA</t>
  </si>
  <si>
    <t>UC1LrOe8L2YYa1KBDNQ51Cyw</t>
  </si>
  <si>
    <t>UCxdIhjg5Dv3hMRCnYkz6-Ew</t>
  </si>
  <si>
    <t>UC98O4ZjYCPtHu_0br-dJx5Q</t>
  </si>
  <si>
    <t>UCaErUjJ2bJ7I7fYqrvwS3bw</t>
  </si>
  <si>
    <t>UCkdtJNQZ8NkQAM04MPaJP_A</t>
  </si>
  <si>
    <t>UCnP_AELA_kfxKjMBK3A69dQ</t>
  </si>
  <si>
    <t>UCvqxF4I1Dj-mGlbcseaedCA</t>
  </si>
  <si>
    <t>UCFZqtti2VoNdgeLklh48Liw</t>
  </si>
  <si>
    <t>UCNXY6ZO2JXvrSGOgkOf9WNA</t>
  </si>
  <si>
    <t>UCKsJiWlnbBpzbligv10dAeQ</t>
  </si>
  <si>
    <t>UCGVNC7p_MStq0GT3xl2Rlzw</t>
  </si>
  <si>
    <t>UCpF_oqDZhRaRU04Igka17LQ</t>
  </si>
  <si>
    <t>UCrWMk23uepWVEg3xs02dz7A</t>
  </si>
  <si>
    <t>UCKVqnev2idvmUNKc2b91B8g</t>
  </si>
  <si>
    <t>UCC85L1ZTp5eY-bhd7QBfmgw</t>
  </si>
  <si>
    <t>UCC0K68ua76QnjXMjOgdd9uw</t>
  </si>
  <si>
    <t>UCeEP6GESh2t4-e2132uj3Sg</t>
  </si>
  <si>
    <t>UCIWHm3sTOREKnwCSoIkE8Uw</t>
  </si>
  <si>
    <t>UCZT1WGS_kg2sg-kVpWZKEkg</t>
  </si>
  <si>
    <t>UCoYZ3nrf-xiVEi93vmn6m-Q</t>
  </si>
  <si>
    <t>UCGn6a5SI8SNlj7WylmPD6GQ</t>
  </si>
  <si>
    <t>UCLCf6lnv3QeKywt4XrpKIqA</t>
  </si>
  <si>
    <t>UC_8xN9P40pxMh_vArbmUZqA</t>
  </si>
  <si>
    <t>UCjY3cvbmEulmh-x-dzWglBQ</t>
  </si>
  <si>
    <t>UCI4bLUbNy0cftkTUJoq_pZQ</t>
  </si>
  <si>
    <t>UC89y918wv5OpEB9jkeeIyww</t>
  </si>
  <si>
    <t>UCIuVvJuG4buMQW2RBV8RGWA</t>
  </si>
  <si>
    <t>UC2lFeDqQqnewQ9_szUlsZGA</t>
  </si>
  <si>
    <t>UCZn3GJRxcgrPuHlxSbK00dA</t>
  </si>
  <si>
    <t>UCQP034vzXl_T_UXNo8uGQyA</t>
  </si>
  <si>
    <t>UCXCFBK5R06At6Wb8ZWKDEsA</t>
  </si>
  <si>
    <t>UCzdMY6Qsv9CrsNCPgtZlrIw</t>
  </si>
  <si>
    <t>UCMmDgh65drlzUej14EnU2Og</t>
  </si>
  <si>
    <t>UCIQqTkKEgbsXxEA5agNEleg</t>
  </si>
  <si>
    <t>UCQLEbraENUGWh6p1Rv664rQ</t>
  </si>
  <si>
    <t>UCFD9HtRLvPEj-OXRFoE8KBw</t>
  </si>
  <si>
    <t>UCI2ByG57kHLeVbWgw1PgkmQ</t>
  </si>
  <si>
    <t>UC-wtuClXWmMOsfBxPMvh0Pg</t>
  </si>
  <si>
    <t>UCIbgP_Aw3uEAtQbxbAveCdw</t>
  </si>
  <si>
    <t>UCTNd2XcF66ABsELcKdxBOww</t>
  </si>
  <si>
    <t>UCNltw8OfFvvavhtVFa11UVg</t>
  </si>
  <si>
    <t>UCFYsCb3ASf0A3LWV6K6TNIQ</t>
  </si>
  <si>
    <t>UClLoFXRRmcwWo8r9MdITJug</t>
  </si>
  <si>
    <t>UCNTsHRD2iGHVc3l-IFD7tiw</t>
  </si>
  <si>
    <t>UCKFnBiPHyBRYJanS1d_w26w</t>
  </si>
  <si>
    <t>UCEy1zKkK9-ujYEkaSlTo1qg</t>
  </si>
  <si>
    <t>UC4YMWf9FVZSm_q_HwzbR_HA</t>
  </si>
  <si>
    <t>UCjaE8lhHeprFn9v23eGsNxQ</t>
  </si>
  <si>
    <t>UCkaPZziKEd4TpOehs5WHjnQ</t>
  </si>
  <si>
    <t>UCdbeep4P2J9JErLw5cG0GJA</t>
  </si>
  <si>
    <t>UCF7BExjT2zH_mmyqOB139Dg</t>
  </si>
  <si>
    <t>UCQRSY8W2A1DST5qtm8NNhMA</t>
  </si>
  <si>
    <t>UCh4f3NyOzqGwZfwTSX78QfQ</t>
  </si>
  <si>
    <t>UC7lmZqhJeTzeQQkqNvfmjqw</t>
  </si>
  <si>
    <t>UCPPCNdbOEKmN91ycyHs83Qg</t>
  </si>
  <si>
    <t>UCs05shi5_p2HWwa3OP6IVAA</t>
  </si>
  <si>
    <t>UCz7vNR5jqM_fbIy6ZP9bxzQ</t>
  </si>
  <si>
    <t>UCSHW4sIysWm_Q69t7RE-slQ</t>
  </si>
  <si>
    <t>UC55os7K-eMLTJy_aXzm5sHw</t>
  </si>
  <si>
    <t>UCPLCQxD153t7OdWDwAslgGg</t>
  </si>
  <si>
    <t>UC9sjYwPLqMQEv6z9x_29ZuQ</t>
  </si>
  <si>
    <t>UCVs-e0n5WrVdqavGYvBM1jg</t>
  </si>
  <si>
    <t>UC-3odB6AEj5NMfDt9ZpyQWA</t>
  </si>
  <si>
    <t>UCHtjnjZ3pfF0Xn488OM3Zpw</t>
  </si>
  <si>
    <t>UC31G-VG7S5XNevmQ2nVuexA</t>
  </si>
  <si>
    <t>UC-3Y88_wY3z1ouW3jkLGYwQ</t>
  </si>
  <si>
    <t>UCl-i7PenX65VBPKLMP6hGfQ</t>
  </si>
  <si>
    <t>UChWqU4PXRLrL4SlOwgRNa9w</t>
  </si>
  <si>
    <t>UCm96d4-ZUg2kwDV-JB93Hmw</t>
  </si>
  <si>
    <t>UCIg23CjCGZYgadRErEFivfQ</t>
  </si>
  <si>
    <t>UCFvEr-H-2biF-AkjXwhYhwQ</t>
  </si>
  <si>
    <t>UCnesycLRLcF0wVQKiwdyfgA</t>
  </si>
  <si>
    <t>UCZN9OiAMJFjZDReyJzTjkqA</t>
  </si>
  <si>
    <t>UCVkFgDCxH96jV5Gg9UYwYyQ</t>
  </si>
  <si>
    <t>UCU1GDiVN1bCa-gVy9jJPqLA</t>
  </si>
  <si>
    <t>UCAPgSXlrgrmnXwzMssfL2Iw</t>
  </si>
  <si>
    <t>UCTbBOKMYZlzBwXEHJnE5djw</t>
  </si>
  <si>
    <t>UCQfBN7Ut5TiZJAhMo_Rgfyw</t>
  </si>
  <si>
    <t>UCHAo93NE2f38p_QFFhsZlHQ</t>
  </si>
  <si>
    <t>UC7_9xLxwIipM3PK0TLWHxow</t>
  </si>
  <si>
    <t>UCYkw3p_XExHBSVEVjRWIvRQ</t>
  </si>
  <si>
    <t>UC8wwXAm77RNzVN-cJOy8t8g</t>
  </si>
  <si>
    <t>UCmhsdFkwzl48BhL7020COOQ</t>
  </si>
  <si>
    <t>UCA2utdbkuY6PfX0Exi2Y16w</t>
  </si>
  <si>
    <t>UCuXAEFdrQPCNkXQYBRD-CUA</t>
  </si>
  <si>
    <t>UCfPUSRpnCWPgWv3CEIoYf4A</t>
  </si>
  <si>
    <t>UCKPNC2CC2qs2sBdWjQJP4yQ</t>
  </si>
  <si>
    <t>UCsVrbytaBx7Z9URw6EvcK_A</t>
  </si>
  <si>
    <t>UCyCERrOvbUWz5n1ImxDBeWg</t>
  </si>
  <si>
    <t>UChlJwnjbYAICR2mBEx5MNpA</t>
  </si>
  <si>
    <t>UCkI-SYGC8fxPNcp6FsX4SRQ</t>
  </si>
  <si>
    <t>UCVCphtOBXKh6Pqb-nNqvArg</t>
  </si>
  <si>
    <t>UCW_obsMKF09JEnmKpheAKRA</t>
  </si>
  <si>
    <t>UCFpcM0UbH9_YL11WyIrib6g</t>
  </si>
  <si>
    <t>UCfp_KL9fMARFv7STuZswogA</t>
  </si>
  <si>
    <t>UCbT_7qRIrw8TMH8ovjTYBJQ</t>
  </si>
  <si>
    <t>UC8lVvurdhqV2-cTizQjh4wQ</t>
  </si>
  <si>
    <t>UCyl-pL0QtNOef-2dKDFJi0A</t>
  </si>
  <si>
    <t>UCtlKtzqGvKAXDRSxzweic-w</t>
  </si>
  <si>
    <t>UC5nzlP-dHFt5UyOg78A0wrA</t>
  </si>
  <si>
    <t>UC5iCbFCXVXNE7XkZjvWhDng</t>
  </si>
  <si>
    <t>UCdaOQD569stbML_plw5QpgA</t>
  </si>
  <si>
    <t>UCQr2SA6sImMVi-dgamTlwpg</t>
  </si>
  <si>
    <t>UCuDt8PzVMk2My6qcDHfNZ-Q</t>
  </si>
  <si>
    <t>UCSWSOS6YXUbNMzTH-tV7Pfw</t>
  </si>
  <si>
    <t>UCPiuJvuyMVFSwcIdBCTpTyQ</t>
  </si>
  <si>
    <t>UCwoA8FEYnk3UH7EiTKCG7vQ</t>
  </si>
  <si>
    <t>UCrzEsyb1zrGrwvvgQOXR-rA</t>
  </si>
  <si>
    <t>UCPN9q7_IXl9zZhgvrpqjeyg</t>
  </si>
  <si>
    <t>UCiP8Orqi5imUpOp_oOM-Hcw</t>
  </si>
  <si>
    <t>UCnwpEDub-SVH_2TwtkkLZIw</t>
  </si>
  <si>
    <t>UCFx1nseXKTc1Culiu3neeSQ</t>
  </si>
  <si>
    <t>UCnlQvBuN9vCkuVDH9OGpxmA</t>
  </si>
  <si>
    <t>UCSHLoG-bXj1aVA2T5y8t84A</t>
  </si>
  <si>
    <t>UCeCsvjRYbSEmuD5YsYf35CQ</t>
  </si>
  <si>
    <t>UC0OaR0sOjOgeGFCyT05nT4w</t>
  </si>
  <si>
    <t>UCYhE3LuAdW98CdwoemBsrdA</t>
  </si>
  <si>
    <t>UClxK2KSgljo5IIcatu5gI_g</t>
  </si>
  <si>
    <t>UCtnKfLVKJQ3JAB1Uf0juUtA</t>
  </si>
  <si>
    <t>UCYGetghDGpsicR9U0P_lwgg</t>
  </si>
  <si>
    <t>UC3E3qCq5iJ-ZapKfyoLS3Xw</t>
  </si>
  <si>
    <t>UC2bgPCeViczOgAoPJLr_iug</t>
  </si>
  <si>
    <t>UCujuVKmt_utAQZJghxlRMIQ</t>
  </si>
  <si>
    <t>UCUgP5pdToi19fWe19NVliFg</t>
  </si>
  <si>
    <t>UC8NHl401h85KToXIf5VFqrQ</t>
  </si>
  <si>
    <t>UCbpoYJR5330eSN4ljwVp1gw</t>
  </si>
  <si>
    <t>UCTyg-vQ70A1m0lB1cLbu38Q</t>
  </si>
  <si>
    <t>UCbsA_ePgK2dznl40AaICyyQ</t>
  </si>
  <si>
    <t>UCMBS3CdOwk18JNqswsyWnmA</t>
  </si>
  <si>
    <t>UCbHfb-XEH3YVyOnYVx-XYSw</t>
  </si>
  <si>
    <t>UCgQkkFRDMT4iZfEmC66R6fA</t>
  </si>
  <si>
    <t>UCKTMj2k2ptmSDU-CEyTTDsw</t>
  </si>
  <si>
    <t>UC76CNzctOjXo41ibz-OHOMA</t>
  </si>
  <si>
    <t>UCX0En3REvnSsxOJdLtDNF9Q</t>
  </si>
  <si>
    <t>UCgB-kFGuhsOkf6mLp6LqYnA</t>
  </si>
  <si>
    <t>UCs_IUhCsm1aG05vf6VWXn7g</t>
  </si>
  <si>
    <t>UCvolFaoDZOt3dFlx6fYFLCA</t>
  </si>
  <si>
    <t>UC6HDXr-sNPnWLF_Q-y3KduA</t>
  </si>
  <si>
    <t>UCus99Lw2hx6HKnb2BZFsTgA</t>
  </si>
  <si>
    <t>UCJSuvL_dMcLSI4-bLodNm8A</t>
  </si>
  <si>
    <t>UCw4wosjC-DKq95xI5klz92w</t>
  </si>
  <si>
    <t>UCpWnVA9ZxSXj8So2yZt6__w</t>
  </si>
  <si>
    <t>UCILyq7gn6_ISHshQ4BJyIWg</t>
  </si>
  <si>
    <t>UCKKbN3uaSWKIDN8bsa71slQ</t>
  </si>
  <si>
    <t>UCV65Q-uA85vjt19tFWKR_AQ</t>
  </si>
  <si>
    <t>UCcQdkhOIpX0YBvcN0ebcTgw</t>
  </si>
  <si>
    <t>UCNBEfg_PfpSjk8DqiafJJhg</t>
  </si>
  <si>
    <t>UCufsqbhCy16gUWnfG2gjZsg</t>
  </si>
  <si>
    <t>UC_Slh-aWOWKJyuHvqNeyMrA</t>
  </si>
  <si>
    <t>UCQWW7TdR4G8o3vXrUMzOGEg</t>
  </si>
  <si>
    <t>UCuHW2abZ-K0SKGhXfkyOY6w</t>
  </si>
  <si>
    <t>UCViLvZvgdut2iJiKU33NQrQ</t>
  </si>
  <si>
    <t>UCyWkvMV3Iqh3LHS65xL0SpA</t>
  </si>
  <si>
    <t>UCwSbwD0vMDNMsGiR22hVZQw</t>
  </si>
  <si>
    <t>UCu34hk4YVt8feXHhcbS9VFA</t>
  </si>
  <si>
    <t>UCPXJHAviH63__La2HtvyCHg</t>
  </si>
  <si>
    <t>UC_pD7qQQqDpYU4Vz6Wv9YCQ</t>
  </si>
  <si>
    <t>UCsPEbQedjaU0f6Hf-VFdIFg</t>
  </si>
  <si>
    <t>UCyl73tS3I6Hzhu8uNVzMfWg</t>
  </si>
  <si>
    <t>UCLdIeONKuwW2iBwIe0Obagg</t>
  </si>
  <si>
    <t>UCUth4kd_lkAltr7VusgNdSw</t>
  </si>
  <si>
    <t>UCpjMlxHaEySFziMDiXNysLw</t>
  </si>
  <si>
    <t>UCdiHpeH9fr4DMK_3wbUZapA</t>
  </si>
  <si>
    <t>UCfk6bln_Pp8dYgDk1f5FWCQ</t>
  </si>
  <si>
    <t>UCDLEyi7ibFBh9TPvwEHI5Kg</t>
  </si>
  <si>
    <t>UCZlvVpwJHRdCRwtKktfhmXA</t>
  </si>
  <si>
    <t>UCi3o8sgPl4-Yt501ShuiEgA</t>
  </si>
  <si>
    <t>UC64YBTd2J6_747v1p3sSNTQ</t>
  </si>
  <si>
    <t>UCgUeJ2Gv7rJtMBkQF2Ppn4A</t>
  </si>
  <si>
    <t>UCh80eM_UXbEgCs0Vj5pxpEw</t>
  </si>
  <si>
    <t>UC4rZpoEdeFLF4x9walsyoSw</t>
  </si>
  <si>
    <t>UClHZMbmZTb3-89bAgEsbwPg</t>
  </si>
  <si>
    <t>UC6qgzBYbikNsuPjHxUQGtrQ</t>
  </si>
  <si>
    <t>UCLOBTg36LzqEupoLMVkKk9Q</t>
  </si>
  <si>
    <t>UC027uEect8BXPFQEgQHYZiQ</t>
  </si>
  <si>
    <t>UCS5sraHT7xGOX_KLAt1NyGg</t>
  </si>
  <si>
    <t>UC9U6DeDEovGiv1F2xg-8B1g</t>
  </si>
  <si>
    <t>UCtmn-DsF4BhPug-ff9LiDAA</t>
  </si>
  <si>
    <t>UCVsBcu2AlNQhS7m-Uj0ySEQ</t>
  </si>
  <si>
    <t>UCK5hucpOj9nnSuBqRNQeEcw</t>
  </si>
  <si>
    <t>UCeLYjpeK7EHYhhe5gO-dFZQ</t>
  </si>
  <si>
    <t>UCgBgmpLPPGbDkReJPUw7lIQ</t>
  </si>
  <si>
    <t>UC83BCCB7ZCcO6e3TeKN912w</t>
  </si>
  <si>
    <t>UCzBWZUCCFVS439sGerpCF8g</t>
  </si>
  <si>
    <t>UC_v1sVdziPZqL9_I8zT0_5A</t>
  </si>
  <si>
    <t>UCtHCRF5bNn_ImDkn4w47L4Q</t>
  </si>
  <si>
    <t>UCyo4ROy9-8ymQTBWcPA5Fjg</t>
  </si>
  <si>
    <t>UCMD4aGl7ffTzjZfc2QnsA7w</t>
  </si>
  <si>
    <t>UCnRAMJhTu7s77QjkJcYpAcQ</t>
  </si>
  <si>
    <t>UC9SE2WdT5yKWKbtAXkpRx0Q</t>
  </si>
  <si>
    <t>UCT8M_hDfTRjUbs8hwahZyBA</t>
  </si>
  <si>
    <t>UCkE6ZzUxUY_XMP688ib-RWA</t>
  </si>
  <si>
    <t>UCcep2qK6JmtCmIhgpnrEDJQ</t>
  </si>
  <si>
    <t>UChNXFGoCEkSR6n0X_gWt_sw</t>
  </si>
  <si>
    <t>UCPRr_0W5Jf19-XHtsD-VhFQ</t>
  </si>
  <si>
    <t>UCFPOpd1Y4RMfFKwS9eHs1yQ</t>
  </si>
  <si>
    <t>UC5vUwPEi25xzYDTNg8A8CTg</t>
  </si>
  <si>
    <t>UCa3BOzgvU-G07jEC0HBpXXA</t>
  </si>
  <si>
    <t>UCR7u1vb3dfzuuegAo0vW6Qw</t>
  </si>
  <si>
    <t>UCA9ppAYnIcGcc6Fru9DfIYg</t>
  </si>
  <si>
    <t>UCYgXdQQZBmRwsTv4mTX5kng</t>
  </si>
  <si>
    <t>UCOU-CW3JPg_mHbggOdWLM7g</t>
  </si>
  <si>
    <t>UCnYiTCfI0KIKRv6nxj99Ehg</t>
  </si>
  <si>
    <t>UCiz4Ogbrc6m-eboj69pstEQ</t>
  </si>
  <si>
    <t>UCF7GcaNVz6q2Ctq-BlSoomg</t>
  </si>
  <si>
    <t>UCf9FpFCcTiU-d67vE6xGxng</t>
  </si>
  <si>
    <t>UCE_btxAOsEVKw9LwNZPtDxg</t>
  </si>
  <si>
    <t>UCc-BG8L5o7yqQjM81yHePnA</t>
  </si>
  <si>
    <t>UCWSyWK6oS5VL3RrJZuWsdSA</t>
  </si>
  <si>
    <t>UCl2cOcj5oPC-DLTVSyBFpqQ</t>
  </si>
  <si>
    <t>UCmleNLojV75FdE-ODVBHWIg</t>
  </si>
  <si>
    <t>UCQzRlZ453tutrAPo7X5iPNQ</t>
  </si>
  <si>
    <t>UCylv8thIshAe__96NbnU-TQ</t>
  </si>
  <si>
    <t>UClYJyd0Ueqw-7TeQ66xkwiQ</t>
  </si>
  <si>
    <t>UCDjrDp76VeIzmQckJSmQJQg</t>
  </si>
  <si>
    <t>UCI1vyXBgX3bruwvChLMNxjQ</t>
  </si>
  <si>
    <t>UCPSb5hoJuGd_M421vocSM2A</t>
  </si>
  <si>
    <t>UC-axD-N6aIwswrQ1ee4zlXg</t>
  </si>
  <si>
    <t>UCrpP1PNFmt_Z5fj3n2v4GqA</t>
  </si>
  <si>
    <t>UC1auTnAMPvp0436QVHN8dtw</t>
  </si>
  <si>
    <t>UC161qTaOacLdubz9aBlqqFQ</t>
  </si>
  <si>
    <t>UC0YGxZ9dd1F3PbHXbhOSqrw</t>
  </si>
  <si>
    <t>UCa3CkaGSH2dokCXTM7AcgzA</t>
  </si>
  <si>
    <t>UCeQ7hsZV1PxX51s78Iciz5A</t>
  </si>
  <si>
    <t>UCONMJJCtDHokfPGhVdWF47w</t>
  </si>
  <si>
    <t>UCAXz41pFbZsjfa0OfJsCtpw</t>
  </si>
  <si>
    <t>UCK9gIsYeYdhDtuH52AyRqEA</t>
  </si>
  <si>
    <t>UCT6uolGYpJ5NX_VlsaUdecA</t>
  </si>
  <si>
    <t>UCM-yUTYGmrNvKOCcAl21g3w</t>
  </si>
  <si>
    <t>UC_rWBdjwieoenEexvPdh8hg</t>
  </si>
  <si>
    <t>UCMSOMKw_HCNla89Xr3JV4Bw</t>
  </si>
  <si>
    <t>UCohrDoDu6W9LEuHNdR56Eow</t>
  </si>
  <si>
    <t>UCEZrGzfVHP7AhNWa_NKra8g</t>
  </si>
  <si>
    <t>UCZ_wFH6RSzZQiosaz_8RYpQ</t>
  </si>
  <si>
    <t>UCd_SyDWOzXQd53C6efvFycw</t>
  </si>
  <si>
    <t>UCv6JhmcvEtUN8EYKJSrbo7w</t>
  </si>
  <si>
    <t>UCvET-nXNxRrHfmHXLpQShkg</t>
  </si>
  <si>
    <t>UClSEi3DsdBqUv4Uyig2a4DQ</t>
  </si>
  <si>
    <t>UC4E5PXEmZBOe_07FeaOKmLQ</t>
  </si>
  <si>
    <t>UCDPylDfcfzV_KqekSDRZ9Zg</t>
  </si>
  <si>
    <t>UC4nzNav2olFAo-owPuXP6Ug</t>
  </si>
  <si>
    <t>UCck8RejS9Ug2fbTYcGVBwjA</t>
  </si>
  <si>
    <t>UCEXLFH7dfGtvgywn3dAvbEw</t>
  </si>
  <si>
    <t>UCjvxilBCit7JRLjvwcEyQvA</t>
  </si>
  <si>
    <t>UChY1Ka96BEsppjLNvLJJDcg</t>
  </si>
  <si>
    <t>UCn92f-TZ24id4GHLGdAG1Mw</t>
  </si>
  <si>
    <t>UCPs8w9f1gqe4BqkbI-9wTnw</t>
  </si>
  <si>
    <t>UCuIwjRkJCk01pcokQqyFO3w</t>
  </si>
  <si>
    <t>UCmw4wZ3FRso2TsS36FQ6heA</t>
  </si>
  <si>
    <t>UCit65DR7Yo8QqOIFJky-hYw</t>
  </si>
  <si>
    <t>UCkVr3e4pFd6Ov7v30sXHspQ</t>
  </si>
  <si>
    <t>UCkTXMfsPsnOCg7D9lR_PLxw</t>
  </si>
  <si>
    <t>UCjcqzy7MSaN2KPnzOKIcpEQ</t>
  </si>
  <si>
    <t>UCOLz2DsouHVUOSPmJ5dIQuw</t>
  </si>
  <si>
    <t>UCedQiYQgfD_HTETIiZp1lWQ</t>
  </si>
  <si>
    <t>UC3SqdQlsHd6gBUuoqL-BWWg</t>
  </si>
  <si>
    <t>UCtbo6_eDG7zEtaOtcSltJkA</t>
  </si>
  <si>
    <t>UCmRlLc4sxEf65HiJU7Wrw9Q</t>
  </si>
  <si>
    <t>UCgpxG_LuwLR_XY98cgbDytg</t>
  </si>
  <si>
    <t>UC3DJMAyqmXFQCQFq_mfLT2Q</t>
  </si>
  <si>
    <t>UCy2BgS8CihlYbSCmlA9hPYA</t>
  </si>
  <si>
    <t>UCcOBk2-PfulQhylDT3UvtjQ</t>
  </si>
  <si>
    <t>UC90F0i80IZEHqm6PCAHk1BQ</t>
  </si>
  <si>
    <t>UCwG-o5rIREm7GV9RRYOeaSA</t>
  </si>
  <si>
    <t>UCkWemhsJBxUKa1lXpSfDs0Q</t>
  </si>
  <si>
    <t>UC4fZf9roD6EWeU_QPS3PpLg</t>
  </si>
  <si>
    <t>UCqhgi4gWXgt66HGTih1u_6g</t>
  </si>
  <si>
    <t>UCJRQS48aF9UTBwLIAidT2uQ</t>
  </si>
  <si>
    <t>UCPdqu95putR2yNXLP2FhXXg</t>
  </si>
  <si>
    <t>UCM-YvSpM1kvy6X4aokgAf2w</t>
  </si>
  <si>
    <t>UCnzTvgqX77zZBJ5mji5bi7w</t>
  </si>
  <si>
    <t>UCK-rKsX0qKgVWuaOdj4050Q</t>
  </si>
  <si>
    <t>UC8Dj-LDol8r7zGnhn0onF0A</t>
  </si>
  <si>
    <t>UCiTCB-B_weEmwHk7ifNobQw</t>
  </si>
  <si>
    <t>UCmse5JbKneJqVyerfhDVYvQ</t>
  </si>
  <si>
    <t>UCNc5QKnJ8vyGhed6tC2h1DA</t>
  </si>
  <si>
    <t>UCUw8vQF-X7CJqdVpxBYcavQ</t>
  </si>
  <si>
    <t>UCMiyZr9iwhZH58V7OXd33NQ</t>
  </si>
  <si>
    <t>UCqO9z9HXfC4Svk7Xzofv9MQ</t>
  </si>
  <si>
    <t>UCtqJlnJApltJBgfkq8j_KuA</t>
  </si>
  <si>
    <t>UCWWg5HFC5z8pIGLZal8Jgpg</t>
  </si>
  <si>
    <t>UCWIECme8x_FO-yUbQ9cZChg</t>
  </si>
  <si>
    <t>UC1n9asjArhhGERn6FxSPAGA</t>
  </si>
  <si>
    <t>UCWVm4pQ8z6FjWZBvMzzVPTQ</t>
  </si>
  <si>
    <t>UChDX4wagpTQS0aTm4eyhJaw</t>
  </si>
  <si>
    <t>UCK2_PiPOB0VEZfbbaHj-z5w</t>
  </si>
  <si>
    <t>UCvbJKkmSauhJz0FRFd6nuOQ</t>
  </si>
  <si>
    <t>UC8mlgT6I0aSexwFPsOgMG_g</t>
  </si>
  <si>
    <t>UCmQCEVKEYpKxG8NwXnfIbCw</t>
  </si>
  <si>
    <t>UCOX_JZd-ZAUuKLsGsT7V3oA</t>
  </si>
  <si>
    <t>UCTiD4Pot0vTdXBAGrzacIgQ</t>
  </si>
  <si>
    <t>UCaZH4IkrUrqM6N3D1clta2Q</t>
  </si>
  <si>
    <t>UC8goTCX5OhRg4zMt4TP-Y1w</t>
  </si>
  <si>
    <t>UCm8EZfto3AdXqklkb2k550w</t>
  </si>
  <si>
    <t>UCJCzid90Phh2DkwJqy3BO9Q</t>
  </si>
  <si>
    <t>UCSfX2TUPfxMpE2D2K1-ZZlw</t>
  </si>
  <si>
    <t>UC8zCnnfhz-dvIpVdZ1CheuA</t>
  </si>
  <si>
    <t>UCIDzHZewO-veMFzEYRA9XoA</t>
  </si>
  <si>
    <t>UCR_DANBU9pW-0g5WqY8JYmQ</t>
  </si>
  <si>
    <t>UCfsabKEQf3xlN0VV0HdZaGw</t>
  </si>
  <si>
    <t>UCWJedqvdP2gB2f3qaJCO05g</t>
  </si>
  <si>
    <t>UCqfu1RJHPXG0PIslUsCkb0A</t>
  </si>
  <si>
    <t>UCjdAoZPmtaOJm4LGpFe2s1w</t>
  </si>
  <si>
    <t>UCIsEhwBMPkRHsEgqYAPQHsA</t>
  </si>
  <si>
    <t>UCbxtF9IpNoYXcw0kz5Qhnhw</t>
  </si>
  <si>
    <t>UCcy4Maqhiakwc_bOljVRWUQ</t>
  </si>
  <si>
    <t>UCVj77H7VomTrqMbuAW8xECA</t>
  </si>
  <si>
    <t>UCmZPwfw9rHhRz2ZXdFWSLxg</t>
  </si>
  <si>
    <t>UCeM3IXubMXTH3LdsMQ3VAhw</t>
  </si>
  <si>
    <t>UCz9w07LZwbXRXOZNDrelNKA</t>
  </si>
  <si>
    <t>UCrJm5qFl6qtff8anyYsc6UQ</t>
  </si>
  <si>
    <t>UCLH-LzfcJusjSrT01sfxSoQ</t>
  </si>
  <si>
    <t>UClGuwsqK6Lr7-l88mRsBziw</t>
  </si>
  <si>
    <t>UCQhCB2VRsy3Tuq_5-dv9SBg</t>
  </si>
  <si>
    <t>UCetiwiWVoUBvIHIzYFaEiEw</t>
  </si>
  <si>
    <t>UCxcriVvVwJQ81AHoRwfcd-Q</t>
  </si>
  <si>
    <t>UCw4496t84F_8HvhQPwtmWpQ</t>
  </si>
  <si>
    <t>UCN3DuDf9Abnksfkh8aXyLcw</t>
  </si>
  <si>
    <t>UCGVrxaJHUQHbPSUVDZ8sUVQ</t>
  </si>
  <si>
    <t>UCq4o0-2ANaIlNf_dPL3rjdw</t>
  </si>
  <si>
    <t>UCnAxlXym2KE4ljDMjZ6APIw</t>
  </si>
  <si>
    <t>UCjZfuDrU3FkjPJroH6s1-pA</t>
  </si>
  <si>
    <t>UChWpDQjJf6Ll-_AT4VTINUQ</t>
  </si>
  <si>
    <t>UCWtAX-Wm9mH6KVq9mf-ixJA</t>
  </si>
  <si>
    <t>UC4fuZU2b3UgPpIfAnA2irdQ</t>
  </si>
  <si>
    <t>UCzrvQLPo0Ry_xWu9OzggzDg</t>
  </si>
  <si>
    <t>UC3acOAE6ibnR0B58vYr06Qw</t>
  </si>
  <si>
    <t>UCLAYiGjxDrpJYaBO6FDfMYQ</t>
  </si>
  <si>
    <t>UC0KMy2IyOb8BHz05Kxz-YCQ</t>
  </si>
  <si>
    <t>UCdA2ub46atBXeBfx64L9XXQ</t>
  </si>
  <si>
    <t>UCic9qJKDcwhPW-nudTmoYVA</t>
  </si>
  <si>
    <t>UC_pLPe6zS6O7E2L1M24Tj6Q</t>
  </si>
  <si>
    <t>UC7AoFzxwPv9o1OZPQ0a3iyQ</t>
  </si>
  <si>
    <t>UClf6GDyEMB-Y55seSVdEw9A</t>
  </si>
  <si>
    <t>UCkW4fdemHFspHsK_xCD2n3Q</t>
  </si>
  <si>
    <t>UC1hEszq2UdM1IFtqZqwcibw</t>
  </si>
  <si>
    <t>UCZuiA0ZeQF5fXLD0Vw9rQ1A</t>
  </si>
  <si>
    <t>UCAIqcqwPlNMvIqg1DwpEqPg</t>
  </si>
  <si>
    <t>UCHsGGoTPeXC14ftyoKNHfSw</t>
  </si>
  <si>
    <t>UCs2k3NNHl5iqt2sExe2cu_w</t>
  </si>
  <si>
    <t>UCQ8qFfnqFrLKV69mCkgelSw</t>
  </si>
  <si>
    <t>UCvMYJoiPVsEaJxslWr4TJ5w</t>
  </si>
  <si>
    <t>UCP5oldUs12JFmZe2RBAahOg</t>
  </si>
  <si>
    <t>UCUOJBde9-K1CKiOzwO8hQIg</t>
  </si>
  <si>
    <t>UCFBMauNgAWjFsdyOySdZe7w</t>
  </si>
  <si>
    <t>UCljeK5L_NTOzDaDYL-WI4dw</t>
  </si>
  <si>
    <t>UC5iZg_s9-sp6M0l6NAzVOgw</t>
  </si>
  <si>
    <t>UCJMD2yZf82Zn7mgsCp_uJWA</t>
  </si>
  <si>
    <t>UCaaKcUUrlKx1iLbLOASgzsQ</t>
  </si>
  <si>
    <t>UCoOu4D7foJWfKvcDLxqrF2Q</t>
  </si>
  <si>
    <t>UCfNpmB2rUzgFyQ40rJOizzg</t>
  </si>
  <si>
    <t>UCHYC82sO4Vpbdp_G2LZfIUA</t>
  </si>
  <si>
    <t>UCYscAtSZprxXIrpgq5TDksQ</t>
  </si>
  <si>
    <t>UC81nBIe9RC42vmOCecTqM1w</t>
  </si>
  <si>
    <t>UC_cw2T0WvYdWOj1P6MVWjhQ</t>
  </si>
  <si>
    <t>UC6UaUhlqtbWmhd2FU5q7atg</t>
  </si>
  <si>
    <t>UCiunfudMsIhCj9bgY2gK8Og</t>
  </si>
  <si>
    <t>UC-wDREHgwnNPkunOfhVVVrQ</t>
  </si>
  <si>
    <t>UCUBBWpvzbAagsfNc0x91FZw</t>
  </si>
  <si>
    <t>UCrdPiSPVW0rtRsI002BX8iw</t>
  </si>
  <si>
    <t>UCIbOIlFpyBoG5IfJ2YxP_8w</t>
  </si>
  <si>
    <t>UC3uq3ZSM3excWtbz2gdo-ig</t>
  </si>
  <si>
    <t>UC6AhKCzMSkYl-46Ajx55gOA</t>
  </si>
  <si>
    <t>UCoF3_0B8v2HBnP0adZmFk3g</t>
  </si>
  <si>
    <t>UCjUgDyFD84_lDeD0MsI4T-g</t>
  </si>
  <si>
    <t>UCTj5n_cAxfdAdSwcJfBPvQg</t>
  </si>
  <si>
    <t>UCz8jUkMXddpVFlXAwXS4Z8Q</t>
  </si>
  <si>
    <t>UCA1689_ZsbSvn6GIUz_ywrQ</t>
  </si>
  <si>
    <t>UCx2JNgWJPPTBODN-U56O-tg</t>
  </si>
  <si>
    <t>UCuKT0xiWaH85xEQ5PLjYjow</t>
  </si>
  <si>
    <t>UC7M268IVolstO_A2TwMxZgA</t>
  </si>
  <si>
    <t>UCvP6cno2or7kfDG3tE1eVgw</t>
  </si>
  <si>
    <t>UC-N2GFf6Dmna8NZ51vO--Lg</t>
  </si>
  <si>
    <t>UCCJbgkTCrHxB22NN-fqqoxA</t>
  </si>
  <si>
    <t>UCw8KhLom_CmHSEW_cCGpN2w</t>
  </si>
  <si>
    <t>UCoaH2UtB1PsV7av17woV1BA</t>
  </si>
  <si>
    <t>UCKKFv3rosN-XE0a6r9nxqXA</t>
  </si>
  <si>
    <t>UCMHtmCiPTZmdTfRYtg7hD-g</t>
  </si>
  <si>
    <t>UCo5rM1IZp5rMtjVn5fNhF1g</t>
  </si>
  <si>
    <t>UCRkr9FQwM97a5HPTJZJfg3Q</t>
  </si>
  <si>
    <t>UCMThCyZYyovGRBbNRTUEARg</t>
  </si>
  <si>
    <t>UCDz9p7v8mxJH9naV8Q7fkaw</t>
  </si>
  <si>
    <t>UC6VATPgs8dNHmlL8RNoHdog</t>
  </si>
  <si>
    <t>UCKFlR3uhYBlRPI7AnZN287w</t>
  </si>
  <si>
    <t>UCO3z1FbaXnxh50q-AaTrI_Q</t>
  </si>
  <si>
    <t>UCrELFSY9AWjENcvEiAueTGQ</t>
  </si>
  <si>
    <t>UC_CydIbJiig9zulZh-seJ_Q</t>
  </si>
  <si>
    <t>UC2gQaoCItAC-IbT8RNwWqLQ</t>
  </si>
  <si>
    <t>UCX2xI6iQR70IWlpi23V0gPw</t>
  </si>
  <si>
    <t>UCS8WLwuVszq1g2oeBzboUmQ</t>
  </si>
  <si>
    <t>UC7iVXnTEu6Whc0A1YImrx6w</t>
  </si>
  <si>
    <t>UCEd4xZFi1UVBkvwgkfJDOig</t>
  </si>
  <si>
    <t>UCZxm2LDDLrhbZjEA1wEZwFw</t>
  </si>
  <si>
    <t>UClrxeUyuewpQMeuhvFOoI0Q</t>
  </si>
  <si>
    <t>UC_yuiK5r5fo4i2orrgvub5A</t>
  </si>
  <si>
    <t>UCGeGhS_akOxBWQcSmje6B-w</t>
  </si>
  <si>
    <t>UCGx6pRYnjCboLBkgI0Zq-kQ</t>
  </si>
  <si>
    <t>UCH5EIYdeHf_TSFdalWjY53w</t>
  </si>
  <si>
    <t>UCvQ8MBgbmRYgpc0mGyb6L9Q</t>
  </si>
  <si>
    <t>UCjzSKUpDRZ8evVu7iDE5pkg</t>
  </si>
  <si>
    <t>UCSMsxXvvi-7XvygtsMWRBOg</t>
  </si>
  <si>
    <t>UC07CHp5ikd-AyafR4J2LWkA</t>
  </si>
  <si>
    <t>UCqP3RpStZoM6USp_m07Vk8A</t>
  </si>
  <si>
    <t>UCcyt2iSyrjr3AbxIS7pIXfw</t>
  </si>
  <si>
    <t>UC2f4w_ppqHplvjiNaoTAK9w</t>
  </si>
  <si>
    <t>UCPL5vYeOVuVTtB-DXpeZAqg</t>
  </si>
  <si>
    <t>UCqKt2hgR7DA6ltQpkftvklw</t>
  </si>
  <si>
    <t>UCu-K-NAZu4b9k-BG6G7P90Q</t>
  </si>
  <si>
    <t>UC3aHdsm-cfKcLyVe1O8Xu6A</t>
  </si>
  <si>
    <t>UCbVus-Tz4pL8j7zPoQ--amA</t>
  </si>
  <si>
    <t>UC4EacBmPcZXvr02g78hddUA</t>
  </si>
  <si>
    <t>UCXw0dnfXlCMExVOUpK-iOWg</t>
  </si>
  <si>
    <t>UCnOfl8ZOfBPkYTdXXt4Jj9Q</t>
  </si>
  <si>
    <t>UCCH5vuDYD36FgGYvJ1N9DbA</t>
  </si>
  <si>
    <t>UCLFKCWWw38y4_2JoHFiPj9Q</t>
  </si>
  <si>
    <t>UCaWdnhFAYR4-Hx8X1aaVxSQ</t>
  </si>
  <si>
    <t>UCd3s_V7mJAYQmICrqjfwTOQ</t>
  </si>
  <si>
    <t>UC6KKiblJpZBQqiNvnAMAoWQ</t>
  </si>
  <si>
    <t>UCfrQzyVz_3R2seHH3edN1Ag</t>
  </si>
  <si>
    <t>UCuzDC9g05hef_fCN56wci4g</t>
  </si>
  <si>
    <t>UCX12UiuylTOq1Cq5aPd8xZw</t>
  </si>
  <si>
    <t>UC473btgDx3Gg_6hmqtkUfrA</t>
  </si>
  <si>
    <t>UCjS8OCmHuWdl5aWDUuU0M4g</t>
  </si>
  <si>
    <t>UCPLLdnN_IGmfC-6PMo_MRpQ</t>
  </si>
  <si>
    <t>UC7DyXEfGLhScWFoNOPzo4eg</t>
  </si>
  <si>
    <t>UC_t95Px-WPaiCxMXPy-pKOg</t>
  </si>
  <si>
    <t>UCTN1D_QBrnLAXGjDDFaAFOA</t>
  </si>
  <si>
    <t>UCcLFVR0HR1SZFtjEhh9a_rw</t>
  </si>
  <si>
    <t>UC5ebo42ydvAayGn2Z4Lf9XA</t>
  </si>
  <si>
    <t>UC_4NoVAkQzeSaxCgm-to25A</t>
  </si>
  <si>
    <t>UCklCY9mVH3WvKsfPZndNuAA</t>
  </si>
  <si>
    <t>UC354gvCRGiptv8wkIaWJj5Q</t>
  </si>
  <si>
    <t>UCCDR5El26qpFJW3ke9ySfOA</t>
  </si>
  <si>
    <t>UCyw5iZvI_c15lMFf4kfjRaQ</t>
  </si>
  <si>
    <t>UCNoMj4TkzYL2-gsngrtFpoQ</t>
  </si>
  <si>
    <t>UC9aluEqs9zhTynnsbdJdgjg</t>
  </si>
  <si>
    <t>UC4wBpI2oMIm4VKnN8H2f5Rw</t>
  </si>
  <si>
    <t>UCg1FhtKvrWSqBIuV82waEoA</t>
  </si>
  <si>
    <t>UCVeD_yOSUbl_5fqqmZtEW1A</t>
  </si>
  <si>
    <t>UCstnglENMRhOF17cD6iH6kA</t>
  </si>
  <si>
    <t>UCJS4UHGP6Q3BI-0ZIGrGXgw</t>
  </si>
  <si>
    <t>UCJGh5mrdAuYEy_r6TgjYIdg</t>
  </si>
  <si>
    <t>UCZHpnKeORO9dju0KgtPz6Aw</t>
  </si>
  <si>
    <t>UCOGVJ50mIHQkvFpSzb3_0Gg</t>
  </si>
  <si>
    <t>UCJVSs3f-sSMZcIV89Xs-R4A</t>
  </si>
  <si>
    <t>UCFYE2GR8F1YlKLQ3F7bvY9Q</t>
  </si>
  <si>
    <t>UC84xmd5owjYc5lqT85vuwQA</t>
  </si>
  <si>
    <t>UC3njZ48-FDxLleBYaP0SZIg</t>
  </si>
  <si>
    <t>UCXuvgKlAuWAAHJ2oIn5NtPw</t>
  </si>
  <si>
    <t>UCWKAAgM5L7bExQJkPZIbiaw</t>
  </si>
  <si>
    <t>UC3a4fI5cjd_cl4pz5Rj8mwg</t>
  </si>
  <si>
    <t>UC2NzJuX6FTyOhoBrFj9Ms1Q</t>
  </si>
  <si>
    <t>UCrhW0zH2rAUX1pvpyj2IYgA</t>
  </si>
  <si>
    <t>UCt0YfPvcx9yuUl4C0wOp5CQ</t>
  </si>
  <si>
    <t>UCH3MlNK4MwNavT5ll92qQSQ</t>
  </si>
  <si>
    <t>UC10fimuLkS9foolVzI2MpRw</t>
  </si>
  <si>
    <t>UCdl2OuvBpZQ6PYPjEMLDLlw</t>
  </si>
  <si>
    <t>UCt7HQ5fVT6XZzUdewEAVUmw</t>
  </si>
  <si>
    <t>UC6kVgR3F2bSSRJqOyQm90Ug</t>
  </si>
  <si>
    <t>UCm6YAQPxBgZ2qJoBlmUlVTg</t>
  </si>
  <si>
    <t>UCp57W-eQjbYUPJuTMEfbf1Q</t>
  </si>
  <si>
    <t>UCAyTflLdgVk7E5ZbtbdO_iQ</t>
  </si>
  <si>
    <t>UCgG8-OKq-s734FwZWeTt5rA</t>
  </si>
  <si>
    <t>UCAZiVpzu6oHHLcBQixHH0yg</t>
  </si>
  <si>
    <t>UCQmg6f48mtIOX4DoerGJYWw</t>
  </si>
  <si>
    <t>UCZjxPbi3AeB6YGKCfQ2TroQ</t>
  </si>
  <si>
    <t>UCK-0srt5hdY5m6Zos_NlJZg</t>
  </si>
  <si>
    <t>UCCdymBMKUtoNmgfam-hxLdQ</t>
  </si>
  <si>
    <t>UC0TsozNasaX9GSRVgMymNLw</t>
  </si>
  <si>
    <t>UCBOM9M_wI2ufBcdqscgSLbg</t>
  </si>
  <si>
    <t>UCYwHN0JiK5nZofdI7XoiMKw</t>
  </si>
  <si>
    <t>UCl90rgsYqIKsVHDJLHqKp_Q</t>
  </si>
  <si>
    <t>UCthC9tsY4M1BCGY8EhD_0Ow</t>
  </si>
  <si>
    <t>UCloWBBZ3E9b9NGW3r30DN5A</t>
  </si>
  <si>
    <t>UCON3CEG_4DcSSilx4i_j0-A</t>
  </si>
  <si>
    <t>UCWEK7jbOkR3STLI58UWWyNA</t>
  </si>
  <si>
    <t>UC0XueCdyzMsFLi9UQLiBY9g</t>
  </si>
  <si>
    <t>UCON_gtDQSNnWS1gwBcqgRKg</t>
  </si>
  <si>
    <t>UC9CKy1ai9qI8p6_Oh0Qa3Rg</t>
  </si>
  <si>
    <t>UClqifC6Nd7v-IfTqce4k62A</t>
  </si>
  <si>
    <t>UC6I9xtXwwo87Dik1xMPgLdw</t>
  </si>
  <si>
    <t>UCu8AF2WO__kG5EE7LS5F-RQ</t>
  </si>
  <si>
    <t>UCdZDV8J0WjDQm6RmaS_ENwg</t>
  </si>
  <si>
    <t>UCQObkI1w-DEMc9XzD5fQRlA</t>
  </si>
  <si>
    <t>UCA4xONzZJsT5ATNazu9F1HQ</t>
  </si>
  <si>
    <t>UCOSphW_Jjf1E1FoOM1brMGQ</t>
  </si>
  <si>
    <t>UCGF0Wj0YfbEJqBpSns6PU8g</t>
  </si>
  <si>
    <t>UCYXYA4wnUN79uwxUe0NAW9Q</t>
  </si>
  <si>
    <t>UCFJgLMrHmV8r6JZ4SVuv6Qg</t>
  </si>
  <si>
    <t>UCrhHQd5lAQZz3xRLaCJmitA</t>
  </si>
  <si>
    <t>UC6C0ppqiAnUARdV_Y_QmEQw</t>
  </si>
  <si>
    <t>UCvaMpohMIVypvEWBEOHo1wA</t>
  </si>
  <si>
    <t>UCPxq0YFfk3D5C5LcagzZHdw</t>
  </si>
  <si>
    <t>UCJ2jo7EX_ddd8Dg3pYYNHVA</t>
  </si>
  <si>
    <t>UCRl-o5ehrcEfsVPPY5ovDMQ</t>
  </si>
  <si>
    <t>UC4G0by2AWtWgKkWIekLVQ3Q</t>
  </si>
  <si>
    <t>UC6-2LI8dZ9o4uq4AAnPaKcA</t>
  </si>
  <si>
    <t>UCbZqR4N7w55SsC2dk8_Xrrg</t>
  </si>
  <si>
    <t>UCAKTjLjtq-fC4BR16ax86GA</t>
  </si>
  <si>
    <t>UCeN6elVjcxHCa-Bz4Af0YMg</t>
  </si>
  <si>
    <t>UCooxSYVPp_knmovMSRf6obw</t>
  </si>
  <si>
    <t>UCRnt3WDhjHT30Xs5h9w3gqg</t>
  </si>
  <si>
    <t>UCGUGQv0Wu4oGEkKJ30WmWnQ</t>
  </si>
  <si>
    <t>UCQjPgErJ3xgoUI4SXeKqfzQ</t>
  </si>
  <si>
    <t>UCMr-JhvZnzcXZIIzTKPUYSg</t>
  </si>
  <si>
    <t>UCAgLB5ZShYvKC_df__6IPGQ</t>
  </si>
  <si>
    <t>UCyb5F5HV165PNY58fIuAm_w</t>
  </si>
  <si>
    <t>UCOmrniWfKi-uCD6Oh6fqhgw</t>
  </si>
  <si>
    <t>UCIgELCOfrcYA9jWF4TOJUnQ</t>
  </si>
  <si>
    <t>UC484t-OxeBT3WKPtqCBomBg</t>
  </si>
  <si>
    <t>UCFXbt2Q9HuMog5YB_QiWDjg</t>
  </si>
  <si>
    <t>UC0SLn-hwq9Ypo7DMO9Gq3qA</t>
  </si>
  <si>
    <t>UCNymT-SUL9qnePLsvL0Y_sQ</t>
  </si>
  <si>
    <t>UC63G9kz17ZFvdiJLXRwCISA</t>
  </si>
  <si>
    <t>UCF6-DYhSFBiGZjNtT3lt_UQ</t>
  </si>
  <si>
    <t>UCcC-Qnmrzwkvsh3nDJcR2aQ</t>
  </si>
  <si>
    <t>UCpJmBGAzykHU-AD6Nvd15zA</t>
  </si>
  <si>
    <t>UCzi9LZEbsE8RIbgRR3Sy3KQ</t>
  </si>
  <si>
    <t>UCwdvPgmU5qHPB2NsDLAmS1g</t>
  </si>
  <si>
    <t>UCaLSkUP3yReSALsFnbxAFKg</t>
  </si>
  <si>
    <t>UCcvFvdSUC0NHr-l6fF5q8dA</t>
  </si>
  <si>
    <t>UCSNl_X8otBK2qUj3Zd9X_fg</t>
  </si>
  <si>
    <t>UCGR1yjrScqezllTc2gsAIuA</t>
  </si>
  <si>
    <t>UCCR5eciEJIMvX2o1tiYOUKQ</t>
  </si>
  <si>
    <t>UCZRt-j_jt2acsaYr_yZvzwA</t>
  </si>
  <si>
    <t>UCndYShFYEiu0ov-P2px63HQ</t>
  </si>
  <si>
    <t>UCF3Zesm2_Ndtz7goLKEx54Q</t>
  </si>
  <si>
    <t>UCY5r9XeelQQwUg7-VI10Q7A</t>
  </si>
  <si>
    <t>UCOAeVVRnqh0sYFKvFo-tERA</t>
  </si>
  <si>
    <t>UCoQUbuLbs7Mxl4ojNofrKIA</t>
  </si>
  <si>
    <t>UCu6edg8_eu3-A8ylgaWereA</t>
  </si>
  <si>
    <t>UCIawU7a9wNziyYhIPP7qFxQ</t>
  </si>
  <si>
    <t>UCJMxEj6vqzN6GpiIzxds2iA</t>
  </si>
  <si>
    <t>UCBgFCYav_VU4Mx8lWtJcB0g</t>
  </si>
  <si>
    <t>UCzLDbHyeU0K0eIrBxN4R40g</t>
  </si>
  <si>
    <t>UCQsgVjy3F_FcqZjHySGh1SA</t>
  </si>
  <si>
    <t>UCZzmJCSrOj2MVYexHcNgzZQ</t>
  </si>
  <si>
    <t>UCFbkxcyNll-wdJQhdcOQX_g</t>
  </si>
  <si>
    <t>UCkn7QWNmJftBg-yHla3EJjw</t>
  </si>
  <si>
    <t>UC7nHuQgMQT_UY1-RZPgqc_Q</t>
  </si>
  <si>
    <t>UCZ59avs9ljnIMINolqDo6Hw</t>
  </si>
  <si>
    <t>UCdY62-FmM5cKu9Yf4PY9uGA</t>
  </si>
  <si>
    <t>UCJIm5LTOaqHK1axWi5x7_Ag</t>
  </si>
  <si>
    <t>UCSN7xlto6Hm8rBpiQWsPv2Q</t>
  </si>
  <si>
    <t>UCzGKm5ckI3yNKQSXW1BUNgg</t>
  </si>
  <si>
    <t>UCBi_jWxxwrycd1f48y6jA7g</t>
  </si>
  <si>
    <t>UChwsObrGG0wvx8Er0P6KBDw</t>
  </si>
  <si>
    <t>UCj47q9oGxps7Ub-CONjHc5Q</t>
  </si>
  <si>
    <t>UCF-Ii5VJY__HHkz3qdM78cQ</t>
  </si>
  <si>
    <t>UCGDmTpJLIrpvIhpkLpMQlSw</t>
  </si>
  <si>
    <t>UCw1jqPPpOVzrt2tJMO6bQmw</t>
  </si>
  <si>
    <t>UC51BiewiahRBaLmcvDknVWA</t>
  </si>
  <si>
    <t>UCw_qKx4QAhnrhuOEwhah8ew</t>
  </si>
  <si>
    <t>UCTyFiyAmloGZFNd1MJNWGUw</t>
  </si>
  <si>
    <t>UC7tFhPb_T4H0vuhBuIoIMjw</t>
  </si>
  <si>
    <t>UC7qwmMOCk-q0KaROR7s7lGg</t>
  </si>
  <si>
    <t>UCfgrg0SXgNkZ7rTbnZCp6tg</t>
  </si>
  <si>
    <t>UCXSvLIJ8-G9kNwPCIgbMi3w</t>
  </si>
  <si>
    <t>UCbD8hc3nq-IZOSyjQ_CEP0A</t>
  </si>
  <si>
    <t>UCJeMamdh4_B6G8ImDLB5D7A</t>
  </si>
  <si>
    <t>UCEsoZGXUWTx84ZWOKDeQNig</t>
  </si>
  <si>
    <t>UCTpBzfgC5hcGgiJqLXdLYyw</t>
  </si>
  <si>
    <t>UCXV_YvNIWPdI_NkY1az3rWw</t>
  </si>
  <si>
    <t>UCY-EIUkk001q6NODcDkO9sg</t>
  </si>
  <si>
    <t>UCtB-qn_guRqHxeSJsiVNAXA</t>
  </si>
  <si>
    <t>UC-WX23zRiuLfHdVpTAwEcaw</t>
  </si>
  <si>
    <t>UCfMrnx4UpYI5PaWhQYtb5jQ</t>
  </si>
  <si>
    <t>UCJSWW_cVqZympn_6BEyICgw</t>
  </si>
  <si>
    <t>UCX2IOB5QecICpfcb1GKHM_Q</t>
  </si>
  <si>
    <t>UCAlKCQcF8amfLEqXPh-d8bg</t>
  </si>
  <si>
    <t>UCgo7B-9h9MsXXV8B8oQKzgw</t>
  </si>
  <si>
    <t>UCGBsgCFLzV4hmY7OMv6o-UA</t>
  </si>
  <si>
    <t>UCP_fCvYdM4c6_pJoHXnAGIg</t>
  </si>
  <si>
    <t>UCN1MXjng-rot-pglSJJ9SCA</t>
  </si>
  <si>
    <t>UCmZah1j-0Q_6XovZr6SoVAw</t>
  </si>
  <si>
    <t>UCvj7LHny7g9vGb9l60JRTvQ</t>
  </si>
  <si>
    <t>UCut4AWm6PleokPnB7fxN06w</t>
  </si>
  <si>
    <t>UChV8le4Z7hLCfkl5HwhbdLA</t>
  </si>
  <si>
    <t>UCknjSv8u-_2qpq2h2lHDNaQ</t>
  </si>
  <si>
    <t>UCcVF2Fth-qEA4T1Lhn3CgKg</t>
  </si>
  <si>
    <t>UCn4S6ONdetkpxfuOteHVHhQ</t>
  </si>
  <si>
    <t>UCPsy4hWCtQNyrr2Q3fsq3jQ</t>
  </si>
  <si>
    <t>UCEPA7Lp6OlQCUW5gcj_yfSw</t>
  </si>
  <si>
    <t>UC77yodRQNfWH4MernHI6jLQ</t>
  </si>
  <si>
    <t>UCQRXOTOaLuyuq2ZFg1khlOw</t>
  </si>
  <si>
    <t>UC3m2kLQNIPUqebFAHNfbcAA</t>
  </si>
  <si>
    <t>UCWitCm8cIlCjTnIgayjUhiw</t>
  </si>
  <si>
    <t>UC7jb0PyqdP92KcVTnEgEgjA</t>
  </si>
  <si>
    <t>UCKq9vTC61ppSatFaU0csytw</t>
  </si>
  <si>
    <t>UCHUTERc5j2hDSETAaO6Wq9Q</t>
  </si>
  <si>
    <t>UCmVphJplIkV3ueVa_UjnzRQ</t>
  </si>
  <si>
    <t>UCuFaYqRhNx-0czscbqL98Jw</t>
  </si>
  <si>
    <t>UCjZC9-Ym0UNMxqgcDX4Q0dg</t>
  </si>
  <si>
    <t>UC_o9J_Ru7Ag4F-29C20x7ew</t>
  </si>
  <si>
    <t>UCYkBPW77GRRKzMaXdOEMqMQ</t>
  </si>
  <si>
    <t>UCjNTWXdg8gAk0dqZtSqQ0JA</t>
  </si>
  <si>
    <t>UCg0EF-YK13CmKxO8k_isjYQ</t>
  </si>
  <si>
    <t>UC0Um8gFJciY_3gtlVD0-d1w</t>
  </si>
  <si>
    <t>UC4hNgJV-h0ztWe_ImxID9pg</t>
  </si>
  <si>
    <t>UCj_2_t-iugOjrhv4XUwVFYg</t>
  </si>
  <si>
    <t>UCsaoxVZ4JEnBSE1iJRNGrzA</t>
  </si>
  <si>
    <t>UCsgWoBLs-ykdP8QiBzvXRag</t>
  </si>
  <si>
    <t>UCAov2BBv1ZJav0c_yHEciAw</t>
  </si>
  <si>
    <t>UCfqpOxzQXmYPaniGsLx04AA</t>
  </si>
  <si>
    <t>UCzs0IFdfD9aiwI3GKNve2XQ</t>
  </si>
  <si>
    <t>UCcZiRlCs_sRi7sO6JxaXi2g</t>
  </si>
  <si>
    <t>UCPWqbr91cfbtLHZrHM5GItg</t>
  </si>
  <si>
    <t>UCJoYs6q1R7KE3MWlNqebIqw</t>
  </si>
  <si>
    <t>UCLCqsF0KBNxBrVvKXiQLvSg</t>
  </si>
  <si>
    <t>UC7adUjW8qMUsqO4HHTbwKgg</t>
  </si>
  <si>
    <t>UCbdoEF5n-ybmfWun6mIVDpg</t>
  </si>
  <si>
    <t>UCzGlVbwDxbwMGtipPce90rA</t>
  </si>
  <si>
    <t>UCtGiWOFZPciUBu768EGSWaQ</t>
  </si>
  <si>
    <t>UCZpkUbzY5RlyjWR6JfbV0Tg</t>
  </si>
  <si>
    <t>UCDsdXklhP9jFRpf6h_k_UTw</t>
  </si>
  <si>
    <t>UCn3aOx3FoeRUzVhOHL5U5Mw</t>
  </si>
  <si>
    <t>UCemic2lfe1Tw0n5tApO4VCw</t>
  </si>
  <si>
    <t>UCeLvMDR7VsxrMek-eGNPjOw</t>
  </si>
  <si>
    <t>UC2LxkEsKAr_Qrm_IKESnOnQ</t>
  </si>
  <si>
    <t>UCuOQR3dTM595beZHw7MAJ5w</t>
  </si>
  <si>
    <t>UCiAg9ioqixZIpt7HsQCSMSA</t>
  </si>
  <si>
    <t>UCypbyU1SnkdyWjC4OrChp_Q</t>
  </si>
  <si>
    <t>UCvfEFY2CXJya9zvDHIqFg2A</t>
  </si>
  <si>
    <t>UCyA7Ut9tuAHxxmRqrsu9HDQ</t>
  </si>
  <si>
    <t>UC9IP8ctua5qm9FPqWet0fpw</t>
  </si>
  <si>
    <t>UC7eZNThpjgXe5H0QwBN-XsQ</t>
  </si>
  <si>
    <t>UC7Fnb6VRDdMTnE3eeJqWQPg</t>
  </si>
  <si>
    <t>UCKSgzU2NzD9GZmO7WptZFhA</t>
  </si>
  <si>
    <t>UCio-Vq_QopAdAgJImN-UCYg</t>
  </si>
  <si>
    <t>UCXbzvbdXVLA789Hrjcnkdvw</t>
  </si>
  <si>
    <t>UC5o9eIfWrRDkJeME1J8tn1w</t>
  </si>
  <si>
    <t>UChZYqTJkeYV2r7WETcytdPQ</t>
  </si>
  <si>
    <t>UCZgyue9lnS_cCV6IL4Y0XOg</t>
  </si>
  <si>
    <t>UCgOJNhRYMEzeG1exayTgRWw</t>
  </si>
  <si>
    <t>UCfnyC71I0JrG9Qr92Q-LrcA</t>
  </si>
  <si>
    <t>UCXa_bzvv7Oo1glaW9FldDhQ</t>
  </si>
  <si>
    <t>UCbSvlgKu04hFkfBIyiT6RjQ</t>
  </si>
  <si>
    <t>UCGLqsJQFlRKkJHOOiFR68_g</t>
  </si>
  <si>
    <t>UCqNZPyumu5cRABEIBY-j-eA</t>
  </si>
  <si>
    <t>UCSIR6jaQEvjX87OjgJ_gQtQ</t>
  </si>
  <si>
    <t>UCTkjh7kCxCE5fwtXC8_pkWg</t>
  </si>
  <si>
    <t>UC8vJysEM84zDgoDjYSaQyhw</t>
  </si>
  <si>
    <t>UCSqetNaur-z6CU9EdTV0GPw</t>
  </si>
  <si>
    <t>UCEqQmSSeQ6P-8_iFlbktaDg</t>
  </si>
  <si>
    <t>UCTu6sWhJ-UpwbH6gFtvjqKA</t>
  </si>
  <si>
    <t>UCxpg34fYsU48yIHZ7jMF9NA</t>
  </si>
  <si>
    <t>UCFX0aAmqHDyHE6ZP-iTe4lw</t>
  </si>
  <si>
    <t>UCAGpAMprjGtyK4N0pSuVbaw</t>
  </si>
  <si>
    <t>UCpyc1eTpM1cA3P0ZWym4clw</t>
  </si>
  <si>
    <t>UC90vvN0al6jiqTue87MrgbQ</t>
  </si>
  <si>
    <t>UC_s0g4QdprLkyyN2MDpef7Q</t>
  </si>
  <si>
    <t>UCMzcbznJdqVdCzwzTUwwkfA</t>
  </si>
  <si>
    <t>UCahrjm410rbBv3tPXoS0A6A</t>
  </si>
  <si>
    <t>UCuORhqBX3BinnSSFL5etpCQ</t>
  </si>
  <si>
    <t>UCd1YVRLyCztN-zPfjZ8BbeQ</t>
  </si>
  <si>
    <t>UCv0OryoEC1EUS0L5JpfAx5Q</t>
  </si>
  <si>
    <t>UCOhTQcR3AqDwpqD6FvVwRQw</t>
  </si>
  <si>
    <t>UCKQ5Jj35sjTmJigRtlCPhVQ</t>
  </si>
  <si>
    <t>UC7F_MhjSfTIp8F43lvAS4Fg</t>
  </si>
  <si>
    <t>UCq5gIhlM7Vihj1ER1-SuE4A</t>
  </si>
  <si>
    <t>UC3X1vPZSNgfA4HUjwtPlePw</t>
  </si>
  <si>
    <t>UCj07bxakzjSNSM0GRk_7KOA</t>
  </si>
  <si>
    <t>UCVZ57OkKPAuRJ_wA_Rt4XFg</t>
  </si>
  <si>
    <t>UCCvaKYCnvpX1QH2ljQ9SCUg</t>
  </si>
  <si>
    <t>UCy5mW8fB24ITiiC0etjLI6w</t>
  </si>
  <si>
    <t>UC2YBWSm3HkMGsqpkASGqfyw</t>
  </si>
  <si>
    <t>UC_crUfSpvLAeSxv0VCghAew</t>
  </si>
  <si>
    <t>UC9v4vMSdJRND1YGp7-S8dRQ</t>
  </si>
  <si>
    <t>UCPhY4iS6NNoQwlRLcUYu_tw</t>
  </si>
  <si>
    <t>UCttLEDTJoFAwH6eGUKT7ilA</t>
  </si>
  <si>
    <t>UCO-1p4wZGeKmOlpFEzYTKLw</t>
  </si>
  <si>
    <t>UCColB82bK-IYkxTnJbmiBNA</t>
  </si>
  <si>
    <t>UCezVg4O_jFPWRp3WABa0INQ</t>
  </si>
  <si>
    <t>UCgEM7vuFsoFZH6Yt_i4E1gw</t>
  </si>
  <si>
    <t>UCRP74f4FXxw7ez2iIyUsHSg</t>
  </si>
  <si>
    <t>UCl9UDv_CRR4W6V-6BaAvUOQ</t>
  </si>
  <si>
    <t>UCRcSTKonUFOqNhnc0o1UpVQ</t>
  </si>
  <si>
    <t>UCeRR3gl2xCB68ZO7O_z7cmA</t>
  </si>
  <si>
    <t>UCzMexCw1zaHdDNRWlB7DLfw</t>
  </si>
  <si>
    <t>UCVjX8wZ8MbXREzfp0wDmfrQ</t>
  </si>
  <si>
    <t>UCs31So9tA4tmp40BR8xCTrA</t>
  </si>
  <si>
    <t>UCkcBMCcuoaL-LTaMk3P7vmw</t>
  </si>
  <si>
    <t>UC80y4D7cC4GeJFJDl2ow5bQ</t>
  </si>
  <si>
    <t>UCJo3pC-Qc6ixLnyKyPr0xUg</t>
  </si>
  <si>
    <t>UCf6oNqiUPddWPl6ogwFzd4w</t>
  </si>
  <si>
    <t>UCdYq7o2qlC-YDLrwInVv_mQ</t>
  </si>
  <si>
    <t>UCjURxfHRw7MK-KZWuq1OOPA</t>
  </si>
  <si>
    <t>UCBY74FTTZ06Ei85u6v2e37w</t>
  </si>
  <si>
    <t>UCcanCrgSWVYW7ZFNKQZso0g</t>
  </si>
  <si>
    <t>UCp1mRTkVlqDnxz_9S0YD9YQ</t>
  </si>
  <si>
    <t>UCi2xiPJ8cW8axZec7KFDGxA</t>
  </si>
  <si>
    <t>UCuaErUDVKd4ftDWsImhCQuw</t>
  </si>
  <si>
    <t>UCXFsRaRvY0QBlNC0ZCkB4ew</t>
  </si>
  <si>
    <t>UCDyDMMpHOI1wD_kCaTV0obw</t>
  </si>
  <si>
    <t>UCUC3MxBlewPHrnc8QuvJd9w</t>
  </si>
  <si>
    <t>UCTJJXy5z-MALmQGcoueZW7g</t>
  </si>
  <si>
    <t>UCU9wjWDppQO4Ql-BzKtc5Xw</t>
  </si>
  <si>
    <t>UCH4Vtzi8TL3MP4A22xD_y9w</t>
  </si>
  <si>
    <t>UC0h1SjZLR_D6KV3czLHN7Ew</t>
  </si>
  <si>
    <t>UCcbvrBrRkm_oYcv3lJLQr_A</t>
  </si>
  <si>
    <t>UC9Gdro97RtVLepM4V-s1PoQ</t>
  </si>
  <si>
    <t>UCcTRD6P6N1RmIKFucSqytHg</t>
  </si>
  <si>
    <t>UCXM3b61alvDTJ7BPQ17TfAw</t>
  </si>
  <si>
    <t>UCKvBD4rHWwlFpOhQZVXR95g</t>
  </si>
  <si>
    <t>UCzx33jhpf711MTGGGPano6g</t>
  </si>
  <si>
    <t>UCMsxuWgLcCptDSShBmHtypw</t>
  </si>
  <si>
    <t>UCAmxfj3S7vM82SKbKpGYugw</t>
  </si>
  <si>
    <t>UCe124ZU1109UPKugt7CnIhQ</t>
  </si>
  <si>
    <t>UCbqgDzBvusOKtSWvoePrjLA</t>
  </si>
  <si>
    <t>UCAnR-eKNR4rI_UUOCUK1iTw</t>
  </si>
  <si>
    <t>UCzageIVSvgSN0VbardY4-jA</t>
  </si>
  <si>
    <t>UCnE72uToF4btYedtOFFiyCg</t>
  </si>
  <si>
    <t>UCY6N8zZhs2V7gNTUxPuKWoQ</t>
  </si>
  <si>
    <t>UC0lim_2uDhX1myTjq55AIsA</t>
  </si>
  <si>
    <t>UC1Evb1sw6Y-BriutiG2HsUQ</t>
  </si>
  <si>
    <t>UCUbCjuZsmLUwfQehwkYgrGQ</t>
  </si>
  <si>
    <t>UCHL6h6X_UTa06ujx52VqI5g</t>
  </si>
  <si>
    <t>UC7nPscgXH_anoHYbxyP-XCQ</t>
  </si>
  <si>
    <t>UCBxBMBmDf38cKwXBSe3L4rA</t>
  </si>
  <si>
    <t>UCI53lAX8ahHLBFa7T2AodVA</t>
  </si>
  <si>
    <t>UChx9htfs66rnp45O-ThgWVw</t>
  </si>
  <si>
    <t>UC0xIEjKP3OM-3zHTusWOIWQ</t>
  </si>
  <si>
    <t>UC5rHti2iIMkXL12pxhMLvTg</t>
  </si>
  <si>
    <t>UC9NBQnrKxPkQwbhM6jSroZw</t>
  </si>
  <si>
    <t>UCgBmfNILAlXmGv3CsJ8oFJA</t>
  </si>
  <si>
    <t>UCwaiP3OeyNooiGu9d6K0wXg</t>
  </si>
  <si>
    <t>UC7fQFl37yAOaPaoxQm-TqSA</t>
  </si>
  <si>
    <t>UCPzDoraqPsAkLPAGpiX2V9A</t>
  </si>
  <si>
    <t>UCeKVxnLsOF6bKRJPBauXe3g</t>
  </si>
  <si>
    <t>UC6BX35RIJUH3tRQ3UiQkC1w</t>
  </si>
  <si>
    <t>UC37vNZg-2CZ4YP9vIl55oag</t>
  </si>
  <si>
    <t>UCklqS8A08DwokiTE74EkQmw</t>
  </si>
  <si>
    <t>UCyRKCTZf6Eh7yRZIHopAuLA</t>
  </si>
  <si>
    <t>UCVFuSH4MhR8zldcmHsfgenw</t>
  </si>
  <si>
    <t>UCtq43pSQ5BRNZUNMnjiOmrg</t>
  </si>
  <si>
    <t>UCjJrANqUUeNrONkXsYO4gxQ</t>
  </si>
  <si>
    <t>UCxhBb3kP1gaJwpZpv-1pW5A</t>
  </si>
  <si>
    <t>UC2SzzX6fXWIQvC6OCPvJ4jg</t>
  </si>
  <si>
    <t>UCQ8mTbckLOxjjoYbZ3N1O7g</t>
  </si>
  <si>
    <t>UCXlKdBP5Q6GNcgamvgQ59ZQ</t>
  </si>
  <si>
    <t>UC7gqwlJNGnpsZB9iFNDs50A</t>
  </si>
  <si>
    <t>UCNyo-TZ7V2AHLnVYtUOXZVA</t>
  </si>
  <si>
    <t>UCj11X996RvyriiwW_0SopwA</t>
  </si>
  <si>
    <t>UCu-ByGOiXNZZqa1Y7CYnsMA</t>
  </si>
  <si>
    <t>UCmooNdrAJsqWZ8c0lFYjLNQ</t>
  </si>
  <si>
    <t>UClaQJq84XMtMkL44zDmL-Tg</t>
  </si>
  <si>
    <t>UCF3yTw4qeDEtQx7ieoW10EA</t>
  </si>
  <si>
    <t>UCpO-6n4epEnK-UVG-KLRSqA</t>
  </si>
  <si>
    <t>UCnKlI8bIoRdgzrPUNvxqflQ</t>
  </si>
  <si>
    <t>UCwcycMWfQx7FnuCi8mi6JaQ</t>
  </si>
  <si>
    <t>UC2BNxgNZ4rXjrvtdtj725MQ</t>
  </si>
  <si>
    <t>UCeFPuIrjgPejoS_BbJHLyOQ</t>
  </si>
  <si>
    <t>UCvC3LEC3VvbEpZ7Ui-Y1yBg</t>
  </si>
  <si>
    <t>UCVbtE3-9nT2FzrYesDoYQsQ</t>
  </si>
  <si>
    <t>UC9o0pPwSazYe24NFoargbfA</t>
  </si>
  <si>
    <t>UC6vjUj-4aaaxV5S6XXIAl_w</t>
  </si>
  <si>
    <t>UC8RPTOUzbVhqmOlFbbqstJA</t>
  </si>
  <si>
    <t>UCxpuKVJDFDwJdSnNZaxmWbA</t>
  </si>
  <si>
    <t>UCpE5Pxpx-8aF8fuDCWceauQ</t>
  </si>
  <si>
    <t>UCjgXHzI3nwXAdRWp2sWXlMA</t>
  </si>
  <si>
    <t>UCUinnqDgIsNFleLdkZKbP-w</t>
  </si>
  <si>
    <t>UCAxbrg--mvnIJZ3lYlfUFEQ</t>
  </si>
  <si>
    <t>UCfxxwHTnP6w-OxtfCFPFLlA</t>
  </si>
  <si>
    <t>UCakP9YkpvNlUJafNMVMm9_g</t>
  </si>
  <si>
    <t>UCLTZ5y21NnklrxpU5AfWd8w</t>
  </si>
  <si>
    <t>UCjjX7g9T83GQwp-OwUvoL4Q</t>
  </si>
  <si>
    <t>UCaxp-9Yy92K5rdOR5IMTRMQ</t>
  </si>
  <si>
    <t>UCXY6WdOpOQjbuGi285p5fkg</t>
  </si>
  <si>
    <t>UCPAIZGzCZoh6aBt0mjpFs8w</t>
  </si>
  <si>
    <t>UCfKTQtyChDfWcGjesLCCo3A</t>
  </si>
  <si>
    <t>UC2a8EyBbqn9G84MiGS8KCzw</t>
  </si>
  <si>
    <t>UCIRQPBPjQ_nh-wVnU8yiO0g</t>
  </si>
  <si>
    <t>UCt3rLKLaLCsp3y7NghrMN7w</t>
  </si>
  <si>
    <t>UC8zniFyxlrjLMqByJOqzXJg</t>
  </si>
  <si>
    <t>UCQ64OJCJRmJFU3PtFVXA7dA</t>
  </si>
  <si>
    <t>UCZnEmPdjrqHST-dMnBVhWWQ</t>
  </si>
  <si>
    <t>UCRjuD-HB5Xm3iIK17kiidng</t>
  </si>
  <si>
    <t>UCGLbP4rkR2vA58xW2M1Itvw</t>
  </si>
  <si>
    <t>UCxqWJY1O6dLes-fCmz0icsg</t>
  </si>
  <si>
    <t>UC3ejhoq06gEzXBWmi3OiG_w</t>
  </si>
  <si>
    <t>UCkRpflgoq9XYz7L7V5bozVA</t>
  </si>
  <si>
    <t>UCPOQV3iklWCbqNGKNYFD6eQ</t>
  </si>
  <si>
    <t>UCT2OYGLtOyyui_9MGrnfyzA</t>
  </si>
  <si>
    <t>UCncnlpiTnf89IJrekMKoa3A</t>
  </si>
  <si>
    <t>UC7rrVKpwrAh4F0YlPHkRDBw</t>
  </si>
  <si>
    <t>UCln0yl_aQ1dyp-p47S1JlAA</t>
  </si>
  <si>
    <t>UC_nBuSoephMprIVD-ngJK2A</t>
  </si>
  <si>
    <t>UCFD9HVg7dwjX2y8kuzsdFCw</t>
  </si>
  <si>
    <t>UC34qgLijjhpbpFiorTopc-A</t>
  </si>
  <si>
    <t>UCi_3vuFyK4p0DIRybmKzLdw</t>
  </si>
  <si>
    <t>UCKB51g1kFjNC4YcJFZc1BIw</t>
  </si>
  <si>
    <t>UC7qNptVPmU3XD_j2WZe87IA</t>
  </si>
  <si>
    <t>UCEjRQ7qrHalnvbC6fqEjprQ</t>
  </si>
  <si>
    <t>UC97I07S7pE120EvkIc-2djg</t>
  </si>
  <si>
    <t>UCN2YTiNhfGstE-eLPJ3eFog</t>
  </si>
  <si>
    <t>UCqjKmwtJgE4XO2jyqogBgDw</t>
  </si>
  <si>
    <t>UCJYqqqcGjORLZNwrmT_0AmQ</t>
  </si>
  <si>
    <t>UC349KrEr163YiouvyXPqyng</t>
  </si>
  <si>
    <t>UCkKh0mX-A5uTbk60YutGFxg</t>
  </si>
  <si>
    <t>UC1y_pMWHs35hWzI6xOswEcA</t>
  </si>
  <si>
    <t>UCZDw5adNyEZVGrHH46oZ_pw</t>
  </si>
  <si>
    <t>UCSO0WrbZxXnE1JjQ_vYd5-w</t>
  </si>
  <si>
    <t>UC495CxDZ6Ts7JtS4LaFqZRg</t>
  </si>
  <si>
    <t>UCH78gQSeLFgsgY8K5tcU8xg</t>
  </si>
  <si>
    <t>UCF1ZCW5tq5qQSu80inGPEtw</t>
  </si>
  <si>
    <t>UCtZKX1VYaG6ixamdmv-xphw</t>
  </si>
  <si>
    <t>UCTXsIo5BSAQefDtHRoxaAkA</t>
  </si>
  <si>
    <t>UCI4vUrhPyHdI4XsJ023zIeg</t>
  </si>
  <si>
    <t>UCGnb7w3Vg5Re79ZP6txcuLA</t>
  </si>
  <si>
    <t>UCcxP3vMEVVFafLBasCHcjCg</t>
  </si>
  <si>
    <t>UC1ePkT4Kd_DrO1qK6-o0Qdg</t>
  </si>
  <si>
    <t>UC4950gpY6Qw1lCAcN6gNWwQ</t>
  </si>
  <si>
    <t>UCIzIiQw2vKTJ1T9iseFZ6IA</t>
  </si>
  <si>
    <t>UCdOXo9qWxK_RBrl6WCh5U_w</t>
  </si>
  <si>
    <t>UCc0i7kIIcu6FhhsfMUGa6EA</t>
  </si>
  <si>
    <t>UCsrYnyOJoaLIxCKTRWdy1Cg</t>
  </si>
  <si>
    <t>UCb25kwWi-DQkdWIfi7eGEtw</t>
  </si>
  <si>
    <t>UCdQpFNQdtsnDJWWg_gts9TQ</t>
  </si>
  <si>
    <t>UCtwfxsWcKgOpkfcIkRM7cig</t>
  </si>
  <si>
    <t>UCRpHd7yoytMmLAkHwOJJjJA</t>
  </si>
  <si>
    <t>UCVJprK-z_llrX5mjzabEITw</t>
  </si>
  <si>
    <t>UC9S4dwNL3ZCdtSXjiBQT58Q</t>
  </si>
  <si>
    <t>UCKXoc0LaLfSvjX9Aomt0PAg</t>
  </si>
  <si>
    <t>UCShOERdmAnqqizmgm6LN10g</t>
  </si>
  <si>
    <t>UChKEplrLm0RjiS4u1HEw7vA</t>
  </si>
  <si>
    <t>UCLVu0s81Zf7RwFRf-7Iencw</t>
  </si>
  <si>
    <t>UC8eY8ISIUQw3z777OkIjhmg</t>
  </si>
  <si>
    <t>UCRrC-24ktw9_VMdDyD4l4Vg</t>
  </si>
  <si>
    <t>UCXSu1hX5Rjtz1dOuEcJDTaQ</t>
  </si>
  <si>
    <t>UCrFFZezTiJqdb4qsARhoJBA</t>
  </si>
  <si>
    <t>UCXtYYBFLJH9uMcHBo51PTTA</t>
  </si>
  <si>
    <t>UCsHu-6LsKptUI6JXiE8_TSw</t>
  </si>
  <si>
    <t>UC0TIQqZlCxJ4IxQklHEuLIA</t>
  </si>
  <si>
    <t>UChy4qc0Gt26NsMfldeQ2DMQ</t>
  </si>
  <si>
    <t>UC-Lq6oBPTgTXT_K-ylWL6hg</t>
  </si>
  <si>
    <t>UCr4RgscGzEPiRBgaZqNloIQ</t>
  </si>
  <si>
    <t>UCPNqG27o0v7IilocJ0AMgyA</t>
  </si>
  <si>
    <t>UCB8Z6Sv5iV7bZ3zLBEXACZw</t>
  </si>
  <si>
    <t>UCnodYVsfzgxkrbr4sg2Pvzg</t>
  </si>
  <si>
    <t>UClQe8Cv08ARem7GEHfueBFw</t>
  </si>
  <si>
    <t>UC9fJhqqUjHuIMmUg9hsspog</t>
  </si>
  <si>
    <t>UCUbhtpmudp_9vfmytdcD3lQ</t>
  </si>
  <si>
    <t>UCzZG860wco0uK0J1GUJ1FkQ</t>
  </si>
  <si>
    <t>UCM-QrSHV-iywfINPY9I-RUA</t>
  </si>
  <si>
    <t>UCu4SBfOzjWQxD7YgZDMHKmA</t>
  </si>
  <si>
    <t>UCukOd7nHf07PRHBsV7ttatw</t>
  </si>
  <si>
    <t>UCgbzclo4Mfy_D68w_Bm_xHg</t>
  </si>
  <si>
    <t>UCg48OIfYWyNrUAIM2CLeWLg</t>
  </si>
  <si>
    <t>UC5x741O_kvdCo7TQqe5Wswg</t>
  </si>
  <si>
    <t>UC2eDqWezG-msBQGEudROPQQ</t>
  </si>
  <si>
    <t>UC3D4SmVrLNeLuhRzxhYyqQA</t>
  </si>
  <si>
    <t>UCaVJ3htnVChY_jybGebkpWA</t>
  </si>
  <si>
    <t>UCJwWde9J3Mq-yQuXgfqq7Qw</t>
  </si>
  <si>
    <t>UChVqM-kDRJV26VgbdywK9RQ</t>
  </si>
  <si>
    <t>UCJ-F1ElALMfXS74xaWja8jg</t>
  </si>
  <si>
    <t>UCoi7mlbUebBpQmDtB3L557A</t>
  </si>
  <si>
    <t>UCyXaR6Uh9Gsg_UktdcpnrTw</t>
  </si>
  <si>
    <t>UCNZMOOmPJStgwhiJ3x-MZ_A</t>
  </si>
  <si>
    <t>UC6nCMhA2hqyw6Xa3RYkVoaA</t>
  </si>
  <si>
    <t>UCcv7pQItsjxLsNUrPfDcdAA</t>
  </si>
  <si>
    <t>UCsuIBsIhkrZHcS5XLOLTBVg</t>
  </si>
  <si>
    <t>UCzA4rUy-K3DlFUtQb1Lg0Gg</t>
  </si>
  <si>
    <t>UCg0BZXZm905Jr8g3S05XPIw</t>
  </si>
  <si>
    <t>UCRbP2fAbCBOMiaci7tz_sAA</t>
  </si>
  <si>
    <t>UCjKTHeGY67SWFlTnxvfdlOg</t>
  </si>
  <si>
    <t>UC9ONXesnc2vLVtsRCszOFWQ</t>
  </si>
  <si>
    <t>UCYTDFn2LU594a-3r4bJdS2Q</t>
  </si>
  <si>
    <t>UCD2DXey1TK7rev4VGOBvT_g</t>
  </si>
  <si>
    <t>UC46mkaCxmMOl04fVBOiA9sA</t>
  </si>
  <si>
    <t>UC1XRRtnhJbVmmUt35uTPzJQ</t>
  </si>
  <si>
    <t>UCr_pADpnsYU0vstpsKhroCA</t>
  </si>
  <si>
    <t>UCqRxy3ZIxNTsncy1dUIuzCA</t>
  </si>
  <si>
    <t>UCPfIahQwwXmbI1E4cHw943w</t>
  </si>
  <si>
    <t>UC9zh516XCUhN1EVIdblTXXQ</t>
  </si>
  <si>
    <t>UCQI27SNKdA8n4EtWsYspw6A</t>
  </si>
  <si>
    <t>UCTS6MKBP4KA7V4FQI-j9_nQ</t>
  </si>
  <si>
    <t>UCT2l1PRoMdGy9yjFERb246A</t>
  </si>
  <si>
    <t>UCdupQvA3NlGfyaPaZKWSgTA</t>
  </si>
  <si>
    <t>UClGyZZrTsCNqUl99morKSXQ</t>
  </si>
  <si>
    <t>UCyd65pVw5LedPib6vPKjJww</t>
  </si>
  <si>
    <t>UCJ7CyMMhxnFsvlmUuX94amQ</t>
  </si>
  <si>
    <t>UCk19iYDCu8aV_KTDdELiucw</t>
  </si>
  <si>
    <t>UCEk5D5RfUgAJd3VfCz3vWTw</t>
  </si>
  <si>
    <t>UC8K9ptYhFDTtnUDoz95WJQw</t>
  </si>
  <si>
    <t>UC7TaWp0z7QF7dU6CpBtwzCA</t>
  </si>
  <si>
    <t>UCUKv9os4AZolovN8AS6yyBw</t>
  </si>
  <si>
    <t>UC-Bv3mNHpmThj8Pru6m7Sxg</t>
  </si>
  <si>
    <t>UCdYV_l-cgsMRHZvp0zkmujg</t>
  </si>
  <si>
    <t>UCmxUSaxdeXP5eTfZUSIRSxg</t>
  </si>
  <si>
    <t>UCtNxjL-8WeFZ6LbfrOYgNoQ</t>
  </si>
  <si>
    <t>UCeCAgFOPBU7R-rO4WOKuWRw</t>
  </si>
  <si>
    <t>UCllPdzxctUXHt96Lmze-i2Q</t>
  </si>
  <si>
    <t>UC9IyRve7POZRef7pZJ3Q2LA</t>
  </si>
  <si>
    <t>UCpV-YXzvk_8q_9IWQReFx-w</t>
  </si>
  <si>
    <t>UCTfRFl2lJdoEPWWtNGW9RwA</t>
  </si>
  <si>
    <t>UC3cLf6pTB23nDry7awtxSZQ</t>
  </si>
  <si>
    <t>UC7wr_pLs8KVXkkXWZxHLR0A</t>
  </si>
  <si>
    <t>UCxEUpa2i61uLicbStQtO9VQ</t>
  </si>
  <si>
    <t>UCmUu9dZWflUxUy4xE_hLy5A</t>
  </si>
  <si>
    <t>UCltVEZ6GecWntoZ19FvaWhQ</t>
  </si>
  <si>
    <t>UCet9FEXim3LTgRYf3I8F5nA</t>
  </si>
  <si>
    <t>UCUcvsN9Jqc4RzVvMlJ1y_FA</t>
  </si>
  <si>
    <t>UCwmys8Ytu2vx43J32ZqSflw</t>
  </si>
  <si>
    <t>UCnP6-dbvDfws8eTMC3fcKeQ</t>
  </si>
  <si>
    <t>UCNxOioAL26MIhh7jpCilmsw</t>
  </si>
  <si>
    <t>UC-jxPglhH5SGYlvRRanE_LA</t>
  </si>
  <si>
    <t>UCEQh2aDyPJb35GeuSYCx0Ew</t>
  </si>
  <si>
    <t>UCkbjR_aj2iLVd2_pYSYKWvw</t>
  </si>
  <si>
    <t>UCrubbrdumhsgUksY8kajScQ</t>
  </si>
  <si>
    <t>UCqgdGSJPEKCGwElnwnKGE6Q</t>
  </si>
  <si>
    <t>UCCuVRDBPU8YNZhkPGux1NPQ</t>
  </si>
  <si>
    <t>UCRyu0q6TPe8XZ8z5ixcXtcQ</t>
  </si>
  <si>
    <t>UC-K3euFaZE1ixjRPz8xyFCA</t>
  </si>
  <si>
    <t>UCGpOGelVdrQzwgRNU0la83A</t>
  </si>
  <si>
    <t>UC2S0KiGusFDXWcxwEorulsA</t>
  </si>
  <si>
    <t>UCQrQzVfK15z_8KQIKNJ5NXg</t>
  </si>
  <si>
    <t>UC1HnNIpLeEx3ROMBKT7xYBA</t>
  </si>
  <si>
    <t>UCYXd8ZkJGHy_beLGSk1OB2w</t>
  </si>
  <si>
    <t>UCgqFE36SRlascaK19bmYt8A</t>
  </si>
  <si>
    <t>UCNa4FT2k32uxIiejEA-VhRA</t>
  </si>
  <si>
    <t>UCf7v5xxYy2DJFTkF66rDk-w</t>
  </si>
  <si>
    <t>UC3CvR8uMjSWrbSjHePu0y2w</t>
  </si>
  <si>
    <t>UCnEvxaWfVL91XIYuyQRO5QA</t>
  </si>
  <si>
    <t>UCurtk6gwUZPnccBndhFPNMQ</t>
  </si>
  <si>
    <t>UCrnd6XKL5GPaUt5FE8oAXUg</t>
  </si>
  <si>
    <t>UCgGeTVwsHR2_J-2-lpwP2rw</t>
  </si>
  <si>
    <t>UCjxL3m6G7lirrS3Zr5XB_zw</t>
  </si>
  <si>
    <t>UCZ9NvA_Pr0OA2Qcp-QTtOkA</t>
  </si>
  <si>
    <t>UCeeMRbUIXsBm50CDq0m1d6Q</t>
  </si>
  <si>
    <t>UChftTVI0QJmyXkajQYt2tiQ</t>
  </si>
  <si>
    <t>UCu1GOYV4Rj-qjRu1AztuYzw</t>
  </si>
  <si>
    <t>UCpXkJu0f8EecS4P65v5wDSw</t>
  </si>
  <si>
    <t>UCXzULCWuvbnjm7Q0F6RBKsw</t>
  </si>
  <si>
    <t>UCffs9TWLuHnZpKJwrHGuYVw</t>
  </si>
  <si>
    <t>UCdSRCxAFBn0vYm3xC5_mP7Q</t>
  </si>
  <si>
    <t>UCaXJ64RlIBdL1icYS6ZbXqg</t>
  </si>
  <si>
    <t>UCdpGQQ2dI4X5Zcj6_fyrleQ</t>
  </si>
  <si>
    <t>UCcaEVV7A47J4k9GFcqOOYkg</t>
  </si>
  <si>
    <t>UCgIqOQDTVLS4HEfhaQAxM6w</t>
  </si>
  <si>
    <t>UClslT2ft2ovnWC6ELgKQx_A</t>
  </si>
  <si>
    <t>UC3kNEJgTMm9teWwXQOEh1EA</t>
  </si>
  <si>
    <t>UCECK12d7IT5yNuqbxNYatQA</t>
  </si>
  <si>
    <t>UCYsxkvdYEqzFNdljbma-MMQ</t>
  </si>
  <si>
    <t>UCoxhw7GkSURr8G46SN-d7Iw</t>
  </si>
  <si>
    <t>UCVanWe2bsVBiZfBcV6Pa27w</t>
  </si>
  <si>
    <t>UCkYwlqDr8sBNf0zGolOzF6w</t>
  </si>
  <si>
    <t>UCP-VOOW8qLRAOREgFalOyIw</t>
  </si>
  <si>
    <t>UChvmhjqojqEM9AuawMWWgVg</t>
  </si>
  <si>
    <t>UCKF3xJ7dZIPtriC3GTiuLTQ</t>
  </si>
  <si>
    <t>UCm7xZ9sbqhuARuDDcckh8Jg</t>
  </si>
  <si>
    <t>UC9ni1W9YC_JS6r2cw6ltpRQ</t>
  </si>
  <si>
    <t>UCmoxu62r5ormvzlgBCzKkUQ</t>
  </si>
  <si>
    <t>UCuITtiBlk9cNApMKb-x8dDg</t>
  </si>
  <si>
    <t>UCFUsdrPRWY7_7M3SBnoDHpA</t>
  </si>
  <si>
    <t>UCl7id-iQPjYdwVcVV95j8ww</t>
  </si>
  <si>
    <t>UCPH9W_9ZDQ1gemcCaIxOvCw</t>
  </si>
  <si>
    <t>UCEbADilsbPBsZ0yikWEGQBw</t>
  </si>
  <si>
    <t>UCPBvHOVl_ml3CY7cE7aAXnw</t>
  </si>
  <si>
    <t>UCyGR5vfdIzNj6VRY13nzO-g</t>
  </si>
  <si>
    <t>UCOxSrhP-s9LO5lgxiILfiUQ</t>
  </si>
  <si>
    <t>UCz18UmICSTK9mHtbjnT6eYw</t>
  </si>
  <si>
    <t>UCupP-eshlH7rLssXLqk_Fcw</t>
  </si>
  <si>
    <t>UCN9wd7l72MeOH28F8cvgf1A</t>
  </si>
  <si>
    <t>UCgvKGKLkN9BJ1DvU2opQMnA</t>
  </si>
  <si>
    <t>UCUw9VaiAo02DVLvOzn8JjOg</t>
  </si>
  <si>
    <t>UC3bOIEnFeLmmFn189N3a71g</t>
  </si>
  <si>
    <t>UC__xQiIU59lV0qdHnWIJVZA</t>
  </si>
  <si>
    <t>UClg8gLlTw5bVv_5zM-zm0bA</t>
  </si>
  <si>
    <t>UC0xDxKep0FSP50w9PHo9_BQ</t>
  </si>
  <si>
    <t>UCrjuXJV0UuvaeYvXjQdWDMw</t>
  </si>
  <si>
    <t>UC6vHUVCAJkZkR7PO-wVivGQ</t>
  </si>
  <si>
    <t>UCr-BYW60bAtDcNtz6AoiHZQ</t>
  </si>
  <si>
    <t>UCPP7GcTE9jB0koFzVGTpNWQ</t>
  </si>
  <si>
    <t>UCl65LpG4D14ziZsBU322izg</t>
  </si>
  <si>
    <t>UCBEcDNAGf60igpe1SD31L7A</t>
  </si>
  <si>
    <t>UCmBLIcqOLWwrrAJ-jaCttqw</t>
  </si>
  <si>
    <t>UCtN3EdibbTwHJHQ2Tktvq1w</t>
  </si>
  <si>
    <t>UCI83ypD0duDgFydeeIOw5Hw</t>
  </si>
  <si>
    <t>UCv__5XBCC3lXbs9BRP3SGwQ</t>
  </si>
  <si>
    <t>UCkWikoyGKZVXL1zXe2RbLmw</t>
  </si>
  <si>
    <t>UCYL4XTsXXffnnM_RveJPilQ</t>
  </si>
  <si>
    <t>UCtjUeDrfQvlaY7qEQU7k4CA</t>
  </si>
  <si>
    <t>UCgq3yo_CiroLdMzd3DG3ihw</t>
  </si>
  <si>
    <t>UCdziZq3v_hw6Iy0bhjmQ2qQ</t>
  </si>
  <si>
    <t>UCYrd-GAufj7FMtLwdv4TTUg</t>
  </si>
  <si>
    <t>UCKcd6ftUV4y620v8gH492dQ</t>
  </si>
  <si>
    <t>UCpGXHRVPjzNS9XXa3wga_4Q</t>
  </si>
  <si>
    <t>UCU-1_oPBN_XeKCQ1_FhVZ0g</t>
  </si>
  <si>
    <t>UCQaH0ZD6X6lHA5CC9zfRWqw</t>
  </si>
  <si>
    <t>UCjkuicKYwDKbx7-fRYIGVCw</t>
  </si>
  <si>
    <t>UC67fG4C9-Bi_kRfOregFrPQ</t>
  </si>
  <si>
    <t>UC2UWtuZR3kH-5C26HVMMB6A</t>
  </si>
  <si>
    <t>UClPNxJe-0AGuRuCEo9eWn4w</t>
  </si>
  <si>
    <t>UCBTje3Q6Crs6fbWVoU9lSmw</t>
  </si>
  <si>
    <t>UC6S4YYTB0-kjicarlRoJO4Q</t>
  </si>
  <si>
    <t>UCAH_IybCdaLP6MOH0M9WNhA</t>
  </si>
  <si>
    <t>UCpgL4Fmrs70J5nR2PknBIBg</t>
  </si>
  <si>
    <t>UCHxXI50KkwXXvzoExuImQjw</t>
  </si>
  <si>
    <t>UCrNEibpQVgfj97O1E3ViuIg</t>
  </si>
  <si>
    <t>UCG5TBPANNSiKf1Dp-R5Dibg</t>
  </si>
  <si>
    <t>UC6do60iTcg-A2zh2-Mw_4iw</t>
  </si>
  <si>
    <t>UC-sc9TAs4scvSUMpixFhcLA</t>
  </si>
  <si>
    <t>UCkrhwJgXznk_uEuM1vYCBow</t>
  </si>
  <si>
    <t>UC1HCmCmCHuzWlA8B2z7tSqg</t>
  </si>
  <si>
    <t>UCzKVZcwsxOUlodqqVNh8Few</t>
  </si>
  <si>
    <t>UCEJuyku9vgFEaWF9BOhDGHg</t>
  </si>
  <si>
    <t>UCkqvgURgm0HsiyAVbYLUKYA</t>
  </si>
  <si>
    <t>UCNSkIgYMLDX3tZDNWPnbrDw</t>
  </si>
  <si>
    <t>UCrPBipWhCfKmSjJ7Ph58Lpg</t>
  </si>
  <si>
    <t>UC31ZzlPiOcdCHzMtU6iaNrw</t>
  </si>
  <si>
    <t>UC_FeJbUd9Fl3lIwREjdDWvQ</t>
  </si>
  <si>
    <t>UCCO7hadK1HMgY2NAHJ0TjJA</t>
  </si>
  <si>
    <t>UCkImkB6fhATBXSLZS-bmbxA</t>
  </si>
  <si>
    <t>UC9-sYF5Y6NiqUyj2W0dqsZg</t>
  </si>
  <si>
    <t>UCDuY5016XGXQicCNu3ICkMQ</t>
  </si>
  <si>
    <t>UC9VKXPGzRIs9raMlCwzljtA</t>
  </si>
  <si>
    <t>UCGvNkNliMYQheU0zfMOuwKw</t>
  </si>
  <si>
    <t>UCI6ro6bEGSP7hxnw7y9w7jg</t>
  </si>
  <si>
    <t>UC2-p4-sbN9ejsIgCuL80yJQ</t>
  </si>
  <si>
    <t>UCFopxPIzSmGxO3tlb5cq3RQ</t>
  </si>
  <si>
    <t>UCIIBvOFzDgWaRvxMSFWQ4PQ</t>
  </si>
  <si>
    <t>UCbjxt-hEuVwxgpgBpKhrIXg</t>
  </si>
  <si>
    <t>UC4U5j8zZxVT9xYfXSDKN7aQ</t>
  </si>
  <si>
    <t>UCrq23_7IhvLc5TBYOfS9wpA</t>
  </si>
  <si>
    <t>UC4qXyMvDs6OnNEnjQtinZJA</t>
  </si>
  <si>
    <t>UCNfB3dGHi6X59Twi804nBfQ</t>
  </si>
  <si>
    <t>UCEFROwNzpAVKTjgxBwW_hcw</t>
  </si>
  <si>
    <t>UCA66vNjkHxsrsg_c24tPCMA</t>
  </si>
  <si>
    <t>UCQrEEqN4S5q2eo5xgnSkDJQ</t>
  </si>
  <si>
    <t>UCREjSTFcjv3TMm6DcQcu1yg</t>
  </si>
  <si>
    <t>UCBFHwUVvQFlD6pyiL3Nz55Q</t>
  </si>
  <si>
    <t>UCEQDRQulkFXRxtaG4nmCqUg</t>
  </si>
  <si>
    <t>UCHmbpngBnch0K7PzNd_EgTQ</t>
  </si>
  <si>
    <t>UC8TKuyf3YLLpZyhSSfWeC5g</t>
  </si>
  <si>
    <t>UCQcdPsZg85hCL5SrbWaxqmw</t>
  </si>
  <si>
    <t>UCtBp5FUvxIQV-3Dn4K_43-A</t>
  </si>
  <si>
    <t>UCxey-6Ass0Z7XZPy48WaT5g</t>
  </si>
  <si>
    <t>UCE2wlZa76MBtP4yP_6Oh9XA</t>
  </si>
  <si>
    <t>UC55y8UaV5E_jClKC5i2Fq4A</t>
  </si>
  <si>
    <t>UCgDQ1iWbI3jE3BXPQ9WrdeQ</t>
  </si>
  <si>
    <t>UCPtn9psJHWpkCiGMrImk-OA</t>
  </si>
  <si>
    <t>UCwMNVCXcSWNMS0C8rcRCWxA</t>
  </si>
  <si>
    <t>UCEQdp2Ln2KkuaJQznKysBZQ</t>
  </si>
  <si>
    <t>UCyIDx8HxkAki4Xn57dibzQQ</t>
  </si>
  <si>
    <t>UCe0V40nSRlvKca_Ab0qmiDw</t>
  </si>
  <si>
    <t>UCw8N-DOJvKMA3eEHpwZBviw</t>
  </si>
  <si>
    <t>UCp-Y2Xs9UUX-LK8muCMBZEw</t>
  </si>
  <si>
    <t>UCp4Ii_WWNRygrunLIZmz6UA</t>
  </si>
  <si>
    <t>UCi9c1ZlPAl7R1-GkUiVz8tQ</t>
  </si>
  <si>
    <t>UCUrWdbas60k9F8et9LSzsTg</t>
  </si>
  <si>
    <t>UCxVjtTQJ1oFkQ3iGhOngU3g</t>
  </si>
  <si>
    <t>UCrU83y4nqxHQOkmBIid8IBg</t>
  </si>
  <si>
    <t>UC_ABCKsjQxyKPWQKaAeKLhQ</t>
  </si>
  <si>
    <t>UCfnlC6IW_hOUvhxeNi5tmIQ</t>
  </si>
  <si>
    <t>UCJWInAK0nFgi4TvgJNlreAQ</t>
  </si>
  <si>
    <t>UC9hM3AzdBWylAm5j93U7VIg</t>
  </si>
  <si>
    <t>UCOU5u1rPYslueE8-OTktDJw</t>
  </si>
  <si>
    <t>UCJkMa25_J1VeUITBSuy05Lw</t>
  </si>
  <si>
    <t>UCsPY1ZSHlyO3mR8uwDgnhhQ</t>
  </si>
  <si>
    <t>UCpEwWCE8WIXudatk7QqduMw</t>
  </si>
  <si>
    <t>UCLRIGBQ3iYEvQ6zqz8mWGoQ</t>
  </si>
  <si>
    <t>UCwBK7Cdk0wq8rCjxcvaoHzg</t>
  </si>
  <si>
    <t>UCiYDDqu07eZ6jHhqghPkQRg</t>
  </si>
  <si>
    <t>UC3LtEVr13vCHJti1nYv_bFw</t>
  </si>
  <si>
    <t>UCa58mLerer3ZIjlDWIGUrsQ</t>
  </si>
  <si>
    <t>UCZ0hNUqXDl0YWh3ulUZy1jQ</t>
  </si>
  <si>
    <t>UCLmnb38gWWR2E9h6hP4nBUA</t>
  </si>
  <si>
    <t>UCH0iRQA_hzlRIH2riAEEYXA</t>
  </si>
  <si>
    <t>UCce0wnqiu2LZrP-RQpnZzlg</t>
  </si>
  <si>
    <t>UCe-udlhK-c99taYGHw27bCg</t>
  </si>
  <si>
    <t>UC46bBqt3sf_0jpb0_EV3_sA</t>
  </si>
  <si>
    <t>UCa7y271A_d1YOYS6zSbHsNg</t>
  </si>
  <si>
    <t>UC261_KcN9A6EIie_Rq0vlWg</t>
  </si>
  <si>
    <t>UContdlLWyc4rSawktknVsUw</t>
  </si>
  <si>
    <t>UCK2rNQqY9KQh2Z5sx2pEVwQ</t>
  </si>
  <si>
    <t>UCl4eeqqXO2-x5H3oZCmHkgA</t>
  </si>
  <si>
    <t>UCaCdxEGfJJiu78ggoUXgPmQ</t>
  </si>
  <si>
    <t>UCPJ79zw0s7gkGy4Klcec5Eg</t>
  </si>
  <si>
    <t>UCc7h-w42GLvShOJp9mLEnfQ</t>
  </si>
  <si>
    <t>UCoHRfosJPoNicScREo2ogoQ</t>
  </si>
  <si>
    <t>UC7xI1AfCeWVwhTJo9s8lfqw</t>
  </si>
  <si>
    <t>UCDKld-eQhipWTywkyjVsv8g</t>
  </si>
  <si>
    <t>UCayHunLLwsvSjsRdcqSEtkQ</t>
  </si>
  <si>
    <t>UCukjoAYihvMs_fXztVUlskg</t>
  </si>
  <si>
    <t>UCiMGqWGbvTWb_v9BfzPaAJw</t>
  </si>
  <si>
    <t>UCO93cuz8OldBCCVs9juouGQ</t>
  </si>
  <si>
    <t>UCMmlpasIkauxDudwm7OWARg</t>
  </si>
  <si>
    <t>UCYvHwzRkCgIQEQPh-Xs157A</t>
  </si>
  <si>
    <t>UCV5p6UIuW4xG6ztC6FkYVKA</t>
  </si>
  <si>
    <t>UCmQjwvkaB6MPobHnkNKtJJQ</t>
  </si>
  <si>
    <t>UCVn2FncTxTs_HBYxqLb0Wpw</t>
  </si>
  <si>
    <t>UCX83R1wR2NBD6BU2cdRrXzQ</t>
  </si>
  <si>
    <t>UCGFNZxMqKLsqWERX_N2f08Q</t>
  </si>
  <si>
    <t>UC7eykPlg09noi896kJtwQIg</t>
  </si>
  <si>
    <t>UCzR19uKU0fHRTQAbRqSt1dQ</t>
  </si>
  <si>
    <t>UCz2e8E8lREYtYXFzZtvQ3HA</t>
  </si>
  <si>
    <t>UCqjYwlve_KZZbcnfE9Iv5Ow</t>
  </si>
  <si>
    <t>UCYaUCDFM78nk0AhS1qqHvXg</t>
  </si>
  <si>
    <t>UCcklllzDe6aBb7DUHOCF81A</t>
  </si>
  <si>
    <t>UCdT7aCnfj61pQG1NCp2O1aA</t>
  </si>
  <si>
    <t>UCDDKCR7fXV_86mqMrOsg3eg</t>
  </si>
  <si>
    <t>UCgB3hMtpcrwPhMZ9Nxmwuaw</t>
  </si>
  <si>
    <t>UCSvQIaXSik2emJ83jlwvQLQ</t>
  </si>
  <si>
    <t>UCL3XwUOYlAtHn2acFq315FQ</t>
  </si>
  <si>
    <t>UCKikJALWBXnCI6-yq-XXDnQ</t>
  </si>
  <si>
    <t>UCv0Akm6g843WeURRRy0NS0A</t>
  </si>
  <si>
    <t>UC14aFPpH4jF3FfRQZojCfeg</t>
  </si>
  <si>
    <t>UC4jYxQXFqB5q6INV6WEQC2A</t>
  </si>
  <si>
    <t>UCNBJuY9iYlIDsarkhwqg9MQ</t>
  </si>
  <si>
    <t>UC2SfzR8I4H725YIKTDoyjJQ</t>
  </si>
  <si>
    <t>UCjwyLvP-id9N3PKpGrHDWBg</t>
  </si>
  <si>
    <t>UCNMuaylS0S7JcD5oS5o0b8Q</t>
  </si>
  <si>
    <t>UCGOyVdAdQJksllLtjh6eGtA</t>
  </si>
  <si>
    <t>UC19KvKnSZAmYI41Jam2y1KQ</t>
  </si>
  <si>
    <t>UCZLLuQzWzyu-uw4JRq7TUbQ</t>
  </si>
  <si>
    <t>UCg91dkR-ZnMiIhCXnMRWpFw</t>
  </si>
  <si>
    <t>UCGkySu2BbnUx-A9X2y6cW7Q</t>
  </si>
  <si>
    <t>UCLduA1Vu6SxjX-BLWeayi-g</t>
  </si>
  <si>
    <t>UCy48CHOjMNRFoEQqYN1GbBQ</t>
  </si>
  <si>
    <t>UC0YjNnW6alaNDb7MoFZh-ow</t>
  </si>
  <si>
    <t>UCgEjfmZH0LNhQqZyMuMTsXQ</t>
  </si>
  <si>
    <t>UC6NCA8RHPNYrjH89eeAp7xQ</t>
  </si>
  <si>
    <t>UCbIBOJdk55c-L9OVnE4pIYw</t>
  </si>
  <si>
    <t>UCOh8QRInWH7eetY8mEzE75Q</t>
  </si>
  <si>
    <t>UC0I2zIDen0GCH8TaqN0sxtw</t>
  </si>
  <si>
    <t>UCKlSCO8Tnr1_QUSDNjWCwjA</t>
  </si>
  <si>
    <t>UCGi2Q4YyKiJFiBOx4cGXsgw</t>
  </si>
  <si>
    <t>UCwptzoqZVtgYz0h8aP1RxnQ</t>
  </si>
  <si>
    <t>UCPGfpNJ-LPY-ohZMlJBklGg</t>
  </si>
  <si>
    <t>UCwkhjRhv6CHkQa6EiQmcX0g</t>
  </si>
  <si>
    <t>UC6Z_XF_6BjxIELs8wICbpww</t>
  </si>
  <si>
    <t>UCfSh7LBPbMtrpFyBmlf17Tw</t>
  </si>
  <si>
    <t>UC81kGOT8Dm5j_mCbMg1YJOA</t>
  </si>
  <si>
    <t>UCkjU6pdBfNmoO4dUKMzkIzg</t>
  </si>
  <si>
    <t>UCMaWYdsTGxbAHKSGAMstBbg</t>
  </si>
  <si>
    <t>UCqvVj1LkOpA8tjb7RadTvOg</t>
  </si>
  <si>
    <t>UCos0ZRbvMR00q90TB6gQaqQ</t>
  </si>
  <si>
    <t>UCIiXnFc-q227plcY0_0VC2Q</t>
  </si>
  <si>
    <t>UCaLFNjNObEMwQthrIz3AgrQ</t>
  </si>
  <si>
    <t>UCHca09YXIXzK32mGjOuHjRg</t>
  </si>
  <si>
    <t>UCV4tVRNKyKs27Y2tk3EGZMQ</t>
  </si>
  <si>
    <t>UCsJbtfpVKHM7TRblaE1ucOA</t>
  </si>
  <si>
    <t>UCu6gTJCzGb9FNgwzD6U-G0Q</t>
  </si>
  <si>
    <t>UCZSvcx5livf9FGEcibVLSHw</t>
  </si>
  <si>
    <t>UCAKFvPhIVf4IV66hd-5_kew</t>
  </si>
  <si>
    <t>UCSiZoFK15X9FuaDHc0BT0ow</t>
  </si>
  <si>
    <t>UCU2nVTHqiOAP_q5nkNttlGA</t>
  </si>
  <si>
    <t>UChlXgaMFohHawOH31rDAuvQ</t>
  </si>
  <si>
    <t>UC1k3o_uC52ik9BbQ3Whofnw</t>
  </si>
  <si>
    <t>UCT4J70qT-6HE94d_bAjGg4A</t>
  </si>
  <si>
    <t>UCn3LMWskFryk5RkcCB2REBA</t>
  </si>
  <si>
    <t>UCGbRzfVAZb1TVbQCEaXQCqw</t>
  </si>
  <si>
    <t>UCSAEHA4nwjRFBrU5niu4c-A</t>
  </si>
  <si>
    <t>UCakQcBIYmlb6hq0I4pXgHNA</t>
  </si>
  <si>
    <t>UCabpcbOhYXpi4oy-iRfGfXQ</t>
  </si>
  <si>
    <t>UCi8cCe02oSGS21lHrAcjogA</t>
  </si>
  <si>
    <t>UCQK7t8zJ9dDpPnYfxhAeJpw</t>
  </si>
  <si>
    <t>UCZS-R1UKJSz__NfT4JSg4yA</t>
  </si>
  <si>
    <t>UCY2FmxAIaIxEuBzZaCdj1HQ</t>
  </si>
  <si>
    <t>UCMzfer3jg_vtm50MZXqOBsg</t>
  </si>
  <si>
    <t>UCT0CjhYznK60QHOGEGQODXQ</t>
  </si>
  <si>
    <t>UCcOxI916RtvvgO9AF7FbPyg</t>
  </si>
  <si>
    <t>UCsjd3VJr7yaUuqy07IJKspA</t>
  </si>
  <si>
    <t>UC2FrJXBb3WVAKZ8jpxkZxlA</t>
  </si>
  <si>
    <t>UCr3xiloPSsLDay4NlPZ6yIQ</t>
  </si>
  <si>
    <t>UCxH__rbDqH5uVm8mVBALnJA</t>
  </si>
  <si>
    <t>UCr4Ewp0K16mmjQbZLEr0OGA</t>
  </si>
  <si>
    <t>UCTmj1lotzGSsJpSHbcjtD1A</t>
  </si>
  <si>
    <t>UCzFRfjs5aM2nqwRDpeKzCQw</t>
  </si>
  <si>
    <t>UCDXg7kpthXnmEN_n9wRqW-Q</t>
  </si>
  <si>
    <t>UC8L8R_8VvK5jkr1QCfhp1AQ</t>
  </si>
  <si>
    <t>UCMV4ILxQfeiCRbTLLiCXcJg</t>
  </si>
  <si>
    <t>UCL7pXyhtgb4lK6I2ENLG2wg</t>
  </si>
  <si>
    <t>UCmuSPlchjLraieuEs33mcVA</t>
  </si>
  <si>
    <t>UCeXCKGQEcCqF0ojV7SPQAhw</t>
  </si>
  <si>
    <t>UCQP8HKPyW5QV5c-oLoBDH8Q</t>
  </si>
  <si>
    <t>UCVlNQ5Olu3Uiv5FL8e-yEmQ</t>
  </si>
  <si>
    <t>UC8QZDYMwbYyjW71pWK30gog</t>
  </si>
  <si>
    <t>UCm5wqOv8S9i4xnR_YdpBCZQ</t>
  </si>
  <si>
    <t>UC8ABcHCZg-7DOo5YfNHSVaw</t>
  </si>
  <si>
    <t>UCTXj_utLAzaLtG_W3B-IkrQ</t>
  </si>
  <si>
    <t>UCgDxzDMx9OLBjM1k-b6oGcw</t>
  </si>
  <si>
    <t>UCMec1m9iUC3agiEK-nsndSg</t>
  </si>
  <si>
    <t>UCno7Il827hKNgL7lArqRifQ</t>
  </si>
  <si>
    <t>UCN3FVxVVEonjlAEXlamnPlQ</t>
  </si>
  <si>
    <t>UCmJXBP6ccOwCodih8RZDGkQ</t>
  </si>
  <si>
    <t>UCOnIvQVhGDpkITlbXvlIX7w</t>
  </si>
  <si>
    <t>UCo_TpV4uc-FozyI9KrZm7ew</t>
  </si>
  <si>
    <t>UCMSjsvDuobchFSw5U1SDaqg</t>
  </si>
  <si>
    <t>UCp3T5fUUJootTrVwGDdY6pw</t>
  </si>
  <si>
    <t>UCYg_3sQ0LbKkO-AJSZRnAJw</t>
  </si>
  <si>
    <t>UCGMzrEBiuWxmK7-vjRGGPWg</t>
  </si>
  <si>
    <t>UCMwXzQYeZJ7ml7kQObcvXjA</t>
  </si>
  <si>
    <t>UC9CqYEZ6IN144o-YmJZP1gQ</t>
  </si>
  <si>
    <t>UCjyLJjiHJEdyzaQB8eUDYww</t>
  </si>
  <si>
    <t>UCCX5e1d3Mcj1T8Xyc7ANkvw</t>
  </si>
  <si>
    <t>UCyOp-jf0wiFKDlreqoy5INw</t>
  </si>
  <si>
    <t>UCGYygfy61VHLjdxahKlGPkw</t>
  </si>
  <si>
    <t>UCkKWpg0ZqCBwFd-L6DvTATA</t>
  </si>
  <si>
    <t>UC7Os19ttNnSoL0dQVqQ0XTQ</t>
  </si>
  <si>
    <t>UCwwqtIwgYqtv_RUl8DKW6vg</t>
  </si>
  <si>
    <t>UCUUqw6wGjWuU147ytvwBqtA</t>
  </si>
  <si>
    <t>UCE41HQGI0Ln91HQKQYAn9CA</t>
  </si>
  <si>
    <t>UCzaHixEQXtejyjOIdEAFRig</t>
  </si>
  <si>
    <t>UCKYrFGPx_Hi6EJPQlaw5YZw</t>
  </si>
  <si>
    <t>UCXcPmSjgThvZ5U69Z3B8tlQ</t>
  </si>
  <si>
    <t>UC4BjX3BqigeWAOp0kLkKSIA</t>
  </si>
  <si>
    <t>UCaMaG83fBhaw2wW5yShNjIQ</t>
  </si>
  <si>
    <t>UCk3eWT8H_Hyon__NqbiNqUg</t>
  </si>
  <si>
    <t>UCk37AZtxmQAfemCDrAM4ftw</t>
  </si>
  <si>
    <t>UCpbG0QvrvdpBAegtY_ebeEw</t>
  </si>
  <si>
    <t>UCIW2Hf2i0_bMimQ2hidrfrA</t>
  </si>
  <si>
    <t>UCfP9XMZZhvXar6Tmq5u2JgQ</t>
  </si>
  <si>
    <t>UCy9mbDODzmaRNIKTeqQoHiA</t>
  </si>
  <si>
    <t>UCSlTJnomY7jbqSdpaP3NKjA</t>
  </si>
  <si>
    <t>UC0HVp7ZcUl0-8F_1WTdnITQ</t>
  </si>
  <si>
    <t>UCRiuJZuj-BDudMeMHDRHDMg</t>
  </si>
  <si>
    <t>UCNnN-a-wYCT5qPSVS63_-lw</t>
  </si>
  <si>
    <t>UCivhspq9t4QYUK1HGQsD0gw</t>
  </si>
  <si>
    <t>UCzfkaSiYk6tlaeh6g5pJTUw</t>
  </si>
  <si>
    <t>UCPMDhcBogBPsrGQWf5qnArg</t>
  </si>
  <si>
    <t>UCCgPaAdKngEyHI8Bwmj9Dxw</t>
  </si>
  <si>
    <t>UC7YiIbvHoF2nm4ILb8z_u7A</t>
  </si>
  <si>
    <t>UCuNr_1HThlVxHGUlpC6pDGA</t>
  </si>
  <si>
    <t>UCKus4cACc23dxnGtapKn3og</t>
  </si>
  <si>
    <t>UCNMCLJlFSqiUb1EnXII3zhQ</t>
  </si>
  <si>
    <t>UCq3AOBEYM_603_3nw7cO-wQ</t>
  </si>
  <si>
    <t>UCtWYTlLYoN76JgvhiJjdevQ</t>
  </si>
  <si>
    <t>UCTmo6Mwiw6IXJ-_8Vgzg-tw</t>
  </si>
  <si>
    <t>UCRXuOk2U792ckMIa8guVB3Q</t>
  </si>
  <si>
    <t>UCsJz_2AY9gM-v4mPbkeatwQ</t>
  </si>
  <si>
    <t>UCUAzH52yyGniSDFDBbVVmdg</t>
  </si>
  <si>
    <t>UCfU-hzd3TCgK2z41SKcqqXA</t>
  </si>
  <si>
    <t>UCKtcc8SgtIQ3WyhIga0Fzuw</t>
  </si>
  <si>
    <t>UC8G8fWlJTj1BpmBtCQL-4JQ</t>
  </si>
  <si>
    <t>UChCt_TlRW3HSUubweFNzKNw</t>
  </si>
  <si>
    <t>UCYE196FOgK9PjXsfAaLHwTw</t>
  </si>
  <si>
    <t>UCKHgcjUnD4iptFN70XbuKfA</t>
  </si>
  <si>
    <t>UCOBtGJgbBY-v43OvkiWVrnw</t>
  </si>
  <si>
    <t>UCQCWud-wZfd18wZ7kxNe4PQ</t>
  </si>
  <si>
    <t>UCC7efdpFLJZQ3ekEgRUEJ9g</t>
  </si>
  <si>
    <t>UCE_uRktV4Fh9VbN3bl9tATw</t>
  </si>
  <si>
    <t>UCkjoHfkLEy7ZT4bA2myJ8xA</t>
  </si>
  <si>
    <t>UCksVr8lIwOPd1UtJkE3mdJQ</t>
  </si>
  <si>
    <t>UCLZ5zqg3DHDTnjfUUv3gX4w</t>
  </si>
  <si>
    <t>UCeMepUlAYyqintZfnxneFXg</t>
  </si>
  <si>
    <t>UCIAZbIzdrlqrBkx0YS1dE8A</t>
  </si>
  <si>
    <t>UCKAN892rlYqn1GY038fUEvg</t>
  </si>
  <si>
    <t>UChjOMfFEJ6uNWMiJPKnonWw</t>
  </si>
  <si>
    <t>UC8R7YzmI67W6efiOmlfF6uQ</t>
  </si>
  <si>
    <t>UCtbYqEkfmBqXwOd6a5U4_7Q</t>
  </si>
  <si>
    <t>UC_x4ZMVpA_PMqMC-gzxH4aQ</t>
  </si>
  <si>
    <t>UCW_TIK76420IXT65grYVrwA</t>
  </si>
  <si>
    <t>UCIWfLaeOUCi2PnTHTPvANhA</t>
  </si>
  <si>
    <t>UCa-oGc2zyXADUr1ohwchLNA</t>
  </si>
  <si>
    <t>UCsC61voCIlH9UilBhDZTYzQ</t>
  </si>
  <si>
    <t>UC7iLnwfWTSxpw2uC_2xLHcg</t>
  </si>
  <si>
    <t>UCZCFT11CWBi3MHNlGf019nw</t>
  </si>
  <si>
    <t>UCrJtr5S4B9zxq1J4wZirXpA</t>
  </si>
  <si>
    <t>UC2fpiorMFNMHUNp1xF3yehA</t>
  </si>
  <si>
    <t>UCihLNfwtBIihjaM0VJXn0zg</t>
  </si>
  <si>
    <t>UCkvRE7QapbwT97rFj40u1Dw</t>
  </si>
  <si>
    <t>UCmly8yFk82bDeWrPMm2HInA</t>
  </si>
  <si>
    <t>UC0f_3P7S_CjNn3ipPQxBQLQ</t>
  </si>
  <si>
    <t>UCXzOPXsOLCJQcy1LUtUaUdg</t>
  </si>
  <si>
    <t>UCe87mEpxvny4bp3C5-maFGw</t>
  </si>
  <si>
    <t>UCA7NHP6iYLDGmFsnrNcD74Q</t>
  </si>
  <si>
    <t>UCNh1egMomGI3hjJ0DHExdUg</t>
  </si>
  <si>
    <t>UCQ60JFypHS_hvZadpnjdGbQ</t>
  </si>
  <si>
    <t>UCmnEsLQNA0P-t541TmQAdFA</t>
  </si>
  <si>
    <t>UCOTH8Ug_KMvfiWx_TTouqCw</t>
  </si>
  <si>
    <t>UCuQpcZjy4i6IUy88kvkVd2A</t>
  </si>
  <si>
    <t>UC5jYE8I9OXtkUE50X534DhQ</t>
  </si>
  <si>
    <t>UChsMXGUb6KiyQEw5jwR-JAg</t>
  </si>
  <si>
    <t>UCUtOBay7y4UzlYrUyFHbBDA</t>
  </si>
  <si>
    <t>UC7r6YicDjoE_CzEM0h3Trww</t>
  </si>
  <si>
    <t>UCj3-6UdxvMeARLRP6sEq7vw</t>
  </si>
  <si>
    <t>UCa8G8VGSx-xOe3Z7kCRBLyA</t>
  </si>
  <si>
    <t>UCjiPxzIyNtfQ2HZZ1eVjZlg</t>
  </si>
  <si>
    <t>UCG1LNHAZl7UT8igKJ_Gg_-A</t>
  </si>
  <si>
    <t>UCjfvvW4x5Wf6NkEr3Z9Mkgg</t>
  </si>
  <si>
    <t>UCZnirBhyCVAKA2i-K9i-cNQ</t>
  </si>
  <si>
    <t>UC2PKHjgNzCpQW_PjrNIL_7A</t>
  </si>
  <si>
    <t>UCtPtN1WnIJTWBnY8UGsRl_A</t>
  </si>
  <si>
    <t>UC0iiPDABxXax-0CstSKHEhw</t>
  </si>
  <si>
    <t>UCP3VXqnagI9RwE5skWBTHJQ</t>
  </si>
  <si>
    <t>UCSVvcw3fzgeA1PXjmsH7k2g</t>
  </si>
  <si>
    <t>UC9QTPQr1BMZXwUFJ0o0KTvQ</t>
  </si>
  <si>
    <t>UCi2G9ohi72VcvTgTdbdOXmg</t>
  </si>
  <si>
    <t>UC1iljUaI3J9Ir0U8oKcnraQ</t>
  </si>
  <si>
    <t>UCZiKYUwDEM-KG0RNwbyfOBw</t>
  </si>
  <si>
    <t>UC9mnhwuXFvXhZg0p-3lWyzg</t>
  </si>
  <si>
    <t>UChnK-EoSW6er1qtWkwnJDRw</t>
  </si>
  <si>
    <t>UCWLGk_kByEZZFdiofH_zOLg</t>
  </si>
  <si>
    <t>UC5_w_K68sorikI3Qp-q4e1A</t>
  </si>
  <si>
    <t>UC8OCoGX9tmMneOzIFUTWq2Q</t>
  </si>
  <si>
    <t>UCa-887S8qGCgxwJav-o6mKw</t>
  </si>
  <si>
    <t>UCC0X138UF0QD97aHO7MOGWA</t>
  </si>
  <si>
    <t>UCeP4oj6TsUlnlzQqUzKxUjg</t>
  </si>
  <si>
    <t>UCnw8VSv2dpitq5WneisxBCg</t>
  </si>
  <si>
    <t>UCs-4FDk4iSuJo0B0XAVqImA</t>
  </si>
  <si>
    <t>UCneQdPbDLwZ__ZXP0YVwiag</t>
  </si>
  <si>
    <t>UCYiXp5BvVm1UPxeAU3eRKEg</t>
  </si>
  <si>
    <t>UCp5N1RcLG8w2XIcnQBiAamQ</t>
  </si>
  <si>
    <t>UCxo45-IJiod73wimjR62XwQ</t>
  </si>
  <si>
    <t>UC29hhUv0eeg_LjVLcHepHJw</t>
  </si>
  <si>
    <t>UCOVasAAvzwCvR1QFaxFlpQA</t>
  </si>
  <si>
    <t>UCbwXnUipZsLfUckBPsC7Jog</t>
  </si>
  <si>
    <t>UCovJEbo4mfudaX0VoZblQRA</t>
  </si>
  <si>
    <t>UC0bd1IAfOijSGAZQYhpEypg</t>
  </si>
  <si>
    <t>UCZnV1hkn5A3fdpTOVi60tzg</t>
  </si>
  <si>
    <t>UCKSGmEx5nKZCgjRny-9LaWQ</t>
  </si>
  <si>
    <t>UCRWFdLzS_2x2QvOHXzEYeuw</t>
  </si>
  <si>
    <t>UC2hVHyEU3alXMf2oUwUonoA</t>
  </si>
  <si>
    <t>UCyEg8coMiEbU2qAVyCkbMhA</t>
  </si>
  <si>
    <t>UCZeiFzYDW2MRYUCfk6_IuJQ</t>
  </si>
  <si>
    <t>UCvOKCA1sZ10NTd2BPGQKmfg</t>
  </si>
  <si>
    <t>UC1vp61AWUWi-vSp1xY2zoPA</t>
  </si>
  <si>
    <t>UCgRf62bnK3uX4N-YEhG4Jog</t>
  </si>
  <si>
    <t>UCIihexFQucy1Sm7V7yvL_mA</t>
  </si>
  <si>
    <t>UC2cfJZ-gQBZzLPckzTZlZSw</t>
  </si>
  <si>
    <t>UCwh_2Tw0JzkOEv74yvc20IQ</t>
  </si>
  <si>
    <t>UCjbQpmAw7URU7qSa4Ut26dQ</t>
  </si>
  <si>
    <t>UCiQLg9dp-ui4YzBWrce9Dsg</t>
  </si>
  <si>
    <t>UCqPOSwp5qEyiobGkvbW71Yw</t>
  </si>
  <si>
    <t>UCc5MOASmB88rdvyf2LBa-rA</t>
  </si>
  <si>
    <t>UCxxh5ogyQagKombRpOC_7Fw</t>
  </si>
  <si>
    <t>UCOFZYidKeJaoFrOx3l2wK7A</t>
  </si>
  <si>
    <t>UCadPKrZKWAuyA6klaA3zp2w</t>
  </si>
  <si>
    <t>UCnXt2toLLxXDDHGj2OR5_8A</t>
  </si>
  <si>
    <t>UCTu47HRZ8I8Y-4teHFkpgbg</t>
  </si>
  <si>
    <t>UCObEtPlqKoe-teUhbqkI9mw</t>
  </si>
  <si>
    <t>UCLeK6v8-lQJgHTZDzfsOqCw</t>
  </si>
  <si>
    <t>UC5t7SDwRd4LKGCwBebbG9AQ</t>
  </si>
  <si>
    <t>UCLQJkseoOWkevsA0RKZOetQ</t>
  </si>
  <si>
    <t>UCDMXq5B7zaiM3AxIG-kQHiw</t>
  </si>
  <si>
    <t>UCrr7tDhiiJsnVtlNaAJXDTg</t>
  </si>
  <si>
    <t>UCMThgJrCMjCVsMV3F2mngpA</t>
  </si>
  <si>
    <t>UCVHRpb5_uQRKnCTnmGagsfQ</t>
  </si>
  <si>
    <t>UCw791YE5ppNOG4N1_oD4xxQ</t>
  </si>
  <si>
    <t>UCAsVow-8MdMejn4LpwzWDWQ</t>
  </si>
  <si>
    <t>UCY3cHUi4DFx-DyGBlH-tVjw</t>
  </si>
  <si>
    <t>UCZYbdpG4VSnXwaxfa5gKW1w</t>
  </si>
  <si>
    <t>UCSHIuVGOU65gX16_tLr0_IA</t>
  </si>
  <si>
    <t>UCg6gBp92yr7JHXBO1QyQzkA</t>
  </si>
  <si>
    <t>UCqvLMQTESUNc67-72v5mgfQ</t>
  </si>
  <si>
    <t>UCa7KBQxQ5DOs2DvWv7TvoGQ</t>
  </si>
  <si>
    <t>UC5fcjujOsqD-126Chn_BAuA</t>
  </si>
  <si>
    <t>UC273SUYRAV2gh3UAicZE2WA</t>
  </si>
  <si>
    <t>UCNU_lfiiWBdtULKOw6X0Dig</t>
  </si>
  <si>
    <t>UCCLzJP8T09kuoy3OGPHNs5g</t>
  </si>
  <si>
    <t>UCSh3OOAiMQkf3ooPQ_N7qPw</t>
  </si>
  <si>
    <t>UCc3D__Pi5zfQsSP0bshZ9BA</t>
  </si>
  <si>
    <t>UCmDgY7fZKvgatlO0Tib2ggQ</t>
  </si>
  <si>
    <t>UCKX_3XEl26TfCUtPDg3fRiw</t>
  </si>
  <si>
    <t>UCMuXGzMQX65XcPs-zC5P39g</t>
  </si>
  <si>
    <t>UCYX7HZKLvs8c3oEnPhoKj0g</t>
  </si>
  <si>
    <t>UCOL4iXbiD_L-n72EGZuvcGg</t>
  </si>
  <si>
    <t>UC_a4JW3ZQGpVX6ts-eJUAHA</t>
  </si>
  <si>
    <t>UCVKJPyNj5PK41sCTw1Vp7Kw</t>
  </si>
  <si>
    <t>UCQRH7_cZJo4jJ_csATLMpqg</t>
  </si>
  <si>
    <t>UC-tlAxUZWbE4uazRE3-dWWw</t>
  </si>
  <si>
    <t>UCxkutMZWzC4cd0p3SNGmueA</t>
  </si>
  <si>
    <t>UCFrjzbol2Zy-FaKaCIKIDVA</t>
  </si>
  <si>
    <t>UCTidN7Gwqm3Bue8WaNXx0Ew</t>
  </si>
  <si>
    <t>UC_7hEWbpvZmbgW8zGC1LgiQ</t>
  </si>
  <si>
    <t>UCH3GqX5kJew_o_jC2ZQB_AA</t>
  </si>
  <si>
    <t>UCgkY1fdNSGJ-0n0NROMe9kw</t>
  </si>
  <si>
    <t>UCqosbxVLcnhDCAGdEr-fVCQ</t>
  </si>
  <si>
    <t>UC0z6B6GjsB0ghAt9F_q38VA</t>
  </si>
  <si>
    <t>UCSqFmsraqqBf4TMy8HLNlSw</t>
  </si>
  <si>
    <t>UCPX1sngcKxui4ivVbVmb_5w</t>
  </si>
  <si>
    <t>UCFAr3FQxRhSzVNOD3vq1gMQ</t>
  </si>
  <si>
    <t>UC-pfXsfnxfVLnIUuVI0eklQ</t>
  </si>
  <si>
    <t>UC8qPi_UNRTEFaTabpzOrFOA</t>
  </si>
  <si>
    <t>UCqcEJq8oTXLFOu7YdkEASFg</t>
  </si>
  <si>
    <t>UChSmPisHeT_WU2utALjD_GQ</t>
  </si>
  <si>
    <t>UCXXq0jk9-22hDAYL2GgL6Wg</t>
  </si>
  <si>
    <t>UC4boCfffRCv06xxYDnuJBRw</t>
  </si>
  <si>
    <t>UCw-13d9x4WaKNW21k0GSHmQ</t>
  </si>
  <si>
    <t>UCOBm5PAfMS7wy_WYPvGjSiQ</t>
  </si>
  <si>
    <t>UCxocjKIYgC7bDdAFrNm0f1g</t>
  </si>
  <si>
    <t>UCX56XWkzt1NHIoSIrreA5xw</t>
  </si>
  <si>
    <t>UCI97XgPe9i0Po7bBHsoTxkQ</t>
  </si>
  <si>
    <t>UCHChNsBtUQNlo8ysKVtNTPA</t>
  </si>
  <si>
    <t>UCKkASYweDWH_Nqo8rr0SIDA</t>
  </si>
  <si>
    <t>UCwZVrhC7kJNE1aV5coPiPwA</t>
  </si>
  <si>
    <t>UCzqCnSNqjrow61UvN6hIXKA</t>
  </si>
  <si>
    <t>UCd5Os4gT74gxngzUYqGUzzg</t>
  </si>
  <si>
    <t>UCUJl8Do5ipeL5NCWSdnkOFw</t>
  </si>
  <si>
    <t>UCf1IUYdQ_emhGuDOCWneUQQ</t>
  </si>
  <si>
    <t>UCkB-7WQJXmP8n9ZZoqV5KdQ</t>
  </si>
  <si>
    <t>UCr8mTakhc_Xg8RZWorwrSjg</t>
  </si>
  <si>
    <t>UCx0RH4u8HUbrC6vn_QRR1ww</t>
  </si>
  <si>
    <t>UCBs14xuFbPX6Gq8FxORrx_A</t>
  </si>
  <si>
    <t>UCs0L7nf_UTKKYkOlmoHJUGg</t>
  </si>
  <si>
    <t>UCzR_54cXZM6JoUPz4jfZUPg</t>
  </si>
  <si>
    <t>UCMd07ilsid_BHjBkOVXTN3g</t>
  </si>
  <si>
    <t>UC87YUJ762K_5ufU2B4t_oNA</t>
  </si>
  <si>
    <t>UC8vebkSeSpj--oMpoZfpSjw</t>
  </si>
  <si>
    <t>UC6KuMhg4ZzhZxiB8vDmY4wg</t>
  </si>
  <si>
    <t>UCsbrh297T27EZVf8qnLQTdQ</t>
  </si>
  <si>
    <t>UCLVECJWnapbCQ3FokW19cFQ</t>
  </si>
  <si>
    <t>UCtBSbtxzUe6RBplXLt0H2iA</t>
  </si>
  <si>
    <t>UCWA5c-eNEUAwWnsz-6izHZQ</t>
  </si>
  <si>
    <t>UCEwMEEBp3WfQLNXQhXM_J4g</t>
  </si>
  <si>
    <t>UC6YkjPEeAsM2-6TWyk25OJg</t>
  </si>
  <si>
    <t>UC66Myveo_O0VetLm-4aSNTw</t>
  </si>
  <si>
    <t>UCZg4oSWqniibAcblXMxumtA</t>
  </si>
  <si>
    <t>UCKJx-AjPsu3nJuOhfDOvx-A</t>
  </si>
  <si>
    <t>UC475kSwAr2v08vxZ3n2Sfvw</t>
  </si>
  <si>
    <t>UCeBBy-IqsJxGlt-QcWj35Kg</t>
  </si>
  <si>
    <t>UCja2jnO4XXv3WszxNIMwBIQ</t>
  </si>
  <si>
    <t>UCIpN4Y3Pt00Q9KoQMWI77_Q</t>
  </si>
  <si>
    <t>UCoxB4OnBY2y_xxBdPPAWt4Q</t>
  </si>
  <si>
    <t>UCm40kSg56qfys19NtzgXAAg</t>
  </si>
  <si>
    <t>UCb8AiNJEAKunasXcn66TjtQ</t>
  </si>
  <si>
    <t>UCgUCgVN39J_9tYiBynbVqfg</t>
  </si>
  <si>
    <t>UCxxljSYY8VfF6e0HnAoCWtg</t>
  </si>
  <si>
    <t>UC0Y45Kd_AkCEGg-EHlEh4Zg</t>
  </si>
  <si>
    <t>UCEG5tkfQx_7LcBd43HLRB2g</t>
  </si>
  <si>
    <t>UCid1KzwLPMJxMCCNDwPwH4w</t>
  </si>
  <si>
    <t>UCflmr7Tyyy38MaAENetim_g</t>
  </si>
  <si>
    <t>UC0W0lqAqZFJnoVPy0mz23EA</t>
  </si>
  <si>
    <t>UC65I415_fRUE8mIusMWjZ8g</t>
  </si>
  <si>
    <t>UCZiOU0XoIPHHplNePB_jaNg</t>
  </si>
  <si>
    <t>UC5QU4jsRC31ShrK8y8Ph5gw</t>
  </si>
  <si>
    <t>UCHCaK6-vxnPXgjHKbSi2Duw</t>
  </si>
  <si>
    <t>UCV3AkAsIDQjNQJHQgYwXjQA</t>
  </si>
  <si>
    <t>UC6hTfcDdPADVNUrxXKDlYTg</t>
  </si>
  <si>
    <t>UCcjEl-mULYnSKhsqaG7XSaA</t>
  </si>
  <si>
    <t>UCOo1wW0llRhP3q7H4Z4z1Zg</t>
  </si>
  <si>
    <t>UC3bARXG3Ge1Wmy0w1NvcFgA</t>
  </si>
  <si>
    <t>UCjD_oFXbVfCDhGEsHunI-hg</t>
  </si>
  <si>
    <t>UCFCVk6D-M2l7keq5rG-USfA</t>
  </si>
  <si>
    <t>UCWrEP6EbEMldsSG90kF7eGw</t>
  </si>
  <si>
    <t>UCelxoc1vYhrNgODd-LZpDtA</t>
  </si>
  <si>
    <t>UCXxcQ_YZA54LQMHamBIw8MQ</t>
  </si>
  <si>
    <t>UC3NxURVtCt01hrYWof-MC1g</t>
  </si>
  <si>
    <t>UCLu0SEEUn9aZs3n8eI7HCeQ</t>
  </si>
  <si>
    <t>UCr4Z40lNLlRQ5hZCorJvWrQ</t>
  </si>
  <si>
    <t>UCz6bsE-JWziWZlgLK-ESkYg</t>
  </si>
  <si>
    <t>UCIPW2ITBPWv-YzVK7fxRbMQ</t>
  </si>
  <si>
    <t>UCAZw0J8soKdCvEo2Z6fB9dw</t>
  </si>
  <si>
    <t>UCpKvaNnPFE-IZ2MYefn-1kw</t>
  </si>
  <si>
    <t>UCkGS_3D0HEzfflFnG0bD24A</t>
  </si>
  <si>
    <t>UCAOwL15bV6JThzY4rRuA9vA</t>
  </si>
  <si>
    <t>UC2bBsPXFWZWiBmkRiNlz8vg</t>
  </si>
  <si>
    <t>UCUbrjhyuKLULARPBSbskB3w</t>
  </si>
  <si>
    <t>UCx2-h_2Ur0tKLPbqncrR8tA</t>
  </si>
  <si>
    <t>UCIhyR9uxt0dpX-KdFbpbsiQ</t>
  </si>
  <si>
    <t>UCF_R1_yPD9Eh2dIDA-ZZ3eg</t>
  </si>
  <si>
    <t>UCgq_XWjYQ00SN0h8Mq78bZQ</t>
  </si>
  <si>
    <t>UCOg1YZJNGVEtaD3-aCNiXiQ</t>
  </si>
  <si>
    <t>UC1us_5zIzmAgsYaFNSu1juA</t>
  </si>
  <si>
    <t>UC_MqdgmUqvRZxhMI6fkRkcw</t>
  </si>
  <si>
    <t>UCA7YUDLwkJCg-YBoFwAC3Pg</t>
  </si>
  <si>
    <t>UCsVdBczDAVrIlrkyJNLzdGw</t>
  </si>
  <si>
    <t>UC_Yb4BuiqYEBWiVJDlEH3ww</t>
  </si>
  <si>
    <t>UC3925QSRN5Pxd2GSre0l76g</t>
  </si>
  <si>
    <t>UCU8YiKAj3EUd6IE7QG1BThQ</t>
  </si>
  <si>
    <t>UCXmUVmeWmuAU6kUqvczMvrg</t>
  </si>
  <si>
    <t>UCh5Fyy6OINFQdvQRjAPHlSw</t>
  </si>
  <si>
    <t>UCLGmqBEJ75B1fa6WyMHbU3A</t>
  </si>
  <si>
    <t>UCXS0LXj5BO9CS8uVBFPBvrg</t>
  </si>
  <si>
    <t>UCpagyLd8i4TFIdbeK06QJYw</t>
  </si>
  <si>
    <t>UCvRE_fv8Hn4M0keqDnhbjlg</t>
  </si>
  <si>
    <t>UCXgGY0wkgOzynnHvSEVmE3A</t>
  </si>
  <si>
    <t>UCZhZmvqQM_S8vZ7x13wY4cw</t>
  </si>
  <si>
    <t>UCOMXgTrI5rbDOQJxsL_5dQA</t>
  </si>
  <si>
    <t>UClFe5TPbW1MVrOPpbNHTDoQ</t>
  </si>
  <si>
    <t>UCJsP8akfFckiqqAWlizh7kQ</t>
  </si>
  <si>
    <t>UCqe3-9srGs_JY9hyuHrhWHg</t>
  </si>
  <si>
    <t>UCgnNMWzQxX4yxYHk6-uK-HA</t>
  </si>
  <si>
    <t>UCnSb2DA8qk-fJnocn3uCdsw</t>
  </si>
  <si>
    <t>UC2venegqgnT2rk5WUrKfGZA</t>
  </si>
  <si>
    <t>UCshoy95dEwB5V3FYcmvadLQ</t>
  </si>
  <si>
    <t>UCdsXsX-yN1w1sMvqq572a3w</t>
  </si>
  <si>
    <t>UCyiJ5-PRYBnrWsMlHsFHwYg</t>
  </si>
  <si>
    <t>UCIV709VoqBcXbe3lRLJ07kw</t>
  </si>
  <si>
    <t>UCMdK9x0i5JDfOyAYc7KePKA</t>
  </si>
  <si>
    <t>UCTJkhuZ2HqdJr_8p4KGBA6A</t>
  </si>
  <si>
    <t>UCkOIowUi4oZ6Y399vq3WTBg</t>
  </si>
  <si>
    <t>UC1xvRxqTWRyuZyVO1QZKI2Q</t>
  </si>
  <si>
    <t>UC3nhAUpe7aBm1rFCBgoWWcA</t>
  </si>
  <si>
    <t>UC-bdz-5EeUPT7lp7oSg4D5w</t>
  </si>
  <si>
    <t>UCgZHFBaPcDGphLGOCHTKIPA</t>
  </si>
  <si>
    <t>UC0RBaZiyHXUwB_MyBQdrnNA</t>
  </si>
  <si>
    <t>UCIl6poj2zyfhZrbq1lFYXBw</t>
  </si>
  <si>
    <t>UCKmA8PN6jdOq7bW1DNOGrCg</t>
  </si>
  <si>
    <t>UC7mkCr1e2ccrSGNc1Npj-zg</t>
  </si>
  <si>
    <t>UCVWXjg9c4o_wc2VqSZtvugg</t>
  </si>
  <si>
    <t>UCvsO2SyKzjalhwMv-HhgcWw</t>
  </si>
  <si>
    <t>UCa16-D97-w1kxo_JZuQDKwg</t>
  </si>
  <si>
    <t>UCuIp3jTJcrZcjVYx_K7o59g</t>
  </si>
  <si>
    <t>UCVCaRnqXOgQQ5-Wkty5RRPQ</t>
  </si>
  <si>
    <t>UCl0MN4CALU7mJ1clo4Ulszg</t>
  </si>
  <si>
    <t>UCbALoji4sNRxH9KHmzJRGGw</t>
  </si>
  <si>
    <t>UCxTFPM1NYtPVk1jBwUMJcnw</t>
  </si>
  <si>
    <t>UCgaVfVsxeLAbG7T5mRsn9FA</t>
  </si>
  <si>
    <t>UCHAeqYA43JwC2MQ0BbEEmPw</t>
  </si>
  <si>
    <t>UC3Q1y6PHeoKBvZuaoJ4PrWw</t>
  </si>
  <si>
    <t>UCuFE1-r4BllUH6Jc6IAdFVA</t>
  </si>
  <si>
    <t>UCm_dtqI5E0aAEy8eRhhHDXg</t>
  </si>
  <si>
    <t>UCEQSWysggs3zysnkFdZWaNA</t>
  </si>
  <si>
    <t>UC-R6T0M1Qe9nqSn676e4KYg</t>
  </si>
  <si>
    <t>UCv6Vt0cc-CNQrRj4yCBG9Ig</t>
  </si>
  <si>
    <t>UC-ZKlY4Wzudb5peroU_kjCg</t>
  </si>
  <si>
    <t>UCoSvFPM29hYG7AX8ZS7gq1g</t>
  </si>
  <si>
    <t>UC920YFSo4MV0KMNdrm7ushQ</t>
  </si>
  <si>
    <t>UCFzyeVLrv5xzn2iTjnjaNTw</t>
  </si>
  <si>
    <t>UCsdkOiUcDIbwLbttgJEkCbg</t>
  </si>
  <si>
    <t>UCgKscN1f8lljHfGpoDQiaWQ</t>
  </si>
  <si>
    <t>UCqHJk2u875VHMDIKP9oX2Ng</t>
  </si>
  <si>
    <t>UCpmlqW9RIQPqdwh-u0jNPiw</t>
  </si>
  <si>
    <t>UC6-2gs-Or14ZmZRN3CrRSkw</t>
  </si>
  <si>
    <t>UCWAyT4Yyg2ua2a67tJIX8YQ</t>
  </si>
  <si>
    <t>UCnR7bivUZs5Q9lHGnQ2u6gg</t>
  </si>
  <si>
    <t>UCBnG19e3YPT3OTMY7uFfu7A</t>
  </si>
  <si>
    <t>UCbFQnBzpzxJU5zvdBAQgeIw</t>
  </si>
  <si>
    <t>UCKvx6GgDjKfVbWXJBeXGcbQ</t>
  </si>
  <si>
    <t>UCKS34cSMNaXaySe2xgXH-3A</t>
  </si>
  <si>
    <t>UCYRY748zxmc_WNrnB6UzJpg</t>
  </si>
  <si>
    <t>UCy_ibpbm7AT9gBBSeriIsfQ</t>
  </si>
  <si>
    <t>UC0o0KmQHl0VAFUoOCUBcbdQ</t>
  </si>
  <si>
    <t>UCBqEkWACYxuR5IHlbKuYGqA</t>
  </si>
  <si>
    <t>UCBKVf2eWgShfOmW04Okafcw</t>
  </si>
  <si>
    <t>UC8FkJPLr2CFgXpfpwaujoDw</t>
  </si>
  <si>
    <t>UCKH7p6O31di9voUfWxbqBbQ</t>
  </si>
  <si>
    <t>UC4nMiE1jRi1FLID4qMt5pHw</t>
  </si>
  <si>
    <t>UCn2FHO6MSDrcSgZv_Y7teqQ</t>
  </si>
  <si>
    <t>UCSn2nfmPrDewkgEdEpyE1UQ</t>
  </si>
  <si>
    <t>UCLCKMDy2LIDv5A0g-7fIX-w</t>
  </si>
  <si>
    <t>UCt22CG7b9crZ0HDk1eTiJjA</t>
  </si>
  <si>
    <t>UCqOBJrNEfA2iEpaEFqhgxEQ</t>
  </si>
  <si>
    <t>UCbr9s1iYnD4SRszBxzEPELg</t>
  </si>
  <si>
    <t>UCLwivhATgumILHTf04RqpmA</t>
  </si>
  <si>
    <t>UC2aG3ddqJs7GU-Fq0ETgSLg</t>
  </si>
  <si>
    <t>UCYfK27jhpb5U9eRi-vygUUw</t>
  </si>
  <si>
    <t>UCvMzpArhmmyAo47g9ENPxhA</t>
  </si>
  <si>
    <t>UCZmfb_gIPxsJ_aGmcWNOzlA</t>
  </si>
  <si>
    <t>UC5wGYnBavox2y_-G_VvOVig</t>
  </si>
  <si>
    <t>UCRmZq4ofmd-t9jcJD9f0Rqw</t>
  </si>
  <si>
    <t>UCrpEPrZCzOBIpz4XRMEaUAQ</t>
  </si>
  <si>
    <t>UCEu502vFxm_7G13bPrzPhlA</t>
  </si>
  <si>
    <t>UCY89C3QuSXSybOiu07Hgabw</t>
  </si>
  <si>
    <t>UCXanhQYy0rIhHBYECTJnuZQ</t>
  </si>
  <si>
    <t>UC3WUX3IUWi1jf0DTzJMsctw</t>
  </si>
  <si>
    <t>UC5npVAigHajUI_6GoJlmKGQ</t>
  </si>
  <si>
    <t>UCZBxfor0mAMv1BPoI7oFIVg</t>
  </si>
  <si>
    <t>UCtj9c2ALKuzQYYeSlgN6FIA</t>
  </si>
  <si>
    <t>UCMDD5kJyjDuBS0r8z6mLS3A</t>
  </si>
  <si>
    <t>UCfVr_9LCJDhWfJuSCO0ZdRw</t>
  </si>
  <si>
    <t>UC762LVwv3LLuEtAvP_-tpfA</t>
  </si>
  <si>
    <t>UCOkh5ImoZmAw20KbXGHhx1Q</t>
  </si>
  <si>
    <t>UCvOufQpgXXxNc0Nixg3K79A</t>
  </si>
  <si>
    <t>UC-ni0xL6ILMFdzf1A2s4__A</t>
  </si>
  <si>
    <t>UC4SUQzurYVmGwgmfdn0yEVg</t>
  </si>
  <si>
    <t>UCefc8UJNa1i59EwVNqWyQdg</t>
  </si>
  <si>
    <t>UCvHvffta7WtvpQHK5cIWvQA</t>
  </si>
  <si>
    <t>UCIvaevG93xJvjGrMGPXq6lQ</t>
  </si>
  <si>
    <t>UC1afYOmBmYWeObqzyTyZKaA</t>
  </si>
  <si>
    <t>UCtquL7SfwDeeNv-_ZYTHyZg</t>
  </si>
  <si>
    <t>UCZyFi6PbooEnAPgRXa1tFZA</t>
  </si>
  <si>
    <t>UCnUrJ6BG2I22KRVWwOvxRhg</t>
  </si>
  <si>
    <t>UCi8pE9QOXuVaTaH-yjOUmrw</t>
  </si>
  <si>
    <t>UC-7roO_wPzwdz3uN3p6k2ew</t>
  </si>
  <si>
    <t>UC_rD0WTWsygn28me13EqbkA</t>
  </si>
  <si>
    <t>UCpz8IFWrmV9EpxfukeGsw2A</t>
  </si>
  <si>
    <t>UCNJHUm49kbu3UiSF_VFHF_g</t>
  </si>
  <si>
    <t>UCoG40_RMHT2mKQopLd5rKlA</t>
  </si>
  <si>
    <t>UC50-C511u14lvNH0_JX-hBg</t>
  </si>
  <si>
    <t>UC67iiEFF9dpd9JRq926hy0w</t>
  </si>
  <si>
    <t>UC7b-kvFgpqIt5X4TZnTRLbw</t>
  </si>
  <si>
    <t>UCcdyx195HYmtilE4MsBbIug</t>
  </si>
  <si>
    <t>UC6pKF6E2uiibwr_3CcvNnww</t>
  </si>
  <si>
    <t>UCzt2MEJ975rU7Cd-TO0VIJw</t>
  </si>
  <si>
    <t>UCltuKUCkE82ojAtPJy9rFQA</t>
  </si>
  <si>
    <t>UChUvKQ5WX6YQlP3dYh-bgCQ</t>
  </si>
  <si>
    <t>UCMNbuBxFzn6qIXEXNvMLRPQ</t>
  </si>
  <si>
    <t>UCyakDpV1G9UDFDjb9hrKLmg</t>
  </si>
  <si>
    <t>UCWwEimxc5QfTFl1kRPdnGsw</t>
  </si>
  <si>
    <t>UCbvCqOEH6HeIDawnMy5sb0Q</t>
  </si>
  <si>
    <t>UChppmmGGnO0YSAUBBxEiQKw</t>
  </si>
  <si>
    <t>UCMdkhodpvWqsZRsIS6aanbw</t>
  </si>
  <si>
    <t>UC7pelJY74k-akeQnM9c904Q</t>
  </si>
  <si>
    <t>UCel2FW-aAKimLE-R0izie2A</t>
  </si>
  <si>
    <t>UC4JqmB6gTvjYSQixZtJ0jHw</t>
  </si>
  <si>
    <t>UCFAZiNhH7t_05XFd-BSMaTA</t>
  </si>
  <si>
    <t>UC0zw1SQ4qI8HkQ4wgXC4wEg</t>
  </si>
  <si>
    <t>UCVimgcUG-RO2sZ8nSSEh_Lw</t>
  </si>
  <si>
    <t>UCEYNpe0dQ_fbwDfyo-R_gpA</t>
  </si>
  <si>
    <t>UChuqRyDY8O5bGZtRQCFIaZg</t>
  </si>
  <si>
    <t>UCjFw-0Vdfy2KW78NClGECXw</t>
  </si>
  <si>
    <t>UCpjjSvxSB7Z2NRwMpnMfpWw</t>
  </si>
  <si>
    <t>UCDLxH9ONrpemu5LgYT2xMPg</t>
  </si>
  <si>
    <t>UCC_-NhK1k3p1m91xj0Hv5CQ</t>
  </si>
  <si>
    <t>UC8cEGswq9Oihe96ppLoG9KA</t>
  </si>
  <si>
    <t>UCw7z4OnyeKjFSATYX8D5aCQ</t>
  </si>
  <si>
    <t>UCdMubk0Op7xihQVaCCnT-HA</t>
  </si>
  <si>
    <t>UCfhrT6yr4ktutFfZUeOuvGg</t>
  </si>
  <si>
    <t>UCmC-wktipngCaU9nryMdbpQ</t>
  </si>
  <si>
    <t>UC09elKy1Fg3_k2wbhpkoOng</t>
  </si>
  <si>
    <t>UC2Gdc2VENEag5y8mesm61dg</t>
  </si>
  <si>
    <t>UCObs0kLIrDjX2LLSybqNaEA</t>
  </si>
  <si>
    <t>UCK-zh7_ihSM9Nh16TKbap7g</t>
  </si>
  <si>
    <t>UCGORtCiK3OFUD0AfhjNSZkA</t>
  </si>
  <si>
    <t>UCr1X3n7TOReoPWwIKlXXJHQ</t>
  </si>
  <si>
    <t>UCz-TkGv-Id18-6HH23EZKvQ</t>
  </si>
  <si>
    <t>UC01hPZkQvohjkBD8pFkIL5g</t>
  </si>
  <si>
    <t>UC2jA4C5eCh7HtQnk-g_UeOA</t>
  </si>
  <si>
    <t>UCV4JkP6p835ZN2nr3RVwicw</t>
  </si>
  <si>
    <t>UCi-eFgRhCQXjHTYN6BapsNw</t>
  </si>
  <si>
    <t>UCGC3hfY3bFBm1_i7GN2iqxA</t>
  </si>
  <si>
    <t>UC7acE3l4cRSzTVXVPZAyggw</t>
  </si>
  <si>
    <t>UCqZxg3m8lhp6zFtvlIK9Osw</t>
  </si>
  <si>
    <t>UChkldSmdylQA-9MTgc_KN1Q</t>
  </si>
  <si>
    <t>UC8rf1wQZqXrbsdnPS8xrisQ</t>
  </si>
  <si>
    <t>UCRK4FDIkUyslEAUdyRDdCtQ</t>
  </si>
  <si>
    <t>UCau3EDhU5yATEGmAlKn47zw</t>
  </si>
  <si>
    <t>UCydShVfAub9TSmL1N4BTlGQ</t>
  </si>
  <si>
    <t>UCj2FOkHAiEUGBZJ9A1P_QhQ</t>
  </si>
  <si>
    <t>UCAFU6ek5Tbz0RoGoAaG6KCQ</t>
  </si>
  <si>
    <t>UCkOd7ibvBNJcY4K2UQ9uijg</t>
  </si>
  <si>
    <t>UCIvJRiz1QYeaRIzedkxQayQ</t>
  </si>
  <si>
    <t>UC3Y7OyuS9jNdZy3ZadrAbWQ</t>
  </si>
  <si>
    <t>UCxNowiShiI4fo6AKz3Z5DuA</t>
  </si>
  <si>
    <t>UCwHZNWLHHT9RlW4F80a9byQ</t>
  </si>
  <si>
    <t>UCoTlsAQ3J-HFDQn70qD6iUg</t>
  </si>
  <si>
    <t>UC3sNc4AhwVr08bxmEkAvmzw</t>
  </si>
  <si>
    <t>UCP4KIEuaevJ9JldSrbQHbfQ</t>
  </si>
  <si>
    <t>UC5zqPPuIAyEkec2UauNSUYQ</t>
  </si>
  <si>
    <t>UCmZZzHSYWGGmZrneLT77G1Q</t>
  </si>
  <si>
    <t>UC6dLe_Or2tHSis_i37mAKig</t>
  </si>
  <si>
    <t>UClYyCGuDsLqEg7Sr-Bzu_Yg</t>
  </si>
  <si>
    <t>UCyXBWoBR6oBbZ3G4hwpWmsA</t>
  </si>
  <si>
    <t>UCOkebMGBEoe105vIn_cLkJg</t>
  </si>
  <si>
    <t>UCGNcWCBnCWt8fyvjv2WY0Rw</t>
  </si>
  <si>
    <t>UCJRyBxk-KqJMhvDZAZUYHEA</t>
  </si>
  <si>
    <t>UCuvBr0lmqszAhXmvCuXhpDQ</t>
  </si>
  <si>
    <t>UCSL0CW5Uz7l9GaZ6ubqMZlA</t>
  </si>
  <si>
    <t>UC3jP_9Hy73cQbIaVo-KBZ8w</t>
  </si>
  <si>
    <t>UCRAiOXkZJeHv2Vr7odaHxCA</t>
  </si>
  <si>
    <t>UC9zaPE-o3i3wX1-CC8VYUZA</t>
  </si>
  <si>
    <t>UCEVbe_5cc7Uq92df-mBfKpw</t>
  </si>
  <si>
    <t>UC3QfvUV_Kf4bWxhXbs9HTjg</t>
  </si>
  <si>
    <t>UCsutbgin7v6L_k8EDjsxx9w</t>
  </si>
  <si>
    <t>UCzdgWZfyWtkrlRUrLwWYfbw</t>
  </si>
  <si>
    <t>UCTdnkOQgptCxo9hKW0oBMfw</t>
  </si>
  <si>
    <t>UCEGDgFvqR_NTiv2hu7hgLHw</t>
  </si>
  <si>
    <t>UCzk0jYAX-PHtML7BfRI0Aiw</t>
  </si>
  <si>
    <t>UCmYqeXrUUyNb_K1IMC1cIWg</t>
  </si>
  <si>
    <t>UCfgTVakdU0ZF8X1m4lAewMg</t>
  </si>
  <si>
    <t>UC-ACIV2qXhSxKD5BL_YcxmA</t>
  </si>
  <si>
    <t>UC_WLSFUJEVFOVb9-k3O55xw</t>
  </si>
  <si>
    <t>UCQzCFrC6t0zanyTRsg0tOTQ</t>
  </si>
  <si>
    <t>UC20AD5GVz6GJhrBcnrwRk7g</t>
  </si>
  <si>
    <t>UCTyJBpNC7mdjCT5aF5oulww</t>
  </si>
  <si>
    <t>UCZGwlKh9c4jIsIeTlQdyMeQ</t>
  </si>
  <si>
    <t>UCK6fYaZuUo9_dENmWOAo0SA</t>
  </si>
  <si>
    <t>UCwPac8AUZHTcUXfnPQAtvFA</t>
  </si>
  <si>
    <t>UCBE5CX0HutLbNrkQNLxFbDg</t>
  </si>
  <si>
    <t>UCgddd6U_7LvgVYX4cp3wybw</t>
  </si>
  <si>
    <t>UCh9ttnbZCsGfAqbH2Mi_IRQ</t>
  </si>
  <si>
    <t>UCSYFnfGSoFjhLiw8VvML-wg</t>
  </si>
  <si>
    <t>UCMgCzscrgIAZj7uK6D0SXYg</t>
  </si>
  <si>
    <t>UCsWEj3uf31iAF_STEvO3A2A</t>
  </si>
  <si>
    <t>UCzmkF5d5Gp1wEVdhp-5Ikng</t>
  </si>
  <si>
    <t>UCZVcQLqXTn1DN-UcDwrc1gQ</t>
  </si>
  <si>
    <t>UCQud9U8wB9QegdqHugx7kvw</t>
  </si>
  <si>
    <t>UCfQ3dJMtQxPdsR7yLoJR91Q</t>
  </si>
  <si>
    <t>UCVXhMt7dMNA3q4nOCZyG6yA</t>
  </si>
  <si>
    <t>UCBojFMlkb6JRDZ16jETGyyw</t>
  </si>
  <si>
    <t>UCPohbSYq4IXhv0yxiy-sT4g</t>
  </si>
  <si>
    <t>UC85BaVmStZexddgDR2vmqTQ</t>
  </si>
  <si>
    <t>UCrRvwKQ49YIJ8jtToanksWQ</t>
  </si>
  <si>
    <t>UCv3vwGnDVz1DdbWQ-kb20KQ</t>
  </si>
  <si>
    <t>UCb9hl4mEViGBV7KPs7a6wPQ</t>
  </si>
  <si>
    <t>UCp1p92dYtC6cINJ4rSwJEXw</t>
  </si>
  <si>
    <t>UCo87EbKpgO7g_2a8asyvkNg</t>
  </si>
  <si>
    <t>UCObWXIaGPPVjX_RJgYDbB1w</t>
  </si>
  <si>
    <t>UCnCR63UsN2aoBefBdB2mauQ</t>
  </si>
  <si>
    <t>UCTtL9JlFEjObSReB6zTa_EQ</t>
  </si>
  <si>
    <t>UCkKdro_JhcnJiMpQlshoCRQ</t>
  </si>
  <si>
    <t>UCB6hbV10qLmSGHnBnO2zZ2g</t>
  </si>
  <si>
    <t>UCGYWpzvnJqU4cV4Biik145A</t>
  </si>
  <si>
    <t>UCSzpGdr998PV6fUe1QRocgQ</t>
  </si>
  <si>
    <t>UCIM7NnUgCDQJK9nRLanUZag</t>
  </si>
  <si>
    <t>UCO51F72Xv2B8__rrcXxWyVA</t>
  </si>
  <si>
    <t>UCzHpza3xQmnZN5ed7cS0E7g</t>
  </si>
  <si>
    <t>UCYD6igHhrXnZwUKgza842Dw</t>
  </si>
  <si>
    <t>UCi5OWEpC1x26Zbiq0Zx5jBA</t>
  </si>
  <si>
    <t>UCKv5vpsAOW0I0bKodUtn3lw</t>
  </si>
  <si>
    <t>UCsyvd7I7FvO8wv7KY7NUpTQ</t>
  </si>
  <si>
    <t>UCSxL3mufdJKVRpp4jhCDJgw</t>
  </si>
  <si>
    <t>UCZ1_MhfxMAotGs8fzZM1f7A</t>
  </si>
  <si>
    <t>UCByEAtjrorwxHSpUhqy-wog</t>
  </si>
  <si>
    <t>UC0gcptvpaH6s04KaRux1m3Q</t>
  </si>
  <si>
    <t>UCvKgvyTC62VZmGZC1xT0USw</t>
  </si>
  <si>
    <t>UCRqy4Iq88vWzASHxfJwaAqw</t>
  </si>
  <si>
    <t>UCN8I07bA4pBhdSbuzTZ2ngQ</t>
  </si>
  <si>
    <t>UCSGtT0xw2aD6gudbueTURGw</t>
  </si>
  <si>
    <t>UCxLxRheVrQWOZuZHamTSBbg</t>
  </si>
  <si>
    <t>UCtYn65BqtwwC5hg-O2gVtDA</t>
  </si>
  <si>
    <t>UCP8Jok-RKUZAnN6xFrfWfTA</t>
  </si>
  <si>
    <t>UCM6rj2WUgCHmtjuaHTX_KxA</t>
  </si>
  <si>
    <t>UCMTrjCEK2uAt7uzWUfdgxcw</t>
  </si>
  <si>
    <t>UCWlWt98vnPTnafx5TPMJ9YQ</t>
  </si>
  <si>
    <t>UCziDwO22cX_PwUZyoWcGy5Q</t>
  </si>
  <si>
    <t>UCppQZXkwGRfAJgXP6hJrWfQ</t>
  </si>
  <si>
    <t>UC5ct4lDoZSBwOiL3kf6uFug</t>
  </si>
  <si>
    <t>UCTCb8-uXEG6fjzpJno7cjMQ</t>
  </si>
  <si>
    <t>UC2xHKHSbbSNjpwNdPDJAnoA</t>
  </si>
  <si>
    <t>UCBqvATpjSubtNxpqUDj4_cA</t>
  </si>
  <si>
    <t>UC0c2BU4IW_eulz3vVyO7goQ</t>
  </si>
  <si>
    <t>UCYpoE9KwaVGxK7CvIAVzgnA</t>
  </si>
  <si>
    <t>UCKwxmrA5c5qxaL-ZDH0KK8w</t>
  </si>
  <si>
    <t>UCr5mB2bbUrjEKeWNSYqDpdw</t>
  </si>
  <si>
    <t>UC1zc63uygTABP0vnk1jwndQ</t>
  </si>
  <si>
    <t>UCtp6V-43hLxyTMGHwWwZuFA</t>
  </si>
  <si>
    <t>UC_7QMZFw-6tCGRfvFOlogNw</t>
  </si>
  <si>
    <t>UCMgslRVe-Hj4aC0Y-9R3x0w</t>
  </si>
  <si>
    <t>UCtKv7_z4rh37OCSEfkZuGow</t>
  </si>
  <si>
    <t>UCHEiXYM8ybFqV_wWI69RjGQ</t>
  </si>
  <si>
    <t>UCfWo0Z5PKYd86JfQ5ZE5cWg</t>
  </si>
  <si>
    <t>UCWCEYVwSqr7Epo6sSCfUgiw</t>
  </si>
  <si>
    <t>UCeGa-vSdaxefW7sWtkV_K6A</t>
  </si>
  <si>
    <t>UCzcYzGlR-Pz-g0uxycWjOkQ</t>
  </si>
  <si>
    <t>UCoJ8Qwf5B7L9so3jzBhgUdQ</t>
  </si>
  <si>
    <t>UCvSHp3vBvCQfVUPq7RZ83Kg</t>
  </si>
  <si>
    <t>UCzdyCXKtBXyift4oLCxfsZA</t>
  </si>
  <si>
    <t>UCUpzcQ89_wuwtNxUFLqmNVw</t>
  </si>
  <si>
    <t>UC5LYtpAbd__9SJiKiUuo-8w</t>
  </si>
  <si>
    <t>UCbfJpNfBr_ApSMBSFY13f7A</t>
  </si>
  <si>
    <t>UCx6SjQP6yC9wbJSdl3Xdwjg</t>
  </si>
  <si>
    <t>UCI_mwTKUhicNzFrhm33MzBQ</t>
  </si>
  <si>
    <t>UCNwvXInaEC_6V1o9z5Kxj5Q</t>
  </si>
  <si>
    <t>UCoEMOWQH4KpyRjAzr1pKIMg</t>
  </si>
  <si>
    <t>UCQHELmekg2uKtjUl7G2V1-w</t>
  </si>
  <si>
    <t>UCXJ_KQ3t-7g0gaWZhNR3CmA</t>
  </si>
  <si>
    <t>UC9jQoxksa5ZL5SytgkCOycA</t>
  </si>
  <si>
    <t>UCnRGynbTJF0AoOjqanabIJw</t>
  </si>
  <si>
    <t>UCaQ_op46s03JbuxYFzhScng</t>
  </si>
  <si>
    <t>UCBVo5w4Cvm3_AEEBqsHjXow</t>
  </si>
  <si>
    <t>UCVTMP2Fx3OPSGDiASWrDg4g</t>
  </si>
  <si>
    <t>UCcyHbljD0TaleYPlXLPsctg</t>
  </si>
  <si>
    <t>UCs5zPgIjULIeXSUvFFYjERg</t>
  </si>
  <si>
    <t>UC7FjzHXnckEoiYvE9yASTwQ</t>
  </si>
  <si>
    <t>UCMS7ykL2GkTj-KNB_eEkGGw</t>
  </si>
  <si>
    <t>UCchVrQxe44AaEP6fI7si8fw</t>
  </si>
  <si>
    <t>UCaMhdIYsarYwtSiNHUP8Bmg</t>
  </si>
  <si>
    <t>UCehfMPUoL7QQ0CX4L0GcCFw</t>
  </si>
  <si>
    <t>UCN9nKeOHC_cH2w9svgVypyA</t>
  </si>
  <si>
    <t>UCImLinXeCNMkgWs6pFO7MAw</t>
  </si>
  <si>
    <t>UCC1h5XmKeaYky1P2cHcN-5A</t>
  </si>
  <si>
    <t>UCUVrr49CvwEMoTw6hCZ-8Mw</t>
  </si>
  <si>
    <t>UCTkm-Dcl1TF8tK9HFxkPm2A</t>
  </si>
  <si>
    <t>UCddnJhXMUxzHoH8AZkZSd8w</t>
  </si>
  <si>
    <t>UCAG1naEs-cVbf2xapq1geMQ</t>
  </si>
  <si>
    <t>UC7adosQ7Ji4BJ6yyp5ZthMg</t>
  </si>
  <si>
    <t>UCY2pz-Oz34HSDP6-1mgz7Hg</t>
  </si>
  <si>
    <t>UCr7kN89LwNy8ohvtcgFRv-w</t>
  </si>
  <si>
    <t>UCMZOo-5kM0mnG11KdFI6WLQ</t>
  </si>
  <si>
    <t>UC5hBJUC4rG6Rj2mUwHBawjA</t>
  </si>
  <si>
    <t>UCNUGa52iPJgs-YxX093YfUw</t>
  </si>
  <si>
    <t>UCvYpXe1Lch6IcHBhsMoAZrg</t>
  </si>
  <si>
    <t>UCf_tUhlRBFHi1bElzwMWTgg</t>
  </si>
  <si>
    <t>UC3M9clGQVim0-j_qpqHZ3Tg</t>
  </si>
  <si>
    <t>UCSqcSfgttkm4a99DhJr7xng</t>
  </si>
  <si>
    <t>UCwWJjqfERBenxPYc0OuNN0Q</t>
  </si>
  <si>
    <t>UCpMoGK8pm4nuNERpX6_DwOQ</t>
  </si>
  <si>
    <t>UC3uJIdRFTGgLWrUziaHbzrg</t>
  </si>
  <si>
    <t>UCILRK3DIO0jcLyBIJ3lt_FQ</t>
  </si>
  <si>
    <t>UCCqGTvGZgWw8mFX5KYTHCkw</t>
  </si>
  <si>
    <t>UCRTlrgc3b_adx54XDs3AHbA</t>
  </si>
  <si>
    <t>UC5zGU1EbTvzs7kR2T5FptQg</t>
  </si>
  <si>
    <t>UC_4Jv3LnJiVMo8jXnBmNtYQ</t>
  </si>
  <si>
    <t>UCApUMSkgDT8ayJZU8jBweYw</t>
  </si>
  <si>
    <t>UCDg-IXIVZRVWIoU1Eyt84IQ</t>
  </si>
  <si>
    <t>UCAy-sQctr13-CvCJBI3-9Zg</t>
  </si>
  <si>
    <t>UCSQhwjo8WS5kimas8TaScPg</t>
  </si>
  <si>
    <t>UC3Gui3pgIXOL3Q1g7FpfkOg</t>
  </si>
  <si>
    <t>UCFP8wzPazQR8TuByuWPlrQw</t>
  </si>
  <si>
    <t>UCWdeyiTcwjboM3qLcBPJThQ</t>
  </si>
  <si>
    <t>UCkHwyHnzIZC8BKOAFNalM3g</t>
  </si>
  <si>
    <t>UCYXn_jH9iacFT2Hwiq_3ydA</t>
  </si>
  <si>
    <t>UC-wTAWLHOWLYyZI9m_JV8zg</t>
  </si>
  <si>
    <t>UCdIaRztAEBs25CQVVMdhyWg</t>
  </si>
  <si>
    <t>UCrsY_XXxKmCI8AI8gRf-0uw</t>
  </si>
  <si>
    <t>UCGmXytEjNV0AhO9FcQoXRuA</t>
  </si>
  <si>
    <t>UCXLO4T4BQjipp8JQ1tKhpIw</t>
  </si>
  <si>
    <t>UCGJ2lYgx2Pm1yTHWNIZN_rw</t>
  </si>
  <si>
    <t>UCBD8s5PzU7Desuv3QBDjTJA</t>
  </si>
  <si>
    <t>UCJBbGIPqQnADUA72ikE3Xgg</t>
  </si>
  <si>
    <t>UCJgHIph1RZwd6UT4Z0XmL0w</t>
  </si>
  <si>
    <t>UC36EHC2a5xfBcU4Cst_ZNdg</t>
  </si>
  <si>
    <t>UCjwhjLiH7_E6VgOQNEWzRPw</t>
  </si>
  <si>
    <t>UC0dgSHLxgOhziV3GETbXBfA</t>
  </si>
  <si>
    <t>UCug93rYOwsCk5hdSVF31_rw</t>
  </si>
  <si>
    <t>UCAbfX90mOsYK0MP3E7X2hhg</t>
  </si>
  <si>
    <t>UCrgK7ODtuc0piCv1LX0eXtA</t>
  </si>
  <si>
    <t>UCYOEDSh07bqEozHDI1howYQ</t>
  </si>
  <si>
    <t>UCsMkHlkL7sYZIWuXFLrk29Q</t>
  </si>
  <si>
    <t>UC7ySZBzw3bqY7MTk6irMd0Q</t>
  </si>
  <si>
    <t>UCCkqjjmjv6u7Xqkboz9cstA</t>
  </si>
  <si>
    <t>UC_HZY9d5wJ-MEiuq6vhx8hg</t>
  </si>
  <si>
    <t>UC7T5n_yWsI3T8EF7Auf6hfQ</t>
  </si>
  <si>
    <t>UCbKOgklgfsaI2FDaJ4S_WDw</t>
  </si>
  <si>
    <t>UCJ05ihW--SML1w1CYG3Oscw</t>
  </si>
  <si>
    <t>UC2s0XHDvEA4p3WoedLrU9Rw</t>
  </si>
  <si>
    <t>UCtGHH9UfgLL9TWCUMELBIFQ</t>
  </si>
  <si>
    <t>UC0t2alt1lJ8BroEgdPFOa7Q</t>
  </si>
  <si>
    <t>UCns2W5MPBzoaenuXNMU-CRA</t>
  </si>
  <si>
    <t>UC6kDhr0hIrw3ep2cUM2OetQ</t>
  </si>
  <si>
    <t>UC9cDIxnMzArzEcIrnQvchJA</t>
  </si>
  <si>
    <t>UCb_XxMGwX9E1E6f6Nx8i-Kg</t>
  </si>
  <si>
    <t>UCPLZTmYFXfUQ-5WIV8YZyJA</t>
  </si>
  <si>
    <t>UCrR3emCn5euE-1Uf4rck8_A</t>
  </si>
  <si>
    <t>UCoh-C01mA3H32unyTAOF0NQ</t>
  </si>
  <si>
    <t>UCmJIgd5IXVXuCeJ_eJWiUJQ</t>
  </si>
  <si>
    <t>UC6Ofw4_Z92e5Uwe9j5OXVoQ</t>
  </si>
  <si>
    <t>UC7CgK2K4A_u-tDkGcaHYdKQ</t>
  </si>
  <si>
    <t>UCQQYDc4olHGBUsl_QA-rZrQ</t>
  </si>
  <si>
    <t>UCm3EgGWuCD7MApLuHmWJ8XA</t>
  </si>
  <si>
    <t>UCsQ6_w5iUOUOMAUPclg2kcg</t>
  </si>
  <si>
    <t>UCUBipbd42HLtLGqwDvvJOFw</t>
  </si>
  <si>
    <t>UC0H_ymLzolFJT-KImodKWvQ</t>
  </si>
  <si>
    <t>UCI_l0eBp252TD1Ie5N3v5qw</t>
  </si>
  <si>
    <t>UC8FjAiKjaVtlBYvNzMQgt9w</t>
  </si>
  <si>
    <t>UC_DfpzjSfdzLknpZjVa8zhw</t>
  </si>
  <si>
    <t>UCb_2aQH7ZcW8tvlnJvjW8rQ</t>
  </si>
  <si>
    <t>UCGgBfpadakJnd7-WSkMEG-g</t>
  </si>
  <si>
    <t>UCAjCDCz19uenebkf_dQ2JVg</t>
  </si>
  <si>
    <t>UCGMfRSOhC8SqZ0nnjfDR1Rg</t>
  </si>
  <si>
    <t>UC4QrVz6gzZxJctPMtWCbYcg</t>
  </si>
  <si>
    <t>UCihWa4oE6baJGRCTMzvEOYg</t>
  </si>
  <si>
    <t>UCY7sbOyJeSBRm1VKv1eei4Q</t>
  </si>
  <si>
    <t>UCqYRJEWKf5c-HEUTHOL2ivg</t>
  </si>
  <si>
    <t>UCPQHy3hfjcd243Z_BAXSlWQ</t>
  </si>
  <si>
    <t>UCXn4dyg9UEuXG9-hBAEuurA</t>
  </si>
  <si>
    <t>UCixD-KrpjXtMupkzkdFFlFg</t>
  </si>
  <si>
    <t>UCnqJ4Pq4QgZXZVZm8A9bd8w</t>
  </si>
  <si>
    <t>UC5QtepGR9prdSaw99-DD0xw</t>
  </si>
  <si>
    <t>UCVR5ttwhOemkRc61XAaOz1w</t>
  </si>
  <si>
    <t>UCWq9TrIZYPC331_3J8Owucg</t>
  </si>
  <si>
    <t>UCND1kfijC9fVGyQqDnWfhzw</t>
  </si>
  <si>
    <t>UChkIbljIFrhU_5soyvLbJcA</t>
  </si>
  <si>
    <t>UC7VasFaZIQtP7UgFQschyow</t>
  </si>
  <si>
    <t>UCTJpJk8bqQQEqeX58z8eimA</t>
  </si>
  <si>
    <t>UClEEOiCxih_sf9XdPKpQ00w</t>
  </si>
  <si>
    <t>UC2IqlLOT9ExDpYSO9oWOW-w</t>
  </si>
  <si>
    <t>UCWT1qpTDnvVmgv15eCk1E5Q</t>
  </si>
  <si>
    <t>UCjC5zJ25kXB0mwKxi4erOrg</t>
  </si>
  <si>
    <t>UCbNmHbtHBiinCIqcOhyalfg</t>
  </si>
  <si>
    <t>UCWrOSeTgUkvsJn5GtS57o5A</t>
  </si>
  <si>
    <t>UCHkAUsiEKJHHLogHoaYwZfw</t>
  </si>
  <si>
    <t>UCPyNusoMzWJs-0aOSWpKLlQ</t>
  </si>
  <si>
    <t>UCauF61y5aLg9g9Y8r04x2Cw</t>
  </si>
  <si>
    <t>UCEmHafp8ydHweATAK2i9BJg</t>
  </si>
  <si>
    <t>UCAz2ijzsxwsJcaDHUS2K7zg</t>
  </si>
  <si>
    <t>UCcEemKX91VohoKl6uRBAPyQ</t>
  </si>
  <si>
    <t>UCejXQsQ7DZxlG15mlgVT5zA</t>
  </si>
  <si>
    <t>UCP-91GTKfIXUopQnxSq3vBw</t>
  </si>
  <si>
    <t>UCjmjWp38PCg15Z5ZS-tmpfw</t>
  </si>
  <si>
    <t>UCDgNfERW5x-X-8PNE-DDkng</t>
  </si>
  <si>
    <t>UChZf0LwrgjL81hoAynd5RJA</t>
  </si>
  <si>
    <t>UC2MwTK90Wd6qeZ1iDDd3Kdg</t>
  </si>
  <si>
    <t>UCnfp8dHhZiX_paZjdJExibQ</t>
  </si>
  <si>
    <t>UCADEoefqbQNqCoQ7hXN7zvw</t>
  </si>
  <si>
    <t>UCSySUTYRibE8aN8am1mNu3A</t>
  </si>
  <si>
    <t>UC4B9WdU2U6E6GQoDBKcVeSQ</t>
  </si>
  <si>
    <t>UC1tuZL4TA8PB-ihwmDMap-w</t>
  </si>
  <si>
    <t>UClEEsT7DkdVO_fkrBw0OTrA</t>
  </si>
  <si>
    <t>UC3-l1rOGsJjpBhpbSuk3GyQ</t>
  </si>
  <si>
    <t>UCcjwEAaBGu1yc89QE3DC1Tw</t>
  </si>
  <si>
    <t>UC3eqKv7kcJy3KMCbqcp003A</t>
  </si>
  <si>
    <t>UCvmluEWr9C0tuqPU-I4F92w</t>
  </si>
  <si>
    <t>UCWY9bp-Iklq-XByuStk1Npw</t>
  </si>
  <si>
    <t>UCeQNUhbjSL-GhSaEzdjTaAQ</t>
  </si>
  <si>
    <t>UC87vyqEasIKUMPSJujQLwPw</t>
  </si>
  <si>
    <t>UChAG2UF38ajsnb10Kwl4_hw</t>
  </si>
  <si>
    <t>UCtlOBrA93cytbIp0YzX_0YA</t>
  </si>
  <si>
    <t>UCwIkoczPBSDL--I1AkbPFzQ</t>
  </si>
  <si>
    <t>UCDlKEYLzlXCWXRkemjWm0pA</t>
  </si>
  <si>
    <t>UCvq2-I2wWR5yOdMwcqZw3Tg</t>
  </si>
  <si>
    <t>UCZVSTPYcwi3WaWouumS7WPQ</t>
  </si>
  <si>
    <t>UCNpLzMnxf3moSWo1Rsmcc7w</t>
  </si>
  <si>
    <t>UC_eZ2D4lLPmQ2uOF8iLnLQA</t>
  </si>
  <si>
    <t>UC89Xwcw7Jxx9Hp5-YOhQXCQ</t>
  </si>
  <si>
    <t>UCPejejD_vwUqW6chMtg5U5A</t>
  </si>
  <si>
    <t>UCU7nmjmXKBRdMNIwaEcxGpw</t>
  </si>
  <si>
    <t>UCWlwXxozORjOVZzfGyuV6Vw</t>
  </si>
  <si>
    <t>UCQky96IjrfzJcSUiCogID6w</t>
  </si>
  <si>
    <t>UC7lwwBIZHabASpYYtONlvKg</t>
  </si>
  <si>
    <t>UCKW-1xuyxtrt2NvfF4K386A</t>
  </si>
  <si>
    <t>UCob7P94JKbsQ01HwQYv_dzw</t>
  </si>
  <si>
    <t>UCW9p1a_A8_VlbL6fgKgYJAA</t>
  </si>
  <si>
    <t>UCeqbJQ6gde7wu4mes17W7Pw</t>
  </si>
  <si>
    <t>UCVh3tWYARk8wRw8EqjNL6rw</t>
  </si>
  <si>
    <t>UCkI_faisVQITOKW-HYCeBPQ</t>
  </si>
  <si>
    <t>UC3WjO-25X1guoFyz7ZMkj7w</t>
  </si>
  <si>
    <t>UCwVbHnywQAv6NtmVjMMF-lg</t>
  </si>
  <si>
    <t>UCm7kZVPkW5uzh3qgBV0ms_g</t>
  </si>
  <si>
    <t>UCnjX62N6WppxYF-nG6HiA5Q</t>
  </si>
  <si>
    <t>UC4q3cyzR1FQwRDETA5k4m7A</t>
  </si>
  <si>
    <t>UCDNDhsKVbWvAxBibarFenrg</t>
  </si>
  <si>
    <t>UCgkSFWT82igIy5-3H-9pwyg</t>
  </si>
  <si>
    <t>UCShyhNzB2sJ-CUPAKjk42PA</t>
  </si>
  <si>
    <t>UCpwBYuAZ_lz-c_nkKmJr0XQ</t>
  </si>
  <si>
    <t>UC2Qtlv-ox_TnHx5SA1fDIvA</t>
  </si>
  <si>
    <t>UC_gBWogWrJvFcdMlYLN17KA</t>
  </si>
  <si>
    <t>UCY7t-zBYtdj6ZgiRpi3WIYg</t>
  </si>
  <si>
    <t>UC8Pf05sl4A071UXfx_NY4qg</t>
  </si>
  <si>
    <t>UCDtLiFSrUdjxztQ7QlDrFBw</t>
  </si>
  <si>
    <t>UCgf5fJVCNeLpqizdrbgtfBg</t>
  </si>
  <si>
    <t>UCc7qmRVXmRy6dru5-eteTVw</t>
  </si>
  <si>
    <t>UChcQR_Z7YmqRQMZ6lxjD8JA</t>
  </si>
  <si>
    <t>UC54Lj6nRJcZjzHYSL-_uuVA</t>
  </si>
  <si>
    <t>UCU4IntyTflElE39l4wSyZmw</t>
  </si>
  <si>
    <t>UCvsBybR6PH-Turyj3Lkq8Ww</t>
  </si>
  <si>
    <t>UCbZADcBB7V4JluQlHJsfCUQ</t>
  </si>
  <si>
    <t>UCz67Zq4hwG-PRvChgfZ8dWg</t>
  </si>
  <si>
    <t>UCMJOCMYUxWTJCVf785jO0XQ</t>
  </si>
  <si>
    <t>UCRS07TwUdb9hTnnX0r5CuxA</t>
  </si>
  <si>
    <t>UCz0iMkwrDvGX9WHEY3fL46w</t>
  </si>
  <si>
    <t>UCgkljWoraNYPsPgp7Q8pUSg</t>
  </si>
  <si>
    <t>UCIuVqphRbGwId7SAPYnF_CA</t>
  </si>
  <si>
    <t>UCTQoLtroS0jHEwLF77L_1SA</t>
  </si>
  <si>
    <t>UCZrZQ8EkxRWE4BIlRv9VDVQ</t>
  </si>
  <si>
    <t>UCE1jupOYW70tfLcb07sxJ_Q</t>
  </si>
  <si>
    <t>UCuJwdEMVPhGgwz7EyFDj9EQ</t>
  </si>
  <si>
    <t>UCehGPL5op4I98Ey8pMyt25g</t>
  </si>
  <si>
    <t>UCmxEX3PGfQquRiR5dnU86XQ</t>
  </si>
  <si>
    <t>UCykBuWH5R7wT60JfSDsCZRg</t>
  </si>
  <si>
    <t>UCYZG6B766qsa2UlztyjgbCA</t>
  </si>
  <si>
    <t>UC4iMgb53ktyDmHQbGFFKuDQ</t>
  </si>
  <si>
    <t>UC8nRGLJEn_9VD1Y3VFLP_UA</t>
  </si>
  <si>
    <t>UCuSxfYRK74jLTlsPA8kjq1g</t>
  </si>
  <si>
    <t>UCLOgQ4E8S-8okzAz18X7CAA</t>
  </si>
  <si>
    <t>UCPxgZz2C4cOeMUlAq_LrisA</t>
  </si>
  <si>
    <t>UCUIbaroEkfZZGlxKnuW7EwQ</t>
  </si>
  <si>
    <t>UCZAUR74s2Jatp2yYtLa8Msw</t>
  </si>
  <si>
    <t>UCj_7VBy7pDpul-XyOCgAlhQ</t>
  </si>
  <si>
    <t>UCXqG3CCayoUpNXzGSsDbXwQ</t>
  </si>
  <si>
    <t>UCX-DVhUnui2Nsso3jLRb1-w</t>
  </si>
  <si>
    <t>UCBnQF4yu8du8ypDFnqUDlwA</t>
  </si>
  <si>
    <t>UCWqw-SWQV2Ek3HJ_Jr6sFmA</t>
  </si>
  <si>
    <t>UCJU4Bk7L4axOfQZ0Kfy6tsg</t>
  </si>
  <si>
    <t>UCDJCKyzq-WRw5x6n6VtYZ6w</t>
  </si>
  <si>
    <t>UCBJpExmCkeUGlsOkMYIX3qg</t>
  </si>
  <si>
    <t>UCwqQWW35J5Z6YGCPMgV70nA</t>
  </si>
  <si>
    <t>UCmRmkdmHl_yy0kT1w_VJ8pg</t>
  </si>
  <si>
    <t>UChd_6Nk9TDdjgC_lm0rvPNg</t>
  </si>
  <si>
    <t>UCdqs-ItofPRWvLm3mM1dNlg</t>
  </si>
  <si>
    <t>UCAfPaV9yRJNAk_bKla7Gwjw</t>
  </si>
  <si>
    <t>UCzMOo5PyUWcrnGZen0GlY5Q</t>
  </si>
  <si>
    <t>UCuiXLOzWADyFdf8wOjyUeow</t>
  </si>
  <si>
    <t>UCh7AB69XHIIJgroJjf4HaDg</t>
  </si>
  <si>
    <t>UCDh8rhDcwpotH1e2kZORjYQ</t>
  </si>
  <si>
    <t>UCVrOJVGsTynuPSef9R8SlQQ</t>
  </si>
  <si>
    <t>UCqeNgQLxwkV8TqEyxG_q60Q</t>
  </si>
  <si>
    <t>UCbqvr-tvUDgBfXj5-ofn0Fg</t>
  </si>
  <si>
    <t>UCRGhnv-DzB-WFQwSMa3xzAw</t>
  </si>
  <si>
    <t>UCG1RSkfJLp21ngOhK8I7N5A</t>
  </si>
  <si>
    <t>UCgjKoxF0smCvd0JpraXRXCw</t>
  </si>
  <si>
    <t>UCWVMtDOtdlfhsegIOqW2m0g</t>
  </si>
  <si>
    <t>UCHM7z66S94QrCsO5tXSoISA</t>
  </si>
  <si>
    <t>UC0yUbH6uaZ_e5V0PLLgEQsA</t>
  </si>
  <si>
    <t>UCCcjXbFfuuODjei25WB2Inw</t>
  </si>
  <si>
    <t>UCpK4vBvUmmN9ImvsE0AHk5w</t>
  </si>
  <si>
    <t>UCnC736IQWnN9lTAW5MlTHqA</t>
  </si>
  <si>
    <t>UC2aX2oIi2TRzXlzbfbSy_dA</t>
  </si>
  <si>
    <t>UCUHcAOIdzRjCj99dHLqksWg</t>
  </si>
  <si>
    <t>UCzmVLLe_QfhIZkuUbA93ssQ</t>
  </si>
  <si>
    <t>UCG6sJyYpCKlLJ2CE0ao3zFw</t>
  </si>
  <si>
    <t>UCjctXf2BixUZAmpF7AZ9h0Q</t>
  </si>
  <si>
    <t>UCJym5btE-oxUTZQO3WrkoJA</t>
  </si>
  <si>
    <t>UCKdQFr0l06DZJOfiGctBvvA</t>
  </si>
  <si>
    <t>UCJdWaiN5_1ePqNoclZUzOsQ</t>
  </si>
  <si>
    <t>UCHZMv8XTtzbNpJxl1yx66Kw</t>
  </si>
  <si>
    <t>UCuMlWVspQ-lBgWxaJRsSHng</t>
  </si>
  <si>
    <t>UCxAClhiuDz9kyQ4xjuRuz6w</t>
  </si>
  <si>
    <t>UCl8J8ntI5SJkwf4V32ap-4Q</t>
  </si>
  <si>
    <t>UCAiFmZ5zbz9Nv9m6iN48cvg</t>
  </si>
  <si>
    <t>UCZ84wv5errdn_lYSwJgy0Yw</t>
  </si>
  <si>
    <t>UCSQGo8SaO4blSPY37xapBHQ</t>
  </si>
  <si>
    <t>UCg85er3o0WAFy2mMTHV7crg</t>
  </si>
  <si>
    <t>UCGn_Oe9gkVcyZfJJV5q4qMA</t>
  </si>
  <si>
    <t>UCqCXwcVsc15YW-MEaT1NlfQ</t>
  </si>
  <si>
    <t>UC30iCxYezu_WlEbjpOVZdUA</t>
  </si>
  <si>
    <t>UCGMnmuq_tv4zChNNRzzKcjw</t>
  </si>
  <si>
    <t>UCGLio-542Ww9cWJtea25sgA</t>
  </si>
  <si>
    <t>UC6j-DoEcBqvUtdyqjxxpGjA</t>
  </si>
  <si>
    <t>UC8_JZXwYysWQUT5cpugkwVg</t>
  </si>
  <si>
    <t>UCUwH09Aqihie9Xwd5o-PD5Q</t>
  </si>
  <si>
    <t>UC6Qmsob6h544d3aWqwvlqLA</t>
  </si>
  <si>
    <t>UCQV-7R4qhAJXxdkrWNOglDQ</t>
  </si>
  <si>
    <t>UCEGYu1QhbR2J6J_n2qgg7Jw</t>
  </si>
  <si>
    <t>UCNQHebTzfRahptcsmuOVufg</t>
  </si>
  <si>
    <t>UCEefxzb0Q0N8Gge8MdUgDwA</t>
  </si>
  <si>
    <t>UCQmaGuDkWqkdpDF2HBOWAuQ</t>
  </si>
  <si>
    <t>UCF4i5BjgwUqSX1A5m2zP9Sg</t>
  </si>
  <si>
    <t>UCvnRqmr2a1ylEar8I7nSp-w</t>
  </si>
  <si>
    <t>UCVSeJVprPkGT8LiI8dneNUQ</t>
  </si>
  <si>
    <t>UCpUrd3nqZlny7Sguk6IFXIw</t>
  </si>
  <si>
    <t>UCR3F3TPXHqXpotvmpyqXeQg</t>
  </si>
  <si>
    <t>UCRR2SN54K5WeQraIhPVxfwA</t>
  </si>
  <si>
    <t>UCEh4iBfZGqqP_geIzpx6a5Q</t>
  </si>
  <si>
    <t>UCP3Vud5mQkmJNdKJRVf_Mmw</t>
  </si>
  <si>
    <t>UCkFewXBk_F64tJUt9xcqOUw</t>
  </si>
  <si>
    <t>UCNJUhkpXnF1GcItcztJM-Ww</t>
  </si>
  <si>
    <t>UCWfTQomMl3EoUdIwKoPV9Ag</t>
  </si>
  <si>
    <t>UC7L7oTqrKXGqb1ahr5xn2kw</t>
  </si>
  <si>
    <t>UC4h5zkgRfnFLjFZtts1N6iA</t>
  </si>
  <si>
    <t>UCTgqKYL8LfXeXo3OWMO_-cg</t>
  </si>
  <si>
    <t>UCUtdnb8bQYrdu9ond4W06jg</t>
  </si>
  <si>
    <t>UCKS2lBhhZZGipYENVHxMBkQ</t>
  </si>
  <si>
    <t>UCH_RhBu7gVUDictmhfL6DTg</t>
  </si>
  <si>
    <t>UCZlnWM_uiLQ-fZPkS5dA3IQ</t>
  </si>
  <si>
    <t>UCZ1Dz9ZNDH47Dj9t9K2b2iw</t>
  </si>
  <si>
    <t>UCFH4LTyzM9n1joovrJ-Mg1g</t>
  </si>
  <si>
    <t>UCxtAoxftIk9JtUdCVChrfyQ</t>
  </si>
  <si>
    <t>UC97C2yrIqESLI_pXPDlHNsA</t>
  </si>
  <si>
    <t>UCev59bZ9aP_k5CPNpS5Le0A</t>
  </si>
  <si>
    <t>UCaooZvg_gT3gagtkbqJCxMw</t>
  </si>
  <si>
    <t>UCpLKqC4BVf57nLX6ew7Omxw</t>
  </si>
  <si>
    <t>UCCrmxFzA1VMf8K86OM3zfRw</t>
  </si>
  <si>
    <t>UCDpNY3b435STYC8Pk1tw_zA</t>
  </si>
  <si>
    <t>UCxzWF_ZG6MG0Yovqr0b3UyQ</t>
  </si>
  <si>
    <t>UCprD9Tt-LbH58QqF6Lk4zkw</t>
  </si>
  <si>
    <t>UCyB0lqpm-bxkLHw42kb2Qbw</t>
  </si>
  <si>
    <t>UCU_hmszWlOKZ_lFzdzJbI8A</t>
  </si>
  <si>
    <t>UCO_i4jM7Jdn3gObbJ2gWFyw</t>
  </si>
  <si>
    <t>UCfr63IkBL9opvBYDhkR0q1A</t>
  </si>
  <si>
    <t>UCDTM4H2YzteOzGMzoGSJwAQ</t>
  </si>
  <si>
    <t>UC5v8UfzMIUpo6XgSuiwJoqg</t>
  </si>
  <si>
    <t>UC090RHJdaTCuvA_esC_r_Qg</t>
  </si>
  <si>
    <t>UCNqTm7z1nHVXpnv43DqwT7g</t>
  </si>
  <si>
    <t>UC-3YVzX5LZ6QHFnv_CmAHAA</t>
  </si>
  <si>
    <t>UCxdkVB17KnfJd_XRUtc3IIA</t>
  </si>
  <si>
    <t>UC-w2Mnh74rRTHZRdeoVcNYA</t>
  </si>
  <si>
    <t>UCPIM-Ev-sEJ_aEcpDCndqUQ</t>
  </si>
  <si>
    <t>UCjy8Qem4-ydNsVC_BlEa-cA</t>
  </si>
  <si>
    <t>UC4JYGJD8NGcfBINhYxsMp8w</t>
  </si>
  <si>
    <t>UCnYvT1git-T2jcn_wT1utjQ</t>
  </si>
  <si>
    <t>UCXFWPJ2dnOryABAOSoMzbxA</t>
  </si>
  <si>
    <t>UCFAJL3SdNbDNp0PlVmjOtRQ</t>
  </si>
  <si>
    <t>UCMbE2vM8FPulLE6g8DXqZCw</t>
  </si>
  <si>
    <t>UCFBgs2fL5-u-29up4_JF8kw</t>
  </si>
  <si>
    <t>UCnC8SAZzQiBGYVSKZ_S3y4Q</t>
  </si>
  <si>
    <t>UCzARHhsjYS-qcaaIRv5A0mA</t>
  </si>
  <si>
    <t>UCWRd1r1h9GexHyYIbG6b11A</t>
  </si>
  <si>
    <t>UC4kEcplaFuB304DWLclReeQ</t>
  </si>
  <si>
    <t>UCIafILPPATxI8gSsU5H011A</t>
  </si>
  <si>
    <t>UCchgv2VtuWl88CPWmb7rchw</t>
  </si>
  <si>
    <t>UC6tfLibr1AWitWTiaA4SN1w</t>
  </si>
  <si>
    <t>UC0fL9hx09c0EP9jrcrRc9tw</t>
  </si>
  <si>
    <t>UCm0EwKMYv824N6pXa8PAA5w</t>
  </si>
  <si>
    <t>UCJnCP6CoFiJaXTz3dkooFEw</t>
  </si>
  <si>
    <t>UC_Ua-oIZfwN0ho8topRvD5A</t>
  </si>
  <si>
    <t>UCgab8sDWXE7NyBxRbhqlg4Q</t>
  </si>
  <si>
    <t>UCqfULU5A_dFoQSALmV01GbQ</t>
  </si>
  <si>
    <t>UC1rQo0vVWMD8vTc-mMWcAzA</t>
  </si>
  <si>
    <t>UCEWhA_LmJWqoLK_usyRnGqQ</t>
  </si>
  <si>
    <t>UCx1_VBqjEtVmZumpmuvszEw</t>
  </si>
  <si>
    <t>UCzMBnBZZ__khxsIjdlSnlQw</t>
  </si>
  <si>
    <t>UCsCR3VPoiDp1J1MJoPfwLpw</t>
  </si>
  <si>
    <t>UCVIJhnbMugETmJBoUFt0YGg</t>
  </si>
  <si>
    <t>UCSVellbrvlxvpi6b5-YQzVQ</t>
  </si>
  <si>
    <t>UClb8OEBhrUnZgMWc0wTmMvg</t>
  </si>
  <si>
    <t>UCGlvL6bMywGq0cwBqv8AsTQ</t>
  </si>
  <si>
    <t>UCNY_BMBmlEzCZHIeaTUqZnw</t>
  </si>
  <si>
    <t>UCZ0PirxURj8AWtBIdIVSF9Q</t>
  </si>
  <si>
    <t>UCEokHFfsu0wGbKlxhM9kZnw</t>
  </si>
  <si>
    <t>UCzPF0njh8mIVNH0GFTyxHZw</t>
  </si>
  <si>
    <t>UCk3gSmmVE0vedMkICkhWpcQ</t>
  </si>
  <si>
    <t>UC_Z3dYf8OgxJ53SSFb7QGrA</t>
  </si>
  <si>
    <t>UCjeDdgwverf8ZgMAaqY8F3Q</t>
  </si>
  <si>
    <t>UCQ5eTVSm3tB0WWMwTNAoZYw</t>
  </si>
  <si>
    <t>UCCOVUkPaT4ZIy6bvx_OO16Q</t>
  </si>
  <si>
    <t>UCpvsJWi7d-RRZ0gVaq2ypFQ</t>
  </si>
  <si>
    <t>UCMBm2yaVFgr5wZ12YiE-Fyg</t>
  </si>
  <si>
    <t>UC7nYQLDyMzoGwjQ-WjRf3aw</t>
  </si>
  <si>
    <t>UCN28V9zDyq7CSSAdI2wOrxQ</t>
  </si>
  <si>
    <t>UCVUI8hBtmkkZM1dxajUEZmA</t>
  </si>
  <si>
    <t>UC6VsKH_O59Kdc_yYATRGc_A</t>
  </si>
  <si>
    <t>UCoBYLv7UK9PVhD4Ic3JELpA</t>
  </si>
  <si>
    <t>UCZfaz7tO-DyUn28Ahl9G7bQ</t>
  </si>
  <si>
    <t>UCgn41QolrUus4cQD7pLuzqA</t>
  </si>
  <si>
    <t>UCD_IHEDvNMMk0Y9Kjbq3DaQ</t>
  </si>
  <si>
    <t>UCEOx1MOSAw9k0vix1Ay4Ehw</t>
  </si>
  <si>
    <t>UC2woPAI_KMAR25R_oezEQqw</t>
  </si>
  <si>
    <t>UCwFeCDpU4sVarQfB_o5HjUQ</t>
  </si>
  <si>
    <t>UCX_QrUixhlqMZNrko8kjuNA</t>
  </si>
  <si>
    <t>UCUpHeFrAvoqcdGgl_W83x6w</t>
  </si>
  <si>
    <t>UCevlWBlagXPMKhPYGs8Xs5Q</t>
  </si>
  <si>
    <t>UCUBIoaYtssJMnp5WiN9WF-g</t>
  </si>
  <si>
    <t>UCxBZnK4jxSffQ7M9bWrXTzQ</t>
  </si>
  <si>
    <t>UCvMrxzcIql-6HU7FbkeIpwg</t>
  </si>
  <si>
    <t>UClzb8_8OOEICAo1rqc94Lfw</t>
  </si>
  <si>
    <t>UCNKDqdtvIJz-bxmea1PnjWg</t>
  </si>
  <si>
    <t>UCGQNrcEAk6VKb1ikaZofwOg</t>
  </si>
  <si>
    <t>UCviTjeIV2rJdczfqCPSecLw</t>
  </si>
  <si>
    <t>UCBwJoe2k55njvR6etpWcP3Q</t>
  </si>
  <si>
    <t>UCLE29CdlBCUzhhYUlZ6oZyw</t>
  </si>
  <si>
    <t>UCY5Y5DJc-Heqyyk_pzLtiJA</t>
  </si>
  <si>
    <t>UCShZdCcb5Gu5IFxyGpY1u6A</t>
  </si>
  <si>
    <t>UCmdY6cEbeRd_0qoeV38UIlA</t>
  </si>
  <si>
    <t>UCvQy9Bnq6kWgpj9YeEWgdEw</t>
  </si>
  <si>
    <t>UCP2BofKNb3lgE645KP4AXRQ</t>
  </si>
  <si>
    <t>UCYzSn5Cwfh4sEgAJ0uzJksQ</t>
  </si>
  <si>
    <t>UC4kFrILwwSkB9SW2LY4h-qg</t>
  </si>
  <si>
    <t>UCGiHHv7qU5WPFI8WyiYJ1XA</t>
  </si>
  <si>
    <t>UC98sykVhLeqOcCCNeTC1erw</t>
  </si>
  <si>
    <t>UChXqvaGDLD8jfjFXPq66XHg</t>
  </si>
  <si>
    <t>UCnTr4c0IFQTiHAgRx7zVfhg</t>
  </si>
  <si>
    <t>UC4nLHw0dNct323oRPvW7ecQ</t>
  </si>
  <si>
    <t>UCuxvuHhO01W6FcyTxBcBj1g</t>
  </si>
  <si>
    <t>UCBfG446cnhCWD8gQiC-u2Gg</t>
  </si>
  <si>
    <t>UCWFbPzBb7dCyCWuBA-DBrMA</t>
  </si>
  <si>
    <t>UCOTNl3ZK-PQNFHWxYeY9seg</t>
  </si>
  <si>
    <t>UClq5YbZ4z2DP-TcSjUEfZng</t>
  </si>
  <si>
    <t>UCs2ed9fEbglP629hWSnqrEA</t>
  </si>
  <si>
    <t>UC3hNf9tl-m8Kf7XvrxXdviA</t>
  </si>
  <si>
    <t>UCZizv8mI3MW25oxjvreL4pA</t>
  </si>
  <si>
    <t>UCMsP5CkxEjxnrGvX6-YJXww</t>
  </si>
  <si>
    <t>UCxCNGZW9KcBOzLpYPCE_ouQ</t>
  </si>
  <si>
    <t>UCL4BAgAktASFCquOg22DkPQ</t>
  </si>
  <si>
    <t>UC8eEZ-l5z_zzG8GT0Tu0PaA</t>
  </si>
  <si>
    <t>UCK3EVU3QjQoFoz9if2LK5aQ</t>
  </si>
  <si>
    <t>UCVUjsfIErUfWI57ep1L7B6Q</t>
  </si>
  <si>
    <t>UCWDtr7aXBLPS62INLF5fDKg</t>
  </si>
  <si>
    <t>UCF_ENoqUf6yYVzMYSIY8JpA</t>
  </si>
  <si>
    <t>UC6wLtl4ETi3gMTqKrFhREZA</t>
  </si>
  <si>
    <t>UCDh2jW3DhVDpNYmRPeJUe5A</t>
  </si>
  <si>
    <t>UCpU_CumhXHfB2Qwq4rXNDfA</t>
  </si>
  <si>
    <t>UCzcveR2jyChJliyOtSgsKpA</t>
  </si>
  <si>
    <t>UCHpi7bK-ZGsxfqG_RrRpiBw</t>
  </si>
  <si>
    <t>UCnrwZFTms2a4zo9ymNgAL0Q</t>
  </si>
  <si>
    <t>UCo2M-E3Xd9oIQoznNfCDGcA</t>
  </si>
  <si>
    <t>UCR5qjrYxGLL9UIYskn8cb4Q</t>
  </si>
  <si>
    <t>UCCjZ3xh69ROMCOAA2oycpuQ</t>
  </si>
  <si>
    <t>UCOGEuizqhGt1pa5cMWotgmg</t>
  </si>
  <si>
    <t>UCUeA5XS09dOoXvIvzmUeKlw</t>
  </si>
  <si>
    <t>UC0RhatS1pyxInC00YKjjBqQ</t>
  </si>
  <si>
    <t>UChDAaJOe6UoNQFl3ibjaY4g</t>
  </si>
  <si>
    <t>UC8aVr3DQClWVHCPLc6H-ReQ</t>
  </si>
  <si>
    <t>UCA90fIgsGf9HWRfZuY3e9jQ</t>
  </si>
  <si>
    <t>UCBeOoFq84k9d5xRRjOpQ6xQ</t>
  </si>
  <si>
    <t>UCkoF2InqbcpBEdHC7KlnaLw</t>
  </si>
  <si>
    <t>UCaahAQfbvIeoV6Jv0sgnJKw</t>
  </si>
  <si>
    <t>UCUhY9EwVnKPcILN67coFR7w</t>
  </si>
  <si>
    <t>UCQ7FaPgmzlpv_NAXnkVkyig</t>
  </si>
  <si>
    <t>UCBlqNf6jv_9dVkATxtGj_xQ</t>
  </si>
  <si>
    <t>UCI3bSml8bhxAsNHh-eQqJEQ</t>
  </si>
  <si>
    <t>UCSA8e9rP3qzxlGIzoDrlc0A</t>
  </si>
  <si>
    <t>UCsbWQl1KQyRaIEA9OvzW30g</t>
  </si>
  <si>
    <t>UCKMqKvCJ-H9vamXaOR_o1dQ</t>
  </si>
  <si>
    <t>UCCHppwpgiaRY7G3kv6xE2IA</t>
  </si>
  <si>
    <t>UCXwlH6o1KERP6zDqssv1mug</t>
  </si>
  <si>
    <t>UCO8j5byKE2WeeZGn93Tmb-A</t>
  </si>
  <si>
    <t>UC93fHoH7WbSN9E1vv8riq8A</t>
  </si>
  <si>
    <t>UCiCRrC4A0RkgAFpJqQCyZBg</t>
  </si>
  <si>
    <t>UCDjqqvPmvZxIHzS8FxKlg9A</t>
  </si>
  <si>
    <t>UCfY2tpa5xNzWbS8yu_I7TOg</t>
  </si>
  <si>
    <t>UCj8am072AmNj_MwF4hXBCaA</t>
  </si>
  <si>
    <t>UCgrtr30_z4YU_pu4YEFQ4tg</t>
  </si>
  <si>
    <t>UC4vgd34lbz4rMekxNfmxOIg</t>
  </si>
  <si>
    <t>UCmXFP-4hMiVYl-3ZjgP_tpg</t>
  </si>
  <si>
    <t>UCpN9lG66FKZY93QTCuz2bFA</t>
  </si>
  <si>
    <t>UCtPKjGJw_cjygeCecIs0jBw</t>
  </si>
  <si>
    <t>UC2O2g29Lb9faOlvTlsrvcVw</t>
  </si>
  <si>
    <t>UC7-5TIdWzD-vtFXO6Tlf54w</t>
  </si>
  <si>
    <t>UCTZb5WPOtI0G92JW4Vz9fIw</t>
  </si>
  <si>
    <t>UCXWprG_plQuWlEWh7yZw_FQ</t>
  </si>
  <si>
    <t>UCYjdjvRXYmiy_EdasYU26Qg</t>
  </si>
  <si>
    <t>UCYTil9dRRBHtxEE3se5MVxw</t>
  </si>
  <si>
    <t>UCHwXTQ-sDw8sMh0SCu7yFiQ</t>
  </si>
  <si>
    <t>UCY3K5KpHpALhyLml3RhF65A</t>
  </si>
  <si>
    <t>UCvN7q3vN_DrPOA8Afrc741w</t>
  </si>
  <si>
    <t>UC5fIra-7Xl5XR8bHd7iKjBQ</t>
  </si>
  <si>
    <t>UCHojWKnC2iljNPxKIVleOcg</t>
  </si>
  <si>
    <t>UCMPcI4Cbk5jfXkRDQHJymTA</t>
  </si>
  <si>
    <t>UCh29s-RNWI6z63670hUv71Q</t>
  </si>
  <si>
    <t>UCVZYN75kl5wbpJv1PFt-gNQ</t>
  </si>
  <si>
    <t>UCeBx8HAel8_jDIrjXACJfSg</t>
  </si>
  <si>
    <t>UCMamNBjyzIR-824ZjntAXmg</t>
  </si>
  <si>
    <t>UCAmGmNMwqMNzIC-a6iOLagg</t>
  </si>
  <si>
    <t>UCJPb2eQsaognHUjEWzA3w4A</t>
  </si>
  <si>
    <t>UCCxg6r5_5Hh69qxhdsgC14A</t>
  </si>
  <si>
    <t>UCm7-32av_9cSJ6n9bI4O9Bw</t>
  </si>
  <si>
    <t>UCVJc7bS5lP8OrZGd7vs_yHw</t>
  </si>
  <si>
    <t>UCXQlCfDUyoF3_BCt8tmmSbw</t>
  </si>
  <si>
    <t>UC0B32YtmHJiDcGhiyL60CwQ</t>
  </si>
  <si>
    <t>UCJpLALi4DbmX_R2DQsjzaFA</t>
  </si>
  <si>
    <t>UCxcXCGx09Wl55UDWaj2ieSw</t>
  </si>
  <si>
    <t>UC_hf7p6ZuZCGggrEs4aw-Gg</t>
  </si>
  <si>
    <t>UCHZfx2vngpEZuhybUux5K3A</t>
  </si>
  <si>
    <t>UC33GpLZkBcsd8oeG85hBcgg</t>
  </si>
  <si>
    <t>UC7dOkV06j5S77L7DL-CNM9A</t>
  </si>
  <si>
    <t>UC186STLxmCKY6S8Wie1R_iA</t>
  </si>
  <si>
    <t>UCRMR2N07wNKSeWTlY35nY1w</t>
  </si>
  <si>
    <t>UCEXuL6SujEWEfZlSumjrYrw</t>
  </si>
  <si>
    <t>UC7beWKhXaZuRpD-oKQj852g</t>
  </si>
  <si>
    <t>UCBFETKEsjIeIQs-0RIxfYaQ</t>
  </si>
  <si>
    <t>UCqziFaXJ9ezdgMj64Ji8RAA</t>
  </si>
  <si>
    <t>UCG9Ubyz65muonOIaZndsUFQ</t>
  </si>
  <si>
    <t>UCIQ-wgItkzEldk1aI9abpSA</t>
  </si>
  <si>
    <t>UCcEJPgHOBxr3yZNhSSoVtRg</t>
  </si>
  <si>
    <t>UC8HjP-90GGJfQU6sMbt1QJQ</t>
  </si>
  <si>
    <t>UC1OoiQv0yQNkX8JLNfoR7tg</t>
  </si>
  <si>
    <t>UC46vj6mN-6kZm5RYWWqebsg</t>
  </si>
  <si>
    <t>UCx-7YPrGnNC81ahyqvqu27g</t>
  </si>
  <si>
    <t>UCRqWqb-iDlueYhUT98Ouj2A</t>
  </si>
  <si>
    <t>UCd8HR9nHw38WFieBXMVnYcQ</t>
  </si>
  <si>
    <t>UCyaveiKgxImUKgXycSPurFg</t>
  </si>
  <si>
    <t>UCbUYcc4Po_ZOMlKnE-qC34A</t>
  </si>
  <si>
    <t>UCJjV2CHB58Xerdqbwyka7QA</t>
  </si>
  <si>
    <t>UCPkuX-GgQFWh3eq6zECN5gg</t>
  </si>
  <si>
    <t>UCqwb69jPwmkvJ7Ti7Vmn-4w</t>
  </si>
  <si>
    <t>UCGi6FJqkhL2UkNi8l5wxX1w</t>
  </si>
  <si>
    <t>UCCWHsjI-U_hxf4_2Aqnd-tg</t>
  </si>
  <si>
    <t>UCo6qGrwEwgqozkfZV43SdIQ</t>
  </si>
  <si>
    <t>UC4HASgkb75MnG2kMbC-zQrQ</t>
  </si>
  <si>
    <t>UCf080waNXLQrLQ0roJR0Oaw</t>
  </si>
  <si>
    <t>UC1nufIFxyq8u3H9MP40nZKw</t>
  </si>
  <si>
    <t>UCObqz9gEwhZmouZ685Uk0fQ</t>
  </si>
  <si>
    <t>UCXFRIXunsSkK_5cMOVK3M6A</t>
  </si>
  <si>
    <t>UC_hZuRD_lbcy_xWP45o4Rng</t>
  </si>
  <si>
    <t>UCJjC1hn78yZqTf0vdTC6wAQ</t>
  </si>
  <si>
    <t>UCzEocrCqG06XzIEIObecpgA</t>
  </si>
  <si>
    <t>UCGrx5oYz0m92cH6Nke_03zA</t>
  </si>
  <si>
    <t>UCSjQV2eg5jHWJBkH1qa9eUQ</t>
  </si>
  <si>
    <t>UC1ufvYsM3nnYRg3xHn8V3aQ</t>
  </si>
  <si>
    <t>UCuz0lKRxiK9luJD3JnFU0RA</t>
  </si>
  <si>
    <t>UC2V5vzgmEmoiWqXfM2jN5_w</t>
  </si>
  <si>
    <t>UCg_Jd7CKe5D5AFeHmwXhmNw</t>
  </si>
  <si>
    <t>UCYicfrJxAQOa55Whw2-oo_w</t>
  </si>
  <si>
    <t>UCCOFj-gvs_Mu1FszmkWgvDw</t>
  </si>
  <si>
    <t>UCk8pN8LE3WOTd0ONnPjHG0g</t>
  </si>
  <si>
    <t>UCW_EQERE-3EuqDxF9vj0bBA</t>
  </si>
  <si>
    <t>UCERcrJom8jkgv6ZxZz1rbyw</t>
  </si>
  <si>
    <t>UC4fLaWvOmE4nV5kZu0F1WFw</t>
  </si>
  <si>
    <t>UCZO_UA8L4sSpUPL94YpDxPw</t>
  </si>
  <si>
    <t>UCAVQMC5MGwRPW2WRv6WAwwg</t>
  </si>
  <si>
    <t>UC6gi6ytOl-GebXjefUzzVNA</t>
  </si>
  <si>
    <t>UC0-K7BZ5u25nH7_91vXsmBA</t>
  </si>
  <si>
    <t>UCwwf7O_Kztzrqhg8QhW9nQA</t>
  </si>
  <si>
    <t>UCOqpyBqmT-eJsMinC3ggmbw</t>
  </si>
  <si>
    <t>UC3K8piFQM-8ZhS2A12iFtQw</t>
  </si>
  <si>
    <t>UCAegStoSCqcdl8OJKoy8G8Q</t>
  </si>
  <si>
    <t>UC8ELxp41N1TcN85bd45TsPQ</t>
  </si>
  <si>
    <t>UCiuFO2oly5EjOxMfuJbhFhA</t>
  </si>
  <si>
    <t>UCeoyATtDjeDXGQzH2ANaYzQ</t>
  </si>
  <si>
    <t>UCXCm7csl0jH13rNW-kL692A</t>
  </si>
  <si>
    <t>UCM3HUMqkoCzAVKCitq22zMQ</t>
  </si>
  <si>
    <t>UCbvw1IPxhJJUFL0fNMxCchA</t>
  </si>
  <si>
    <t>UCf6-c99ocCTcN2Vjbr3Af4g</t>
  </si>
  <si>
    <t>UCC-IOREf2gXdzF0vPSbaSrw</t>
  </si>
  <si>
    <t>UCLSJJeXzUi4F2shYP90a99Q</t>
  </si>
  <si>
    <t>UCXK39rdSMfhLG-RFSJr0wcQ</t>
  </si>
  <si>
    <t>UCL3e-FUv_F_bGhYObc5neyA</t>
  </si>
  <si>
    <t>UCuxdOCCtlwJ8SGfAUCJ54Lg</t>
  </si>
  <si>
    <t>UCdCLwSMAaj-db2vyyrp4ncQ</t>
  </si>
  <si>
    <t>UCsP9pYat2DEBvnvF_iFGG_w</t>
  </si>
  <si>
    <t>UCG2BR1VDhvfqXLuLMLAhLbw</t>
  </si>
  <si>
    <t>UCskj1U7tvN6m7sZP7FAPpyQ</t>
  </si>
  <si>
    <t>UC1LP0STnqvQ4BMsKm4OE6eA</t>
  </si>
  <si>
    <t>UCuBYgRd1_jEHV3xKV9768gA</t>
  </si>
  <si>
    <t>UC0_SrJRdNGxPdXMRFOonU9Q</t>
  </si>
  <si>
    <t>UC_OaHF736OBZo_vTztGtXEg</t>
  </si>
  <si>
    <t>UCZueiLQKvl9eTWfJ9GkWVeA</t>
  </si>
  <si>
    <t>UCNoV4HixKd8AoVt5paswr-w</t>
  </si>
  <si>
    <t>UC0ofXD6bqb9iZC3TmpyA-XA</t>
  </si>
  <si>
    <t>UCW0B5njG6bcOAAbbWU1MBSw</t>
  </si>
  <si>
    <t>UC5KLHSGpDJi8331fmlTTk0g</t>
  </si>
  <si>
    <t>UCF41McsJJRUMlZG-1hzOgQA</t>
  </si>
  <si>
    <t>UCsqnSXQQhaGZ5wiKholJnKg</t>
  </si>
  <si>
    <t>UCC9yeZKDWiLyMHAW973yJZQ</t>
  </si>
  <si>
    <t>UCITF4jhoG7gG9JDZWoKDtuA</t>
  </si>
  <si>
    <t>UChdLNvzDU_zYdMgCSh7LPVA</t>
  </si>
  <si>
    <t>UCX1OsZSlxhXL26QH_oeyS5A</t>
  </si>
  <si>
    <t>UCFx8S2YX4DFTYicIOV5PQag</t>
  </si>
  <si>
    <t>UCv1plsuRhMGNckZShWL8KdQ</t>
  </si>
  <si>
    <t>UCDe0kQ21BcjkHPuPqworDxw</t>
  </si>
  <si>
    <t>UCA6yfpYhy5sWMjRGOT-OAIQ</t>
  </si>
  <si>
    <t>UCRInmSjkFCGLb-VUwUCZR_A</t>
  </si>
  <si>
    <t>UCAK9xcpdzEXlJn0rh-E4H4A</t>
  </si>
  <si>
    <t>UCIpnoCPKo6szdhGIalxnu5w</t>
  </si>
  <si>
    <t>UCRrdtwSwx0Fm-bqC9XMq-dw</t>
  </si>
  <si>
    <t>UCldQB9WsQ4gmCjRdS0MN4zg</t>
  </si>
  <si>
    <t>UCpqNPTnb4QIsM5Y0HWvZP9Q</t>
  </si>
  <si>
    <t>UCHYPejvTTDghc7hIV2nuagg</t>
  </si>
  <si>
    <t>UCyhs7pzLHgXgvcsGgfNLaxw</t>
  </si>
  <si>
    <t>UCxiv-IYyYR725C2apG_w6fQ</t>
  </si>
  <si>
    <t>UC0cNv1KZ5x309hM3a7VhPAA</t>
  </si>
  <si>
    <t>UCvO0ndRuwO8Prftc8rUCWIg</t>
  </si>
  <si>
    <t>UCCLu5B_Ctsw4N20DJvDykOA</t>
  </si>
  <si>
    <t>UCWQ1RwJuUG6_KoOFxWTwWCQ</t>
  </si>
  <si>
    <t>UCD3CdwT8lTCe5ZGHbUBxmWA</t>
  </si>
  <si>
    <t>UCCjt1NI02ZjvqiISqoNzvMw</t>
  </si>
  <si>
    <t>UC0kyFRPcMC8HtnL3XqkVkng</t>
  </si>
  <si>
    <t>UCw4BAJn5BW0Pq2mnzhv5ClA</t>
  </si>
  <si>
    <t>UCbpuRuuhNupy7YGPQlV0Ktg</t>
  </si>
  <si>
    <t>UCjRvv09J1ZxJZY5Bb9TiNjQ</t>
  </si>
  <si>
    <t>UCbziSI4DBzIUt1sGI-2DGEA</t>
  </si>
  <si>
    <t>UCHN-yL1GsvV2lXp6TF-hOvA</t>
  </si>
  <si>
    <t>UChZpCRT_Pe5Ys9eLvNE5_kg</t>
  </si>
  <si>
    <t>UCMMlYN-EhNrt0eoEDUK0bdg</t>
  </si>
  <si>
    <t>UC0bB4q6DDEop428dHHraWVg</t>
  </si>
  <si>
    <t>UCj6ce_hGrdS2S025BNxxE7w</t>
  </si>
  <si>
    <t>UC57j-1Nsi0hL8ruR0xWAtfg</t>
  </si>
  <si>
    <t>UCWG0swjbNC0ge4-0GtihEAg</t>
  </si>
  <si>
    <t>UCwfaAHy4zQUb2APNOGXUCCA</t>
  </si>
  <si>
    <t>UC19lE46BUraLSBWSpyBdONA</t>
  </si>
  <si>
    <t>UCWhlwos9_SzVUbfqlVt7RFQ</t>
  </si>
  <si>
    <t>UCnfQqtKFxoxwAI3mpdVeW9w</t>
  </si>
  <si>
    <t>UCpQx09xGL4jJ52DN-oZ4Iag</t>
  </si>
  <si>
    <t>UCkM9h8iLrFsCskGxhwJ791w</t>
  </si>
  <si>
    <t>UCeBWU9awHX3WPR7chSCoE0g</t>
  </si>
  <si>
    <t>UC-gFzX9KuHGZX0aDuZvC-IQ</t>
  </si>
  <si>
    <t>UC8pclbRKASF-eyinaBDGGOA</t>
  </si>
  <si>
    <t>UCdqtTQjRs-aEZUIzcJrx2xw</t>
  </si>
  <si>
    <t>UCQvPhKabcxAV5ggnwimi6Aw</t>
  </si>
  <si>
    <t>UCBWMcm6IUyIw7CB7_N1nG6Q</t>
  </si>
  <si>
    <t>UCOyIOkqTWPPqE_gQhCUYJIg</t>
  </si>
  <si>
    <t>UCb3lxF7yShEwR8DzbhSoCXA</t>
  </si>
  <si>
    <t>UCNLSji8o4NDd8eZJQvQ2_vw</t>
  </si>
  <si>
    <t>UCjOk74jedF4PgKLM_v2GCqg</t>
  </si>
  <si>
    <t>UCzYptAeKRulk15up_6CAsjA</t>
  </si>
  <si>
    <t>UCC_o5kGhBvtUK1fKvkjlT7w</t>
  </si>
  <si>
    <t>UC9Qxfc5dYhIARz9f8uxyWTg</t>
  </si>
  <si>
    <t>UCTduonlM4rLpa-W5gCKm9bg</t>
  </si>
  <si>
    <t>UCQp-RmDISHcJLxig7y5WgdQ</t>
  </si>
  <si>
    <t>UCtgkkpMSOSoXY90jXKZ9ufw</t>
  </si>
  <si>
    <t>UCWFdbzZvJGMR5wEQPZQ9Gtw</t>
  </si>
  <si>
    <t>UCrIFHwGW1rI1XO0fUvGteuw</t>
  </si>
  <si>
    <t>UCsvQW5Azah0H7HM4r6eHHoA</t>
  </si>
  <si>
    <t>UC8IqixmulSFCPfQ7klpgkWQ</t>
  </si>
  <si>
    <t>UCegTtsPu5aI40qtnrBqRyHA</t>
  </si>
  <si>
    <t>UCv2LuxkoQ96dNy0sSWZvgEg</t>
  </si>
  <si>
    <t>UCkul0EjxFOR2hS_0tOokGag</t>
  </si>
  <si>
    <t>UChcEcGVMOJtQT_ATfBOURaA</t>
  </si>
  <si>
    <t>UC0XbkbFj8I8FehRkZv7EK3w</t>
  </si>
  <si>
    <t>UCRVISXQUt2v9FXJWtCNDdPw</t>
  </si>
  <si>
    <t>UCRMmRQ2618gs7Ps-76jjRCA</t>
  </si>
  <si>
    <t>UCzGu3cYv-VdhRXhCtyyG7vw</t>
  </si>
  <si>
    <t>UC-RePsOrv62H7p5ZPpo05Vg</t>
  </si>
  <si>
    <t>UCQ0N5BMFODLm2HMztJtXYdQ</t>
  </si>
  <si>
    <t>UCQ2eCNVCMsYOqxMjhfWJ91Q</t>
  </si>
  <si>
    <t>UCuVDHHCV2rb62e9gKyteM-w</t>
  </si>
  <si>
    <t>UCGVUtb3q_VVP8yrXld6Aq7g</t>
  </si>
  <si>
    <t>UCYUzMElcGHwuF-KiyXtEuYw</t>
  </si>
  <si>
    <t>UChBwcdX8TuubEFgtfVC8PKA</t>
  </si>
  <si>
    <t>UCiCzK8JvuBSATbBa4FFaf7w</t>
  </si>
  <si>
    <t>UCQH-o7L0zZ-jicCS_5wgdig</t>
  </si>
  <si>
    <t>UCWl-Df5puPNrnQS8lG9T9_w</t>
  </si>
  <si>
    <t>UCchbmWA__8uHqy23WdclgfA</t>
  </si>
  <si>
    <t>UCmJlSkSkgdXama3GSUgMC4g</t>
  </si>
  <si>
    <t>UCwNUxiOb3do1pcIxEadK3Jw</t>
  </si>
  <si>
    <t>UC3X46W6tL63L7e3PXKkxInQ</t>
  </si>
  <si>
    <t>UCp8TSIgLoBWsPS1knyeFhaw</t>
  </si>
  <si>
    <t>UCcEXr6ZzppFU1jEbX42QP1A</t>
  </si>
  <si>
    <t>UCCfcBJylrCIuyd03dme0XEg</t>
  </si>
  <si>
    <t>UCNTtLazdEyRwrTeMPO1rs6Q</t>
  </si>
  <si>
    <t>UCsFH3CiwfzeqkuAiWYlnBKQ</t>
  </si>
  <si>
    <t>UC7xdLQYOpbYuLpAfGwLN6Kw</t>
  </si>
  <si>
    <t>UCbnAeXQFokkprd5JYtQF9MA</t>
  </si>
  <si>
    <t>UCgpi__wtcrrD1WDkIeVYsNA</t>
  </si>
  <si>
    <t>UCEDWHoZn1doICipTeYy0BMA</t>
  </si>
  <si>
    <t>UCBZP7VJynJZCfTeF_bb6d3Q</t>
  </si>
  <si>
    <t>UCN_VPZqs0jSDgsGO1d0lgsw</t>
  </si>
  <si>
    <t>UCYALsGamB3BIsYTWC8r5VFg</t>
  </si>
  <si>
    <t>UCVgQXr1OwlxEKKhVPCTYlKg</t>
  </si>
  <si>
    <t>UCBAiv_SaeHK9LM2CmAvZtng</t>
  </si>
  <si>
    <t>UCw-6ZZLkONeI7Tq3TLlSl_g</t>
  </si>
  <si>
    <t>UCBm0hPI-ykEloE6c8Tf15Vw</t>
  </si>
  <si>
    <t>UCpD2AsMkmpq58e8kLlITgTA</t>
  </si>
  <si>
    <t>UChKbi4GEhwAaf58TbHgaAMQ</t>
  </si>
  <si>
    <t>UCau7AJIOeUe3AQ9eXRmFT0g</t>
  </si>
  <si>
    <t>UCmVKu4e3AwDxwCO-FFkOBJQ</t>
  </si>
  <si>
    <t>UCaUhVdYgagK4Mzg8Owh388g</t>
  </si>
  <si>
    <t>UCYn6UEtQ771a_OWSiNBoG8w</t>
  </si>
  <si>
    <t>UCH5to0UwsBvlFVp8Ad5TfaQ</t>
  </si>
  <si>
    <t>UCqASGYoa665e0ZH4cnJUnaA</t>
  </si>
  <si>
    <t>UCoRjUUZbk4oczOvdvNvMLuQ</t>
  </si>
  <si>
    <t>UCW14al5QkJsj9jeCHTbbzVg</t>
  </si>
  <si>
    <t>UC7T1Nu4vn4zl8-il-55drqg</t>
  </si>
  <si>
    <t>UC9QHX7KyJpOvOYdLu-vM2ug</t>
  </si>
  <si>
    <t>UC3HHjWA567A7Lc5aJqdVwfA</t>
  </si>
  <si>
    <t>UC_zrER1T7De4cZ1Z5PGWhcQ</t>
  </si>
  <si>
    <t>UCdgrUyNsLhuqr7pCHtbxF0A</t>
  </si>
  <si>
    <t>UCOS8G_1MHa-VG7HKFAg43Wg</t>
  </si>
  <si>
    <t>UCBCioqx1WWawmS-jsNElmrw</t>
  </si>
  <si>
    <t>UC24K8-tMIa04qt61Npiv5KQ</t>
  </si>
  <si>
    <t>UCEUvsEfdROKsBH_nSNozTTw</t>
  </si>
  <si>
    <t>UCVqe_dyLxdU0FuyZ1Q0J0jw</t>
  </si>
  <si>
    <t>UCvxcR3k34ydlpNH28vHCFig</t>
  </si>
  <si>
    <t>UCx7rNJzsHPIpiBxSeC7LUnw</t>
  </si>
  <si>
    <t>UC7eTc0Iuv1LoRpo76PdxW7w</t>
  </si>
  <si>
    <t>UCxxrBatcxuiaDxqAsmyX0gQ</t>
  </si>
  <si>
    <t>UCi-J9CCaQ8w427GPHmoQGHA</t>
  </si>
  <si>
    <t>UCIxm1p1gjaQxY-B79m6hLvA</t>
  </si>
  <si>
    <t>UCyp46tOP5f_eRfNi7ubdU8w</t>
  </si>
  <si>
    <t>UC4HlZ9D5agwKmjWuYmDL4KA</t>
  </si>
  <si>
    <t>UC55w4h52GwDFLwKerARarGA</t>
  </si>
  <si>
    <t>UCPyWVSMZZRo_m7FQ6lhW0fQ</t>
  </si>
  <si>
    <t>UCcIYb_oPMrdYmoEaHzYrVdQ</t>
  </si>
  <si>
    <t>UCmKX-Akbg1PznRAQ8eAZgig</t>
  </si>
  <si>
    <t>UCWzjAp-rlTFmWqmie4uStSw</t>
  </si>
  <si>
    <t>UCv8AWbcO7l_vzuTf10UMo-g</t>
  </si>
  <si>
    <t>UCbcpqs2vCCn-6J-OhhA1dnw</t>
  </si>
  <si>
    <t>UCP4S4TCjXz_KSP5N_KLvA0Q</t>
  </si>
  <si>
    <t>UCBECG8Hc8rY4OKcuQ3zniFw</t>
  </si>
  <si>
    <t>UChAKaDt4lrzOpKtjBXx-IHw</t>
  </si>
  <si>
    <t>UCQO1rzsspqOyfEFFMU4ALRw</t>
  </si>
  <si>
    <t>UCcfkSA6VQcS7xYCJsz8MoMQ</t>
  </si>
  <si>
    <t>UCbpkGw5TsGT2ViRDFz0shVA</t>
  </si>
  <si>
    <t>UCo0SKU-hd28YZA-qH5xHExQ</t>
  </si>
  <si>
    <t>UCfWlGMz2oah3eoclitMPm6g</t>
  </si>
  <si>
    <t>UCA295QVkf9O1RQ8_-s3FVXg</t>
  </si>
  <si>
    <t>UCayJSRMRgQEQo71zBySi-RQ</t>
  </si>
  <si>
    <t>UC7UFU6Ge1-QDbR3_-x3usyw</t>
  </si>
  <si>
    <t>UC9Ot-qxPTTsnCcNwcNkBqoA</t>
  </si>
  <si>
    <t>UCwmGsTpKapFzibTBX9zwRTg</t>
  </si>
  <si>
    <t>UC8Wux3LtUK_jIdY2ZkD87-w</t>
  </si>
  <si>
    <t>UCNHDmIYt2jCSr0NW6IRNaDw</t>
  </si>
  <si>
    <t>UC2yacLQgfis_q4i54SXFMmw</t>
  </si>
  <si>
    <t>UCdUwrn718gZ-auKM5PrSUCQ</t>
  </si>
  <si>
    <t>UCZLW8SmvBaMwhNFh_iXMZ9A</t>
  </si>
  <si>
    <t>UCBF8XlZG9_-ziYcNQGSKnQg</t>
  </si>
  <si>
    <t>UC3xE9rEV485FTlt937mv1Ig</t>
  </si>
  <si>
    <t>UCMTN5qQjbxxGkVfg1ew2rMg</t>
  </si>
  <si>
    <t>UCdf14FHPLt7omkE9CmyrVHA</t>
  </si>
  <si>
    <t>UCFpzMc7WVZ5vYx18hFZdWog</t>
  </si>
  <si>
    <t>UCjljMVSWhuL5e6Oxx_Vf2JQ</t>
  </si>
  <si>
    <t>UC3Js3ZrtZv7JYhaAIRa8P9w</t>
  </si>
  <si>
    <t>UCHH0HY0Qd8Kw_WI-lvwmlKw</t>
  </si>
  <si>
    <t>UCigzaSqrHmRRWP4inanizkg</t>
  </si>
  <si>
    <t>UCE7CgeQb2FLPfxIcLuhrybQ</t>
  </si>
  <si>
    <t>UCQK-eM1J3dCUWWRUF3vur4Q</t>
  </si>
  <si>
    <t>UCGmrfR1zYR1g9BWdqDMMmHw</t>
  </si>
  <si>
    <t>UCBVNEynUjBYIh2A8jbqO09Q</t>
  </si>
  <si>
    <t>UCSyZ_6izJOqAYi4WCfCNY-w</t>
  </si>
  <si>
    <t>UCAwiE0PyuHbNl2lgKmGAiSw</t>
  </si>
  <si>
    <t>UCZc3T6enxj1tTlZSb-4KxOA</t>
  </si>
  <si>
    <t>UCEOjeKbFCDGUEhATUkyZolQ</t>
  </si>
  <si>
    <t>UCrrm-OA2JRaVAGNpziVVVOA</t>
  </si>
  <si>
    <t>UCfpZ-S_HZyFstBh24o_1zGQ</t>
  </si>
  <si>
    <t>UCJRfBj_ZtllX7q_FAPWqtVg</t>
  </si>
  <si>
    <t>UCc0uRjBZBziwzKzfG_6FlWQ</t>
  </si>
  <si>
    <t>UC1roX1QGmYdMvuJi0RaCUQA</t>
  </si>
  <si>
    <t>UC4GTNmXbITRwayyPAFJLzvA</t>
  </si>
  <si>
    <t>UCaejA_9sIs2U1GVxqyxWXSQ</t>
  </si>
  <si>
    <t>UCG3B5UDD0rgEgKrpn1hZz3w</t>
  </si>
  <si>
    <t>UC2m-hnmtj4leKfWL6S_Idnw</t>
  </si>
  <si>
    <t>UC58IAk1i-6d5XgHZG4NnffA</t>
  </si>
  <si>
    <t>UCoYqPrh8pM_FzFbOtA3iYXw</t>
  </si>
  <si>
    <t>UCQc_CVtWqzhiAP01wzPxU0g</t>
  </si>
  <si>
    <t>UCxJLnYkBYQYIgfZywBVJhVg</t>
  </si>
  <si>
    <t>UC0FuZIVVZVPN9CFwef_9dwA</t>
  </si>
  <si>
    <t>UCOVu1h2Y0DxLoF3TpfudUrA</t>
  </si>
  <si>
    <t>UCHx8kg_il4w9T2uSdNRdlkA</t>
  </si>
  <si>
    <t>UCkF1I0GSbO1NRXT2s3T0B2g</t>
  </si>
  <si>
    <t>UCeOzMrGVo9VK-arSicqMhKg</t>
  </si>
  <si>
    <t>UCPvh8euSCaiVTJgD5OhHZCA</t>
  </si>
  <si>
    <t>UC2mLmnzyJhRr7W9u9xjsttg</t>
  </si>
  <si>
    <t>UC1h0qXQ954HIIBOe34AMg2g</t>
  </si>
  <si>
    <t>UCrTXCod9tSvwqyeH6NYcpZQ</t>
  </si>
  <si>
    <t>UCk_wmXvLDO4wg7a_dxbjZAA</t>
  </si>
  <si>
    <t>UCYboYuslPkWKrVm3EewGjxg</t>
  </si>
  <si>
    <t>UCtTSvEddHYoRsPsHI17mUhA</t>
  </si>
  <si>
    <t>UCgzPGbRKc_XYpuHFxjg1dgA</t>
  </si>
  <si>
    <t>UCDjTJk8Wl_XnxD4P41kwntQ</t>
  </si>
  <si>
    <t>UCeuLwuQE8SV7WYFAOoIiI1A</t>
  </si>
  <si>
    <t>UC3oDMkJx67vsOssbSOwH4qA</t>
  </si>
  <si>
    <t>UCeR1SFp-rR_WJiZEGdXJowA</t>
  </si>
  <si>
    <t>UCw0AI1MlQFe3M9Rmp1DvPXw</t>
  </si>
  <si>
    <t>UCTp8axSc_jzjPhYgoRKjMYg</t>
  </si>
  <si>
    <t>UCvMSKsiXCDfjX41dUNn92yQ</t>
  </si>
  <si>
    <t>UCpbr_feRHJAZIixnvYIPWuw</t>
  </si>
  <si>
    <t>UCUmQxZa12Q3CNGcJQXsFg9g</t>
  </si>
  <si>
    <t>UCvyLsejSg4-_j3oNm7WXbew</t>
  </si>
  <si>
    <t>UCQJTzCJD3HaB7NOc9gnd3bg</t>
  </si>
  <si>
    <t>UCFfoz79Zzxh1DQdrMIb1HSQ</t>
  </si>
  <si>
    <t>UC80PWRj_ZU8Zu0HSMNVwKWw</t>
  </si>
  <si>
    <t>UCh0oMxs3JTL_fjENcJpbKRw</t>
  </si>
  <si>
    <t>UCeAYSPJ7a483MSb7JK0E2MA</t>
  </si>
  <si>
    <t>UCNu2FFzwSDdpwF0Pkdssf5w</t>
  </si>
  <si>
    <t>UCe3DPalEieE_zrWK97_QkEA</t>
  </si>
  <si>
    <t>UCkVF2PNHACXdkSHO6fLtezg</t>
  </si>
  <si>
    <t>UC_03rF65ZuLX5kVBmBBOupg</t>
  </si>
  <si>
    <t>UCl4adehAAcqHOd91fvqKnTQ</t>
  </si>
  <si>
    <t>UC5an8w2CBECDw4N_ru1V4Ug</t>
  </si>
  <si>
    <t>UCEQOJDwT1HlQO0Jmo-kLRrg</t>
  </si>
  <si>
    <t>UC3wmxoUxNOVTbgxsJVB2pvQ</t>
  </si>
  <si>
    <t>UCN8s0kCZAVgglfoRnXNrAdA</t>
  </si>
  <si>
    <t>UCJOYv6KYvqYDUCkklkgxikg</t>
  </si>
  <si>
    <t>UCdeBHf-H9V8EwWYNijDvO4A</t>
  </si>
  <si>
    <t>UCTX9R4tlcJIPsUY8dvADy2Q</t>
  </si>
  <si>
    <t>UCWfInRDNyl6ZoWDcufMDWXg</t>
  </si>
  <si>
    <t>UC6cmP-uXwQ1SlwS9uDBmdiQ</t>
  </si>
  <si>
    <t>UCNLWF3wjBbLOD2roQ0gk6-g</t>
  </si>
  <si>
    <t>UC_oPHgSGG9v3JHh-h20lQng</t>
  </si>
  <si>
    <t>UCXj_nj2wfEsejq0wsQ2EjxQ</t>
  </si>
  <si>
    <t>UCmfqQddZswnF9qK10BtrXsw</t>
  </si>
  <si>
    <t>UCO0BjDuSdOqgGmQr8moTbzQ</t>
  </si>
  <si>
    <t>UC9NWjXbt97jHJ1O-jtzBipg</t>
  </si>
  <si>
    <t>UCKEwC0TszMVyyPwQNuG2Geg</t>
  </si>
  <si>
    <t>UC8XdUfQXhaRWsMy3nr3V4Vw</t>
  </si>
  <si>
    <t>UCH954w-MBxvhg3hzvFRnuzw</t>
  </si>
  <si>
    <t>UC63URkuUvnugRBeTNqmToKg</t>
  </si>
  <si>
    <t>UC0q6WcSP-DVwX4Hgme-I3zw</t>
  </si>
  <si>
    <t>UCIB_MLJZL0T_s5OUuqhmbVA</t>
  </si>
  <si>
    <t>UCkvfWvN_N3Jv88XFPJ2QOHA</t>
  </si>
  <si>
    <t>UCaRrwSXP-Q0eQc-MIcGWufQ</t>
  </si>
  <si>
    <t>UCkcPay_Q0M_FKhWnV9SjQ8Q</t>
  </si>
  <si>
    <t>UCypj9Vvizo4cCERfDFIG3zw</t>
  </si>
  <si>
    <t>UCjOSKlJIk5HpMIN_zlm8f0g</t>
  </si>
  <si>
    <t>UCKU3N68Fo2B0RBL8LrqGeUA</t>
  </si>
  <si>
    <t>UC_ynZ6hPsF9vRZcVjGZ9x5w</t>
  </si>
  <si>
    <t>UCt0GEIWEQV2Uy4EppoXc7dA</t>
  </si>
  <si>
    <t>UCl5a8KNSTIlE1myVUSldhnw</t>
  </si>
  <si>
    <t>UC_tSnZc5wudA1Qxy7q2YN0Q</t>
  </si>
  <si>
    <t>UCABtJKdaaKzdsMIeZhsE69w</t>
  </si>
  <si>
    <t>UC26JWZtM9NFJIE3OX41-6-w</t>
  </si>
  <si>
    <t>UCrmk2eSxVavd9njIfFj9sgQ</t>
  </si>
  <si>
    <t>UCjiEkwIdaueJLz2y327pQtw</t>
  </si>
  <si>
    <t>UCXQNehoj_3OOm3VJcmJwf4Q</t>
  </si>
  <si>
    <t>UC1Gn8l6GIj5ithhZC4Gqdnw</t>
  </si>
  <si>
    <t>UCiwhG73TsKLbLEcmymWSFEA</t>
  </si>
  <si>
    <t>UCCkGAgmXmyGQSPBokS2n5ug</t>
  </si>
  <si>
    <t>UCE6Y7GPi7LG3_w0cmBFZRwA</t>
  </si>
  <si>
    <t>UCMcMbeoE8YIZznLCFiPzcog</t>
  </si>
  <si>
    <t>UCUNKYBhbqUsP10nMRQWs9Ow</t>
  </si>
  <si>
    <t>UChRqqBs8rIfR2x8Mtak6IFw</t>
  </si>
  <si>
    <t>UCS1XMfRDAubjIZ8v0CFnpNg</t>
  </si>
  <si>
    <t>UCiNPKlp7CVGnHxEutvXMYoA</t>
  </si>
  <si>
    <t>UCn9YQVWevSjx3kjBRjt6yrw</t>
  </si>
  <si>
    <t>UC_338PMI9UqDGbuz45SEWEA</t>
  </si>
  <si>
    <t>UCI-8GbrDnAB3tP5q09AudbA</t>
  </si>
  <si>
    <t>UCu6goZFcE4O9im81ecgPVPA</t>
  </si>
  <si>
    <t>UC4EX8zLiBUalk704IX_zu1Q</t>
  </si>
  <si>
    <t>UCeDgPXfSizdUl9OMhB9KOBw</t>
  </si>
  <si>
    <t>UCQd2bts9KbrEsMdSGgmJ0xQ</t>
  </si>
  <si>
    <t>UCh9VEdkhcGD7YOCeW0ZXtTg</t>
  </si>
  <si>
    <t>UCN0ZhGZOC3Y5XlFgex0QXXw</t>
  </si>
  <si>
    <t>UCIcnMjCxcVZudmr4GnDjsLg</t>
  </si>
  <si>
    <t>UClduO5m9o-TZqZY9q0becSg</t>
  </si>
  <si>
    <t>UCKcGUzIFEOw5Nitg-qpMQFw</t>
  </si>
  <si>
    <t>UCqGaF-9BXTt8imOj-dJnQXQ</t>
  </si>
  <si>
    <t>UCzQoueJ9pV-gt_q8d0BanBA</t>
  </si>
  <si>
    <t>UCsn6VjaV363s7tp9JiJSv-Q</t>
  </si>
  <si>
    <t>UC-jmkjiKCyBuqW5FZoemwEw</t>
  </si>
  <si>
    <t>UCYtkDmUOKLsGJ_VCZj2DjsA</t>
  </si>
  <si>
    <t>UC_wRrGACBXvi2UW9QWru3Rw</t>
  </si>
  <si>
    <t>UC7oqCLUYafRuREAPO0Q7uZg</t>
  </si>
  <si>
    <t>UCLLhVCsO2Em-IQXwqq2EVyw</t>
  </si>
  <si>
    <t>UC-WHWhLDdRAiiT53kqDe3PA</t>
  </si>
  <si>
    <t>UCIXzHhsncFHToqh0n-HBSww</t>
  </si>
  <si>
    <t>UC6buVZQlL4RhJVck7AaBHiw</t>
  </si>
  <si>
    <t>UCBLm-AXXY8Jd-N5Tx3eoSfw</t>
  </si>
  <si>
    <t>UCDf4zaE_kxa6jU0RQnNzsqQ</t>
  </si>
  <si>
    <t>UCij6wQXCsmhACo_ZJpPnuHg</t>
  </si>
  <si>
    <t>UCXsOq3SXWaSxeE7zNK9FgYA</t>
  </si>
  <si>
    <t>UCz-oiNpeSZM4mgDcXVcK3Kw</t>
  </si>
  <si>
    <t>UCx2uJwwk-VbxDeH-omCHDuQ</t>
  </si>
  <si>
    <t>UCdOu35-oWiAGSKaM-OaRhRg</t>
  </si>
  <si>
    <t>UCmz1Dd0Nrq6gynpQravPE2g</t>
  </si>
  <si>
    <t>UChDzqpxhZBVggy0VDCD-bGQ</t>
  </si>
  <si>
    <t>UCF1whA4-po0ar8XL2eTXKaQ</t>
  </si>
  <si>
    <t>UCgF_3RGScUUVLVq3PZ67e3g</t>
  </si>
  <si>
    <t>UCWSO_FLordH7r8rGgMYtB2w</t>
  </si>
  <si>
    <t>UC5hW21ivlQRd7nid-_efVpg</t>
  </si>
  <si>
    <t>UCJrAfJ39rplnIFssSedUQOQ</t>
  </si>
  <si>
    <t>UC2yzBf5bvJfbpFw19g8FyoA</t>
  </si>
  <si>
    <t>UCCYfKl9qeKj_gFY7IthCnBg</t>
  </si>
  <si>
    <t>UCV4jGMQNhVwoMDYfhrx_dtw</t>
  </si>
  <si>
    <t>UCQOyO7OC5mX8pZmzKW7Vl6Q</t>
  </si>
  <si>
    <t>UCgvrz9ioKv89HMyg42z4pyQ</t>
  </si>
  <si>
    <t>UCxjfEikGDmajTIYNhWBdfKQ</t>
  </si>
  <si>
    <t>UCVO7OTV4uplZaItL32l7V-g</t>
  </si>
  <si>
    <t>UCTtwgKosoquBKWEK0tLruQQ</t>
  </si>
  <si>
    <t>UCZAc6j2gnLgbVtvZ9F_biQg</t>
  </si>
  <si>
    <t>UCkdlOngwAVi7KJYwtjhvVVg</t>
  </si>
  <si>
    <t>UCH8zjp-3hsMqFT89J1bLFCA</t>
  </si>
  <si>
    <t>UCdypNN9m5ivK_rAuxguJ-pA</t>
  </si>
  <si>
    <t>UC-Pb3WgC4LfJtR48OD0Rg3A</t>
  </si>
  <si>
    <t>UCKNCbBWiMiXBVXUmUuu_dsQ</t>
  </si>
  <si>
    <t>UCeqZLvtezRjQZo6a3tz_ghQ</t>
  </si>
  <si>
    <t>UC1hcSxxoZKNgo9c1TjpPH2g</t>
  </si>
  <si>
    <t>UCX62zItQJebfzqEsozv4NOg</t>
  </si>
  <si>
    <t>UCMecIwIIgAoj3Es80ZprOhg</t>
  </si>
  <si>
    <t>UCoKaZGdtDmW-2TsT1RfW0TA</t>
  </si>
  <si>
    <t>UCL_3_9PhDyZXu1oexm8gtFQ</t>
  </si>
  <si>
    <t>UCqfjbw7CHTkCbBoN1hfl6hg</t>
  </si>
  <si>
    <t>UCfOHfoIZlaq4vOiW4uJGImw</t>
  </si>
  <si>
    <t>UCMt2HkUGa5CGiuInbSVry9Q</t>
  </si>
  <si>
    <t>UCBdN0UL0aN2S6tvm41J50wQ</t>
  </si>
  <si>
    <t>UCTMM_wBtuEAyOG1jm8PiB4A</t>
  </si>
  <si>
    <t>UCWxfEDnM8H1cRB2_U7dGIvQ</t>
  </si>
  <si>
    <t>UC_Qv0-swMA6JbKEeRMFkanw</t>
  </si>
  <si>
    <t>UCi-HnKxk5lAE6Uvj5-dHn1g</t>
  </si>
  <si>
    <t>UCVpKsV04t5WzWJcxqRax7rA</t>
  </si>
  <si>
    <t>UClT94Y2QG0qAjc37BfAI4GA</t>
  </si>
  <si>
    <t>UCpdhSvQSifBXXbpSdh4FTlg</t>
  </si>
  <si>
    <t>UC7MEZVcXwfH1GjGC6lVg-Mg</t>
  </si>
  <si>
    <t>UCy9yTMc0ooGsNx6-V1dckvQ</t>
  </si>
  <si>
    <t>UCN5qpJ_OZl53SfMbVPjA6sg</t>
  </si>
  <si>
    <t>UCKQx0RGDtY-K1DrwnUu8Pxg</t>
  </si>
  <si>
    <t>UCOU7nxaUPU5q9jtnPI-IflA</t>
  </si>
  <si>
    <t>UC6JClaVOigSMNUw56I5Ja2A</t>
  </si>
  <si>
    <t>UC9KlcTdjyS8ICXXUPRccjiA</t>
  </si>
  <si>
    <t>UCshTkEYr2FyW8QYMEpZc0IA</t>
  </si>
  <si>
    <t>UCXe4-WUssAg5m05dm976BpQ</t>
  </si>
  <si>
    <t>UC8Ap5InBZDhgORnxCNtW2Pw</t>
  </si>
  <si>
    <t>UC05DLAXA9jl1bxaoopjs83w</t>
  </si>
  <si>
    <t>UCyWi2qIqXKGZSya5mpvwokA</t>
  </si>
  <si>
    <t>UC8XWn0Q8xcNcJ6uj6p3NltQ</t>
  </si>
  <si>
    <t>UC2fLQfVAnXdW4eSpC0uBfAA</t>
  </si>
  <si>
    <t>UCpygLb267syZMh9ZYsCQTdg</t>
  </si>
  <si>
    <t>UCVvkRFMVWfmGB6Ra4N8-r2Q</t>
  </si>
  <si>
    <t>UCfmN-Ek-pIkeFFim_SBx3iA</t>
  </si>
  <si>
    <t>UCqZJHBjPjCl3dk2PSbAdpnw</t>
  </si>
  <si>
    <t>UC5JfnfGKV9LQsBKNm1L9EAw</t>
  </si>
  <si>
    <t>UCYv0E3dgiMOLVdYTkXapfwQ</t>
  </si>
  <si>
    <t>UCqJYjdpgZrLEe2mLYaJTI4Q</t>
  </si>
  <si>
    <t>UCQHLxxBFrbfdrk1jF0moTpw</t>
  </si>
  <si>
    <t>UCngpdIYbl5REio0EaQjlHSA</t>
  </si>
  <si>
    <t>UC3mjrLGFhSxhWMit0ICh9GQ</t>
  </si>
  <si>
    <t>UCkRBhYseE1BfWq-nRUQOlMA</t>
  </si>
  <si>
    <t>UCXDY2FHLmmMQ2dacN9Jb8mA</t>
  </si>
  <si>
    <t>UCjLCIESGt1238r8Qv4ktagw</t>
  </si>
  <si>
    <t>UCQrqpVT_L-Q7FQRJYtMl4gQ</t>
  </si>
  <si>
    <t>UCDi0eYKj4VH_m7VBzeeBMBw</t>
  </si>
  <si>
    <t>UCi1xSGkWBJss_TZvcOTVy9A</t>
  </si>
  <si>
    <t>UCM72umqXJ-eFZO4AeCQkppA</t>
  </si>
  <si>
    <t>UCK-jgcnISpQw2GSTn83uSRQ</t>
  </si>
  <si>
    <t>UC94Wb0zsO9vr0VovflFaU4A</t>
  </si>
  <si>
    <t>UCNB0kOpUqpB7MUqW53zN8aA</t>
  </si>
  <si>
    <t>UCrBPaqNc8SP3K0Q_LFJlhIg</t>
  </si>
  <si>
    <t>UCfqa93YBE3U3PqJ0NNJqqvQ</t>
  </si>
  <si>
    <t>UCWwV4qx048mo-bScv674JLw</t>
  </si>
  <si>
    <t>UCiQS3JwbWpj5V2YWB1YUBMw</t>
  </si>
  <si>
    <t>UC8xULytJ_JvLtLEzpkqaQdA</t>
  </si>
  <si>
    <t>UCuOg3Y1J1JqKhBK8eh32FjQ</t>
  </si>
  <si>
    <t>UCTnEn1kecKXNHeCJBcJOkYA</t>
  </si>
  <si>
    <t>UCqo4-ml8IiMrW6tYIvzdBIA</t>
  </si>
  <si>
    <t>UC9FmSTPVGKkDTXkMc04VEjg</t>
  </si>
  <si>
    <t>UCGRIgtqal_cC7V_cD-Zylkg</t>
  </si>
  <si>
    <t>UCYaSlsP2wEHSjDFd8xhKkSA</t>
  </si>
  <si>
    <t>UCLPUu7CznrdnRune7h85zrg</t>
  </si>
  <si>
    <t>UC6Dg-LOtgard1DbSbFmOV0A</t>
  </si>
  <si>
    <t>UCTcTU9JvQEKKRCdwQiZlB_w</t>
  </si>
  <si>
    <t>UCmgWmWK7FperhuQ3OCxgyrw</t>
  </si>
  <si>
    <t>UCxzieQx87jUh6wZArvz05HA</t>
  </si>
  <si>
    <t>UCIjNP6BoCpgQgcb3ePga7JA</t>
  </si>
  <si>
    <t>UC8FdNWpVMjBrHxv4FTse5rw</t>
  </si>
  <si>
    <t>UCiy17i337-P-iXw5J6uKalw</t>
  </si>
  <si>
    <t>UCvUCbLAs_bkG8KdqE0AG5Gw</t>
  </si>
  <si>
    <t>UCYLUA7FaYqZruSV32Cj19Hw</t>
  </si>
  <si>
    <t>UChwksNT6DWt7jrRCV9F0qGg</t>
  </si>
  <si>
    <t>UC92EFrsOrH7oCyTjV5gG4bw</t>
  </si>
  <si>
    <t>UC5zEdhoYXn2s30EVGbYsJEw</t>
  </si>
  <si>
    <t>UCd7HEBXSBkeJ0kbhE4pXOhw</t>
  </si>
  <si>
    <t>UClk7Q80nDmztS_6RhHUlG4Q</t>
  </si>
  <si>
    <t>UCdAiWq4AKh3-33YtR5xKRMg</t>
  </si>
  <si>
    <t>UCC3IGGBNgnNOqJnXAKKkouA</t>
  </si>
  <si>
    <t>UCt8w-7d1EKf4F4qiuj_NeUg</t>
  </si>
  <si>
    <t>UCp8qsMmzox7vFvUJyPuVr5A</t>
  </si>
  <si>
    <t>UCjuRpaI3WmHLBtswDLwxQtA</t>
  </si>
  <si>
    <t>UCHKGphX-F3Fq7n9bftE0I5A</t>
  </si>
  <si>
    <t>UCTZpL1nuLrltZVaJmRGYQAw</t>
  </si>
  <si>
    <t>UCrAVft5wHA0EfWKPMA8rfvQ</t>
  </si>
  <si>
    <t>UCchj-4k6JwJKpX4oOJOo9fQ</t>
  </si>
  <si>
    <t>UCvSyjU3KIOwxMyc7gJ4hu-w</t>
  </si>
  <si>
    <t>UCNt9RWcWdawHQK4XeidefuQ</t>
  </si>
  <si>
    <t>UC_j7Nnkv3aDGtys7II5amAg</t>
  </si>
  <si>
    <t>UCEc2LCa3sKR5pQ_cGS6gU0Q</t>
  </si>
  <si>
    <t>UCtMVgKecqimjQIaC9E9kFFQ</t>
  </si>
  <si>
    <t>UCtGMoQ5di1i0yswzxVbQujw</t>
  </si>
  <si>
    <t>UCe3SGLXfMSyYlLvnaID_hJA</t>
  </si>
  <si>
    <t>UC3WaOrbWFd4gJqJc4EHaAIw</t>
  </si>
  <si>
    <t>UC9iLQ-VxXp49r2DiaQ-68nQ</t>
  </si>
  <si>
    <t>UCgwCI15HG96WThHqHZi880Q</t>
  </si>
  <si>
    <t>UCmewC1m-uC5cMjAxoSiCpjw</t>
  </si>
  <si>
    <t>UC5is841BpmO8a-fePasammA</t>
  </si>
  <si>
    <t>UCF_OKkh3v7i3DO2a_XUs-vA</t>
  </si>
  <si>
    <t>UC00VS-wy8So6dLmvaffOKPw</t>
  </si>
  <si>
    <t>UCRCzlYzog-64RwOM10iNcgw</t>
  </si>
  <si>
    <t>UCBQW6AF7AmH42qQbWdeIzeA</t>
  </si>
  <si>
    <t>UCoNy_EvfX4Vhw0of7bSaP-w</t>
  </si>
  <si>
    <t>UCmKIWi-Q_dG-B8TY8-XrVCQ</t>
  </si>
  <si>
    <t>UCfrbcT2BbIi9ynWwn0yLzsw</t>
  </si>
  <si>
    <t>UCwr-evhuzGZgDFrq_1pLt_A</t>
  </si>
  <si>
    <t>UCXSWwwSYaBxhmC1dKQh7Upg</t>
  </si>
  <si>
    <t>UCThSFORC5YOJUuUZok02KMA</t>
  </si>
  <si>
    <t>UCK9ttgEOeHKnuljOFe_DVug</t>
  </si>
  <si>
    <t>UCcXQd6kHKm0b41x8zMVMmMg</t>
  </si>
  <si>
    <t>UCVNg8ZPprXsIZN8dtJ03J8w</t>
  </si>
  <si>
    <t>UC53HLftlu1kPrzn6pSIB7eQ</t>
  </si>
  <si>
    <t>UCQxjICuAu6UT6Sh4AacI8BQ</t>
  </si>
  <si>
    <t>UC5eI9iFtsm9rowIbilAq16A</t>
  </si>
  <si>
    <t>UCHx8IO7sPMGm0bi54jQEPIA</t>
  </si>
  <si>
    <t>UCCYDHLImGk262Aha-FoTZOQ</t>
  </si>
  <si>
    <t>UCUskg-yRKc6CGWDgyjdBOVQ</t>
  </si>
  <si>
    <t>UCG6WeBZoP_9A1OF3fVr1gEw</t>
  </si>
  <si>
    <t>UCprez_8y20y_bZbhw5luqTg</t>
  </si>
  <si>
    <t>UCrSxmV5pyUz9iwM9f05UIHQ</t>
  </si>
  <si>
    <t>UCHEko_fmvecVRzrXoi7W5WA</t>
  </si>
  <si>
    <t>UCDrf0V4fcBr5FlCtKwvpfwA</t>
  </si>
  <si>
    <t>UCgyRKstbR0QcNeLxyK-cOfA</t>
  </si>
  <si>
    <t>UCCkL9vhAXWN0onzBDn_uaWQ</t>
  </si>
  <si>
    <t>UCBGOUQHNNtNGcGzVq5rIXjw</t>
  </si>
  <si>
    <t>UCN8OSSpct5MLZFzVclqFt3Q</t>
  </si>
  <si>
    <t>UCf-QOwahWZOH5FV_sHVLDxA</t>
  </si>
  <si>
    <t>UCcArO2-1_w8HgBmICn5HOkw</t>
  </si>
  <si>
    <t>UCOdJ9OLE8mdz78IeqMaDNEw</t>
  </si>
  <si>
    <t>UCwMuGiLpWz2TVCTJ66uX7BQ</t>
  </si>
  <si>
    <t>UCFbcrQfE_PtpLiGT8XYzhIA</t>
  </si>
  <si>
    <t>UCVFU-bTiTNOEbAZCOx_tdMQ</t>
  </si>
  <si>
    <t>UCLyqB2diOhDDriEJ3624wxA</t>
  </si>
  <si>
    <t>UCv8j8BrOjCMcT8fwVHYRPgg</t>
  </si>
  <si>
    <t>UC8zfh0HKWpUJqQ1rWCVkfMQ</t>
  </si>
  <si>
    <t>UCS_QrWBFGGBptTWYxGTcbIg</t>
  </si>
  <si>
    <t>UCX-sRexkNtFnc2oNRXeFKhw</t>
  </si>
  <si>
    <t>UCsv9uKTMVLSDlkZrdzqYWgQ</t>
  </si>
  <si>
    <t>UC5WHah3Uq2MsHSGA4cqYNvQ</t>
  </si>
  <si>
    <t>UCavHTYxUUpJtUjUGGTCLuGg</t>
  </si>
  <si>
    <t>UCL-LW86fWpQejgKbsoWrQqw</t>
  </si>
  <si>
    <t>UC0Y4ni4YoIQMS5vJapWi-vg</t>
  </si>
  <si>
    <t>UCFQjueN13tXTPf4v61kh1Nw</t>
  </si>
  <si>
    <t>UC9Al4wJbNcJrQ6f8TIADxgA</t>
  </si>
  <si>
    <t>UC20dkS167RuAFCxyDFEskqQ</t>
  </si>
  <si>
    <t>UCDRA2X1Tp2idmQZ4-EASDEA</t>
  </si>
  <si>
    <t>UCGs4oNJdWoTwdWMJ8fRqG9Q</t>
  </si>
  <si>
    <t>UCy7R5_ZTW_LIUNW-PKTsOGw</t>
  </si>
  <si>
    <t>UCg2f0WPLRHw82_W5Jgzp9uQ</t>
  </si>
  <si>
    <t>UCEsZ6N56hvNgb7eOzEOlL2g</t>
  </si>
  <si>
    <t>UC7pFw8zz6yNNnaSoxXRYREg</t>
  </si>
  <si>
    <t>UCYBoh8slRhyXbb4kwAfbGpw</t>
  </si>
  <si>
    <t>UC_cDD8XYxpLCB9F3mlQQxJw</t>
  </si>
  <si>
    <t>UCsGiTE1u8KJ29v_an2cvzeA</t>
  </si>
  <si>
    <t>UCdy9zSPEs7H5g49TtBLXk_g</t>
  </si>
  <si>
    <t>UCiuK_yEaC2W8fYgKjP0FU5A</t>
  </si>
  <si>
    <t>UCfar6_Z60j8XhcaKlIQSTfw</t>
  </si>
  <si>
    <t>UCnGYjI9xg0SNbUowJ7j9hkQ</t>
  </si>
  <si>
    <t>UCLFKG5gU_tsLUtpJNLCRzeQ</t>
  </si>
  <si>
    <t>UCdTQZCoP_4GrJ6foB3zoFyA</t>
  </si>
  <si>
    <t>UCjvd2JmIWGsEWPmLifUS4PA</t>
  </si>
  <si>
    <t>UC0Efi3WTrX8wZNvloFvZLiA</t>
  </si>
  <si>
    <t>UCH9KCi-tqn9RE6D3xf0L2uw</t>
  </si>
  <si>
    <t>UCPhqMywRiYF3nX21DnHvr5g</t>
  </si>
  <si>
    <t>UCVnB-vkuwI7wmS3UykiGqKA</t>
  </si>
  <si>
    <t>UCadgeyMnG4LeHSNOGUZbzjQ</t>
  </si>
  <si>
    <t>UCbw1qrsjHNIuUGHa2omKbKw</t>
  </si>
  <si>
    <t>UC82jn6BfZZkDtRZPXWSU8oA</t>
  </si>
  <si>
    <t>UCuIvtbO7jDnzvyeLK1gFdYw</t>
  </si>
  <si>
    <t>UCLUUVuEvQ0z1RD588CAiHpw</t>
  </si>
  <si>
    <t>UCAN1RgmZv2GZ4dLTQP7qe2Q</t>
  </si>
  <si>
    <t>UCR08P45zJ1KQA4BcjVZ3H8w</t>
  </si>
  <si>
    <t>UCuLk-qQYRLSl3W0rdjeUIJA</t>
  </si>
  <si>
    <t>UC7_el_ttqVoss58QCmHI36Q</t>
  </si>
  <si>
    <t>UCa3HzT-gUTCoXox4XsMoUKg</t>
  </si>
  <si>
    <t>UCvgC-CN_C0gY0r3M7YlhJVA</t>
  </si>
  <si>
    <t>UCjchmjvdJYNJggu0xsLESWA</t>
  </si>
  <si>
    <t>UCyvZ7PmBAOIgLeV1UksVr_g</t>
  </si>
  <si>
    <t>UCXFfzh8JKaB7yRtOzFDEj_w</t>
  </si>
  <si>
    <t>UCUpI2QI1u5w3GRqflg7bNIw</t>
  </si>
  <si>
    <t>UCdIn_D4Fc9rizl5bkInVoUA</t>
  </si>
  <si>
    <t>UCR8NsuqnMSWNQoKihSCdUcQ</t>
  </si>
  <si>
    <t>UC3s0lvfVnN83d1-D6ePMAKg</t>
  </si>
  <si>
    <t>UC5bQ6WD_2NLGbfeJYIwAIuA</t>
  </si>
  <si>
    <t>UCGjf-s8x8fUN3zKumLrwmrA</t>
  </si>
  <si>
    <t>UCvSZN2wN5zx6Sx0niV4OARw</t>
  </si>
  <si>
    <t>UCBo0L2RTXy3PVrZLJLvfjvQ</t>
  </si>
  <si>
    <t>UCW2C18tRBldzeTFdZL5HPXg</t>
  </si>
  <si>
    <t>UCL_-QW6gsDkZjQWNphgdPWA</t>
  </si>
  <si>
    <t>UCWX_oIdMwDE_hmtolRhjLbw</t>
  </si>
  <si>
    <t>UCZoB47kBWUNC9nzoA8YXy8Q</t>
  </si>
  <si>
    <t>UCwqrwaW2GDU9uo5WgUggoyQ</t>
  </si>
  <si>
    <t>UCiZvRMZ8BQfCHmnsJc96lwg</t>
  </si>
  <si>
    <t>UC7EeStj7e61dqkeTFP6cf8Q</t>
  </si>
  <si>
    <t>UCuG2WrQb3vsmWKv-A74kONQ</t>
  </si>
  <si>
    <t>UCRPMAqdtSgd0Ipeef7iFsKw</t>
  </si>
  <si>
    <t>UChBmqnSvUJev5Ky9X62eBBQ</t>
  </si>
  <si>
    <t>UCjKEN88-TUqzy2tVRE4l4FQ</t>
  </si>
  <si>
    <t>UCjk7V7Rw2jJSflLXYxBOY0g</t>
  </si>
  <si>
    <t>UCfUzWTMZ7C8udAjUrz1eldw</t>
  </si>
  <si>
    <t>UCuxa-jqB3K7vpP-_UOXVrXA</t>
  </si>
  <si>
    <t>UCSfZ8wqaG95bLjwnS8Nh8DA</t>
  </si>
  <si>
    <t>UCIOgvkrVt5YZEcVnbA2qVtQ</t>
  </si>
  <si>
    <t>UCs46bUSjusijqt5U1Im8zGw</t>
  </si>
  <si>
    <t>UCImsszE16WTU8BA2XgQUDzQ</t>
  </si>
  <si>
    <t>UC8p48SZjQeeXX0zajGKYYUQ</t>
  </si>
  <si>
    <t>UCyQ7gAT0bPxLcWC7VaPuX1Q</t>
  </si>
  <si>
    <t>UCFEb0CGFAMpRXlkUvDLpJDg</t>
  </si>
  <si>
    <t>UCFgMAyJ1CHXRZbSd-V8ioeg</t>
  </si>
  <si>
    <t>UCmnIcDeDKxAZzCGzBZxDtNA</t>
  </si>
  <si>
    <t>UCMeJ223QKZ1x9LLo2MNTOcA</t>
  </si>
  <si>
    <t>UC_ovpykq47grPDSlhzciLYQ</t>
  </si>
  <si>
    <t>UCYxXLB0CSh9_5Jn2KsEkc6w</t>
  </si>
  <si>
    <t>UCcwpBjKuIJZDhvk1HQ9DXag</t>
  </si>
  <si>
    <t>UC7jFOIyw9Nk_uQpNOsL8ULg</t>
  </si>
  <si>
    <t>UCw0TpGjgFmFYyBPvBYs7Eog</t>
  </si>
  <si>
    <t>UC4UtgDae_gg97w0eVEezeTw</t>
  </si>
  <si>
    <t>UCKFkAQ_b6Rcpl0DP2L8fQ-Q</t>
  </si>
  <si>
    <t>UCGk_EOyEtbl-XdbVHRPwnfQ</t>
  </si>
  <si>
    <t>UCPyPGoySB1bXEHABvenKBbg</t>
  </si>
  <si>
    <t>UCYfng3FNFCbN1xpTBIs8FEA</t>
  </si>
  <si>
    <t>UC70iJbY5k-asxC4wO37y2ag</t>
  </si>
  <si>
    <t>UCRIKHml7q9UV92gido0H8mg</t>
  </si>
  <si>
    <t>UCU1K6P1M8hq-TBnDlHQtO7A</t>
  </si>
  <si>
    <t>UCFdjfeDBDRZl-LA6A1A4zAw</t>
  </si>
  <si>
    <t>UCq0AD62K4y1zByvaBGt_oNg</t>
  </si>
  <si>
    <t>UCB1QhXdZfARJCo0tw3mniGA</t>
  </si>
  <si>
    <t>UCIZlw-2iKC-nXMGRJewEPOg</t>
  </si>
  <si>
    <t>UCPfOIvsNCmxR8JTuD-1wFKg</t>
  </si>
  <si>
    <t>UCkGRccoFIazt6GZUcdq6Byg</t>
  </si>
  <si>
    <t>UCpTX8y2PRgN_r6EY0gOBtiw</t>
  </si>
  <si>
    <t>UCKnaflu7tLEm2S5yHBYfmtg</t>
  </si>
  <si>
    <t>UCw9bdmfact8CXBjfFkk0Cuw</t>
  </si>
  <si>
    <t>UCO0FcWPUpJj0SoZ0zBorHvw</t>
  </si>
  <si>
    <t>UC5bRDS3Wrlqut7RMF7jqNpw</t>
  </si>
  <si>
    <t>UCwrEyDcOzJ65_6aRQ2FjIBw</t>
  </si>
  <si>
    <t>UCOjgTuou4IgCyupXtFhB0eQ</t>
  </si>
  <si>
    <t>UCHmlroe3LAGD87filYNubXw</t>
  </si>
  <si>
    <t>UCUWbS9qoyLKTdOlvgK1GBlA</t>
  </si>
  <si>
    <t>UCI_T-LyO27WtEJDKaesoAkA</t>
  </si>
  <si>
    <t>UClFO_8FPO2ktYXq53pUA0CA</t>
  </si>
  <si>
    <t>UC9R9cRqfJzRoB9e35gnbL9g</t>
  </si>
  <si>
    <t>UCUmKezPrj_cwD0LecrbCnLQ</t>
  </si>
  <si>
    <t>UCv4sD5M4GkeuNY6HRlDxhGQ</t>
  </si>
  <si>
    <t>UCUW0EDTnCIbaY6DTqMsjbUw</t>
  </si>
  <si>
    <t>UCPieQDKi3meIXyrVsyYmR9Q</t>
  </si>
  <si>
    <t>UC2NdNSdbqpp6PvUJKh7h-Bw</t>
  </si>
  <si>
    <t>UCQyn9zpXINuDZNBvv1ZiGfA</t>
  </si>
  <si>
    <t>UChUtAsRTkpLgHK9ScjilHMw</t>
  </si>
  <si>
    <t>UCFwPtScRFQcGJXutAx9x5wA</t>
  </si>
  <si>
    <t>UC-HEBjd4vEvhDfPMzvt76Eg</t>
  </si>
  <si>
    <t>UCbYWsdyiIBeC2Ambxabkrqw</t>
  </si>
  <si>
    <t>UCpMY_rBIHLiy0KcyQcuSx3g</t>
  </si>
  <si>
    <t>UC4VUFtN88sH8CF_j2Y9LPvw</t>
  </si>
  <si>
    <t>UC5ZQbH3dE6zMTXZKHEjiGLw</t>
  </si>
  <si>
    <t>UCE8bZra0UllpigzQ-E6YAbg</t>
  </si>
  <si>
    <t>UC3xwfuSDWRzuaKCgFTdFAsQ</t>
  </si>
  <si>
    <t>UCmKQ68cxZFuBsb1q5tXFBew</t>
  </si>
  <si>
    <t>UC-SoUByxMIWRxpxo-aQXkjw</t>
  </si>
  <si>
    <t>UC-8aQJw9AlyTqjnMzdT5Jnw</t>
  </si>
  <si>
    <t>UCMyi2FZAUNLFDUE8ZIf7YOQ</t>
  </si>
  <si>
    <t>UC0vW4HcebPx5tMsOQRFq3mA</t>
  </si>
  <si>
    <t>UCMJ37-vslb1GDb-yKrUs7MA</t>
  </si>
  <si>
    <t>UCmjIcELD07cOV3YRPbjUJfQ</t>
  </si>
  <si>
    <t>UCus9rr05BUnLca5V64MiEyg</t>
  </si>
  <si>
    <t>UCoVV1yuzToH-yqdd8aw-zLQ</t>
  </si>
  <si>
    <t>UC49QIX7RoqJ4Pzj8E4rUk8w</t>
  </si>
  <si>
    <t>UCdtT72NvI3SfLApYxtxd6iQ</t>
  </si>
  <si>
    <t>UC5sUYEBV7cDlYvWRW8DopuQ</t>
  </si>
  <si>
    <t>UCUMAP6ENB2EIq04ZKMw4EqA</t>
  </si>
  <si>
    <t>UCzq4OEffLlTLHui58ESCGrA</t>
  </si>
  <si>
    <t>UC5Kfv8S2JWyr1gn97l2yYfQ</t>
  </si>
  <si>
    <t>UCvls3yZup5f-pDmUilIhIXA</t>
  </si>
  <si>
    <t>UCHxQWqbyDEYGzXN242i0xFA</t>
  </si>
  <si>
    <t>UC0uKJMOyNHJnhI9frdgE3mA</t>
  </si>
  <si>
    <t>UCq9Y9kERJ-cmLCt1Ct6Cwvg</t>
  </si>
  <si>
    <t>UCm5NqKUJIszFH0AJ-iWESZg</t>
  </si>
  <si>
    <t>UCzNDL--l1YqwUfLNkR39QZw</t>
  </si>
  <si>
    <t>UCIqurwRvNsItUX_MN_TjerA</t>
  </si>
  <si>
    <t>UCTk-a57urUvdyvXQ8O5t_rA</t>
  </si>
  <si>
    <t>UCM1VqjE2rshkzKfp4zRVwKA</t>
  </si>
  <si>
    <t>UCJKGU9G_MdI7sNjGJohFTgA</t>
  </si>
  <si>
    <t>UC1_nT_7pDSDlh98TLplAh6A</t>
  </si>
  <si>
    <t>UC5_-CYb5i9PRVad8rr6VLDw</t>
  </si>
  <si>
    <t>UC42qyCQM39vQ6bt_6iz-Z8A</t>
  </si>
  <si>
    <t>UCQ5DQDtChvYijmkw3z0FLoQ</t>
  </si>
  <si>
    <t>UCMLRVU9x9v6EXgj7BT1qYGw</t>
  </si>
  <si>
    <t>UCKH0DuBnfp2Ox7QF8ICsZHQ</t>
  </si>
  <si>
    <t>UC-iUwuJelDT_dBqc9tSPUkw</t>
  </si>
  <si>
    <t>UC7H6Y5KNu0npnZ3NoobZCJg</t>
  </si>
  <si>
    <t>UCnfh2rXvmuGqcj2a4VbZ1lA</t>
  </si>
  <si>
    <t>UCliImq_HTFRvNwS3C5GAVnA</t>
  </si>
  <si>
    <t>UCGTpolBDuafyPfBjV4tPYtA</t>
  </si>
  <si>
    <t>UCSDtOVU4V63W_NylGfc2HsQ</t>
  </si>
  <si>
    <t>UCHcRjWV5XOGdYkM7ruvpgxw</t>
  </si>
  <si>
    <t>UC0EP-eIJAsFY6bkHX1FKUXQ</t>
  </si>
  <si>
    <t>UC86jhxS1150EOzbLloXqGrg</t>
  </si>
  <si>
    <t>UC7SUNWBflDLQ4MNJ8E5TJUw</t>
  </si>
  <si>
    <t>UCn5B4jBc9RKqsO2ROd3nulA</t>
  </si>
  <si>
    <t>UCLSFE12TolQ32AKOQ3YfnqA</t>
  </si>
  <si>
    <t>UCfAz3AA3Y2KWdU5h6ThrUnA</t>
  </si>
  <si>
    <t>UCKCMVwBKW1AceiI2EjbLL4g</t>
  </si>
  <si>
    <t>UCvMnTzkPFCLMZpEyI64VuyA</t>
  </si>
  <si>
    <t>UCO6A65zZASHDV3GjSxLHAMg</t>
  </si>
  <si>
    <t>UCMCAVBCaVHZQpZeO-ZUuJzw</t>
  </si>
  <si>
    <t>UCUzHnTdnf022PTbzXtRn3LQ</t>
  </si>
  <si>
    <t>UC9N9JYi-5Qet9IM_QNd-WQQ</t>
  </si>
  <si>
    <t>UCk_NHZd5xP6Dnl6rxpNfvSQ</t>
  </si>
  <si>
    <t>UCssXmNrk1_z_hJPyqZxzncA</t>
  </si>
  <si>
    <t>UCT_cyyW_Kgp77kHnX--mjAA</t>
  </si>
  <si>
    <t>UCQUIiUbuOa09-FTwoZrgO_w</t>
  </si>
  <si>
    <t>UCzk4zJEoZMnjvpoN0HlKjHQ</t>
  </si>
  <si>
    <t>UC1A_QwNdwuIXCn61QqdcQwg</t>
  </si>
  <si>
    <t>UCcXSWIVfetN9uks3jnLFQ5g</t>
  </si>
  <si>
    <t>UCkvVY2B98311b1CgtNEJnuw</t>
  </si>
  <si>
    <t>UC_oCHYqWbFPqj2vswnY26LA</t>
  </si>
  <si>
    <t>UCdhvuE19DuY4ax9Xnxnq9lA</t>
  </si>
  <si>
    <t>UC82ObtDCmUuWwrWhpQsX-HQ</t>
  </si>
  <si>
    <t>UCIX5Sni6eua6aXVQY6MoO1Q</t>
  </si>
  <si>
    <t>UCiYomqWkmC8oGXX9W1QFvFA</t>
  </si>
  <si>
    <t>UCEMzywdCONMmTWQxpysao_A</t>
  </si>
  <si>
    <t>UCdyPgkvsBWu938GZyBrwNzw</t>
  </si>
  <si>
    <t>UC8TZO-O8wuoXN9oYQeJt37A</t>
  </si>
  <si>
    <t>UCnq8_H00sbQH6NoGJ-8ftJQ</t>
  </si>
  <si>
    <t>UCn7DATpF0Nk-YJmjw4gMwfg</t>
  </si>
  <si>
    <t>UCiY0rSCiZakRAPkhsEElhBw</t>
  </si>
  <si>
    <t>UCDUxlJNxIf6sSag7_A395Bg</t>
  </si>
  <si>
    <t>UC0mtnDkx-o1dzP06jQ7nsXA</t>
  </si>
  <si>
    <t>UCyDKmTMJkJz2zgwX1tmlhVw</t>
  </si>
  <si>
    <t>UC6WOqO71aFJGLH19_8VV_ew</t>
  </si>
  <si>
    <t>UCjNE_PwYInBk1jbLBtScwPg</t>
  </si>
  <si>
    <t>UCuEDKIFA-XuR8rzLdNUPnbA</t>
  </si>
  <si>
    <t>UCj4nEnx8t_HJ5wpL1YPxHaw</t>
  </si>
  <si>
    <t>UCRomzz3ZmFhlyDpf0Blk0Og</t>
  </si>
  <si>
    <t>UCBU2792nJ93pX4Zkx8gTSgQ</t>
  </si>
  <si>
    <t>UC_MpLpQUNC4Tq63IkE6dFuA</t>
  </si>
  <si>
    <t>UCeVF1GpfFR8JwuhQHzTa5dQ</t>
  </si>
  <si>
    <t>UCSNIRSN7wVHPU-GofD1oaOQ</t>
  </si>
  <si>
    <t>UCgUCga0tYK3X01gL02DImvg</t>
  </si>
  <si>
    <t>UCI_6tsAyicl0VUPUzxHFHrg</t>
  </si>
  <si>
    <t>UCDCkvhiXQnJhCqWa6nJRb4g</t>
  </si>
  <si>
    <t>UCtwauzrhiBQ3tkEcbZ_Cypg</t>
  </si>
  <si>
    <t>UCxU3E4d67LMyUtDRfUyKIow</t>
  </si>
  <si>
    <t>UCinuVxPzuIkjGQB40JZBXSg</t>
  </si>
  <si>
    <t>UCMBRKJAw5yAQAx9PD35Jdww</t>
  </si>
  <si>
    <t>UCTjFxEdR5h_YSC1R0HWHPaw</t>
  </si>
  <si>
    <t>UCqOGtJR9UQk-tbZqYmle9cw</t>
  </si>
  <si>
    <t>UCdjCUR6darzu_D5Cdr_p-1w</t>
  </si>
  <si>
    <t>UClvHGacv6a2vcFup7xh-3lw</t>
  </si>
  <si>
    <t>UCQN9WTcNHKNyWNuu4HFMLXA</t>
  </si>
  <si>
    <t>UCefo6NQnXh_-JAoT7bTqhxQ</t>
  </si>
  <si>
    <t>UCOwuauJGqEfNCpp-2WxjPyA</t>
  </si>
  <si>
    <t>UCHQeR5fDMQ6ZttQ2ln2dfTA</t>
  </si>
  <si>
    <t>UCYK9_Xy6IY1od3ERtY2Kr_w</t>
  </si>
  <si>
    <t>UC530Ys6le56XCaMKxXJgC8g</t>
  </si>
  <si>
    <t>UCkSsO6Ieg9cNpyq_WQWrLbg</t>
  </si>
  <si>
    <t>UCN5piaaZEZBfvFJLd_kBHnA</t>
  </si>
  <si>
    <t>UCj_MbJEpkmF6FNXPjyZVI0A</t>
  </si>
  <si>
    <t>UCihO3xa91qrgYzf-yULIPqA</t>
  </si>
  <si>
    <t>UCoUvFwmJcJguSJZtV5ZVk4Q</t>
  </si>
  <si>
    <t>UC91G3ji9j3YE0hAWDh44TWQ</t>
  </si>
  <si>
    <t>UCypb46Ei2HR9hIA7dpvL6ZQ</t>
  </si>
  <si>
    <t>UCIMbvMHsdUL1B7frVvTiNFg</t>
  </si>
  <si>
    <t>UCjO0g7qbAcZX-vtdIFCA41Q</t>
  </si>
  <si>
    <t>UC8ZKXnTpl06oSQAtPm07cCw</t>
  </si>
  <si>
    <t>UCeFv4u_fUqHOfqD2WnUnHwg</t>
  </si>
  <si>
    <t>UCB5C3oyks1QkFdKIN-7WopQ</t>
  </si>
  <si>
    <t>UCEUzEdw4LTp6fsmnm6SOmdg</t>
  </si>
  <si>
    <t>UCT6auWOZiEq3Op698WqJX5Q</t>
  </si>
  <si>
    <t>UCCkXU_pKTN98ktKl0TnHjBg</t>
  </si>
  <si>
    <t>UCDzXMJ3WtO-Xk4pfo9HcNQg</t>
  </si>
  <si>
    <t>UCa_jXolg5kg8lE58gYX9z1g</t>
  </si>
  <si>
    <t>UCCpCQxuDE2QPx2adbTzZEdw</t>
  </si>
  <si>
    <t>UCKa_4q3ndBBWytqkqXIPslQ</t>
  </si>
  <si>
    <t>UC1g_04NgoUdMNEkY_1D5aSg</t>
  </si>
  <si>
    <t>UCOcU538BN_CiGYGTTo9OGTQ</t>
  </si>
  <si>
    <t>UCldyi11QYNXYXiLjVbyw5dA</t>
  </si>
  <si>
    <t>UCESY9RzEDPsb9lRLMxAirwQ</t>
  </si>
  <si>
    <t>UCZGgWlETjZnYmHPiKgybing</t>
  </si>
  <si>
    <t>UCioUyu2IZHyQPcEizTfxipw</t>
  </si>
  <si>
    <t>UCNWa_YW7XUAC88b-rIBWvlA</t>
  </si>
  <si>
    <t>UCyYd45zU1ryf6eUCfKJG4IQ</t>
  </si>
  <si>
    <t>UCR8kEMlymHz0UYI1ftxhQFw</t>
  </si>
  <si>
    <t>UC4cf_hG8kM3lmSGy_hvnfwA</t>
  </si>
  <si>
    <t>UC1MjtBgQdAK8tlYLwtypweA</t>
  </si>
  <si>
    <t>UCUJCctBq5xtMCbCql9G3eMA</t>
  </si>
  <si>
    <t>UC50UyeZOHmRhVnhuPFLfjzQ</t>
  </si>
  <si>
    <t>UCZwaMJ8qBUb6qGsPqLBM2pg</t>
  </si>
  <si>
    <t>UC6MZVmsrBEwtXobvn_Y0yZA</t>
  </si>
  <si>
    <t>UCb2PljffkAo_19l8t68zP2w</t>
  </si>
  <si>
    <t>UCW2VhxXe5jfPShIE8vz4Qwg</t>
  </si>
  <si>
    <t>UCW3Sbu9ZFb2g2thct6mZlXA</t>
  </si>
  <si>
    <t>UCeZO5d7nmK8mnDDbAEJML5A</t>
  </si>
  <si>
    <t>UC1038dBQ36pHs7r3VsqXWQQ</t>
  </si>
  <si>
    <t>UCx8J9Kt0Hulz-n0RfxWls2w</t>
  </si>
  <si>
    <t>UCd3weB8e8-OkKUmKoSOtKEw</t>
  </si>
  <si>
    <t>UCvdxiDKZpfunxPrkd91RRpA</t>
  </si>
  <si>
    <t>UCG7bm5MTOI9WydJnWLnZ7Eg</t>
  </si>
  <si>
    <t>UCWWZeKIZmh6mgRrOgSQk5Rg</t>
  </si>
  <si>
    <t>UCGWnoGKRiFNJmDlrkIJCRKA</t>
  </si>
  <si>
    <t>UCXlIvD6MtbHB7YhP3vudmHQ</t>
  </si>
  <si>
    <t>UCLR82CfYrRfU8geY6c0JLig</t>
  </si>
  <si>
    <t>UCZPvp_QV03rYZYzKFQ3qM0Q</t>
  </si>
  <si>
    <t>UCY-0bG0XyOGAxG7GsEZ22yA</t>
  </si>
  <si>
    <t>UC0Fni6pBWueVeCabNGuOFeg</t>
  </si>
  <si>
    <t>UCihPYlorLXjroDGnQL17YvQ</t>
  </si>
  <si>
    <t>UChkupSYPdg_2uuEa0zDC_dA</t>
  </si>
  <si>
    <t>UCtdpoOjnMUzhgG1qe6uqp7w</t>
  </si>
  <si>
    <t>UCnd5xZAWXs0soICzuxGNtFw</t>
  </si>
  <si>
    <t>UCbRXSH_Zj1y5z3R69ak9sPg</t>
  </si>
  <si>
    <t>UC00rSCnbZHfkfi7LFhO1CYg</t>
  </si>
  <si>
    <t>UC9BZSIFQ3lrmUoBGntZJT3Q</t>
  </si>
  <si>
    <t>UCkcat7kqDsxCiuFQL1ujRiA</t>
  </si>
  <si>
    <t>UC2BBnNqCUNPe5yF-Fo04OnQ</t>
  </si>
  <si>
    <t>UCmCZWTJjbkleSsDdcSgzamA</t>
  </si>
  <si>
    <t>UCJD5R47XWLmJ7nn18T2ZW4w</t>
  </si>
  <si>
    <t>UCOD6l1LSVhZq1Ycv77UOZvw</t>
  </si>
  <si>
    <t>UCBpz2Pcab3W4n_PqzpJlcBA</t>
  </si>
  <si>
    <t>UC9Bx2oMpMdZLl-h3EiXcU9Q</t>
  </si>
  <si>
    <t>UCbKc18IZll7cxpNOxVmE1MA</t>
  </si>
  <si>
    <t>UC6ZkHcW5QQubZ-Q6XYINE3Q</t>
  </si>
  <si>
    <t>UCluuM5wWPn0CcIkRYrU8AAA</t>
  </si>
  <si>
    <t>UCZZSschh7IG4n0jCj9zD55w</t>
  </si>
  <si>
    <t>UCsGuKEwl9gbHs7yXIe2Ej1Q</t>
  </si>
  <si>
    <t>UC512aL5wp8icOicjwwWtOyg</t>
  </si>
  <si>
    <t>UCKZ3ad95WlLhLGnAH_pyMRA</t>
  </si>
  <si>
    <t>UC28jASJbyVv4i93DDxKctOA</t>
  </si>
  <si>
    <t>UCsuBjlk1u-9oybSzdLsTeCQ</t>
  </si>
  <si>
    <t>UCnoUO6EX0pCDyNiGdjMKtEQ</t>
  </si>
  <si>
    <t>UCcK1Rkwx-88PydJBeBgKlCQ</t>
  </si>
  <si>
    <t>UC5oTaFLOFlLNeAJt_dt5rBw</t>
  </si>
  <si>
    <t>UCJskGeByzRRSvmOyZOz61ig</t>
  </si>
  <si>
    <t>UC_GqkTpSPvriLlWbWRLjBuA</t>
  </si>
  <si>
    <t>UCs7DyKrIjDH3pAfp2F1dLkw</t>
  </si>
  <si>
    <t>UCQZrhfNVuBayDaSanl2HCMw</t>
  </si>
  <si>
    <t>UCKgAaCGmyCRKgMZD0LBvMNA</t>
  </si>
  <si>
    <t>UCDOuAKAT8Dilmjlu09uUgPA</t>
  </si>
  <si>
    <t>UCM7JMuKBZ_y9IeMnOpWn8cg</t>
  </si>
  <si>
    <t>UC3HV8dmAtAK9dBPqix_O0Lw</t>
  </si>
  <si>
    <t>UC2ZlZqXygcTCTlf5oNU_nfg</t>
  </si>
  <si>
    <t>UCiG2YUBOnDDQa-lc09TOCLQ</t>
  </si>
  <si>
    <t>UCuLpN3P90qg-PP0lZ-t7FTw</t>
  </si>
  <si>
    <t>UC8xgalHz7T48nKqblwMTpuQ</t>
  </si>
  <si>
    <t>UCk_LLcOS5hWWgcMHH87HCNA</t>
  </si>
  <si>
    <t>UCDAHPNNwhhOKcw-3wPcUbqw</t>
  </si>
  <si>
    <t>UCfRyYabFdIpe5VKmsRurJQQ</t>
  </si>
  <si>
    <t>UCb69SRZkA-QNtp8WX1xFJxQ</t>
  </si>
  <si>
    <t>UC8EI7ZEA_pwGywSAFilnH5A</t>
  </si>
  <si>
    <t>UCnGgbUTaQfCfBTxWXEp8whg</t>
  </si>
  <si>
    <t>UCfqKvCzkm_vL_ETy2viO4Bg</t>
  </si>
  <si>
    <t>UCXkB9S7KRhr_QNyj43b09Qw</t>
  </si>
  <si>
    <t>UCVcV3CXKCRM8qjBTzxdJtGA</t>
  </si>
  <si>
    <t>UCVB4hJoKCvuq5MwyX11socg</t>
  </si>
  <si>
    <t>UCP3BWBwlMPIFUokoP9u7oPQ</t>
  </si>
  <si>
    <t>UCgGcLre2r7BkmXanznMGApw</t>
  </si>
  <si>
    <t>UCZNI_S7xTn5w6evaKQGA59g</t>
  </si>
  <si>
    <t>UCrrDEWgOuw9u_w1wpnuWn7A</t>
  </si>
  <si>
    <t>UClXmo4wm4gnot2XfV4HPGVg</t>
  </si>
  <si>
    <t>UCNR3iA52221fCBfQoYVVoBw</t>
  </si>
  <si>
    <t>UCdvbAeOE-qQ73hWAyNKTW_g</t>
  </si>
  <si>
    <t>UCD7kbZQyYIR6RgJQYW9w0Tg</t>
  </si>
  <si>
    <t>UCS-_nVJBVHKLGqTTfY9D-aQ</t>
  </si>
  <si>
    <t>UCNzo21QIvEWkB2UIXdRBL6A</t>
  </si>
  <si>
    <t>UCqcn8gszrD4FJJ8gWGI8lPQ</t>
  </si>
  <si>
    <t>UC-lAUwNOnPmFeB5IoUg7leg</t>
  </si>
  <si>
    <t>UCduqJFfoFV6FwJPC_cCwvIg</t>
  </si>
  <si>
    <t>UCUMFOBJkgPBxS32pVEVkZ7g</t>
  </si>
  <si>
    <t>UCOLw-GeNkiFu7rKofm4q29A</t>
  </si>
  <si>
    <t>UCk5hKoREliAXeP6LVrkx6WA</t>
  </si>
  <si>
    <t>UCAxc94GxnW6mi1ACG_gElIQ</t>
  </si>
  <si>
    <t>UCcT3MvPSu4pp5xW2jk8gOUA</t>
  </si>
  <si>
    <t>UCCFDpd2lZT8wf1ix71EtUYA</t>
  </si>
  <si>
    <t>UCLhe0ws4_Ks-nzKQg8K86Vg</t>
  </si>
  <si>
    <t>UC208W3XdnCTUD0k8y_M-mew</t>
  </si>
  <si>
    <t>UCjlgLOeEVhzVub7ShnDsa0g</t>
  </si>
  <si>
    <t>UCY2fZEvo6Cmp7d1vMbH-gxw</t>
  </si>
  <si>
    <t>UCfZbZ8393rPBwf9M5H1vfPA</t>
  </si>
  <si>
    <t>UCKkFcZ_xE1Pho9-MUJnI01g</t>
  </si>
  <si>
    <t>UCN1kuzw22hNT908Pt0W_j-g</t>
  </si>
  <si>
    <t>UCpBq2LkWcGc4nrVnbOhuPuw</t>
  </si>
  <si>
    <t>UCnfBI9u4u1PUgnNuFGKh6Cg</t>
  </si>
  <si>
    <t>UCS3gK4FP8Dfox_6LLccjB0w</t>
  </si>
  <si>
    <t>UCpqkCh5xFtRSE7kuL5LB5yw</t>
  </si>
  <si>
    <t>UCesM8-tQ8Xbph4F5Oup0EOw</t>
  </si>
  <si>
    <t>UCcjvkYcjyEIzoS47IGDqEBg</t>
  </si>
  <si>
    <t>UCKLN9wGq6WfD2JgJk6P7ODQ</t>
  </si>
  <si>
    <t>UCqTkkb-S9f4XBYBbOisEWZA</t>
  </si>
  <si>
    <t>UCM5oAuLh_VFIfzwWc9N6ing</t>
  </si>
  <si>
    <t>UCdqYozvPycxumtHHelkyegw</t>
  </si>
  <si>
    <t>UCw7W5MUsosRX93tyfpwvGXg</t>
  </si>
  <si>
    <t>UCU0SV3NNGOEWlUi3aJGiYGQ</t>
  </si>
  <si>
    <t>UCOrzKyEf7dBFG5UrjBegZ7g</t>
  </si>
  <si>
    <t>UCk2MflaDb9D46GQtmBo9N-Q</t>
  </si>
  <si>
    <t>UCQtSSzjFvdPaN4HMRt8a_HQ</t>
  </si>
  <si>
    <t>UCz3KHYDb0gRl7cw5ZTe74xQ</t>
  </si>
  <si>
    <t>UC90jA5f1LD7sUdI-3WPCurw</t>
  </si>
  <si>
    <t>UCfPexGPHFe2PDtJAEJBvpNw</t>
  </si>
  <si>
    <t>UCfPsNzkmjmFPjwdl715UwDQ</t>
  </si>
  <si>
    <t>UC9uHr3VpMRqwDIYRea1S3ZQ</t>
  </si>
  <si>
    <t>UC4T2ovrPfl2fXjfZXrhFbzA</t>
  </si>
  <si>
    <t>UCKjEJMmxbfd_6Soe_WD4YJQ</t>
  </si>
  <si>
    <t>UC21CWNbgiZhbNhNP2E4C_JA</t>
  </si>
  <si>
    <t>UCdbMxSVAgPENqhYVeYkAA2w</t>
  </si>
  <si>
    <t>UCc5FkTYiWH5L3Gk5IyW6Rmw</t>
  </si>
  <si>
    <t>UCxXoLC9O1-dEjL8tkEaBl6g</t>
  </si>
  <si>
    <t>UCsGp2twNDDvV4_CqXHM8VHA</t>
  </si>
  <si>
    <t>UCXJYqBUcAGc6cgZ3aez-aiw</t>
  </si>
  <si>
    <t>UC5rlwkY3KorhN8a3t2EtrHw</t>
  </si>
  <si>
    <t>UCF3rv_VNe-N0YNLNMQzL5ww</t>
  </si>
  <si>
    <t>UCh-ohfog9pJS7EizXs7Jfvg</t>
  </si>
  <si>
    <t>UCpTi5sLZXyYVnQEyqM-2Kig</t>
  </si>
  <si>
    <t>UCKm7N7Hu3nhfsgRvV6LrwAA</t>
  </si>
  <si>
    <t>UCCePjqFGoddqNsEU9LRlRow</t>
  </si>
  <si>
    <t>UCR95rhO2Wa8fENnenDBNMXA</t>
  </si>
  <si>
    <t>UCIc9bwI5Z6s1JI3d4zyiOmw</t>
  </si>
  <si>
    <t>UCViWZfowG3KNJjm44nYXFgQ</t>
  </si>
  <si>
    <t>UCOYVUlXPMjzp9o9nVamqC7Q</t>
  </si>
  <si>
    <t>UCwghTsFqVk94gkV6hoCfKew</t>
  </si>
  <si>
    <t>UCOF6vGE6pqu0pVwI7C5ldAQ</t>
  </si>
  <si>
    <t>UCwOFO2mso90eiBi6g6mOjAg</t>
  </si>
  <si>
    <t>UCugqrWakCIAn5-F61gRocNQ</t>
  </si>
  <si>
    <t>UCKNerTE_kVPFUngiQ-vpn7w</t>
  </si>
  <si>
    <t>UCV3_BD-3TvasEuBL2OOvOFw</t>
  </si>
  <si>
    <t>UCCIKSGa9uR5ghHGNnBO7Ldw</t>
  </si>
  <si>
    <t>UCu0l8LEELZa2XqAjvMNZamg</t>
  </si>
  <si>
    <t>UCMx1buKzKAMZhA0QjuBJMsg</t>
  </si>
  <si>
    <t>UCterAWyyNSM8bwwPnI5X7ig</t>
  </si>
  <si>
    <t>UC7DY5cLQEWwVHKjekor11IQ</t>
  </si>
  <si>
    <t>UCbEsYzquftFIxnkgNK5vo5A</t>
  </si>
  <si>
    <t>UCNSmgU-V9kMcfPMpsMacOvA</t>
  </si>
  <si>
    <t>UCRCkN0-GKbLzpgK1ezD6mGQ</t>
  </si>
  <si>
    <t>UCabG_p6WxOHayOlwMJ8TG5A</t>
  </si>
  <si>
    <t>UCZviKjIaKxi-qDfyRpcD_2w</t>
  </si>
  <si>
    <t>UC_Zn3Q8roTOAxR21U0gvuzA</t>
  </si>
  <si>
    <t>UCIyxmVVpkCsMSlhQHU4mT7g</t>
  </si>
  <si>
    <t>UC8p6OJi4XdiKI9LzrCoLI4w</t>
  </si>
  <si>
    <t>UC3o1RTvivm5oGuuC7IrnoAA</t>
  </si>
  <si>
    <t>UCox3g1eATzDHVOl2na0NNGA</t>
  </si>
  <si>
    <t>UCnOPSWq4TRnyq1UlBGkQi-w</t>
  </si>
  <si>
    <t>UCz8_gPq2xCPCGvRM1naAtcQ</t>
  </si>
  <si>
    <t>UClDVWIdbYk0mCnL9nkRHSxw</t>
  </si>
  <si>
    <t>UCs-2DhK0sAghcpVCap0cH2g</t>
  </si>
  <si>
    <t>UCZ61I9J3tIuE3biJbr9dFcQ</t>
  </si>
  <si>
    <t>UC31gwV3_mJ7p-Cnrp2SUVnw</t>
  </si>
  <si>
    <t>UCUor5LTOaHUS6F7q17lNi4w</t>
  </si>
  <si>
    <t>UC2JNrw4j7Eo4R5cZXXn8rNw</t>
  </si>
  <si>
    <t>UCbjJZdJbaxGVW88CispTk8g</t>
  </si>
  <si>
    <t>UCdOW3cPYnZhQK-0AnjF6bmw</t>
  </si>
  <si>
    <t>UC556QJVm0HsEPmmS-zd3vvg</t>
  </si>
  <si>
    <t>UC_wzfoN-qa2W6XCwvb6-pkA</t>
  </si>
  <si>
    <t>UCrChDgWamU1TgliBNsMYwOQ</t>
  </si>
  <si>
    <t>UCwmXwlQhdUn2cyZQCiElSAQ</t>
  </si>
  <si>
    <t>UCrlH_AfznOGEJF-NFf_Oy0g</t>
  </si>
  <si>
    <t>UCQ8kxAu_on_YzVPMjB03rqA</t>
  </si>
  <si>
    <t>UCTt7pyY-o0eltq14glaG5dg</t>
  </si>
  <si>
    <t>UCXnHaSVj-fcdvQZG9oUnXvg</t>
  </si>
  <si>
    <t>UCeL_tnyseelrbmosp_OMgnQ</t>
  </si>
  <si>
    <t>UCQ3ZwLf92CtRYqJw0QcMa4Q</t>
  </si>
  <si>
    <t>UCM0xbVk64eDMUbkkILW7EOQ</t>
  </si>
  <si>
    <t>UCBZKjEIhCYkNH1rpXsLyUzw</t>
  </si>
  <si>
    <t>UCnZMvpusUQe9axsQvQW2few</t>
  </si>
  <si>
    <t>UCyfZyQz37aOcyFmbWGKEpqQ</t>
  </si>
  <si>
    <t>UC5J2lSWL0tnJ1UOZTtbwEPA</t>
  </si>
  <si>
    <t>UCRZN6a1r1enIkKP7eW8OQgg</t>
  </si>
  <si>
    <t>UCvBoAyWLQbveDWr8U08UDUQ</t>
  </si>
  <si>
    <t>UCgbfkk6-aPCjTYEw50oBVfA</t>
  </si>
  <si>
    <t>UCuphZ5BwKpxwqGDJBe6VRyg</t>
  </si>
  <si>
    <t>UC9Jr3q-Io1BI9tyjiNX5oWQ</t>
  </si>
  <si>
    <t>UCySNacfra_khshM9r8qWCCw</t>
  </si>
  <si>
    <t>UC5uDx5_Rvvw44BEaN9jM_NQ</t>
  </si>
  <si>
    <t>UCoGvVJF1Z4tbnX8UdNE2hZQ</t>
  </si>
  <si>
    <t>UC0D_d1vH531GdiQg6mkihgg</t>
  </si>
  <si>
    <t>UCaLzaA3GkPCuoTTcZEdXZNg</t>
  </si>
  <si>
    <t>UCRj_BU95SebaRi2FziXEoTg</t>
  </si>
  <si>
    <t>UCYSTnniSPDm4uUkcEAmBQ7w</t>
  </si>
  <si>
    <t>UC65fI5xVny50pb_ZOjhSKEA</t>
  </si>
  <si>
    <t>UCBElRVEL-H0eDYdL2mb1Sng</t>
  </si>
  <si>
    <t>UCw-gVGL_c2rrMNlKHB2xl-A</t>
  </si>
  <si>
    <t>UCxb86iW3quipRwnAxQElH3g</t>
  </si>
  <si>
    <t>UCe--4gMsLOGUHF_8ccu_5Vw</t>
  </si>
  <si>
    <t>UCSteEao6bakMOaxTtXxX5zg</t>
  </si>
  <si>
    <t>UCKon549hAsE7b9_YsrJOE4Q</t>
  </si>
  <si>
    <t>UCCaJBxPSI0QLUQ36lqbkm8g</t>
  </si>
  <si>
    <t>UCDlffaDJ9GhF5fopDAyKhoQ</t>
  </si>
  <si>
    <t>UCuPxN9QXshmNOIloddPz48w</t>
  </si>
  <si>
    <t>UCOfVpvYVa6pv0_U_vGBT9_Q</t>
  </si>
  <si>
    <t>UCUXLSXXkXRoPZw6jLeGVpRQ</t>
  </si>
  <si>
    <t>UCbciQXVE5id86aS9FYjLx5A</t>
  </si>
  <si>
    <t>UCAqOAiVjCgJdATfPlBr3KrQ</t>
  </si>
  <si>
    <t>UCy0-3xdx7dTXMYmJc1jMbBQ</t>
  </si>
  <si>
    <t>UCco04pGIpOtfHePXG5MnB9g</t>
  </si>
  <si>
    <t>UCq3BP0ghOcQ_r5oV9803aMA</t>
  </si>
  <si>
    <t>UC2YC5LmgVD-ERNWOL0jHR0Q</t>
  </si>
  <si>
    <t>UCx0PycR_tM8B2_ca2adWLUw</t>
  </si>
  <si>
    <t>UCfgZeIeivhxtAVdtq7UBoCA</t>
  </si>
  <si>
    <t>UCnBCO0JTZXsZG6o1J16rvwg</t>
  </si>
  <si>
    <t>UCDAq6oTOKSi0iF0i89EytDg</t>
  </si>
  <si>
    <t>UCKWceoSxoHneDL3ZRDnwgjg</t>
  </si>
  <si>
    <t>UCTl0HWZ0g98Cmg0L8az-ZLg</t>
  </si>
  <si>
    <t>UCfPfBtwKr6hVCIbVXKa3Z1w</t>
  </si>
  <si>
    <t>UCF2KsJriYzifyuNYnQppUGw</t>
  </si>
  <si>
    <t>UCDgcSEEGTW78AfxZ528O2Sw</t>
  </si>
  <si>
    <t>UC14T68CULCHnqxZWdzawXpw</t>
  </si>
  <si>
    <t>UClj42T5rXaBowqp3zlLBTXg</t>
  </si>
  <si>
    <t>UCy-FOeN-HxrFueHB9Jd8saA</t>
  </si>
  <si>
    <t>UCQ5WvA3NMrx3LNmogr97byA</t>
  </si>
  <si>
    <t>UC-N8Snur9X0fcBVBOflW40Q</t>
  </si>
  <si>
    <t>UC5NesWr54QFI4T9L5zOGe3g</t>
  </si>
  <si>
    <t>UC2dL1ZN6Ojykyl7HirHtNig</t>
  </si>
  <si>
    <t>UCGx6lp4goRrRcYnTmippBtg</t>
  </si>
  <si>
    <t>UCZS-o-SDElQ8ymDYGF7mW7Q</t>
  </si>
  <si>
    <t>UCP1FNirDftjDP1qtrLG7UsA</t>
  </si>
  <si>
    <t>UCuJUmPQgcV9B2P_2C_0mn7A</t>
  </si>
  <si>
    <t>UCspjvQsQ2wONMdhvQitj-Qg</t>
  </si>
  <si>
    <t>UCDH860UZT3-ozUjtoqdaUFQ</t>
  </si>
  <si>
    <t>UCIRAYFbJmrP--jyrC9MAIWQ</t>
  </si>
  <si>
    <t>UCRjwDRhYScyJklLhRJ1QEwg</t>
  </si>
  <si>
    <t>UCldScWaC5wcLM-xrS2YmWxw</t>
  </si>
  <si>
    <t>UCfVwmt-h2DpEMK6jZLdFqtQ</t>
  </si>
  <si>
    <t>UCh6bcmmp9KyAVC5uXj88Dmw</t>
  </si>
  <si>
    <t>UCiIrZf4bn1i0IOf8YgSMzWA</t>
  </si>
  <si>
    <t>UCcEtOg-QgGkA7V2m0TP4Zig</t>
  </si>
  <si>
    <t>UC49KpNwxY28o_t3-J4ZipOg</t>
  </si>
  <si>
    <t>UCk19x9BG23f5xkHOzihhclA</t>
  </si>
  <si>
    <t>UCvSM87j1um-606TMhbA_kkQ</t>
  </si>
  <si>
    <t>UCWjSd1bbKt7Clin6NruG_-Q</t>
  </si>
  <si>
    <t>UC7Wv94Wg4Yz1d1r_uOSYmmQ</t>
  </si>
  <si>
    <t>UC5wkd9g3tcTf6Dyzx62NtIg</t>
  </si>
  <si>
    <t>UCKbGPpepdFDgJ0FMM90aI7g</t>
  </si>
  <si>
    <t>UCX7bj5Fv2uBpAy1dRC1IhTw</t>
  </si>
  <si>
    <t>UCL3pVAJWPWuNzibnrmQThnQ</t>
  </si>
  <si>
    <t>UCLAgCBDdtqbXPHJ1k8IW4kg</t>
  </si>
  <si>
    <t>UCwRQXOGs3LTBzloxbg-gzkg</t>
  </si>
  <si>
    <t>UCD_KCa8zHhofTiDG1XxDIVA</t>
  </si>
  <si>
    <t>UCko6jJyo-wUQmWhjGNAIrwg</t>
  </si>
  <si>
    <t>UCojAM4c4qTb4-igXUYYBVIQ</t>
  </si>
  <si>
    <t>UCp9E2xr3-Y3SjqUt7hsLw4w</t>
  </si>
  <si>
    <t>UCZD02nQUkC96yDPRlv2L1YQ</t>
  </si>
  <si>
    <t>UCdfhsPbo90K3iJcJSg6X36A</t>
  </si>
  <si>
    <t>UCMkpWZfMBmu3eFbc32MVFRg</t>
  </si>
  <si>
    <t>UCwzkIBttlFZYgN0q66KFTPw</t>
  </si>
  <si>
    <t>UCfbo8iaSdOZwyel39GMhtlQ</t>
  </si>
  <si>
    <t>UCY6DeO0JlJ8dcdWPX9DDzRg</t>
  </si>
  <si>
    <t>UC3n8BZY2K3VdcX8SrBmBIiA</t>
  </si>
  <si>
    <t>UCxxspVw0NzEGNWuNyJLhm7g</t>
  </si>
  <si>
    <t>UCfuHubXBszR4tFrs2Nv3mlQ</t>
  </si>
  <si>
    <t>UCYIh7_DyymRW_bWCLFxTvlw</t>
  </si>
  <si>
    <t>UCKsPgpLMluk-ezZQ53BnKjA</t>
  </si>
  <si>
    <t>UC7b7VERUfoNg0UiSLwlaEmA</t>
  </si>
  <si>
    <t>UCzB2vC0kH-PPbrGmqeII9hQ</t>
  </si>
  <si>
    <t>UCC-F98h3zNfV3j8XV8QK9Ww</t>
  </si>
  <si>
    <t>UCIuYhhXA4wzNfl3wpmXUIBA</t>
  </si>
  <si>
    <t>UC-Uaz9tVnQS-wiOF1woadGA</t>
  </si>
  <si>
    <t>UCxrFcQb_DgCwOerXif7E0xQ</t>
  </si>
  <si>
    <t>UC6ESpT0pYVsXsYGLjskbHPg</t>
  </si>
  <si>
    <t>UCnnpO6ul_Z3u0l5IpNQeamw</t>
  </si>
  <si>
    <t>UCQWkGLAVDPznrQnhAYmkuMQ</t>
  </si>
  <si>
    <t>UCNSFAApX2nMkAVu96edpu0A</t>
  </si>
  <si>
    <t>UCxvNvggBNyPbDyCHSul3f9w</t>
  </si>
  <si>
    <t>UCBZJL83X0i6IsH0ayBQgw_A</t>
  </si>
  <si>
    <t>UC-B8c-sTigedLuU46MugPyw</t>
  </si>
  <si>
    <t>UCWHcygs3qfuAfzGJLSrhhhg</t>
  </si>
  <si>
    <t>UCZ5rU5yxtyxujpFZflq-1NQ</t>
  </si>
  <si>
    <t>UCpRLiwxTIGnp-k0DPKu3tcQ</t>
  </si>
  <si>
    <t>UC_gSVprxopdeBY0fFSLPTZQ</t>
  </si>
  <si>
    <t>UCD5dQXr1QJxcaZr1y8cMxGA</t>
  </si>
  <si>
    <t>UCtPDC9vUUhqJSONNJ_-VeTg</t>
  </si>
  <si>
    <t>UCrY2g9ytqs_A5ehPUl9rCqg</t>
  </si>
  <si>
    <t>UCFeIPY_Xa9hddLEIQHCJVpg</t>
  </si>
  <si>
    <t>UCHhFJtydvr4rbRT7_Xuckxg</t>
  </si>
  <si>
    <t>UCN9qzrsT8gYS2I3tbYVKfcA</t>
  </si>
  <si>
    <t>UCzVNBEQqF3b_TSMe2pNgpLw</t>
  </si>
  <si>
    <t>UC4HJnltamaHXcSoreTREyOw</t>
  </si>
  <si>
    <t>UCQA9tK0nRK1e_Bqg0uETs8A</t>
  </si>
  <si>
    <t>UCsBmkYt1ZtPlfLyxIRP8zCA</t>
  </si>
  <si>
    <t>UC__ECR4YoPaa43oyFRzj0Ow</t>
  </si>
  <si>
    <t>UCi7vv6xNjGB-pODyJs9Yclw</t>
  </si>
  <si>
    <t>UCYDTEnuN66w_xzul0qo4-XA</t>
  </si>
  <si>
    <t>UCUbOhcyLgbZHx3lmcUnglcQ</t>
  </si>
  <si>
    <t>UC1Cu3e5iBvYOVj4Te3Wyz1g</t>
  </si>
  <si>
    <t>UCcSzflzWqHZknf2FhIGq9Gg</t>
  </si>
  <si>
    <t>UCXH_5KjFzmYnoVWEW7pdoMQ</t>
  </si>
  <si>
    <t>UCezatk470GZ8va_cgl1666Q</t>
  </si>
  <si>
    <t>UCdc6ObxhdQ8eZIFquU2xolA</t>
  </si>
  <si>
    <t>UCiHUgpAhPyaUN1qxodlzGxQ</t>
  </si>
  <si>
    <t>UCyzB63eVU_DEkMjJCwgjP-w</t>
  </si>
  <si>
    <t>UCrQQwsXU_yOpMdhuv0ZlY4Q</t>
  </si>
  <si>
    <t>UCxetM4udY0C3Mh4TjEoB4FA</t>
  </si>
  <si>
    <t>UCZx0rxHRES7WsaZjyEPpfHA</t>
  </si>
  <si>
    <t>UC58p2R5bPtOlvU87t0P1m9w</t>
  </si>
  <si>
    <t>UCw7vTEHfXHIp1dfcSH6Zjuw</t>
  </si>
  <si>
    <t>UCiGsv5vWHWelQjekHviFPyA</t>
  </si>
  <si>
    <t>UCnM9pqZekwMMetlnVZ90c-w</t>
  </si>
  <si>
    <t>UC64at48rIDPKiFPKjPb9SBA</t>
  </si>
  <si>
    <t>UCubgLw1XNl1Vo04Ed8xH1oQ</t>
  </si>
  <si>
    <t>UCPPD1qh99VDWVd3jwaPewxw</t>
  </si>
  <si>
    <t>UCnAxw7wnfu5uHxKGK3mK2IQ</t>
  </si>
  <si>
    <t>UCYi4JJcjDYtNGLX0N6e7g5A</t>
  </si>
  <si>
    <t>UCKaQCFp_N_avHkBoCHzy6hA</t>
  </si>
  <si>
    <t>UCnolQJ_QMttixHj4IFPLsnA</t>
  </si>
  <si>
    <t>UCLNgTw8zZpKlAcw2Kx5pW_w</t>
  </si>
  <si>
    <t>UC0wYM9DQb_K5CJVpLSdKnoA</t>
  </si>
  <si>
    <t>UCRm26mMjo4eLm6AU33xJB4A</t>
  </si>
  <si>
    <t>UCkpUU4DRXid8pacXQGSUetQ</t>
  </si>
  <si>
    <t>UC2HYFUVT45FiO9Je28QMoxA</t>
  </si>
  <si>
    <t>UCsQoiOrh7jzKmE8NBofhTnQ</t>
  </si>
  <si>
    <t>UCM-P09CiVXjKsbmR6bke1rg</t>
  </si>
  <si>
    <t>UC30KMy77vMwgJ_O2HmS7JHA</t>
  </si>
  <si>
    <t>UCIppx_eRDndeIIxVfXbLNVw</t>
  </si>
  <si>
    <t>UCUPe5gB5L5LViTP4HS25tjQ</t>
  </si>
  <si>
    <t>UCmr5ryAi4mAH1_527jxFIAA</t>
  </si>
  <si>
    <t>UCCirR6z97rZtQ0hG-klkSfA</t>
  </si>
  <si>
    <t>UChK3pCi0rVa58MdkcNdNK2w</t>
  </si>
  <si>
    <t>UCT9ME2x6FR2B_vGUM83UyfA</t>
  </si>
  <si>
    <t>UCYt0ODfyaYT8PZAT32A-E2g</t>
  </si>
  <si>
    <t>UCEA6dsMe8d1xN1q-B5i5rFw</t>
  </si>
  <si>
    <t>UCwDWzhNMMq8WqsvX6_TO2eQ</t>
  </si>
  <si>
    <t>UCq2rxidEqjoviYqbA0iQ8VQ</t>
  </si>
  <si>
    <t>UCKOmT34ovd1YpljmJXZ3QSg</t>
  </si>
  <si>
    <t>UC8AifQv4xFBk7I1pf1pDwEQ</t>
  </si>
  <si>
    <t>UCoZu9KiI5DocU83rWNPE3Bw</t>
  </si>
  <si>
    <t>UCI9-3sdWwj9UJnFlNC01HVQ</t>
  </si>
  <si>
    <t>UCn1P85eKDEXS2iwbcasBm-g</t>
  </si>
  <si>
    <t>UCfc1N7eI-ZJnvCa8GvKnNYg</t>
  </si>
  <si>
    <t>UCE7Ewb35YBWO9TNjfiL6BbA</t>
  </si>
  <si>
    <t>UCNxvisovZE-EccQ0aBONSjQ</t>
  </si>
  <si>
    <t>UCNDgzqvGOpSNspj16nT_twA</t>
  </si>
  <si>
    <t>UCFqTfpH5x5QLXtfA6Hr7UYw</t>
  </si>
  <si>
    <t>UClXPLxleq-pTUsmzZnjcU-A</t>
  </si>
  <si>
    <t>UCvoqgfbi1_FnDx_DEppjK_Q</t>
  </si>
  <si>
    <t>UCR3zPCS507TygloTBofLqnA</t>
  </si>
  <si>
    <t>UCn0M8BcDRGW5ya78cOgzOeA</t>
  </si>
  <si>
    <t>UCnsEsbJ0_1LnPu4uy1P_n_A</t>
  </si>
  <si>
    <t>UC88s854iaGReKSEJiT5qOeQ</t>
  </si>
  <si>
    <t>UCCPWi_OwWMR5JTiujn7v-7g</t>
  </si>
  <si>
    <t>UCayrlw1M_o7uINKVD2z1ZvA</t>
  </si>
  <si>
    <t>UC3e3MWDBEP2jxXO0BRAC6FA</t>
  </si>
  <si>
    <t>UCbEQY-Tbl8fKD-VtJbYrVsg</t>
  </si>
  <si>
    <t>UCUy1dy4ErYxqMD9fld8Gg1A</t>
  </si>
  <si>
    <t>UCa0oOGPYVZFgZn0aKAEwsCg</t>
  </si>
  <si>
    <t>UCFa11Y0g0Mqp4XoGXt7X8Eg</t>
  </si>
  <si>
    <t>UCgz8oz-Yc5wu6oy89JxS_MA</t>
  </si>
  <si>
    <t>UCMxPdZZ-5GLpMTOxuJ_zsvA</t>
  </si>
  <si>
    <t>UCRf6KVUGWr8RFGOYgI0NyfQ</t>
  </si>
  <si>
    <t>UChu2-u_W4JJ4IJQU8PPU5VQ</t>
  </si>
  <si>
    <t>UC5QyO20zwntfjs8_WXYEWlQ</t>
  </si>
  <si>
    <t>UCA7fAu_z_hYW1YGAnGkKGXg</t>
  </si>
  <si>
    <t>UCLclCK8G604rzyFih31Becw</t>
  </si>
  <si>
    <t>UC_yVJyx7hIbUmunNAZobd4Q</t>
  </si>
  <si>
    <t>UCtPsiRQ_56oR3FGxU1BcaSQ</t>
  </si>
  <si>
    <t>UCJwohnd3xmmFtazAOtKVmSA</t>
  </si>
  <si>
    <t>UC61aeX6L7M8QU1n5zzYKMJg</t>
  </si>
  <si>
    <t>UC7D9zpWTmcTa_v6ckqndV9g</t>
  </si>
  <si>
    <t>UC1eVTa8-e7uenX0dEASD1eg</t>
  </si>
  <si>
    <t>UCAPDuc6Kfpe1mKjMX367qmA</t>
  </si>
  <si>
    <t>UCEQWMySGPnIpFhDhVDH2Y_Q</t>
  </si>
  <si>
    <t>UCbPEH-AjDfcjrsjzHTeGnKw</t>
  </si>
  <si>
    <t>UCGGyj54Bu5Lr4J0qBwr6KEg</t>
  </si>
  <si>
    <t>UCvx7dUSfVAEfPTHhohTYZ-A</t>
  </si>
  <si>
    <t>UCQHeqq2qgTY8P28eO3KdQKw</t>
  </si>
  <si>
    <t>UCUg96ekzjuX_VBgTbp0m_mA</t>
  </si>
  <si>
    <t>UCmYIY7Viw0TngjkpS3ERHRw</t>
  </si>
  <si>
    <t>UCcqUR8iufaKhP978UyOPlLA</t>
  </si>
  <si>
    <t>UC58_wzhvJta3hDSPvRLDAqg</t>
  </si>
  <si>
    <t>UCedGWzHaGtnUkQg2bWmRa8A</t>
  </si>
  <si>
    <t>UCnx6m6FSBkFXsTptL5iCydw</t>
  </si>
  <si>
    <t>UCPRuTbHmEsGe4hcSlvnBjag</t>
  </si>
  <si>
    <t>UCTjYxU04HjYDb5oPmGWmKCw</t>
  </si>
  <si>
    <t>UCjd7Hr17wfg5-xwcMYhyEpQ</t>
  </si>
  <si>
    <t>UCTPlNEVhogn_t03OSP2tyXg</t>
  </si>
  <si>
    <t>UCSSypU6npXFCKRAj_KtYXXQ</t>
  </si>
  <si>
    <t>UCl5f5H0OeTpfb-dag0xvWXA</t>
  </si>
  <si>
    <t>UCTELOYSiRIY-7JqRQw-8gMg</t>
  </si>
  <si>
    <t>UCoKhPgMdljSozR4T3ylBbZw</t>
  </si>
  <si>
    <t>UCVyoU99HOs9jFbc2q1rsjNA</t>
  </si>
  <si>
    <t>UCRem0cxZp0CNrJaFGRB2Tpw</t>
  </si>
  <si>
    <t>UC0Jnop6Vw19vv-URIqSIyZQ</t>
  </si>
  <si>
    <t>UCza_Fl_1HdzhwWS4s351YBw</t>
  </si>
  <si>
    <t>UCxHZoipk6QMDqAwcph1w_iQ</t>
  </si>
  <si>
    <t>UCZn4MD1gjzkC65GIY-TcXoQ</t>
  </si>
  <si>
    <t>UCeGnSjNcwojC5YT_xOb5zlQ</t>
  </si>
  <si>
    <t>UCdrjdJ6mGQvhL3sJE9AKATg</t>
  </si>
  <si>
    <t>UCwhXQRePRbW6ItU0R9yhOSg</t>
  </si>
  <si>
    <t>UCfom8n4X4vfVjZEOFt7he7w</t>
  </si>
  <si>
    <t>UCOyrlvrZ1x0_hByV9nRCrzQ</t>
  </si>
  <si>
    <t>UCzmgJ3ZRPp0VWemOvfSWGMQ</t>
  </si>
  <si>
    <t>UCRvkTlUg_G_eobICv9hE6og</t>
  </si>
  <si>
    <t>UCOUTtOzagfpXm-XhCp7eADA</t>
  </si>
  <si>
    <t>UCqO2M35Z1Z4ejIXu6ZgAD4Q</t>
  </si>
  <si>
    <t>UCJCNPG41NUkCWRcuuuUDA1w</t>
  </si>
  <si>
    <t>UCUbnrg9wVoBHqvTbsmlPbKg</t>
  </si>
  <si>
    <t>UCMSzgP1EtSf562Sb78zTuIA</t>
  </si>
  <si>
    <t>UCa8sbY6C7pBoSw4z20BKEFQ</t>
  </si>
  <si>
    <t>UCSaXY8yqc6eJgM2TfGTjjyw</t>
  </si>
  <si>
    <t>UCFprXUqO0areMNbMt5wtAnw</t>
  </si>
  <si>
    <t>UCwO9iuWaLXES0WTXHDRy1KQ</t>
  </si>
  <si>
    <t>UCR3SpezLY-8owQVntm92CjA</t>
  </si>
  <si>
    <t>UC1gBk2nNZ9_VgJ5CrdQjnyQ</t>
  </si>
  <si>
    <t>UCzZ5hnmyR6qraHdI7PO9Thw</t>
  </si>
  <si>
    <t>UC727I8GVqxzyofIZydm-_CQ</t>
  </si>
  <si>
    <t>UCNuPx810akEPrbwAUpdNPyw</t>
  </si>
  <si>
    <t>UC3IyzCYdA8rdhMaOJcsW3aQ</t>
  </si>
  <si>
    <t>UCuBU8dj6OhRDCQ0yGa68mvA</t>
  </si>
  <si>
    <t>UCz_fJR_cHMOVal2mDFvn_rA</t>
  </si>
  <si>
    <t>UCfC8CDjlbdH_srvxPI0TDpQ</t>
  </si>
  <si>
    <t>UCu7HfUzAaqTQhRBlbbPe0WQ</t>
  </si>
  <si>
    <t>UCa1pGJj1-QRVKIioYJr6avA</t>
  </si>
  <si>
    <t>UCx3h5GiJeT6uhjR2nQeDqNw</t>
  </si>
  <si>
    <t>UCBcG9TT58nA1w9Oo3Os3MMg</t>
  </si>
  <si>
    <t>UCESJCxXeA-94PoKFQdQL6SQ</t>
  </si>
  <si>
    <t>UCKB4ERIKw52xw2BEnn-xz3Q</t>
  </si>
  <si>
    <t>UC-VPf3yXgkbjH6PFKQBblYg</t>
  </si>
  <si>
    <t>UC19_TS1z5BIBIrF-3wrehaA</t>
  </si>
  <si>
    <t>UC7SDODnNGaMjzKmdmmiQbwQ</t>
  </si>
  <si>
    <t>UCv8ZoZxvYcA3kEEl4Ct8J6w</t>
  </si>
  <si>
    <t>UCdj9RwSeEB5-phUHigoSvKg</t>
  </si>
  <si>
    <t>UCS7UIBUDGBnUXyXcV1DyHOg</t>
  </si>
  <si>
    <t>UCdPsNbQIs6U36fyMdkzOvbQ</t>
  </si>
  <si>
    <t>UCgLdvn6Z9-y0-EmEz5vy-LA</t>
  </si>
  <si>
    <t>UCQsly7rO_Ix8eCKzIJ2BbzQ</t>
  </si>
  <si>
    <t>UC8By4wqKBbSZ8mAfc3UVuIw</t>
  </si>
  <si>
    <t>UCd4qYVpdfqVyh42i4Fmh_rQ</t>
  </si>
  <si>
    <t>UCym-2ZOKKDfUO_Uaj64x5gg</t>
  </si>
  <si>
    <t>UCuu0NEMlEATOlNkNjE19Dng</t>
  </si>
  <si>
    <t>UCYfd26xvO-vxjza1jnLwYvg</t>
  </si>
  <si>
    <t>UCsbZHKPjCryX487HhdpFurA</t>
  </si>
  <si>
    <t>UC4L6deQXFEH5v0swN2yufgg</t>
  </si>
  <si>
    <t>UCscEkpKvlVqWNfqc3N8riew</t>
  </si>
  <si>
    <t>UCQRrhG9xXLnR9zglXbUyF0A</t>
  </si>
  <si>
    <t>UCvc9hxE8iOoBGrnRf0Du34A</t>
  </si>
  <si>
    <t>UC_OdVag6-c0e33psEEcgfQg</t>
  </si>
  <si>
    <t>UCQzd9sH9oRdGHrRbdb73P2A</t>
  </si>
  <si>
    <t>UCAC_UXum0ZEnsPqpYg6JjSw</t>
  </si>
  <si>
    <t>UCp_mv-b7LlThVhmoHQL54BA</t>
  </si>
  <si>
    <t>UCqVR_y-lETnkZqg3QPMVnSg</t>
  </si>
  <si>
    <t>UCLiBVD0YIEOr7HjAw45wNUw</t>
  </si>
  <si>
    <t>UC60F6NyFgxctkc_9JmPalyg</t>
  </si>
  <si>
    <t>UCV13JB6_nn1x5fRuR3alO-Q</t>
  </si>
  <si>
    <t>UCdrBdVO1ey3JyuxXjzZW6oA</t>
  </si>
  <si>
    <t>UCYETzQonXCnu9wc88patwxg</t>
  </si>
  <si>
    <t>UCpobQfkxQzD1DrKvbYNrXiA</t>
  </si>
  <si>
    <t>UCxUaan3QLspRoTS-LIJK5qQ</t>
  </si>
  <si>
    <t>UC2ibciXMK2d1UWoS4ZG7a3w</t>
  </si>
  <si>
    <t>UCu3-WjWHKW5P_6Bcyqy8GOw</t>
  </si>
  <si>
    <t>UCZnEYrbT_gKgVESCc37Z2BQ</t>
  </si>
  <si>
    <t>UC4f4J4bxnuyCl7QsqQKlQAw</t>
  </si>
  <si>
    <t>UCuHuJ9rXrqKFmczf5vEZZAg</t>
  </si>
  <si>
    <t>UCTAG4XZHdAlN2-m4rr9WKoA</t>
  </si>
  <si>
    <t>UCWid-GwErK2Xy-m22dpjfcA</t>
  </si>
  <si>
    <t>UCKjfp-0lfnO-kd4zfdTw8UQ</t>
  </si>
  <si>
    <t>UCQcRmyRFPgwY0g3TqvSokUg</t>
  </si>
  <si>
    <t>UCO0jOC3LDOCJONfVeWiGcXA</t>
  </si>
  <si>
    <t>UCefwHBWfv98twiv6muJnwhQ</t>
  </si>
  <si>
    <t>UCiYPuRU7vt27vgCLLcpfyjA</t>
  </si>
  <si>
    <t>UCZlAB0yiVf-w9rPANz5jAwA</t>
  </si>
  <si>
    <t>UCk4rGBu0OeXjzUiip06UNOQ</t>
  </si>
  <si>
    <t>UCNvvQ09Sowur4ciLiOBo-bQ</t>
  </si>
  <si>
    <t>UCBiuk8xy8rUJ0heqCps04Gg</t>
  </si>
  <si>
    <t>UC1-J2ZuH_PBe8VSDA_R7yxA</t>
  </si>
  <si>
    <t>UCX05ggNIYFyMKonA1JvGqxQ</t>
  </si>
  <si>
    <t>UCAJVCEQ-iLSBclhC3bL1l6A</t>
  </si>
  <si>
    <t>UC_OdfpjYRf0MKDMdC60zswA</t>
  </si>
  <si>
    <t>UCb98D8yeSsC0SivbiXhOAIw</t>
  </si>
  <si>
    <t>UCWUFwrNEs9MnFTc8LcQh8Pg</t>
  </si>
  <si>
    <t>UCs5z1yZs2wtOCnBBb-eI4dg</t>
  </si>
  <si>
    <t>UCvSejiNI319kuQlUocQ6wqQ</t>
  </si>
  <si>
    <t>UCUFKB9lrxAexf6cyYjy4D0Q</t>
  </si>
  <si>
    <t>UCWNmkeOPUQWEvpaNOPJrW-A</t>
  </si>
  <si>
    <t>UCe5qELN2g77Ke-WY6CDqTDA</t>
  </si>
  <si>
    <t>UC5Y3LWkfanTATTOLu5FkIZA</t>
  </si>
  <si>
    <t>UCHZyAHx9RsBminUd9-15s4w</t>
  </si>
  <si>
    <t>UCLPCvTftdZpZQSM-mckfqXQ</t>
  </si>
  <si>
    <t>UCuIWOffpytCuh4x-IlR9NvA</t>
  </si>
  <si>
    <t>UCiIjCoTppoB66t1TnWl5OsQ</t>
  </si>
  <si>
    <t>UClAiexH-BLIaNj6ffiG5uQg</t>
  </si>
  <si>
    <t>UCwu6C_eT9TX4tLzv12iPnkw</t>
  </si>
  <si>
    <t>UCAidhU356a0ej2MtFEylvBA</t>
  </si>
  <si>
    <t>UCgw1IeF_B6mZpDSP-Z6mINA</t>
  </si>
  <si>
    <t>UC4eEFUtZeW6iOqH8e9e0CyQ</t>
  </si>
  <si>
    <t>UCByoEPQbSxyB7PGFDmqtHwQ</t>
  </si>
  <si>
    <t>UCqNrRvhgV2Mulm-cW8N01wg</t>
  </si>
  <si>
    <t>UCf4GVf9SLQKzhu-HcQ8IxUA</t>
  </si>
  <si>
    <t>UC8J5vMZhF_D0G46Bf6RCy9w</t>
  </si>
  <si>
    <t>UCFdyj9XtVS52WYXHh51OOaQ</t>
  </si>
  <si>
    <t>UCGfluwZUeQNG5HvHuKfSKgw</t>
  </si>
  <si>
    <t>UCDKjTPE7vph9C-j145GW5zQ</t>
  </si>
  <si>
    <t>UC3-UMAJGrPSgy7PTTHsGD-A</t>
  </si>
  <si>
    <t>UCAZ6H34DAUuTjv82xyzrB4Q</t>
  </si>
  <si>
    <t>UCb0ep7SPATARFTbozJ_EXwg</t>
  </si>
  <si>
    <t>UCuAmFZV2FkLBeWglzoLYt3w</t>
  </si>
  <si>
    <t>UCfRiRInD2L7Q9QDWh_kV0wQ</t>
  </si>
  <si>
    <t>UCCHrTE-Z_GRWAUpnf1FVeGw</t>
  </si>
  <si>
    <t>UCACOSeuSSUBS2wLIJvw-NJQ</t>
  </si>
  <si>
    <t>UC-6XySAR_z9CsE2vC2epkNw</t>
  </si>
  <si>
    <t>UCwzwVfkcza_PsfVlZPy5R0Q</t>
  </si>
  <si>
    <t>UCWwjfPshdZDseO1uLp7bA4Q</t>
  </si>
  <si>
    <t>UCcQ_ST-TB3IxPXrKPVsvz8Q</t>
  </si>
  <si>
    <t>UCXvDVS7m3jnoXNtOJKfcFew</t>
  </si>
  <si>
    <t>UCMteDngU043yyM1DHgK1Ubw</t>
  </si>
  <si>
    <t>UClnGNJdMfv8-5vrlGbK5omA</t>
  </si>
  <si>
    <t>UCY3uee3H-t7uht8SQBA0xPQ</t>
  </si>
  <si>
    <t>UC85wwlWgryqd32Zq9D5ve-w</t>
  </si>
  <si>
    <t>UCeg5BUPvgkjJJTp0bsBAytg</t>
  </si>
  <si>
    <t>UC0r-CdwXEHbiW8RuW7qbnZw</t>
  </si>
  <si>
    <t>UCji2FBiPdkmRSIlVNeGm3tA</t>
  </si>
  <si>
    <t>UCOmcxWqeumO7OwY6Hwb9iAw</t>
  </si>
  <si>
    <t>UC45XLo9u6yUMGd2EsrtYWpA</t>
  </si>
  <si>
    <t>UCP6OB0KmfTcsJt_c6owbCgQ</t>
  </si>
  <si>
    <t>UCf6-KxAa1Oz8y3m8usuCAmw</t>
  </si>
  <si>
    <t>UC8Q2FRvxje0mUuz6rJlGUzw</t>
  </si>
  <si>
    <t>UC6J-dfT-L1oymJHV-1jVbsA</t>
  </si>
  <si>
    <t>UCCgt5Kzi_GFF63DCVbWBdtg</t>
  </si>
  <si>
    <t>UC8f-BbdxSjx7L1yvG7IKZeQ</t>
  </si>
  <si>
    <t>UCLnuTrdp3MBzo9ZPig5szbQ</t>
  </si>
  <si>
    <t>UCXFZvm0_pzPmWUWAJJ5rDYA</t>
  </si>
  <si>
    <t>UCBwyPtDNDq-ow16vB0QZROg</t>
  </si>
  <si>
    <t>UCbBBs_0db5BTNeNDVJ9dHrw</t>
  </si>
  <si>
    <t>UCN6Ev4r0VQJmQlk_MtA56vQ</t>
  </si>
  <si>
    <t>UCVgOWXEyCmRPEVEerK_49Fw</t>
  </si>
  <si>
    <t>UC-ofj6O0yXSgXnn_Ivc7vag</t>
  </si>
  <si>
    <t>UCOBg7ENhcly_wqObD_P2xRA</t>
  </si>
  <si>
    <t>UCId8gYgO7Q5ITNcD2_E3zzA</t>
  </si>
  <si>
    <t>UCXm4CgLv0pY3wBF9Y9oNhjQ</t>
  </si>
  <si>
    <t>UC_HwwBpEDJPupdMkT3OVYQw</t>
  </si>
  <si>
    <t>UCrbQKtL47yzrnUjdqhQJ8TA</t>
  </si>
  <si>
    <t>UCm9yJFiEju1WReWmC0lpwxg</t>
  </si>
  <si>
    <t>UCUgUjyt6jcyxfM4FCmxZcgw</t>
  </si>
  <si>
    <t>UCvo6eEtGT5LehydhnMo5sKw</t>
  </si>
  <si>
    <t>UCfRxj2eDIc21mGQyZyEOlyg</t>
  </si>
  <si>
    <t>UC-dKbzpfDuKqNPP8hvHUHoQ</t>
  </si>
  <si>
    <t>UChZKqB_5RTTgCbKDpQkyk2w</t>
  </si>
  <si>
    <t>UCOcDG1LUDDVkgSffGi4LaOg</t>
  </si>
  <si>
    <t>UCJAWXtmA7f0azO1_uvO-HlA</t>
  </si>
  <si>
    <t>UCc-NfvlXZ04DReQ9ogeSiZA</t>
  </si>
  <si>
    <t>UCkBTsiqJtMyTZYKY03-EtaA</t>
  </si>
  <si>
    <t>UCWzJV0Z8NsRPqFXinD45SUw</t>
  </si>
  <si>
    <t>UCcCwDHN7VK_4jKOdN5TsLsA</t>
  </si>
  <si>
    <t>UCdmCZSDvpEsZtHIIG2tgDyQ</t>
  </si>
  <si>
    <t>UCQ1JMoEHqsiin0VwhVUzLfQ</t>
  </si>
  <si>
    <t>UCK-2IffgTyH7nOcuoa9-0qw</t>
  </si>
  <si>
    <t>UCCpODyCXM28CEsO0WKS0lqg</t>
  </si>
  <si>
    <t>UC_aS8tb8bjH7dekfIBB5mNw</t>
  </si>
  <si>
    <t>UCKFxLbgrdutKHDr-B2-y5bg</t>
  </si>
  <si>
    <t>UCKqY3T2Eor2STa4e3iyeVfQ</t>
  </si>
  <si>
    <t>UCAAjvBZiHpBbNZI-yKYqN9w</t>
  </si>
  <si>
    <t>UCLyz9Bmwct21qQKxmTxK1AQ</t>
  </si>
  <si>
    <t>UCGDQNvybfDDeGTf4GtigXaw</t>
  </si>
  <si>
    <t>UCAD5EifHr9KAvpq9e-UfodA</t>
  </si>
  <si>
    <t>UC58h4dsLUJREQ7tMJYpW_vQ</t>
  </si>
  <si>
    <t>UC3lY58Jb6jycvsowicsvQew</t>
  </si>
  <si>
    <t>UC1oJWYYvOoFKxF5npN-OU3A</t>
  </si>
  <si>
    <t>UCBS2TBsSg4bl--zknEC6cbQ</t>
  </si>
  <si>
    <t>UCQrsQb-zLm0Sm_4S3D0aG8w</t>
  </si>
  <si>
    <t>UC7Q7OMQisTXIcEbl4RkalIw</t>
  </si>
  <si>
    <t>UCPPRit30U3t-mQ9XbK8KD8Q</t>
  </si>
  <si>
    <t>UCXj6mMb_UXtVyn4ckyJG9vg</t>
  </si>
  <si>
    <t>UCFigxIZMmPqh5VoTXj2zNew</t>
  </si>
  <si>
    <t>UCD9sMacymtTtma0mjxCqYPQ</t>
  </si>
  <si>
    <t>UCgde7SHoGdviHQMKF6XvWBQ</t>
  </si>
  <si>
    <t>UCmfIyH9O1pD5Fl_OQjCiOlw</t>
  </si>
  <si>
    <t>UCnzEDPzft9pxNvMxfXBabeA</t>
  </si>
  <si>
    <t>UCYOp7ZcvlwACp8MKIE6_q7w</t>
  </si>
  <si>
    <t>UCLVVtaAU_qVKNF-fi4MTCXQ</t>
  </si>
  <si>
    <t>UCC8Sw4FDucKK-Sx2wRlUc5A</t>
  </si>
  <si>
    <t>UC-JKDZnS2lOYDIBkTmBMIRA</t>
  </si>
  <si>
    <t>UCUzqJZOkCejFoc5eqWWA9Eg</t>
  </si>
  <si>
    <t>UCm88pzhNNWVrV8PJ69gFg5Q</t>
  </si>
  <si>
    <t>UCcvOduMAw5ZSRWy1fuIEQZw</t>
  </si>
  <si>
    <t>UCevFxuywBS1MWPKnbTyiStA</t>
  </si>
  <si>
    <t>UCbt1DAkkCfIMshASbRp64Uw</t>
  </si>
  <si>
    <t>UCO4pYZ5DHKABwhsGDLY2AEw</t>
  </si>
  <si>
    <t>UCvNUkNxiaiFFxn8l9Q22LMg</t>
  </si>
  <si>
    <t>UCk9FT5QzIwkyli87q9aQ-hw</t>
  </si>
  <si>
    <t>UCbKcdPfFY77iaaqYH_c-fYw</t>
  </si>
  <si>
    <t>UCOXQNCEO2iTIcChVpcD1Flw</t>
  </si>
  <si>
    <t>UCxnKV2baVgPTZ0__yMxhNrA</t>
  </si>
  <si>
    <t>UCV4dDQROJachxGP474rTT2A</t>
  </si>
  <si>
    <t>UC3dmdkTdjAY5ufNf_aRrWUw</t>
  </si>
  <si>
    <t>UCZ_sh7Adgm6BqnnK3elBErA</t>
  </si>
  <si>
    <t>UCEc6IrOCWMl7FCpaPmL6LQw</t>
  </si>
  <si>
    <t>UCYDc3WTAsDxbLqW8K5N8z0Q</t>
  </si>
  <si>
    <t>UCveySpY2oIgRbn4ZhszaFeQ</t>
  </si>
  <si>
    <t>UCk0M6yoryloUjFmO8jrXUAQ</t>
  </si>
  <si>
    <t>UCgxbAqMwULsFBCytdxkLmJg</t>
  </si>
  <si>
    <t>UCaVYINljOxLW-mX5kA9XdOg</t>
  </si>
  <si>
    <t>UCzV07t6mx27AcEPmpAUJYXw</t>
  </si>
  <si>
    <t>UCao9wvAfFPJQef3OTQQ4LXw</t>
  </si>
  <si>
    <t>UCNztNpU3j_zycg-TOHNonwA</t>
  </si>
  <si>
    <t>UCy3ddRXbGJ1EDoOaNb-6D7A</t>
  </si>
  <si>
    <t>UCRtmCZR613ebOuSydaL-L3g</t>
  </si>
  <si>
    <t>UCXLqc5crh1UO5wEMsdREmQQ</t>
  </si>
  <si>
    <t>UCnNuqlk8ZY1BFUCGPnujTMA</t>
  </si>
  <si>
    <t>UCO1tTiswW1Vu-5cT4E2W-PQ</t>
  </si>
  <si>
    <t>UCDSkjqkm5k0xv9ejdV2QlPQ</t>
  </si>
  <si>
    <t>UCjlJ7ZLdf0-y08P8815b-XA</t>
  </si>
  <si>
    <t>UC4oxmVhnA9T4_fndEgbwf5Q</t>
  </si>
  <si>
    <t>UCBPVpj96HKkF25p7duJk5nA</t>
  </si>
  <si>
    <t>UCjL8VD_IqE9-Fnmw2oHVGbA</t>
  </si>
  <si>
    <t>UCNHqkDH43r00-NhbfBqV1rw</t>
  </si>
  <si>
    <t>UCGLL4RjClG-fRmXlCBFO-XQ</t>
  </si>
  <si>
    <t>UC6Buqv2eLUiwsSqu-Z5tlGQ</t>
  </si>
  <si>
    <t>UC3aUW89zc3A12CLqVQ42oVQ</t>
  </si>
  <si>
    <t>UCCveJZcpEe8OA2wRGzXT7pQ</t>
  </si>
  <si>
    <t>UCpVAI3RAdETiTbcCbClZw0g</t>
  </si>
  <si>
    <t>UCNZ-eZ6MO75bwbO9CzgTw2w</t>
  </si>
  <si>
    <t>UCE2FLrGyQmLArGisXVR_9hw</t>
  </si>
  <si>
    <t>UCxuMkh1PHZqgyaeP8LMuEVw</t>
  </si>
  <si>
    <t>UCNHnuW2Vkm5ootHX00aYNkg</t>
  </si>
  <si>
    <t>UCllCXvP6PHHKWvsR0IL6A7w</t>
  </si>
  <si>
    <t>UCDJwdGOu1qclueuSsUwaw8A</t>
  </si>
  <si>
    <t>UCUVRcQRNAYTJsMIvpXAL6RQ</t>
  </si>
  <si>
    <t>UC_nYNWmHSlBSAEVEaS0OFpg</t>
  </si>
  <si>
    <t>UCWRE9l3j3jv8vDoOZK7KPQg</t>
  </si>
  <si>
    <t>UCKU8jtXk4mZ3Ej5uYbAYcoQ</t>
  </si>
  <si>
    <t>UCBKjWIpsq9NPYs7Yhsa_9xg</t>
  </si>
  <si>
    <t>UC2lYY9pPyl44YyBd3kIEqHA</t>
  </si>
  <si>
    <t>UCarfoIUuF5uqdrZLdInvUcg</t>
  </si>
  <si>
    <t>UCu2isHQ2wBep59wArOvPIrg</t>
  </si>
  <si>
    <t>UCjdDlAuU7rblfuYDmqklolw</t>
  </si>
  <si>
    <t>UCoNgWvc-p0fCsp40KE7ZiPg</t>
  </si>
  <si>
    <t>UCgQH__KQFjEZDbOiM0c5_Pg</t>
  </si>
  <si>
    <t>UCC0EDDTQ5D7yIrnHrKTK7_Q</t>
  </si>
  <si>
    <t>UC7LfH-Zzkj1FxvJBePWh-hw</t>
  </si>
  <si>
    <t>UCXNNt45KTxX6T01R-4US8ww</t>
  </si>
  <si>
    <t>UCJwuhbBn1Q79YGYUuY3X-ig</t>
  </si>
  <si>
    <t>UCOEvZD4vMW1sqvIrOONVbvg</t>
  </si>
  <si>
    <t>UC1CoHycGuxE6zybq8s14aRQ</t>
  </si>
  <si>
    <t>UC75TOPCl6Ogv2MnDEvU9IeA</t>
  </si>
  <si>
    <t>UCKLXFXgvJ665OFySSDbbRaw</t>
  </si>
  <si>
    <t>UCv0JhfZeULiyWG-iOiU5scw</t>
  </si>
  <si>
    <t>UCVK9vMmvjJHGRpWUjp9FfwA</t>
  </si>
  <si>
    <t>UCtZ1Pm42gx7yCSqR9w77Kew</t>
  </si>
  <si>
    <t>UCE3ViUzo4DUMMkSlZyr-CqA</t>
  </si>
  <si>
    <t>UC825Qnr_bPDodZ96cHTvLTA</t>
  </si>
  <si>
    <t>UCmQ4ckFkmkGiBaTd-sgbp8w</t>
  </si>
  <si>
    <t>UCvvXggu0Ppu97v8UMWAW-Xg</t>
  </si>
  <si>
    <t>UC3Kc83m3zNNyhYvQj5U-0mQ</t>
  </si>
  <si>
    <t>UCfvBdJc19LgQ9MracAerOYg</t>
  </si>
  <si>
    <t>UC5H_lY2y5X3zhjy5KTez-vQ</t>
  </si>
  <si>
    <t>UC24DWBOeqHzkiltNtydpZ1A</t>
  </si>
  <si>
    <t>UCdgKKqjvM8lxtFDWP8QhBSQ</t>
  </si>
  <si>
    <t>UCGyZg4DZmWyj0q3H3IY15EA</t>
  </si>
  <si>
    <t>UCx69AN_GQvUMRnV3urv1VEA</t>
  </si>
  <si>
    <t>UCiGk78dvOUUegStMPZ8y6Ag</t>
  </si>
  <si>
    <t>UClgfHaXYiFOuQQKONQA2kjQ</t>
  </si>
  <si>
    <t>UCMtmSzrb_OaHxwG5ClJqC9w</t>
  </si>
  <si>
    <t>UC5pSjq2beevPd-kE0I4thpw</t>
  </si>
  <si>
    <t>UChC-qt80cJxW1xQEsq7BETg</t>
  </si>
  <si>
    <t>UCsjHCfd2HoG0n2doTuWdfBg</t>
  </si>
  <si>
    <t>UCgV1qSyP6eOmLDhgaF1OkGw</t>
  </si>
  <si>
    <t>UCtgFNlzNr4gMadkoSI2dIyA</t>
  </si>
  <si>
    <t>UCzPcFtRDQ1vQHLtfLjsAgqg</t>
  </si>
  <si>
    <t>UC1fN8yA78g_iMj0ULHho3Ow</t>
  </si>
  <si>
    <t>UCQ3-0QMJl46hjzx06wYKbaA</t>
  </si>
  <si>
    <t>UCmRdU4CTSMF7-9_-hW8bSlw</t>
  </si>
  <si>
    <t>UCdlnqMpRrMcClK2fT6z8EEw</t>
  </si>
  <si>
    <t>UC8dTfoE3auBa5YLHcJ0GycA</t>
  </si>
  <si>
    <t>UCbNvYsZ0SSy7ol46jjU_MOA</t>
  </si>
  <si>
    <t>UC5DiQQpFuh3g2dJXnq4q0HQ</t>
  </si>
  <si>
    <t>UCuFkA1HPWVD0mXl8o1uBZzA</t>
  </si>
  <si>
    <t>UCmCiLA0nRNAYBz1n5eHLUAw</t>
  </si>
  <si>
    <t>UCI2QmUmCfAA4IRKTUCR1unA</t>
  </si>
  <si>
    <t>UC9tG6dzduFKfjlCEiq6kMLg</t>
  </si>
  <si>
    <t>UCIanqbWI0T2MikkW3ew8NGw</t>
  </si>
  <si>
    <t>UCvLQxHLRrlCuASnl_QhfRHA</t>
  </si>
  <si>
    <t>UCUBjF1GMMqLG9pZR5tEvl-w</t>
  </si>
  <si>
    <t>UCLIN66-647b-omkRJGYDI-w</t>
  </si>
  <si>
    <t>UC_I3vINOa1fO1z3ZY1VrLPA</t>
  </si>
  <si>
    <t>UCUI3jrUJcs8LD84girFwvlQ</t>
  </si>
  <si>
    <t>UC0jB9fB5gzCplA3-2pGw6ag</t>
  </si>
  <si>
    <t>UC8XhDaINgxvYEfKl0TLZvFg</t>
  </si>
  <si>
    <t>UCbZwGSs9d8BLnl90_2QiBrA</t>
  </si>
  <si>
    <t>UCkJR0-8wBVekqQIdfwnZFTw</t>
  </si>
  <si>
    <t>UCQSfcikymnrcuakAINA3K0A</t>
  </si>
  <si>
    <t>UC_z7nOTHZV1oXYC03e6kCag</t>
  </si>
  <si>
    <t>UCJHCKETd4_zhx3w0NrJdx6Q</t>
  </si>
  <si>
    <t>UCMSzlNEGGys0G330I1SJygA</t>
  </si>
  <si>
    <t>UCH2m2pAYYVN8RYOc27W3gJQ</t>
  </si>
  <si>
    <t>UCvYkVu-qtEqIln1v4wOoOwQ</t>
  </si>
  <si>
    <t>UCYygCG6TUfP8_BCXlmM_rsA</t>
  </si>
  <si>
    <t>UCqh6FkzXdz_0XA9u7cIK4-w</t>
  </si>
  <si>
    <t>UC9Vxp0gHR-zk0opNGVJg94g</t>
  </si>
  <si>
    <t>UCEXEhr6mQPc1MIBDyIjQD4w</t>
  </si>
  <si>
    <t>UCjaeV7cD0tEkM7iTDIAo-GQ</t>
  </si>
  <si>
    <t>UCa3scTuNRSp5MdG1xSVAhtA</t>
  </si>
  <si>
    <t>UCzq9vkvcsKqPmqsPloALTRA</t>
  </si>
  <si>
    <t>UCZz8q2tZC7QuQiFwPKQ4Bug</t>
  </si>
  <si>
    <t>UCEDcSp3Yzln4zcdLBy3x8zQ</t>
  </si>
  <si>
    <t>UCkdqtg0tEcRb1wMCFr2wN2A</t>
  </si>
  <si>
    <t>UCHCO5nlLFsgZpPSip9mQCwg</t>
  </si>
  <si>
    <t>UC4fxiAHHYmtQB4QYT41isnA</t>
  </si>
  <si>
    <t>UCiD617JAitCJwfolfBESZ5A</t>
  </si>
  <si>
    <t>UC-YkXhpfenY7wD8yGbe4Szw</t>
  </si>
  <si>
    <t>UCA6v8ZCf98X0jlcvvMK6q1g</t>
  </si>
  <si>
    <t>UCgnh_5aORNOw2YQyso7naNw</t>
  </si>
  <si>
    <t>UCeqG5xk1KiPoRdVPHkwGTAA</t>
  </si>
  <si>
    <t>UCd6ed8k7a4_Jwz9gBf5O2NQ</t>
  </si>
  <si>
    <t>UCamo50fqIKK6O-JYoS6rM2g</t>
  </si>
  <si>
    <t>UCiA-G7P_OjM0QZ5UtJjcd2A</t>
  </si>
  <si>
    <t>UCSaFPR78kmaDM61LQLkc5eg</t>
  </si>
  <si>
    <t>UCGUdMvfRYbEK7r9XYUT5p_Q</t>
  </si>
  <si>
    <t>UCwyT11qAbCIrh8yhHNio2WA</t>
  </si>
  <si>
    <t>UCenCCz4JcsX68r1J-4MfyJg</t>
  </si>
  <si>
    <t>UCHFfhP3WCbnhbRZCkwm1odg</t>
  </si>
  <si>
    <t>UCPWlVsXt4j-0tsNGA7HLzGg</t>
  </si>
  <si>
    <t>UCPN235tnqFZ2bAdZjT-tZgg</t>
  </si>
  <si>
    <t>UCXRbnD680LtEo01waoaOlsA</t>
  </si>
  <si>
    <t>UCBMtWSTjoYfakbUUqEJeYsw</t>
  </si>
  <si>
    <t>UC-E5HkOL3H8OqzRy7ngWLIg</t>
  </si>
  <si>
    <t>UC1OqFNGQe7k6iJuBuPGUyhg</t>
  </si>
  <si>
    <t>UCpHt3kjz7UZjt5UcwcWkJMg</t>
  </si>
  <si>
    <t>UCKNTeWxHa2LUv5xfhR2pphQ</t>
  </si>
  <si>
    <t>UCwc0yUTHpZrsxP0ykt4z7wg</t>
  </si>
  <si>
    <t>UCBDr84m_kcMea-oEQ0C6ckA</t>
  </si>
  <si>
    <t>UCxj71BF8DBO7Oh0g6aE1xUw</t>
  </si>
  <si>
    <t>UCN_EASl4i7q3H_AazpPjJWw</t>
  </si>
  <si>
    <t>UCLtvQf_DYDj8AE0aET3EOHA</t>
  </si>
  <si>
    <t>UCy556qzNEKn2ylgkPlolhTQ</t>
  </si>
  <si>
    <t>UCJb1MeQClvGeSMeBSVLKnDQ</t>
  </si>
  <si>
    <t>UCjrgUWrrpQ73GiObaeR9WUw</t>
  </si>
  <si>
    <t>UCVGeZ0-Qr4chKIO50s73GwA</t>
  </si>
  <si>
    <t>UCRS9p2X9c14byFMbtjlYifg</t>
  </si>
  <si>
    <t>UCMcreiI9FVnFqfgarRFF41A</t>
  </si>
  <si>
    <t>UCKGdt06ga3XQHBswNqmh1Rg</t>
  </si>
  <si>
    <t>UC1SNzhAmC87xSj9R-8YvdWw</t>
  </si>
  <si>
    <t>UClWi9plc663mtEGlQ0xS7QQ</t>
  </si>
  <si>
    <t>UCluFktzG6Se0YsQS5fatp8g</t>
  </si>
  <si>
    <t>UCLeX_nbbodPPbATysOqfXtg</t>
  </si>
  <si>
    <t>UCHxYDy5uZ3tCaM3fn2Y3U-g</t>
  </si>
  <si>
    <t>UC99w_Bzj8ikOz8Gpv0prbNg</t>
  </si>
  <si>
    <t>UCMS6jAdlfsDW2l6yGYtd18A</t>
  </si>
  <si>
    <t>UCsmiws5SJRzbVAExbkj5P1A</t>
  </si>
  <si>
    <t>UCHT1zBeaLm5K75BRAB88lVQ</t>
  </si>
  <si>
    <t>UC1IX2pFlD57ek0ojDmeql3w</t>
  </si>
  <si>
    <t>UCDjj8HQl1XhOoeArf3SVyQw</t>
  </si>
  <si>
    <t>UCvkYsW0OfnbS6pQ9rGleKVg</t>
  </si>
  <si>
    <t>UC4nS4ghzk9NVSXZdlCKsGzA</t>
  </si>
  <si>
    <t>UC81Q2wnuk5KqOFVgAbq4nUw</t>
  </si>
  <si>
    <t>UCX07ZrhKXTq1hbFoRqZVNFQ</t>
  </si>
  <si>
    <t>UCoPw5MBbqPzTtt3epEKvueg</t>
  </si>
  <si>
    <t>UCeOoUjlLiP5qKBozcdIjnGA</t>
  </si>
  <si>
    <t>UC9jcqrmogdYp7BsUpMVl09w</t>
  </si>
  <si>
    <t>UCHeH0iw9x1tdIT7MQZOIDqg</t>
  </si>
  <si>
    <t>UCVDK0n2GgtlpKgQ9cuFj3vA</t>
  </si>
  <si>
    <t>UCtxynYUjLDq_B5nxJl144tQ</t>
  </si>
  <si>
    <t>UCCkF0yo4udgCLfShTUcodDg</t>
  </si>
  <si>
    <t>UC0JzvnKz2XTzi1cpE3ljEFA</t>
  </si>
  <si>
    <t>UCNQNjKgkGDrKl-_4W47x05w</t>
  </si>
  <si>
    <t>UC0XmDYRBmiUm3c6ZpVv-aaw</t>
  </si>
  <si>
    <t>UCE40MTks0-ugnuym0x5gE9w</t>
  </si>
  <si>
    <t>UCLIMdoS-InL1-GIBUKSvydg</t>
  </si>
  <si>
    <t>UCVpXmNvObE3DfJgKJpJ-ILw</t>
  </si>
  <si>
    <t>UC6VSrbqPIy4te3Fwfx5lcig</t>
  </si>
  <si>
    <t>UCHJZ7qbSarSL0VQpYKCaqDA</t>
  </si>
  <si>
    <t>UC3Kb7E4YLtpi-xfAO1GOD3A</t>
  </si>
  <si>
    <t>UCn5Dqt4RYAiRL3drrgqGaVQ</t>
  </si>
  <si>
    <t>UCUY1lBrjYDYFzappUdKU39w</t>
  </si>
  <si>
    <t>UCNYx33Cwri__SCHVKtf3qLQ</t>
  </si>
  <si>
    <t>UC9TIoIaBbsSQiTyNY8WqYGQ</t>
  </si>
  <si>
    <t>UCqNYdYsA-7Ps3g7Ke7LpIbQ</t>
  </si>
  <si>
    <t>UC-qg7DMU1WKgm516dV_NMtg</t>
  </si>
  <si>
    <t>UCj1KaZtIXFBdc35sAVZzbLQ</t>
  </si>
  <si>
    <t>UCTUvDLTW9meuDXWcbmISPdA</t>
  </si>
  <si>
    <t>UCNmLkKVnH75bDPK3PKUPYog</t>
  </si>
  <si>
    <t>UCtxBUSeCEU6i4wwmJl9UXwg</t>
  </si>
  <si>
    <t>UCdIawGl2i_LOIHmGUw1S9Ug</t>
  </si>
  <si>
    <t>UCzt3wUqBZsIUYeRDIaIMF8w</t>
  </si>
  <si>
    <t>UCWCK4isu0Th6gnHzsDHoukg</t>
  </si>
  <si>
    <t>UC6kQSJ-9-XyJtYylJGMX3lw</t>
  </si>
  <si>
    <t>UCJLmpzT9MkBAfJjSNJ-4Zmw</t>
  </si>
  <si>
    <t>UCkzZSe70O8EZEjFqOAX-xCA</t>
  </si>
  <si>
    <t>UCJI5hJW8Xup-cDrnZKJg1GA</t>
  </si>
  <si>
    <t>UCg3nlZB9Oq7L57TY-g_XS4g</t>
  </si>
  <si>
    <t>UCVUwUsE04S2ivtdfskq8sqQ</t>
  </si>
  <si>
    <t>UCIoiiTQR8LBR319lf2uF-RA</t>
  </si>
  <si>
    <t>UCEgmxTQ3TLiym5VbYTg1ObQ</t>
  </si>
  <si>
    <t>UCi9SjOgQgUBedh298NLTplQ</t>
  </si>
  <si>
    <t>UCHjP384mFdDUO_qca23ts5Q</t>
  </si>
  <si>
    <t>UCCDB1Hwlr5Bk-zO4eEcWNTQ</t>
  </si>
  <si>
    <t>UCKIaDo4NG9XtL2Yc86cv6EA</t>
  </si>
  <si>
    <t>UC6fij0p0oWkpOkhrs0SA_yw</t>
  </si>
  <si>
    <t>UCjG61kvLhkebq2eUHst2ZnA</t>
  </si>
  <si>
    <t>UCBZlEu3UmIrvGl5JvuyaAKg</t>
  </si>
  <si>
    <t>UCju1iuBcl-Jb_di_KQ7CyRg</t>
  </si>
  <si>
    <t>UCJ1hQRH4qoLZkPnfvPeJg_A</t>
  </si>
  <si>
    <t>UCjhTfq5TACq6pu2Dl2aYTGw</t>
  </si>
  <si>
    <t>UCOKfBcSJ0yBenOOBcUuct4g</t>
  </si>
  <si>
    <t>UCuzLJii6tz5Dj20kKfEFDSQ</t>
  </si>
  <si>
    <t>UCIYZsndkqCTs4VHfwzt7Ycg</t>
  </si>
  <si>
    <t>UCHwJlvWKQ-jbYU00CwBClGQ</t>
  </si>
  <si>
    <t>UCF5D1UXunGdRsYkjsjerp2A</t>
  </si>
  <si>
    <t>UCq7aFYvG9lBEg55VMiG22rQ</t>
  </si>
  <si>
    <t>UCeMOLIAQKx-4jChxBfh57vg</t>
  </si>
  <si>
    <t>UCA589Ju7weQSfWiJV7WL0rg</t>
  </si>
  <si>
    <t>UCPf8VFKs98W92lR01_WhOVw</t>
  </si>
  <si>
    <t>UCB_rMQ7N1lOsuyWxuhIIX5A</t>
  </si>
  <si>
    <t>UCCIb2IRSMXoZ9Fc2u7rGXIg</t>
  </si>
  <si>
    <t>UCvuJAtwzU-fTQH3zQpvt7Fg</t>
  </si>
  <si>
    <t>UCSQ0yDqLPhsBxpKBkxzVQdg</t>
  </si>
  <si>
    <t>UCVhr2Lmw0P8rNV5j6fd914g</t>
  </si>
  <si>
    <t>UCloz8x2MbUSk-9NmsWvWkUw</t>
  </si>
  <si>
    <t>UChJzBD4UxhPr0Wb5_JkrwWA</t>
  </si>
  <si>
    <t>UC1aNKykCenhuPP3HvZXONfg</t>
  </si>
  <si>
    <t>UCRpJjJRVJiK7pE67OWhSu3A</t>
  </si>
  <si>
    <t>UCxRRfF6qIoYntp3zNOozonQ</t>
  </si>
  <si>
    <t>UCh8A88yV3-oVIPSfRL3VliQ</t>
  </si>
  <si>
    <t>UCmuGlwqVE6JcstCo4Mq44gw</t>
  </si>
  <si>
    <t>UCB7hjHN7-kcToQAWDY8TrIw</t>
  </si>
  <si>
    <t>UCJWbqyjfNPQkg0Ms4sLqKBA</t>
  </si>
  <si>
    <t>UC1hVe-uDzbYae7z0RHWmyxw</t>
  </si>
  <si>
    <t>UCubNBasII91Hvy1wEmiljxQ</t>
  </si>
  <si>
    <t>UCRPLiNeBXlPXA-crUb59PFw</t>
  </si>
  <si>
    <t>UC8caqZ7IYdZOfGTFK915CuA</t>
  </si>
  <si>
    <t>UC_PLtQ-9VBghrhfGOUCA92w</t>
  </si>
  <si>
    <t>UCC9Ao4zJsk4NzCwUeyg-UQQ</t>
  </si>
  <si>
    <t>UCUcLC0AJahT15if3agMlAxg</t>
  </si>
  <si>
    <t>UC6A_TgEtnbkSaKSqKL4FIwQ</t>
  </si>
  <si>
    <t>UCKncvlaA3gRyWESh08Bo6lA</t>
  </si>
  <si>
    <t>UCLICwoQk9zLpb8FpKq9UxpQ</t>
  </si>
  <si>
    <t>UC8PvyQeIIy9LSKkAy0l12-w</t>
  </si>
  <si>
    <t>UC-7zF4kZkadrzJIxxEkCsaQ</t>
  </si>
  <si>
    <t>UCZx5xKJXc5ZgOFpGTx4VsTw</t>
  </si>
  <si>
    <t>UCze70Wozmq_2VzhrNbziSgg</t>
  </si>
  <si>
    <t>UCXZTnQ3pmX29VbQ1-XbhLsw</t>
  </si>
  <si>
    <t>UCSZd47a2r_oOLdUjmTwD-3w</t>
  </si>
  <si>
    <t>UC6oNqozh42DIdzFme2daoLQ</t>
  </si>
  <si>
    <t>UCwZ_ilsAreXB4JE-R7P9ctw</t>
  </si>
  <si>
    <t>UCTxiQtB8zLn74_V2OTOxesw</t>
  </si>
  <si>
    <t>UC03LQ-S4ipZ8iQWrJBcxTPA</t>
  </si>
  <si>
    <t>UCRBqOIWFbHlKHrGpQ0KupvQ</t>
  </si>
  <si>
    <t>UC5JEdmPhs_Rz7ac4hIS-GMg</t>
  </si>
  <si>
    <t>UC-ejHh8riB2AAG_C2Jy8_2g</t>
  </si>
  <si>
    <t>UCbgq4Y6WypFnBBzrBDgR0zA</t>
  </si>
  <si>
    <t>UC-BtJ25DtEl1LatxBtrfinQ</t>
  </si>
  <si>
    <t>UCYb_KPi8zN1rzRS8RIXfQNA</t>
  </si>
  <si>
    <t>UCs14N3QNFfnJYKQGoFHZdqw</t>
  </si>
  <si>
    <t>UCxT_ot3XD111IsI-XSFrRfg</t>
  </si>
  <si>
    <t>UC2g2yAbBKyuaP6eLoeopb4g</t>
  </si>
  <si>
    <t>UCOw3uyJI7GgSSJWXDKh2azA</t>
  </si>
  <si>
    <t>UCIJGRdTZ3ZUo8h8YGMu2iMA</t>
  </si>
  <si>
    <t>UCmwtMT7FdUQi631IyIBgEpg</t>
  </si>
  <si>
    <t>UCT7N5Zn9YSF1IQcc4-fRM5A</t>
  </si>
  <si>
    <t>UCiBK5CavDP2tzVNVM9W8ttA</t>
  </si>
  <si>
    <t>UCSco8_QjU2tkyrMGXe_DKow</t>
  </si>
  <si>
    <t>UCrxLfAJy4cbNk-Yo_7aCduQ</t>
  </si>
  <si>
    <t>UCkPnh62CvRAPE1sbtbJ0xhw</t>
  </si>
  <si>
    <t>UCPwa_76UF-899rkeDWJRtPQ</t>
  </si>
  <si>
    <t>UCxv9T8da7658T9R8LQT_3PQ</t>
  </si>
  <si>
    <t>UC2_Kceh_bA-KdYXlcqsmEtA</t>
  </si>
  <si>
    <t>UC8InskZDYBypOb5yUFVAQoQ</t>
  </si>
  <si>
    <t>UCHvuTTmf4wG_WDj7LFBZzQg</t>
  </si>
  <si>
    <t>UCKAB3SSR5WnYA_VuDCX5AVQ</t>
  </si>
  <si>
    <t>UC2H3vFRuN6hIXUr06HhDCkw</t>
  </si>
  <si>
    <t>UCbtHchJ3oGeVZTlp2RlHzXw</t>
  </si>
  <si>
    <t>UC6vijbGj8Nl9kgO2_tJX46Q</t>
  </si>
  <si>
    <t>UCYMUPjHP-YMeYLOYH788u_g</t>
  </si>
  <si>
    <t>UClz0pLkTqii1UhWHUIxBTOA</t>
  </si>
  <si>
    <t>UCRfh7Bj2qW8v93SpCro_rzQ</t>
  </si>
  <si>
    <t>UCnwYtf5dNjp-GFfyLFFMSkA</t>
  </si>
  <si>
    <t>UC-Yzz2q5vFkCxbUiqJQzcEQ</t>
  </si>
  <si>
    <t>UCgBpqQTAMs_BeiNTuUXk1Ww</t>
  </si>
  <si>
    <t>UCe7PzihY2Clb7Rv2enaU79g</t>
  </si>
  <si>
    <t>UC9-rTiiMrmFjE7NL74uwPjA</t>
  </si>
  <si>
    <t>UCY01zR5p6IUBSKbt-VIvZfQ</t>
  </si>
  <si>
    <t>UCsBugi21eZVhGJ-0Ie1TLug</t>
  </si>
  <si>
    <t>UCoFSwfRGHru5K82atxgsLGA</t>
  </si>
  <si>
    <t>UCMYj9OKsHF6d7qBGDDC49Vw</t>
  </si>
  <si>
    <t>UCPGHdAWB9L4ZlblpxO20VcQ</t>
  </si>
  <si>
    <t>UCM8C7n7PUnDEqFLRTVMa1gg</t>
  </si>
  <si>
    <t>UCznAVGW0rciFfbJzDkgBybg</t>
  </si>
  <si>
    <t>UC4cS7rJKqKs8JcnUZiSmSww</t>
  </si>
  <si>
    <t>UC_X_HtD4vKMEybwDVpqRHKw</t>
  </si>
  <si>
    <t>UC4tmQP_JpszPDGzBVaKh2Iw</t>
  </si>
  <si>
    <t>UCrKMptPCBDXmXUWG7GvpE9Q</t>
  </si>
  <si>
    <t>UCu-O7o7aiHZtJHdhcVJShrg</t>
  </si>
  <si>
    <t>UCv6tPdGo6FVzz0d8md03TZQ</t>
  </si>
  <si>
    <t>UCUMDw1Q9GnncEEMgIA7kcpA</t>
  </si>
  <si>
    <t>UCxrVGGQQKfl4iHeY6PE3vGQ</t>
  </si>
  <si>
    <t>UCYXx4jZK2_M74wxzojMYvpA</t>
  </si>
  <si>
    <t>UCC0r1EnAVu4eINS1DthE8Nw</t>
  </si>
  <si>
    <t>UCFtNmxu30quYY_RpyaC35Jw</t>
  </si>
  <si>
    <t>UCo-VPc_p5kDXBwaJlFcRP6A</t>
  </si>
  <si>
    <t>UCqG-SOUK7PgdovU0YPpvShg</t>
  </si>
  <si>
    <t>UCBuVs6kEBf8v5j6IJVyOvWA</t>
  </si>
  <si>
    <t>UCXmu3Cn6OtUdsXzBodTJLJQ</t>
  </si>
  <si>
    <t>UCcqgVmdS3vHUvRRPZfaNw1g</t>
  </si>
  <si>
    <t>UCcLf37Mq1sIeaHTppLtkd6g</t>
  </si>
  <si>
    <t>UC6VmMm1SLHemozkwJroTOZw</t>
  </si>
  <si>
    <t>UCYiTNpIpM4FwMRa2mckEnHQ</t>
  </si>
  <si>
    <t>UCZJyL1GiRcQA5NdyK9RL63Q</t>
  </si>
  <si>
    <t>UC2hRc0Odw5no2SCY9qB7K7A</t>
  </si>
  <si>
    <t>UCVpTRuuPRWaJiptoK6ZbDoQ</t>
  </si>
  <si>
    <t>UCwYDCNWqN2S5QQaPPvCgMVg</t>
  </si>
  <si>
    <t>UCLyQ1KLWr8cWK9xWKrSnl3Q</t>
  </si>
  <si>
    <t>UCF5tCQmxJqYZOZq-kuWAZ3g</t>
  </si>
  <si>
    <t>UCDqSm_yZhvFFNDFPqMFz5KQ</t>
  </si>
  <si>
    <t>UCywAMoCPZ7ms5HBmD_i-0hw</t>
  </si>
  <si>
    <t>UCUX2NIPzZXT87MI7zLm5vQg</t>
  </si>
  <si>
    <t>UCcL4GN_zrF8RMQvCxxVrFBA</t>
  </si>
  <si>
    <t>UCnLEXRdb8usxQenqVBTqvAw</t>
  </si>
  <si>
    <t>UCGmi-oiJyKRWWpLf28Qg0Zw</t>
  </si>
  <si>
    <t>UC1AmTsnhnrcLQQ6WoEArbnQ</t>
  </si>
  <si>
    <t>UCiKTk-XlOBGSQxSCluiCRjw</t>
  </si>
  <si>
    <t>UCROu-urdUxMO2f8qjrsyxxw</t>
  </si>
  <si>
    <t>UCI05XZZ7iTB1crFf0_cz4KQ</t>
  </si>
  <si>
    <t>UC-7KxIKb9rk_ysvdvDRzPEA</t>
  </si>
  <si>
    <t>UCwEY7pRjWJkCNhsPgi2I6Sg</t>
  </si>
  <si>
    <t>UCQo-CTPVeeqX78r34QUcahQ</t>
  </si>
  <si>
    <t>UCcpdljqWcmC75P7usMD_xGQ</t>
  </si>
  <si>
    <t>UCHoCCv70rfin33TBzuxBYsw</t>
  </si>
  <si>
    <t>UCSJ-wkiI8c4c_g0Kg7qHIWw</t>
  </si>
  <si>
    <t>UCFuWdVAHWsgebcp5Zbkj_dw</t>
  </si>
  <si>
    <t>UCE2OieM2MpMR8tQ0JaKzQRg</t>
  </si>
  <si>
    <t>UCY1MVKfPEj7tWo_zmjae1Dw</t>
  </si>
  <si>
    <t>UCcN3IuIAR6Fn74FWMQf6lFA</t>
  </si>
  <si>
    <t>UCbg1fucJLGhyRG9bEb9zqLA</t>
  </si>
  <si>
    <t>UCD6VbIovCAXYWJQttSN2nnQ</t>
  </si>
  <si>
    <t>UC8B2DG9y4SGBbDqwWbC8ZJA</t>
  </si>
  <si>
    <t>UCCntC_aZviAbcM3e_SrEZWQ</t>
  </si>
  <si>
    <t>UC3o1Qo_zRKv1G9c-vXHCDAg</t>
  </si>
  <si>
    <t>UCjXcsv8vDKrPcjiYnh-YtYQ</t>
  </si>
  <si>
    <t>UCiMmSU8mhBzkdObN3nCKcYA</t>
  </si>
  <si>
    <t>UCcrA0fyD86119ddIN267YdA</t>
  </si>
  <si>
    <t>UCaFzd0xHHr-mg4a48jhhZLA</t>
  </si>
  <si>
    <t>UC3uS5eUdxeYrIwp19Z2LaWw</t>
  </si>
  <si>
    <t>UC01EtaKeqYoJnAzr-EqlXnQ</t>
  </si>
  <si>
    <t>UCKcukj-n3-kUJ5u59L-bwgg</t>
  </si>
  <si>
    <t>UC1FPyeZ89u5NXo9bCid2TcQ</t>
  </si>
  <si>
    <t>UCo9w6xHWUs4-tIlN5ICoU9w</t>
  </si>
  <si>
    <t>UCXwbpD5cEcM9ecJnKiasouw</t>
  </si>
  <si>
    <t>UCy6btkQvCDBu11VHKPC434Q</t>
  </si>
  <si>
    <t>UCw72g2VQje20BynmENJ0hOg</t>
  </si>
  <si>
    <t>UCPGNioeYrJq4nyAt-DVIHZg</t>
  </si>
  <si>
    <t>UCf49YH1uS1A74yni0d5yXwQ</t>
  </si>
  <si>
    <t>UCkfWV1SKR6yqItXW5rqlUPQ</t>
  </si>
  <si>
    <t>UCBIXGOelNbEG9b6HzWBt5vg</t>
  </si>
  <si>
    <t>UC_fccPOac9gS27TRyRgZ0Qw</t>
  </si>
  <si>
    <t>UCAlBwBSu9hrj1zULNahm4zg</t>
  </si>
  <si>
    <t>UCI4NUaIMk14z09i7cOj21HQ</t>
  </si>
  <si>
    <t>UC-dqsmy1qOtU06d3-U896lQ</t>
  </si>
  <si>
    <t>UCWzZlyLnfkKOl-penrcjAXQ</t>
  </si>
  <si>
    <t>UCN6lrK_pEwFgHJ0KSu0NnMA</t>
  </si>
  <si>
    <t>UCP7XS4KsEVZYpyhhqVS_piw</t>
  </si>
  <si>
    <t>UC4QCsW-DiJnPW0NRUQ2Bz9A</t>
  </si>
  <si>
    <t>UClyw32fdzLCsqbkfzhdrtXA</t>
  </si>
  <si>
    <t>UC5iwCP_iy_4v3JwhVZqq27w</t>
  </si>
  <si>
    <t>UCV_Iv2bCHU7y5TJr60YPOhg</t>
  </si>
  <si>
    <t>UCiz-jzWFaj388elTbLBGX6g</t>
  </si>
  <si>
    <t>UCkMkkPChzTjIhckIkhteCYw</t>
  </si>
  <si>
    <t>UCdJ-PIBs38ZxH8gJm-YHyAQ</t>
  </si>
  <si>
    <t>UCjFB4M-M6ZU1xXA8V4M7RtA</t>
  </si>
  <si>
    <t>UC4ERiIwf--06tT-ZBFEW5lA</t>
  </si>
  <si>
    <t>UCYCcTaBNpmgEOo157NBcOQA</t>
  </si>
  <si>
    <t>UCetwolh7fy4_RR7RXEL1M0A</t>
  </si>
  <si>
    <t>UCNoHsqym50PGenDErDE_0jA</t>
  </si>
  <si>
    <t>UC2lltFyQdSDzA_AvDzDYPYQ</t>
  </si>
  <si>
    <t>UCzAiFZM8KDiUMG_rCX5DmaA</t>
  </si>
  <si>
    <t>UCoAkOJtcToS0piLQMO-W4uw</t>
  </si>
  <si>
    <t>UCmKAn3VOiP1ltsIS_oNUbJg</t>
  </si>
  <si>
    <t>UCitSLfqd9TZ9DE2_AWV6Gtg</t>
  </si>
  <si>
    <t>UCC82HCRTm9fJ9M5_1jZ83Sg</t>
  </si>
  <si>
    <t>UC1-V-fHmQNKY2eJ4SRi1d6w</t>
  </si>
  <si>
    <t>UCAi_uX1pYa6DpxOn1x8ZnaA</t>
  </si>
  <si>
    <t>UCnyDWOvRZoVua81-piUCxJA</t>
  </si>
  <si>
    <t>UCEkzEvvn4uM1oZskGiPD9zQ</t>
  </si>
  <si>
    <t>UCZiYyEARRaKK-K5IXKAIcVQ</t>
  </si>
  <si>
    <t>UCC3ld44jBPgWuyiE4PRdSTw</t>
  </si>
  <si>
    <t>UCyOuAR7CC8jY5AGX77gwovQ</t>
  </si>
  <si>
    <t>UCwFm80xpKaoTf6Oe-zCnkNw</t>
  </si>
  <si>
    <t>UChwyt_s_yHXXTDe_fMOOjpg</t>
  </si>
  <si>
    <t>UCH4YXG1SMJQsbG8T8gK42Lg</t>
  </si>
  <si>
    <t>UC27w4vmOy-CQsUHY4Mo7zEQ</t>
  </si>
  <si>
    <t>UC9-c1Zm1s1eAj62l0Aoihlw</t>
  </si>
  <si>
    <t>UCM2lbbD6cXNlVeMu49EWLUw</t>
  </si>
  <si>
    <t>UCG1mBlrX5EqLkVjQj0DUipA</t>
  </si>
  <si>
    <t>UCSnyFNVsXYlBLv7J75yr32Q</t>
  </si>
  <si>
    <t>UCp7JqoEePjFRZAI88J3hf6g</t>
  </si>
  <si>
    <t>UCfCVCOBAEGZWHNQLtNMH2Hg</t>
  </si>
  <si>
    <t>UCCqWQsAZFE7aN5YIERzhHaQ</t>
  </si>
  <si>
    <t>UCSgnyZZzgR630OENguTn3JQ</t>
  </si>
  <si>
    <t>UCPVdnn4PnO5rVJptc6cylOg</t>
  </si>
  <si>
    <t>UCkGJP_v2J0kEy70x-iLkAUA</t>
  </si>
  <si>
    <t>UCF4dDe9Xas61NX1BF6VK1WA</t>
  </si>
  <si>
    <t>UCl6aN-8AnzaQ7xDLyzk5hrQ</t>
  </si>
  <si>
    <t>UCu8MxhB2tIXy0FAW3JJOT4Q</t>
  </si>
  <si>
    <t>UCyKYvZzVUnabf1F7RunRtoQ</t>
  </si>
  <si>
    <t>UCVfVZs2SSaMSrW7ZsNqBXiA</t>
  </si>
  <si>
    <t>UCRvTQgaKQ4AKsxKf0rZUtuQ</t>
  </si>
  <si>
    <t>UC2l-lwyEEflFTDh7BCOOOWA</t>
  </si>
  <si>
    <t>UCZOZ8ASpFoSzCkA7h4o-vZQ</t>
  </si>
  <si>
    <t>UCYyI34qrma9J18rTcIp5IAQ</t>
  </si>
  <si>
    <t>UCi5RpNkW929mTVCoU2C_02g</t>
  </si>
  <si>
    <t>UCSTu2EeaCO18DX3VQYT-AVg</t>
  </si>
  <si>
    <t>UC7pVho4O31FyfQsZdXWejEw</t>
  </si>
  <si>
    <t>UCkMtfEIyBQZEuFtw-teDILw</t>
  </si>
  <si>
    <t>UC5b0n4Ip-wMstZEDJ9vlTvA</t>
  </si>
  <si>
    <t>UCBWOy9nogTG5vJs3Hbtv6Sw</t>
  </si>
  <si>
    <t>UCZ3q5B6hXjFI2GOtFhvYU9A</t>
  </si>
  <si>
    <t>UC8WVf3YFA_Olu-xU5Ir6yPA</t>
  </si>
  <si>
    <t>UCEdl9D7TKhemxBST1FdqPOw</t>
  </si>
  <si>
    <t>UCiE2gEfINCt7InqJP6SOrQQ</t>
  </si>
  <si>
    <t>UCPgSvf862xLLX_flxKalw6A</t>
  </si>
  <si>
    <t>UCFbCcl4z7EA40OS0lRI76yg</t>
  </si>
  <si>
    <t>UCBdxSSyIlnwo3Aj5O0c6RWQ</t>
  </si>
  <si>
    <t>UCcsGvc6kII6Eh-0Q7dy2-dA</t>
  </si>
  <si>
    <t>UCcIIEOebqRux1YTU9DSLoSw</t>
  </si>
  <si>
    <t>UCkOyeaZyRpdS_6isgaUKNvw</t>
  </si>
  <si>
    <t>UCvtIoElh8qwKV9oOeoCn_pw</t>
  </si>
  <si>
    <t>UCMIobchb8wgycijrgc1UnZw</t>
  </si>
  <si>
    <t>UCBwqsXurNFnytnlFxS7GYzA</t>
  </si>
  <si>
    <t>UCHRe4xQE3XMdqsMTuT61NbQ</t>
  </si>
  <si>
    <t>UC8aFE06Cti9OnQcKpl6rDvQ</t>
  </si>
  <si>
    <t>UCdkjpQg7zEvfazcfLFNjdBg</t>
  </si>
  <si>
    <t>UCASuMnBU9gD8iZQUC9NSa4w</t>
  </si>
  <si>
    <t>UCMIgfomhGEqdWVMAzU5i13w</t>
  </si>
  <si>
    <t>UCZz5YKlQqTDI6aQRtDO0pZQ</t>
  </si>
  <si>
    <t>UCRMgZ4oNKAfVFQsWLIN9efQ</t>
  </si>
  <si>
    <t>UCUqyIhvsv2nvyECHhUDqoXg</t>
  </si>
  <si>
    <t>UC6sOW5RX9miothdP0MteJvQ</t>
  </si>
  <si>
    <t>UCT0o7kYX2gkU2OFoRW48p0Q</t>
  </si>
  <si>
    <t>UCNWB7dmCGihTx48EV1XoHjQ</t>
  </si>
  <si>
    <t>UCDWsC0cesPDrxqDOWh0BU6A</t>
  </si>
  <si>
    <t>UCefxMr_Nb8Pn8T6ZRkamO7g</t>
  </si>
  <si>
    <t>UCzRgJGBXixxoN7SES7w4AzA</t>
  </si>
  <si>
    <t>UCnGReZv1AVeM-ENR2paOlSA</t>
  </si>
  <si>
    <t>UCQI2hklnrjXiQ_ys8tx3NTw</t>
  </si>
  <si>
    <t>UCjupRVwRRuhZzFWGlGH3ksg</t>
  </si>
  <si>
    <t>UClO6QGFlI3_yTt-WXr3sM8A</t>
  </si>
  <si>
    <t>UCvoNWXdItPb_xzX2_BGOkEw</t>
  </si>
  <si>
    <t>UC4PdY2VZPHwBltVqiHNvRcw</t>
  </si>
  <si>
    <t>UCAu-hKgdcS_yellPTydUdyQ</t>
  </si>
  <si>
    <t>UCpjs8ca_snn1pWB4ZICRzvg</t>
  </si>
  <si>
    <t>UC6qDLH_ykD1gBDhRzETPK3A</t>
  </si>
  <si>
    <t>UCSrTh6nylEDfi2_7H4jD9Ug</t>
  </si>
  <si>
    <t>UCCId5ua_II0LByUno6Ch5bw</t>
  </si>
  <si>
    <t>UC92gfU5reJoxoQkLO9p4BPw</t>
  </si>
  <si>
    <t>UCspMHsNQ_sqJHIB7zYDZDhw</t>
  </si>
  <si>
    <t>UCwODS2-18GmykXE9DS8Q_ag</t>
  </si>
  <si>
    <t>UCO3SGOyrUGuJG7OIsHZafFw</t>
  </si>
  <si>
    <t>UCKOq40YAw_709HNW6gCg6GA</t>
  </si>
  <si>
    <t>UCo1Rx0-CfOuxoTmOcjiCtHQ</t>
  </si>
  <si>
    <t>UC8NkuGCBKQieUtDHL6Hf2_Q</t>
  </si>
  <si>
    <t>UCHRwuDX0Pkg36i02St_fQ4A</t>
  </si>
  <si>
    <t>UCJURt0EHGLMYDuIYc0kL_SQ</t>
  </si>
  <si>
    <t>UCy7WiMF4DpVeoqV7C9Xpc6w</t>
  </si>
  <si>
    <t>UCjntzZe5MOlfxDPOQdIIBzg</t>
  </si>
  <si>
    <t>UCHIbErciyS3Hs0kjAz-at5Q</t>
  </si>
  <si>
    <t>UCPKFrp_QsbxyN-mVIx236gg</t>
  </si>
  <si>
    <t>UCTAYNAQuQEmouHDTjX5k3Kg</t>
  </si>
  <si>
    <t>UCGdT3PfHbSJD8BUrr0awK-Q</t>
  </si>
  <si>
    <t>UCCDy9fZB5gaIYcTriUu8xhQ</t>
  </si>
  <si>
    <t>UCIKhrCDBQnShE0XkJbXVknw</t>
  </si>
  <si>
    <t>UCMLP5czpOa2_iFADFNRYnhA</t>
  </si>
  <si>
    <t>UCTi2Ugg8QmdYXhFAY3MwVeA</t>
  </si>
  <si>
    <t>UCNIn1jlEWSNazwREMYjIWQQ</t>
  </si>
  <si>
    <t>UCMwmcywlWYcEADXEiPOYlzw</t>
  </si>
  <si>
    <t>UCokvR--MJCoGhQZRl4AFVcQ</t>
  </si>
  <si>
    <t>UC4wnqNN6_6ioHQDs8OyLkfQ</t>
  </si>
  <si>
    <t>UCsMyMEn8D3h2HMZAbRk7gvw</t>
  </si>
  <si>
    <t>UCD4dsOoS9jauVWpdzYjBihQ</t>
  </si>
  <si>
    <t>UCRY5um0ZKvw7xWy-Rb7vQbg</t>
  </si>
  <si>
    <t>UCkuJJrqFRjR_8VD_fpX7L6g</t>
  </si>
  <si>
    <t>UCRvyktUWpCPuN_Pt2vnwhaA</t>
  </si>
  <si>
    <t>UCqqxghMUcYiMp-CrT1XiIEg</t>
  </si>
  <si>
    <t>UCWlYYTM0_kX0OUAOhptJ3yg</t>
  </si>
  <si>
    <t>UCam9BL1K9GWwYgziDUUin6w</t>
  </si>
  <si>
    <t>UCKZbgzsJ_XsgGevLAKI1DwA</t>
  </si>
  <si>
    <t>UCtxXih2fLIxJQKRFbjsNwhg</t>
  </si>
  <si>
    <t>UC3Fci14HzLNhI9_stjLWV7g</t>
  </si>
  <si>
    <t>UCIfmKWMicNsBGoMgTpHX1ng</t>
  </si>
  <si>
    <t>UCKCth3j_wzUnwrBkJ58-Ncw</t>
  </si>
  <si>
    <t>UCM7GxkMbEpoy3DYHx6OvE2g</t>
  </si>
  <si>
    <t>UCSYUsidxsx-nHK1BHRONPMg</t>
  </si>
  <si>
    <t>UC6ANXBiD4ZRNp1gSzCO9y8g</t>
  </si>
  <si>
    <t>UCWKWBq9tXVs_BRNev86taLQ</t>
  </si>
  <si>
    <t>UCCZNyXp_n_nwUl7_8l4tkJg</t>
  </si>
  <si>
    <t>UCtZTKBPvDTU1htZ_MONM-Xw</t>
  </si>
  <si>
    <t>UCf9fTBXZz6fpHOjSnj3tkkg</t>
  </si>
  <si>
    <t>UCSIRmKsrk-tYW8p736ZYhfg</t>
  </si>
  <si>
    <t>UCtaRP_1sShiUPX1g3u8ikYw</t>
  </si>
  <si>
    <t>UCu6lSkIHJMwAWklolaYu61Q</t>
  </si>
  <si>
    <t>UC9MZXcE-nKiR_1fzhzimb2Q</t>
  </si>
  <si>
    <t>UC8_PN2r5U3l8bagk0ozjbJw</t>
  </si>
  <si>
    <t>UC870VPpm2zZOl6CCqXNRnaA</t>
  </si>
  <si>
    <t>UClkIn6RQXOdVO98PVUgETog</t>
  </si>
  <si>
    <t>UCkdsZhDPjz_icf9xCZxAHow</t>
  </si>
  <si>
    <t>UC0flkAPwSoMmN9-Xjnlu9_A</t>
  </si>
  <si>
    <t>UC1O5yeDG4cvesN63rOb-9Pw</t>
  </si>
  <si>
    <t>UCyaCNGT6iHvzz4UyCIzTxMw</t>
  </si>
  <si>
    <t>UCTf3uwh9qWZOx7JRJf1iU4Q</t>
  </si>
  <si>
    <t>UCmiF2GcrQwFeiTdnKJ_023A</t>
  </si>
  <si>
    <t>UC3pScBFRYTdh8h-7sYleKtQ</t>
  </si>
  <si>
    <t>UC8WezHud7HQyAJ7XQIVdnGw</t>
  </si>
  <si>
    <t>UCjgiEGaXfuQaI7xdDSXRZ6A</t>
  </si>
  <si>
    <t>UC6vboCYU06qEsxrV7mvyijQ</t>
  </si>
  <si>
    <t>UCiYV2R07BRox8uiC8omkMpw</t>
  </si>
  <si>
    <t>UCZbFVWxjQ2y6BUBnbWNiQhQ</t>
  </si>
  <si>
    <t>UCu2W-Sfpa22kGH5gcSTzKmA</t>
  </si>
  <si>
    <t>UCaZWcLUx_UYJwRZrzZOAenw</t>
  </si>
  <si>
    <t>UCC99riGj-vNiE4sGr04YPGw</t>
  </si>
  <si>
    <t>UCDvJLq4OoK-R4rhe4SQeZRw</t>
  </si>
  <si>
    <t>UCgqTkS9QHPKKIX8nxCnZ65A</t>
  </si>
  <si>
    <t>UCqkQzjePM64LtMOWzShh_SQ</t>
  </si>
  <si>
    <t>UCVo5iBU7VNJCOuybbD-dGbQ</t>
  </si>
  <si>
    <t>UCRRMknivc5UwOEj8qREsxuA</t>
  </si>
  <si>
    <t>UCQ2_VMqkl_l9Rcnafaa53sQ</t>
  </si>
  <si>
    <t>UCAkvk9geQFj4JinmiQ7IutA</t>
  </si>
  <si>
    <t>UC04LPlFi4cf3RHiBUCWdf4w</t>
  </si>
  <si>
    <t>UC5n8crK5mSTkUFC8GlN3gQg</t>
  </si>
  <si>
    <t>UCYlQPz_ONrXppNXZ89P3zyQ</t>
  </si>
  <si>
    <t>UCI_s-QDMxiA95dLmM7mFEWw</t>
  </si>
  <si>
    <t>UC5PniYrLDj4MJfZXelC9grg</t>
  </si>
  <si>
    <t>UCMIyNCLPQ91wZxDkqMx6pSA</t>
  </si>
  <si>
    <t>UCnDl1lJkp4KgEbJKLnVLPjQ</t>
  </si>
  <si>
    <t>UCSLhL7W5F3VLNd5ES1gpOAw</t>
  </si>
  <si>
    <t>UCjJTgeZ8M9JPA3nVjv-i0Sg</t>
  </si>
  <si>
    <t>UCIAwmOj2qC6qV0MkBV-XBsQ</t>
  </si>
  <si>
    <t>UC-6DMKINj9t3izwjDGYJO8g</t>
  </si>
  <si>
    <t>UCIDvoyJcqSu7hB0gXRXo81g</t>
  </si>
  <si>
    <t>UCtDAJiFT4sy42oNPA8zo0sw</t>
  </si>
  <si>
    <t>UCY1-91vKeDNzyS3_cY-lh_w</t>
  </si>
  <si>
    <t>UCIujpQDjxt8TLzSMzuXAjjw</t>
  </si>
  <si>
    <t>UCdsnV1DUpCQhaTgXsKG7lgw</t>
  </si>
  <si>
    <t>UCf7lc-J9jmh9Po4FzOLplnQ</t>
  </si>
  <si>
    <t>UCPy7lCfyCDnNX5L9pa3tTvA</t>
  </si>
  <si>
    <t>UCMIoUo62-lFZb8LwAYPdJvA</t>
  </si>
  <si>
    <t>UCUVJf9GvRRxUDauQi-qCcfQ</t>
  </si>
  <si>
    <t>UCltI3cHugjE78CtUl__8HBA</t>
  </si>
  <si>
    <t>UC-yXU5FTDjNcvq-RJbtBPlA</t>
  </si>
  <si>
    <t>UCggPd3Vf9ooG2r4I_ZNWBzA</t>
  </si>
  <si>
    <t>UCmmMbh6_u2aj20gWrGceXqg</t>
  </si>
  <si>
    <t>UCruQUP9qeou8KGv4G4HWCMQ</t>
  </si>
  <si>
    <t>UCJsXCL-JtiPUNLcNotztqmA</t>
  </si>
  <si>
    <t>UCzFMyyeq8uj2Y2xo9WsPQGA</t>
  </si>
  <si>
    <t>UCtvCxQIO0E3wOSs1HlN7Hwg</t>
  </si>
  <si>
    <t>UCMNdtrMSmlOMMEkf5HQ12Dg</t>
  </si>
  <si>
    <t>UCgDGv_nLBDsFvXU0siImzrg</t>
  </si>
  <si>
    <t>UCY8FAZBxRGaLQnhc1P-4cfQ</t>
  </si>
  <si>
    <t>UCerIKNuFNoQDqfWdsLqJiJg</t>
  </si>
  <si>
    <t>UCVe8CMJF4caRzuckVYV8CaQ</t>
  </si>
  <si>
    <t>UC5Qh5THlWdnMnYvjetfDlaA</t>
  </si>
  <si>
    <t>UCLoGUtiLFmU6P_5GHZ6IujA</t>
  </si>
  <si>
    <t>UCnZwDjekzIMcyHXmLO9pcIg</t>
  </si>
  <si>
    <t>UCf6Xd3DGafkr_sBRBeqYb0w</t>
  </si>
  <si>
    <t>UCHNZyUCGf-ngK9TuUfabIuQ</t>
  </si>
  <si>
    <t>UCIKAsBdkwH3ERoJd3hJQ-Jg</t>
  </si>
  <si>
    <t>UCUgA8t4DaUt50fvL79oF5wA</t>
  </si>
  <si>
    <t>UCkxfbAky2v0yXuKWOKCDy1w</t>
  </si>
  <si>
    <t>UCrqMNzXeqsSWVnKT3Vrd8Hw</t>
  </si>
  <si>
    <t>UCkgQvUg3XFuUI8lcElEuxaQ</t>
  </si>
  <si>
    <t>UCF1Hn7EhG8mhJdRkV_Riuhg</t>
  </si>
  <si>
    <t>UCYWMHVeeDesx3jLVr7vRiNQ</t>
  </si>
  <si>
    <t>UCBQKK1C-ZQtplqMLEFBnDWg</t>
  </si>
  <si>
    <t>UCpUts22VGxghvKCLF8vbgBw</t>
  </si>
  <si>
    <t>UC5e8SELCtwEGTnLYYhnAxbA</t>
  </si>
  <si>
    <t>UC5st95_QYS08wF_JfUoBtrA</t>
  </si>
  <si>
    <t>UC_nsY3qit9How8AMHJIGQyw</t>
  </si>
  <si>
    <t>UCBtNaFEMqd017VXYhDKQGvA</t>
  </si>
  <si>
    <t>UCWiydzii3UVz4rtGWvtUrBw</t>
  </si>
  <si>
    <t>UCJKBOiNeVjr6MnfsJA9COkQ</t>
  </si>
  <si>
    <t>UC8k5OyMHHM2WPbWFDDL06jA</t>
  </si>
  <si>
    <t>UC_ebLnatS9Fje8LhydkCqOg</t>
  </si>
  <si>
    <t>UCGjFT22L8fJMqzkMQs2Cx6Q</t>
  </si>
  <si>
    <t>UCvFG3Dm8C1D2E3r2A2odeNw</t>
  </si>
  <si>
    <t>UCX6S71YiSkrEnJ_zcIKaI9g</t>
  </si>
  <si>
    <t>UCzUgCORf79EjqlNHmGRHFkA</t>
  </si>
  <si>
    <t>UCbp561fErZj8EikdJxiwyXQ</t>
  </si>
  <si>
    <t>UCqAgbXJlJ4ogSLh1gy9JCEA</t>
  </si>
  <si>
    <t>UCQgWK91IvWlYdNeTTw3LZVw</t>
  </si>
  <si>
    <t>UC9cB7ZzQJf2xFoRiWaN6OaA</t>
  </si>
  <si>
    <t>UCEJNskm_7oiPqWcOOA5d61Q</t>
  </si>
  <si>
    <t>UCnsflXk7nAsqADM35Ysx6qg</t>
  </si>
  <si>
    <t>UCnYK_VfOJz2QBqSPBE7mDtg</t>
  </si>
  <si>
    <t>UCv0FWVD4urZ9B-JTyq_ezXA</t>
  </si>
  <si>
    <t>UCz195GbeSgXtOUMvFCw6xhQ</t>
  </si>
  <si>
    <t>UCKq2F4LZ726kAlJG42Q01nQ</t>
  </si>
  <si>
    <t>UCtLpa_eIXtkXt-NukPahiwg</t>
  </si>
  <si>
    <t>UCvTLyB-aixsl4MhiMEomVRQ</t>
  </si>
  <si>
    <t>UCD4GIMeUOVV5s1_WFqZIODA</t>
  </si>
  <si>
    <t>UCvIhADotRzZd_CBxq1nntwQ</t>
  </si>
  <si>
    <t>UCPwf9mzQOyj9FQxQuy3cvNg</t>
  </si>
  <si>
    <t>UCs881ywmdMxv7BZiCIu8xHg</t>
  </si>
  <si>
    <t>UCgXNWT92k5aVFrItbheqYMg</t>
  </si>
  <si>
    <t>UCGBK70Wfkp-FllDkzePuRsg</t>
  </si>
  <si>
    <t>UCeQL4oTHw0NXuMbvLvgpfmw</t>
  </si>
  <si>
    <t>UCkU_qwxePORLdWQmSWoSxEQ</t>
  </si>
  <si>
    <t>UCKPw9cg3CRRJInyUAT9rNlA</t>
  </si>
  <si>
    <t>UCBVDOqAOemETfc-MOn4fqgA</t>
  </si>
  <si>
    <t>UC_mw456JrB5ym6rk8l0-SPQ</t>
  </si>
  <si>
    <t>UCEdUvwbkIctpLez-_i3ukbA</t>
  </si>
  <si>
    <t>UCgWQt7jFwIHUmS4zlfQEgdw</t>
  </si>
  <si>
    <t>UC_V8EukIC5IXAuTY5qoQW8g</t>
  </si>
  <si>
    <t>UCejpwAlUf60sX7nW7egWC_g</t>
  </si>
  <si>
    <t>UCJPcKBMt_5hzQelLxfWFVBQ</t>
  </si>
  <si>
    <t>UCn5N03prvdzaZxEwq3AtHAw</t>
  </si>
  <si>
    <t>UC6lpikyd1sIrbSH_g74INrw</t>
  </si>
  <si>
    <t>UCBeHrRb35zt8JNh1BfUUZsg</t>
  </si>
  <si>
    <t>UC4BbyR1c6hvhLTR6yGXMp7A</t>
  </si>
  <si>
    <t>UCzpP7IIzeMkWNGGVx6SQJaQ</t>
  </si>
  <si>
    <t>UCzd0ywXXPoe7DMynDO_fA0A</t>
  </si>
  <si>
    <t>UCetco_rU_J_VHD8_7SefLag</t>
  </si>
  <si>
    <t>UCuwxuGc36QSFZsOPJEFzvmw</t>
  </si>
  <si>
    <t>UCoareuiQIir6egK_5qWjjKg</t>
  </si>
  <si>
    <t>UCv-HLVvjUM8E_U-SaI8piYw</t>
  </si>
  <si>
    <t>UCcdMarl-tpIy8URZUqt0dCA</t>
  </si>
  <si>
    <t>UCPcBKJL9ctvzkxR96GnyI5g</t>
  </si>
  <si>
    <t>UCaYlsnmYMA0s1bWaTIgUhHw</t>
  </si>
  <si>
    <t>UCzfv6QRUpASfQgxDnyi_X8A</t>
  </si>
  <si>
    <t>UCXbOHyrDMgAIGy_IU8B0tUg</t>
  </si>
  <si>
    <t>UCtShOLvSYZ3A27dkQIh9Vzg</t>
  </si>
  <si>
    <t>UC8LM8K05BDbdXsP78Eu_FTg</t>
  </si>
  <si>
    <t>UCHDXXHPrz-1GVbK_qk82hBQ</t>
  </si>
  <si>
    <t>UCgLwh52YWc8bsQzCMdXLKgw</t>
  </si>
  <si>
    <t>UCOh7tEBX9Yk-Z3CwJF21F8g</t>
  </si>
  <si>
    <t>UCMqQ_qOyhzdu6f0bBVE6Oow</t>
  </si>
  <si>
    <t>UCmoLbtGZiZc0I4KN9DYdkmQ</t>
  </si>
  <si>
    <t>UCGfHTDcSpvHVORkNdRwfdyQ</t>
  </si>
  <si>
    <t>UCfk9uH4qd5Q7eIYb56jwIOw</t>
  </si>
  <si>
    <t>UCZohJK9ImfUhFXHRpgz_WPQ</t>
  </si>
  <si>
    <t>UCzDbg392XuzwwWKdkpa41xg</t>
  </si>
  <si>
    <t>UCjlAbeQGG7DHoRyvRiM74zw</t>
  </si>
  <si>
    <t>UCknVIVm8mspptFcD1CVKUZA</t>
  </si>
  <si>
    <t>UCALm21WfUxhtlghNPGDZgPw</t>
  </si>
  <si>
    <t>UC5B8k9hvuWEyL4-K-tVPKmQ</t>
  </si>
  <si>
    <t>UC48U7yukrkY3LJEEmyxA8Ug</t>
  </si>
  <si>
    <t>UCezPSx0YV9D45jj_XVfPPHA</t>
  </si>
  <si>
    <t>UC6o7qEdDftUpTQz7FiXb-Dg</t>
  </si>
  <si>
    <t>UC983fqJ4dzw5ww77gK5TDZg</t>
  </si>
  <si>
    <t>UCMTHH5cBUMY9x6lNsc5te3w</t>
  </si>
  <si>
    <t>UCSJY9MGZL6EflsxaEIES2rA</t>
  </si>
  <si>
    <t>UCLJq-_oywCBig1yhTBLTh-Q</t>
  </si>
  <si>
    <t>UCXJKOPxx4O1f63nnfsoiEug</t>
  </si>
  <si>
    <t>UC3AKk5imp4VDAO5rNFtIeVQ</t>
  </si>
  <si>
    <t>UC2uYdvEvx7LtmfDARjyd0og</t>
  </si>
  <si>
    <t>UCDNCbFmOyTh95LqbFavA4MA</t>
  </si>
  <si>
    <t>UC4OWemh_5L2BpEmbObjIoYw</t>
  </si>
  <si>
    <t>UC8ZEw3OxJztpFNCG_7ZoUyA</t>
  </si>
  <si>
    <t>UCdbFNTUZygLhENdsJmfLG6Q</t>
  </si>
  <si>
    <t>UC8jD2MO_NUnI-TASWQp-7NQ</t>
  </si>
  <si>
    <t>UCKYNupIBFOS9mfvmZEtWe4A</t>
  </si>
  <si>
    <t>UCJjW6_TFe962RYMSLr9B4kQ</t>
  </si>
  <si>
    <t>UCYcxV4VWMV2O9_I0H8dM24g</t>
  </si>
  <si>
    <t>UCHOKvQW2N4kLVhKYn2bvF7A</t>
  </si>
  <si>
    <t>UCf8MxefNs0xEAof52f_fRTw</t>
  </si>
  <si>
    <t>UC8P99MwSLl2J9FuNl5sIwdw</t>
  </si>
  <si>
    <t>UCZkmkoOGDynAMpIsfmdiQXg</t>
  </si>
  <si>
    <t>UC9b6IA2-87twJu2CSENeNVw</t>
  </si>
  <si>
    <t>UCRW6uwoNbobz5cfmwxMKxYw</t>
  </si>
  <si>
    <t>UCppBFsVCY_SuZV8gSnjG7eQ</t>
  </si>
  <si>
    <t>UC6Rr1gQPyDc61hFEag0-Rcg</t>
  </si>
  <si>
    <t>UCnzOAFFbgwLTc1a3XXKkq3Q</t>
  </si>
  <si>
    <t>UCLCZBW7hoJwjgdjqo8Um4lQ</t>
  </si>
  <si>
    <t>UCr8q3gJ5BA1Qdsj-bb4cIDA</t>
  </si>
  <si>
    <t>UCXZvhCBxTSvPf38GN0NtKiw</t>
  </si>
  <si>
    <t>UCv-ngS1fLOrTAOzIeICcJKA</t>
  </si>
  <si>
    <t>UCxiP9QrlWCeFuGfErI-ZF9w</t>
  </si>
  <si>
    <t>UCsgt_2RcUxSqbO_mkUmC52Q</t>
  </si>
  <si>
    <t>UCAXxuSl8n8cXU62ZIzFL0qg</t>
  </si>
  <si>
    <t>UCZknyXD-6tETm9aN8GQCi8g</t>
  </si>
  <si>
    <t>UC-L-6C4YZExUKfLK30sk_gA</t>
  </si>
  <si>
    <t>UC-AjkFwlNKCBQi9HBlfFd0Q</t>
  </si>
  <si>
    <t>UC-_69zIxp2ngn2e7jwkLvEA</t>
  </si>
  <si>
    <t>UC2RD8S7cc0US-2W7FOnyz5w</t>
  </si>
  <si>
    <t>UCl1FGrEzFZklmLGymtzzG-g</t>
  </si>
  <si>
    <t>UCw5ZboYVFjKOfMYs3sfybRA</t>
  </si>
  <si>
    <t>UCaoUDEfHH2PJB5A5rdVx_tg</t>
  </si>
  <si>
    <t>UC303cqLXxFtfZcRVCNwIqag</t>
  </si>
  <si>
    <t>UCPS78Aqj_ohsxOCIbNHsjiQ</t>
  </si>
  <si>
    <t>UCN3gnh0GGXfiHIGExIpOaFg</t>
  </si>
  <si>
    <t>UC_2LktXWOIGvgFNmtGADquw</t>
  </si>
  <si>
    <t>UCS1uitan9RXyn6gBq6e8N0Q</t>
  </si>
  <si>
    <t>UCntcDTFMseZmBwDd413t1Pg</t>
  </si>
  <si>
    <t>UCuo5SE1KbIJl1MH8tC9emFQ</t>
  </si>
  <si>
    <t>UCEAFMWbv_4NedJ4-GBfRwWw</t>
  </si>
  <si>
    <t>UCziTM2UndVHq50FtgJ7NSNA</t>
  </si>
  <si>
    <t>UCaqgoG_VCMhjccHPUIPpXfQ</t>
  </si>
  <si>
    <t>UC7rvWd5e1bOifTABIQqWKjw</t>
  </si>
  <si>
    <t>UCVdz-waVIpNSD-WuAS_Q90g</t>
  </si>
  <si>
    <t>UCASmdodj_EJLytWf9BjfLOg</t>
  </si>
  <si>
    <t>UCvc_2dvrBYh8RRUQBlth2FQ</t>
  </si>
  <si>
    <t>UCfIkxSJgWnFPJH1WVV-uAoA</t>
  </si>
  <si>
    <t>UClfDMGHE_lLoPB5G0-JYXeg</t>
  </si>
  <si>
    <t>UCjVnQmMxNwMpfWb7yf6dw2g</t>
  </si>
  <si>
    <t>UCbpLD76CnWWZ-JqZ9LjR2Mw</t>
  </si>
  <si>
    <t>UCiJy3FiIjPhYZe5Swngx47Q</t>
  </si>
  <si>
    <t>UCEeey_4nQMkhTTd0J2HZxoA</t>
  </si>
  <si>
    <t>UCCUHO0PDIEwTL0zxx_wKNTg</t>
  </si>
  <si>
    <t>UCBD--Snisc-1feqQi6upurA</t>
  </si>
  <si>
    <t>UCmZtOJ9L3boXkPnZSRgy6Lw</t>
  </si>
  <si>
    <t>UCLghXUkk-8KM6Q1iv1sLdRQ</t>
  </si>
  <si>
    <t>UCd1aVEq8M_aLcumnlvMHjNw</t>
  </si>
  <si>
    <t>UCVimDiP6HW4uT1-QCDRi4jQ</t>
  </si>
  <si>
    <t>UC4U1xWHmAKufMw-XqZenJRg</t>
  </si>
  <si>
    <t>UCXqdkLhS3A5xqiwsdrjkXJw</t>
  </si>
  <si>
    <t>UCaTkVutJ9f-AoE7cz7VLlTw</t>
  </si>
  <si>
    <t>UCdHuYLhqsFKZUj8iPdrLBpQ</t>
  </si>
  <si>
    <t>UCfqSWWQLqN4FoL2Br9za55Q</t>
  </si>
  <si>
    <t>UCvqKL_IkDyOzp2bCNXXnSFw</t>
  </si>
  <si>
    <t>UCKrcf4apXwAVFcr_wnv0vPQ</t>
  </si>
  <si>
    <t>UCRP8_YOI7gdxZiJzZ8bNamg</t>
  </si>
  <si>
    <t>UCXrA9ceeFEmPRyE7oYU-BqA</t>
  </si>
  <si>
    <t>UCFxgxTp926xnRdaEyj6zPeg</t>
  </si>
  <si>
    <t>UC-g0lWAIK9DPz6BM36zRu6Q</t>
  </si>
  <si>
    <t>UClrB_eV2yMramAyTFIlLCcQ</t>
  </si>
  <si>
    <t>UCRU9vwwARx8jEACqNpi_KFA</t>
  </si>
  <si>
    <t>UCT9FXdNHUR1cFy6GrlqyM6w</t>
  </si>
  <si>
    <t>UCDK_CtYQpnMpu-s4kOxlsog</t>
  </si>
  <si>
    <t>UCvaFEANaw06VvBsQHnj47Ug</t>
  </si>
  <si>
    <t>UCiWa7fJvb3J7q59ifMCue_Q</t>
  </si>
  <si>
    <t>UCbOe5GzWdxrbZYiHa-wF98w</t>
  </si>
  <si>
    <t>UC60YvD_EAsoU2lIcQdxwR1Q</t>
  </si>
  <si>
    <t>UCR4VMfe7IGvuXefVyTMWHag</t>
  </si>
  <si>
    <t>UC96eMzyrzPLddo01FBiK8kQ</t>
  </si>
  <si>
    <t>UCrBe4ZT4UjKQpmll0Gm5j5g</t>
  </si>
  <si>
    <t>UC-5C4MadZwbHGj1ng5x2eLw</t>
  </si>
  <si>
    <t>UC0mF_99rWiO2uHF8rmW7daA</t>
  </si>
  <si>
    <t>UCj-C89kPbQJuXk-9Brzqk6w</t>
  </si>
  <si>
    <t>UClGZjdigXwMyWLyIl-Up0gg</t>
  </si>
  <si>
    <t>UCfpVnIwj6RnNBJ-sqp01p9Q</t>
  </si>
  <si>
    <t>UC4SJfBX0tBamgUQiT1oPOAg</t>
  </si>
  <si>
    <t>UC_pGrB8WASUAmA1oFFKzyUA</t>
  </si>
  <si>
    <t>UCUN57Wq9jlcIuJyrS6zfRGw</t>
  </si>
  <si>
    <t>UCx87VyGiAhpWtvcpoocaUdw</t>
  </si>
  <si>
    <t>UCGQgcuZyggelP3XAcyieFdg</t>
  </si>
  <si>
    <t>UCnj_w9EmglKmfkriEQN0SQw</t>
  </si>
  <si>
    <t>UCSW6H3UNUts_T-PhOJCT-ZA</t>
  </si>
  <si>
    <t>UCHEwkuwPboDSFPbgro4Ac7w</t>
  </si>
  <si>
    <t>UCKfeQP0TmST6mwhqOMZGLxg</t>
  </si>
  <si>
    <t>UC-zrBaPKlcaSj0I1-9WsErw</t>
  </si>
  <si>
    <t>UCGDSuWYAYiOoDKzefTfqB6Q</t>
  </si>
  <si>
    <t>UCUIWWn9hjn4BQM3QEgr6oRg</t>
  </si>
  <si>
    <t>UCxz6gP3R8_yH5pD-BHcUw-Q</t>
  </si>
  <si>
    <t>UCP3zRrPp5o9LzLbiwm6d1-g</t>
  </si>
  <si>
    <t>UCHepftuP68VmXFkAI8nIPNg</t>
  </si>
  <si>
    <t>UC3yRku4B3ytnGzR5dqT5rgg</t>
  </si>
  <si>
    <t>UCcrTBfMy2DlmRnEsJP6VAew</t>
  </si>
  <si>
    <t>UCExoqB0cNsoMLyFEMjJpBhg</t>
  </si>
  <si>
    <t>UC2MU9phoTYy5sigZCkrvwiw</t>
  </si>
  <si>
    <t>UCv6ecxVkQTf9uTUESO2HGDA</t>
  </si>
  <si>
    <t>UCpoeBBJnPtgAqC_-pnY_K4w</t>
  </si>
  <si>
    <t>UCPY_WYvlIr8eD_p6CLCbmVA</t>
  </si>
  <si>
    <t>UCjJLDJ7iW7WRtIHpEBMutkg</t>
  </si>
  <si>
    <t>UCZ5W0OnYPiVz_ygDm5oan5Q</t>
  </si>
  <si>
    <t>UC2uanoAlkz63nv0_uJDB5dg</t>
  </si>
  <si>
    <t>UCCzNCKUR7asv3sO3_EMnGvQ</t>
  </si>
  <si>
    <t>UC_FyOqaHbb40oZtw3MZN9Mg</t>
  </si>
  <si>
    <t>UCrVc8Y_v-chFfXie-PSPW0A</t>
  </si>
  <si>
    <t>UCXLg3fo9KWs5Q8pOE8SHKRg</t>
  </si>
  <si>
    <t>UCJoPBLMDmcZXc1NH4eaUL3A</t>
  </si>
  <si>
    <t>UCHyj3VAnx6VZdC19mfFzdXg</t>
  </si>
  <si>
    <t>UCbORNteRe-zunn7o2bNrPhQ</t>
  </si>
  <si>
    <t>UCitUChqXuiwZFCgAyc1_wxQ</t>
  </si>
  <si>
    <t>UCpTqBTridY-SDOMdSzCF6hg</t>
  </si>
  <si>
    <t>UCXzijBCcqBKjrEaw3wU0tfw</t>
  </si>
  <si>
    <t>UCh1WPjadbRiW8Cr-aXXqRtw</t>
  </si>
  <si>
    <t>UCgctH8YL4Z-Ch1qvprHOP5A</t>
  </si>
  <si>
    <t>UCTgJIG8ddlh4lXLv7tAuiog</t>
  </si>
  <si>
    <t>UC0y9y9lun6P3A4NcXV_e9HA</t>
  </si>
  <si>
    <t>UCJgOIRUdsXtrC-1-vgwmy0A</t>
  </si>
  <si>
    <t>UCNSJNfZs972_0JK9m9w4aQg</t>
  </si>
  <si>
    <t>UC9isDB28v0Ht45XxHOZzTPA</t>
  </si>
  <si>
    <t>UCfOWuLO_fdzQRcdFDldRqCA</t>
  </si>
  <si>
    <t>UCOVyi8_BOeuTI2YJN7WGj6w</t>
  </si>
  <si>
    <t>UCoE1hRvqqd-p2_sAAgjIZmw</t>
  </si>
  <si>
    <t>UCempdMpk0mbj6OhH-O0AHBA</t>
  </si>
  <si>
    <t>UCpET7w-LPvJloZWO75c1zZA</t>
  </si>
  <si>
    <t>UCwclZU8ZPeK5S6FeesyOnpQ</t>
  </si>
  <si>
    <t>UCF1ekYTGpVzwyKKHWjL-dEg</t>
  </si>
  <si>
    <t>UCSZVTk6wAtmorpBjP_uEjpw</t>
  </si>
  <si>
    <t>UCh6qJZH9ZJtwFzuZx1P2dQg</t>
  </si>
  <si>
    <t>UCT6DOuQVW9PD62dl0A-xbNg</t>
  </si>
  <si>
    <t>UC3n1mH4UkCQ0avQRmIfMOow</t>
  </si>
  <si>
    <t>UC2jbSa52rXPjFZ4YCZGVpVw</t>
  </si>
  <si>
    <t>UCxS40ZkX9d1YswvVzCr29qA</t>
  </si>
  <si>
    <t>UCoBYeDKCf8HXDZG-qL6Ml_Q</t>
  </si>
  <si>
    <t>UC0eEwj43r1VMJhHmwAn1Org</t>
  </si>
  <si>
    <t>UCIb9lNIDtsvUjkz5afVLq_w</t>
  </si>
  <si>
    <t>UCnS6rr1MkhQcrUITUj8t8Ew</t>
  </si>
  <si>
    <t>UCZSgm98OLObgY3D7sn7z2Wg</t>
  </si>
  <si>
    <t>UCGUjVDj-wdagUHhaNwaUoRQ</t>
  </si>
  <si>
    <t>UCZXYjAuUOjdbjL7PTO90e6g</t>
  </si>
  <si>
    <t>UC6HlGuJZ0_M_rSgm0hoRhDQ</t>
  </si>
  <si>
    <t>UCfypZcMCIGrewIKWLh-2Sgw</t>
  </si>
  <si>
    <t>UC38K-XiyJpDe4sdmWR23XCQ</t>
  </si>
  <si>
    <t>UCxnlpmmszhz6MH51uOIw6IQ</t>
  </si>
  <si>
    <t>UCsGlG2pCmAXrx8j6pLojn-g</t>
  </si>
  <si>
    <t>UCXuxkbGDoP1ZQz8dIOsrGgg</t>
  </si>
  <si>
    <t>UCl8pIdFFwkevWKPxU7npUzQ</t>
  </si>
  <si>
    <t>UCuiMhf2qe2sA0kCDOTl1dow</t>
  </si>
  <si>
    <t>UCSRbTczdE4MkWZfiWm8S6WQ</t>
  </si>
  <si>
    <t>UCDHDjKlpYIszdXPNPS_Ti_Q</t>
  </si>
  <si>
    <t>UCyN1KaitRBAaDPZRwDk9Ygg</t>
  </si>
  <si>
    <t>UC0XNeK5rhEaOcdI-P5Hinrw</t>
  </si>
  <si>
    <t>UCNhscTCXg-7L17Vnz8Z4S9Q</t>
  </si>
  <si>
    <t>UCGT0pirandEMtvu-3JwePSw</t>
  </si>
  <si>
    <t>UCbayGn77dpNV_atSIUiVBHw</t>
  </si>
  <si>
    <t>UCCjAW-snoLeQoq6PUKeLK3A</t>
  </si>
  <si>
    <t>UCUDk4lEtfnLEN9rDlj82YKg</t>
  </si>
  <si>
    <t>UCrqADgV0mfkMr8WdYmlXJyQ</t>
  </si>
  <si>
    <t>UCAMBPWytucFgoUGspUioAyA</t>
  </si>
  <si>
    <t>UCld4n6dNdq1pmST2eRvg-Aw</t>
  </si>
  <si>
    <t>UC-lVXYqLRJFxDn313ETON_w</t>
  </si>
  <si>
    <t>UCvvIz8oxPZVOJI30lWzRPOQ</t>
  </si>
  <si>
    <t>UCVvNhq0766oOowpETDiCMQg</t>
  </si>
  <si>
    <t>UC0InVdvqNyNzKBl1-TL348A</t>
  </si>
  <si>
    <t>UCwflLMRkOzrH72zW6hpyY7Q</t>
  </si>
  <si>
    <t>UC8AhWQSB09yTlNVp6Y4aACw</t>
  </si>
  <si>
    <t>UCWhHehm6dkmuf9EdEkuZ8RA</t>
  </si>
  <si>
    <t>UCr7B_Fq105N9nf5MICZ237A</t>
  </si>
  <si>
    <t>UCAkbpsE-MVLBRdI9jCyR5EQ</t>
  </si>
  <si>
    <t>UC6rSNad1UTIVOY-Mk_wDvmg</t>
  </si>
  <si>
    <t>UChn5FTvc2Wrj2BEbKv5gz_Q</t>
  </si>
  <si>
    <t>UC5vAaJEAf3t8_LE_C7jtB8A</t>
  </si>
  <si>
    <t>UCjS-Hn6CZN0sISJSjIflECQ</t>
  </si>
  <si>
    <t>UC4wKhLjYfMFPEYI1D5Erc-Q</t>
  </si>
  <si>
    <t>UCil1JOkL-mRtl_Mi64Z8AWg</t>
  </si>
  <si>
    <t>UCcgD_iypPpMwOPmyU0urxUg</t>
  </si>
  <si>
    <t>UCYKwtzEUK4mfpZpvl8u2QTg</t>
  </si>
  <si>
    <t>UC5sVjevJfKZdNheKRabSYBQ</t>
  </si>
  <si>
    <t>UCp4xatCkObOcmIM-NuvrkYw</t>
  </si>
  <si>
    <t>UCJpKrZ8rOKZp0uISVBfKBvQ</t>
  </si>
  <si>
    <t>UCJ8XOk2sGguSo7NBSJplwgw</t>
  </si>
  <si>
    <t>UCDeRTE-v_8HtUvOuKMGBGIQ</t>
  </si>
  <si>
    <t>UC-nTc-72hWCNk6Of8d14UFg</t>
  </si>
  <si>
    <t>UCN8fsigDn8DMJV1XOOhuvDg</t>
  </si>
  <si>
    <t>UCAflTQOHfpuX3tEvN5mkLTg</t>
  </si>
  <si>
    <t>UCOGsOVaFPJBUp1IQbXb3MEg</t>
  </si>
  <si>
    <t>UCuQd2yFTRML5kGNB2ELeFhA</t>
  </si>
  <si>
    <t>UCX6ZDCw2HTd93A09WJk1KpA</t>
  </si>
  <si>
    <t>UC53vEuFJ17QT1StSAfw653A</t>
  </si>
  <si>
    <t>UCd-HN6ZBWIFJdG6KSLATd6g</t>
  </si>
  <si>
    <t>UCL-aKC9jOCAO94U2WsX5ZKg</t>
  </si>
  <si>
    <t>UCF7yooS3ACc57ynnzS1E1GA</t>
  </si>
  <si>
    <t>UCpDJ1bTe3Ve4wU1vjKUHVgw</t>
  </si>
  <si>
    <t>UCxo3u8dr62tLUwOKT-DGyfA</t>
  </si>
  <si>
    <t>UCXHbcFqlFAUneXW-DWqnkOQ</t>
  </si>
  <si>
    <t>UC85ErID-Lyzg0SZTFZE8ROQ</t>
  </si>
  <si>
    <t>UCbCj0m7Zr9wObjRbV5tO_4g</t>
  </si>
  <si>
    <t>UCwT6E0lXfNkMWessQSKchpQ</t>
  </si>
  <si>
    <t>UCKWFXFYZ3V3wLXCkfzS5kXQ</t>
  </si>
  <si>
    <t>UC6L_ZtUQqoeISYDvXxEsQvQ</t>
  </si>
  <si>
    <t>UCuPRPhprya3DQHdEXWEQkzQ</t>
  </si>
  <si>
    <t>UCt8TeHIxuWXYUyQpR2vyqvA</t>
  </si>
  <si>
    <t>UCaOzsrV-Vde2PYH6XgXFnVw</t>
  </si>
  <si>
    <t>UCd75t9LDF5kEl64AVeT6eKg</t>
  </si>
  <si>
    <t>UCda68NPokNuVts7Du5GvlSA</t>
  </si>
  <si>
    <t>UCYrej78OpWfvfKyNYa6dLHA</t>
  </si>
  <si>
    <t>UCx7hc3iMcqTHQF2X16QfXww</t>
  </si>
  <si>
    <t>UC_5DZ3jc9-Q8G1SM0WniobA</t>
  </si>
  <si>
    <t>UChXSil_1vl7u5YxwQiQ9n4Q</t>
  </si>
  <si>
    <t>UC42E8HELpSuR_qo9zq8lnoA</t>
  </si>
  <si>
    <t>UC1CR5ZqLfXXeCm79wnz0WjQ</t>
  </si>
  <si>
    <t>UCzrVzyYXcbTAcqSQ-TuenIA</t>
  </si>
  <si>
    <t>UCXNvJtLy7mw9e5UEUcQvebg</t>
  </si>
  <si>
    <t>UCJrlWn_y50_xb1X1I5O3DYg</t>
  </si>
  <si>
    <t>UCDDwYBs7MvNWyWLBPMoi8-w</t>
  </si>
  <si>
    <t>UCpBoSi9jc4l6EAT4snpzgcA</t>
  </si>
  <si>
    <t>UCIrnBx2VlSd4gS9z2KMUalg</t>
  </si>
  <si>
    <t>UCi-MPuZaplEjdCTwquSMETQ</t>
  </si>
  <si>
    <t>UC2AHnxSbmtaKrk74noBMv-Q</t>
  </si>
  <si>
    <t>UCHBr10zrIF2tr4WO00AA1TA</t>
  </si>
  <si>
    <t>UCQkfDHUXS-Vw-629IlOjzaw</t>
  </si>
  <si>
    <t>UCPbLVsiAR-1IuruyKpUdarQ</t>
  </si>
  <si>
    <t>UCjACPqQfMbJid2WlEp840UA</t>
  </si>
  <si>
    <t>UCueHtbsVJ6xgHDmjoIcAzyA</t>
  </si>
  <si>
    <t>UCk8c2dDR-V1FNaDs3dIFpZQ</t>
  </si>
  <si>
    <t>UCf6G4DxJ17OUWqvYWUl08Hw</t>
  </si>
  <si>
    <t>UCTTUsQJAdGSd2mMsGGfvzhQ</t>
  </si>
  <si>
    <t>UCqFyxYi9eyTVGcKZdEDRedw</t>
  </si>
  <si>
    <t>UCvOUT2UcJQfBPwathwvp24A</t>
  </si>
  <si>
    <t>UC7rsLhwnh16xSxIuVP1DE5Q</t>
  </si>
  <si>
    <t>UC6xtBsih5GrQlQSfRHEkHyA</t>
  </si>
  <si>
    <t>UCZutt2hncKchEGEiBmvapbw</t>
  </si>
  <si>
    <t>UCsUNye3mMDmKjY7IlaqeukA</t>
  </si>
  <si>
    <t>UC7oDzYXRKa28a2WaSRx3XpA</t>
  </si>
  <si>
    <t>UCdDEcmELwWVr_77GpqldKmg</t>
  </si>
  <si>
    <t>UCnqtMFtOv3AKCAhyEYtSXiA</t>
  </si>
  <si>
    <t>UCc3uMdbYd13NuR4FnkXJeGw</t>
  </si>
  <si>
    <t>UCdY9pIsXomSdctPA-ddV93g</t>
  </si>
  <si>
    <t>UCE81YzUkrvSDLgvDCnZFF1Q</t>
  </si>
  <si>
    <t>UCkzTvW96mwyton90o45-pmw</t>
  </si>
  <si>
    <t>UCG0hKATP2lXhHbB6Ow0S_pw</t>
  </si>
  <si>
    <t>UCP_iGXz-GoybDzuPOlX668w</t>
  </si>
  <si>
    <t>UCfCmfKp0sPir57TVrDJY-vw</t>
  </si>
  <si>
    <t>UCC-9Vbok0SPOW4YuZT1SyhQ</t>
  </si>
  <si>
    <t>UC-LrkTq7pfBJR6sZGHOcRBA</t>
  </si>
  <si>
    <t>UCCf0az3QRgpRqSggQlnkvLA</t>
  </si>
  <si>
    <t>UCghwm6uwnvbjyQtZ8Az-Ivg</t>
  </si>
  <si>
    <t>UCN4SpqL3qJ8CBbGPM58l3nQ</t>
  </si>
  <si>
    <t>UC3tqH99vMHIuUYIsYY5yIcg</t>
  </si>
  <si>
    <t>UCnlhwVFzpcg063jIBObFsIg</t>
  </si>
  <si>
    <t>UCzw2w66LHrxzNU0SzKZTZEw</t>
  </si>
  <si>
    <t>UCQsob4fGjHWhYHW0OLb6rew</t>
  </si>
  <si>
    <t>UC44KdlZ8z3R3bgqUwMch8UQ</t>
  </si>
  <si>
    <t>UC0k30_2YGreNiJ5_0SeSIUw</t>
  </si>
  <si>
    <t>UCYPX9fqR7_vX4OA4BPyeaUQ</t>
  </si>
  <si>
    <t>UC1PgC8N4fwmcJLbwWxW00hw</t>
  </si>
  <si>
    <t>UCUjNic3odwdhnKIeDIWMYKg</t>
  </si>
  <si>
    <t>UCySeIFRBvusyHvMAl6KU4FQ</t>
  </si>
  <si>
    <t>UCW1fMdthk_Jn6w4tdX8aVOg</t>
  </si>
  <si>
    <t>UCM6ZN5_yWl4VtWU7BSgmVJA</t>
  </si>
  <si>
    <t>UCPIPWHRyAvOCwTzu9yi_hmw</t>
  </si>
  <si>
    <t>UCORwrgOvkK-9YvJvI2DuKKw</t>
  </si>
  <si>
    <t>UCVOyyXupdtEblFbno_4ibLQ</t>
  </si>
  <si>
    <t>UCqvuLvdIkUjAtSFrKw5LhXg</t>
  </si>
  <si>
    <t>UCIX2IJcV0_fN6larO3wT9sw</t>
  </si>
  <si>
    <t>UCB7GnQlJPIL6rBBqEoX87vA</t>
  </si>
  <si>
    <t>UCyQQyc5SoZDG1hXg5BjZkEw</t>
  </si>
  <si>
    <t>UCoBXOEKmbTMiq2djxPufd4g</t>
  </si>
  <si>
    <t>UCXwy__UPWwhckVm8V5u3Z2w</t>
  </si>
  <si>
    <t>UCSyKQNXt1UDpNS5_3LEHSBQ</t>
  </si>
  <si>
    <t>UCIWg_hyiOBEesubS5u8TvPw</t>
  </si>
  <si>
    <t>UCu2sYH2i5SOEVTwl5_BJ1eA</t>
  </si>
  <si>
    <t>UCnHt7P6ZPoPuVL74xurkpjg</t>
  </si>
  <si>
    <t>UCm9upt-0Jr5NM0AxjWdARhw</t>
  </si>
  <si>
    <t>UC2Wsofh_s5KBWQy3GuPyBSg</t>
  </si>
  <si>
    <t>UCIAyn9ZqfI5x3Xh2iLGlbNg</t>
  </si>
  <si>
    <t>UCkFZNhDgHW1XX9tCj-NPR-Q</t>
  </si>
  <si>
    <t>UCYJhto4Of0p8eKKxmB2un9g</t>
  </si>
  <si>
    <t>UCgG0gMEBXulmHaqp8JjuDLg</t>
  </si>
  <si>
    <t>UCwI2pV0eVj0ImyQCi-wW3xw</t>
  </si>
  <si>
    <t>UCx8NnncI5THY2k4taIqMwmA</t>
  </si>
  <si>
    <t>UC_b-_sxiL3pK63fwKen8TIw</t>
  </si>
  <si>
    <t>UCysgWs30lvHo-q35OOOVFDQ</t>
  </si>
  <si>
    <t>UCdFyoExlK9Kaspe0MHLHHKw</t>
  </si>
  <si>
    <t>UCQXwgooTlP6tk2a-u6vgyUA</t>
  </si>
  <si>
    <t>UCcdCMzwxpy5XmslZQCfujwQ</t>
  </si>
  <si>
    <t>UCvWsX4zex8wTT5HafXqxiYA</t>
  </si>
  <si>
    <t>UC7NSMiR1nojOx0-gpRzL2GA</t>
  </si>
  <si>
    <t>UCKzEA2Xx-eCUVCRsKSa12KA</t>
  </si>
  <si>
    <t>UCWvLcpVvVVH9TGeOtKlZ9qw</t>
  </si>
  <si>
    <t>UCB80Pufy6rBnViEJPxXbwUQ</t>
  </si>
  <si>
    <t>UC79yP-cMGqbsgoiHyaPkZQw</t>
  </si>
  <si>
    <t>UCsNgTISaQJEvaENT0FWC0qg</t>
  </si>
  <si>
    <t>UCQdKZQ0LpbKv-pk4tL5qBVA</t>
  </si>
  <si>
    <t>UCgpeOD0YCFunnrzoRR38INQ</t>
  </si>
  <si>
    <t>UCBWFCIAmmnCoHuKAlTDjhbA</t>
  </si>
  <si>
    <t>UCHihootMqyGz175gqOPahtw</t>
  </si>
  <si>
    <t>UCmapkf4A5883lT90j86WXFg</t>
  </si>
  <si>
    <t>UCizzKXJoo5EDoEE9iyBdEjA</t>
  </si>
  <si>
    <t>UCJ0FT6Ijeyf6Mr-GdOBsVAQ</t>
  </si>
  <si>
    <t>UC5bioO_68ZFx8mPtaMcK6tQ</t>
  </si>
  <si>
    <t>UC58pbsr1afo8EwuUtVPxqJg</t>
  </si>
  <si>
    <t>UCpegmk-k_LyK6obtAMjn-OA</t>
  </si>
  <si>
    <t>UCmcveOnc7PoOFd3EWnL1Ydw</t>
  </si>
  <si>
    <t>UC4xUwrZ1IlPQd1zaJCf_jjQ</t>
  </si>
  <si>
    <t>UCV5pR3B6gigb79qT9OQTszg</t>
  </si>
  <si>
    <t>UCpqGS8cL9KEyxdPF6cwML_g</t>
  </si>
  <si>
    <t>UCf31eCPlIbv-2dOTakELxOg</t>
  </si>
  <si>
    <t>UCo7e-Mg061PRrr-o30Vv9QQ</t>
  </si>
  <si>
    <t>UC8ksY66BjKuR6YmKvVSHK4Q</t>
  </si>
  <si>
    <t>UCrpQ9Ly_7ytoVgoHb3a6M4A</t>
  </si>
  <si>
    <t>UC1p7z5FynnMIxe3_0M95tQg</t>
  </si>
  <si>
    <t>UCS9cQhD-RfxZdTR49Fx8_EA</t>
  </si>
  <si>
    <t>UCdmDDJXog3qWbYAf7Gud8vQ</t>
  </si>
  <si>
    <t>UCrnnE90PnwTuAjNsC8uJ5YQ</t>
  </si>
  <si>
    <t>UClOcxA7toqd4NAuhVvEv5Sw</t>
  </si>
  <si>
    <t>UCC5d54zKHW9Vmu4lRFdMYJQ</t>
  </si>
  <si>
    <t>UC29KG5oBRUjArBpY7EptlPg</t>
  </si>
  <si>
    <t>UCxD5G0enm5Ug9SyHu9UxAsg</t>
  </si>
  <si>
    <t>UCg5_K50hLTKerLkSE7I1yWQ</t>
  </si>
  <si>
    <t>UCwypQ9TtkH7hXv7o8Ofa2Hw</t>
  </si>
  <si>
    <t>UC69Prb5R0m71_z6ojQkJHAw</t>
  </si>
  <si>
    <t>UCjIyd2LW54xancf6B_87_vw</t>
  </si>
  <si>
    <t>UCoCbt0YNJL4_MtIo6Lg1ybA</t>
  </si>
  <si>
    <t>UCNF_ljXjqRDnm3KGvqfkqUA</t>
  </si>
  <si>
    <t>UCakE9NFBpuVvMgkzIF2dABw</t>
  </si>
  <si>
    <t>UCgbgSICdqm8aXO1rxm5aiVg</t>
  </si>
  <si>
    <t>UCcQ10GNXaBBtr2IWavGWMWg</t>
  </si>
  <si>
    <t>UC5aSqyG6P1dCNfp07tmpdSA</t>
  </si>
  <si>
    <t>UCXfLkbllhF1_2lQhwYIgaRw</t>
  </si>
  <si>
    <t>UCmVQmh5qWCp2AhcPL0Dp1sw</t>
  </si>
  <si>
    <t>UCgtGttZSS4dYI2rKCt1wPZg</t>
  </si>
  <si>
    <t>UCnNbqPAMg6h7jN7DyabPUww</t>
  </si>
  <si>
    <t>UCFyG-oKbV6Vs357EoQbJiBg</t>
  </si>
  <si>
    <t>UCDBw9CkXARRKNL8TBLgqtng</t>
  </si>
  <si>
    <t>UC4FfvPBXCNfy2NbDCFl2dbQ</t>
  </si>
  <si>
    <t>UCBBwckGNrdSAgKXkybPnlFg</t>
  </si>
  <si>
    <t>UCBxV8D_3M8002AFxfFLKjzA</t>
  </si>
  <si>
    <t>UCbWW7i7KnwQfqp6HFg1diFw</t>
  </si>
  <si>
    <t>UCVAYATU4KQj2oEeVa02Am1g</t>
  </si>
  <si>
    <t>UC9CCDQ-2AC1z3QOrgjGvFgA</t>
  </si>
  <si>
    <t>UCDmxC0-UzH9BOqXN6v0tMRw</t>
  </si>
  <si>
    <t>UCL2n1iNbGv2DioRdL6R8JPw</t>
  </si>
  <si>
    <t>UC1R5O53t95Ij0Y-dO21a0Kg</t>
  </si>
  <si>
    <t>UCl6DpzDUBx2sxuheHPsCtUw</t>
  </si>
  <si>
    <t>UCD0k_Ivw0Ng15JDI4NuHa7Q</t>
  </si>
  <si>
    <t>UCwCVYRExd3NqD-F9Zw9vgRg</t>
  </si>
  <si>
    <t>UCqfecsjYi0F3dQV7kkEF33w</t>
  </si>
  <si>
    <t>UCPQwEOBvLR4mEzM_DHlQ0UA</t>
  </si>
  <si>
    <t>UCgLXoet_J8D11J_XyVUpBMA</t>
  </si>
  <si>
    <t>UCau2ps2xJyOEWpUk-490gAg</t>
  </si>
  <si>
    <t>UC7UfA3VcUEh9i3gPNmM7VmA</t>
  </si>
  <si>
    <t>UCgAFrg7HHotCgkZ7TGIYIpQ</t>
  </si>
  <si>
    <t>UCzeUUFlW42vi9ysffMPJWkg</t>
  </si>
  <si>
    <t>UCZVwwcHt3o-EXY4ORHwqVBg</t>
  </si>
  <si>
    <t>UCEA0-BgIm1dLOQQ_yGbq8Ww</t>
  </si>
  <si>
    <t>UCLQwsnrM-c84ZxvLzql0yIw</t>
  </si>
  <si>
    <t>UCx40uOuEOo9UXReZdowt7Ng</t>
  </si>
  <si>
    <t>UCAh7pOQBKgUZzQ3D6y6B9PQ</t>
  </si>
  <si>
    <t>UCyY-FQH8aBdC5EaAN49imLA</t>
  </si>
  <si>
    <t>UCRZLZxjQKQ_sPSuX6__-z1A</t>
  </si>
  <si>
    <t>UC-PjtEukiopVSe9bNhORfsA</t>
  </si>
  <si>
    <t>UCPu7Aw4nrBF0_61xhteB_9Q</t>
  </si>
  <si>
    <t>UCHi3aP-fmyuZc5pMVOlwQPQ</t>
  </si>
  <si>
    <t>UCnrCcE_0MJ_i7bBrHM93Wxg</t>
  </si>
  <si>
    <t>UChQcF-mvLdaR-Yboiw_sd5Q</t>
  </si>
  <si>
    <t>UCrADVpzMi-lShxPiw4ODJSw</t>
  </si>
  <si>
    <t>UC1mslqPBnGvcoFSXGvQF_Mg</t>
  </si>
  <si>
    <t>UC7jxZTeEJGUCOC0-3m-H44w</t>
  </si>
  <si>
    <t>UCTChynuGKtNCSCAkDem0sww</t>
  </si>
  <si>
    <t>UCLbZa_rmuBD6CIjYkptfPLA</t>
  </si>
  <si>
    <t>UCibRpCOikSzneiHE1sVa5rA</t>
  </si>
  <si>
    <t>UCFW3jZkwff9mVzTAVtgTjzA</t>
  </si>
  <si>
    <t>UCqIbObitFkT9TReYaBJYsAA</t>
  </si>
  <si>
    <t>UChBtTjZu8UPrmqXgzkAjI9g</t>
  </si>
  <si>
    <t>UC-yhEJs0ipx_pkUvH4EW9bw</t>
  </si>
  <si>
    <t>UCNeSH822T0De3g6LjO55Y7w</t>
  </si>
  <si>
    <t>UCVjhkpoOrrGOkqHU3URKuGg</t>
  </si>
  <si>
    <t>UC0rpxsHBn1j3kBTtKJ_wQjQ</t>
  </si>
  <si>
    <t>UCHhytYnSiFnB8ZUnayWncjw</t>
  </si>
  <si>
    <t>UCpmzrQ0tpR7pG4R2NL0RxKw</t>
  </si>
  <si>
    <t>UCCLQi2V8OjOoSbOUxHQZhQw</t>
  </si>
  <si>
    <t>UCx5C0n2h-XfTHEyMFEGZVnA</t>
  </si>
  <si>
    <t>UCvK_ahNBM42GlyjwB_BDZOA</t>
  </si>
  <si>
    <t>UCtZvpybq_UgHIv5nammDoyA</t>
  </si>
  <si>
    <t>UCsx87mIBxB-JZ2rKxkVmJtw</t>
  </si>
  <si>
    <t>UCl8-qETRc0SaL9639MdZJRw</t>
  </si>
  <si>
    <t>UC5KYBkMAdc4X3cZcr0gQPyQ</t>
  </si>
  <si>
    <t>UCw27QsX2tkSTvH4Y1C_cDvQ</t>
  </si>
  <si>
    <t>UCHIJT2-mlieOGZFtPzAcZfA</t>
  </si>
  <si>
    <t>UCehHoZ2932g_6Nst9JNHZNg</t>
  </si>
  <si>
    <t>UClCltwxFyAN1TK1HCm08J4A</t>
  </si>
  <si>
    <t>UCJigKBjNneO7p8xvHLrGRCg</t>
  </si>
  <si>
    <t>UCAGldPzfgGghdWo3hl4nmsA</t>
  </si>
  <si>
    <t>UCxSMm46FxM1s4jvgCSI2bcQ</t>
  </si>
  <si>
    <t>UCe4UCtILIAdQ7_D36TuqUhA</t>
  </si>
  <si>
    <t>UCetYTqitBXg4f6f40KUdNxQ</t>
  </si>
  <si>
    <t>UChl-MciRVsq6RPyhaIMceOg</t>
  </si>
  <si>
    <t>UCury-5d6-wP1dfOgNHEESLA</t>
  </si>
  <si>
    <t>UC_DT4dQh65-itd1Qwt_E6Yw</t>
  </si>
  <si>
    <t>UCgo5K-jt0D3sSdgdoViqcsg</t>
  </si>
  <si>
    <t>UCIfHa3Bfqf3qNKWbR0aVstQ</t>
  </si>
  <si>
    <t>UCo4mY1rrLD-uS9LDgz8r0NA</t>
  </si>
  <si>
    <t>UCjW5u7vHnvwuXiVQx2ahs4A</t>
  </si>
  <si>
    <t>UCDBZFYB9-q7h33g99gENSFQ</t>
  </si>
  <si>
    <t>UCl9X9tNEwSqh5-48iMI01EA</t>
  </si>
  <si>
    <t>UCBnnsrvmuQ7tFdTL511dzBQ</t>
  </si>
  <si>
    <t>UCNXapAc8mXTwW82MTncdfzQ</t>
  </si>
  <si>
    <t>UCDfvQcmL3XuTRBcG4LR0j4w</t>
  </si>
  <si>
    <t>UCME-uQDMlInGIFuC0-9ZrgQ</t>
  </si>
  <si>
    <t>UCEV6bsiC42qevMvSI37WVQg</t>
  </si>
  <si>
    <t>UC6_1rITF64nN519UxlPz6Xg</t>
  </si>
  <si>
    <t>UCFc2mmuwGZI4sftcs7MdekA</t>
  </si>
  <si>
    <t>UC8__WrbeFcTjzkwkX08DkEQ</t>
  </si>
  <si>
    <t>UCzuYmh_kQUpJpguQCwLKoPg</t>
  </si>
  <si>
    <t>UCqsxWl1B_seBmex7n5_ihlA</t>
  </si>
  <si>
    <t>UC53Fnr1rJc62f9IJg8h5CiA</t>
  </si>
  <si>
    <t>UCX7kmna5ORZ6V4yKUErNPjg</t>
  </si>
  <si>
    <t>UCi2E0xtKUj9EgfS6X_orqFw</t>
  </si>
  <si>
    <t>UCY_ATVb4tfOusJCMTyQXy4g</t>
  </si>
  <si>
    <t>UCe6dGx8oBzpSDEolLf14a3w</t>
  </si>
  <si>
    <t>UCOqU-HfQxoyImaCW2tCDxJA</t>
  </si>
  <si>
    <t>UC9i5fwLq3maKVXAnu10YAuw</t>
  </si>
  <si>
    <t>UChfAg1FGPHBNH4Rm52UgHMQ</t>
  </si>
  <si>
    <t>UCeam8_fV4Bhgm0Fx9ygHSrA</t>
  </si>
  <si>
    <t>UCIPYexFm665KvqnUrtk2dpQ</t>
  </si>
  <si>
    <t>UCEqZhDlUI-Va6ICUsYh5FZA</t>
  </si>
  <si>
    <t>UCbIG1mKvHxyi7kxwXHQgSmg</t>
  </si>
  <si>
    <t>UCMQYWOVbZixaYkaTn6jkE2Q</t>
  </si>
  <si>
    <t>UCAKToOOqAtSJOAv2fbEqV3Q</t>
  </si>
  <si>
    <t>UCSaA50dPTKM4XWZmZos8bpQ</t>
  </si>
  <si>
    <t>UCf0Xc0ipXZhoEYyZcxJDB6w</t>
  </si>
  <si>
    <t>UCLoQ-GKBsf7n-N9DyHNe7TA</t>
  </si>
  <si>
    <t>UCquRyfazjru5NwO--yLPcPA</t>
  </si>
  <si>
    <t>UCTsydUuYrNm7PZ7UVbIsh7w</t>
  </si>
  <si>
    <t>UC2h-7gYf6JWgqEIP326mmKg</t>
  </si>
  <si>
    <t>UCB47Yh5FM9P-qy7QwwjQDvA</t>
  </si>
  <si>
    <t>UCNn75PJi2J5OmZGuLCZGJPg</t>
  </si>
  <si>
    <t>UCB8ZK0KGUD-jVEiFjATnsXg</t>
  </si>
  <si>
    <t>UCwO6AYOIRYgyP1KJ5aPbDlw</t>
  </si>
  <si>
    <t>UChs6DU4eSIt8Gsj4H3DdAQQ</t>
  </si>
  <si>
    <t>UCPimTqwbncE1zTQiQQ52DPw</t>
  </si>
  <si>
    <t>UCzlQ4LgPbuedoeBoK-oDJMA</t>
  </si>
  <si>
    <t>UC4Qku9ZrZI1YCJIEAuG32gQ</t>
  </si>
  <si>
    <t>UC-o1VBZ5l7jcBxUb6rTROPQ</t>
  </si>
  <si>
    <t>UCuqFlEcQsy7QvTjNVvjs17Q</t>
  </si>
  <si>
    <t>UCSJXwgF3SePNfyojYG3yt6Q</t>
  </si>
  <si>
    <t>UCxYJ-54gCObifLYwzieoUkg</t>
  </si>
  <si>
    <t>UCzJu-7z7kVW71gfLWUe7Ahw</t>
  </si>
  <si>
    <t>UCa0mvXpcwOGCBOdUBaIFe7A</t>
  </si>
  <si>
    <t>UC6Z1RjWzkPruAlcy02ZdbLg</t>
  </si>
  <si>
    <t>UC9GcCj_q5EXu_Im6gvLS4PA</t>
  </si>
  <si>
    <t>UC2R0nGlj407CXb6nQYyDfRw</t>
  </si>
  <si>
    <t>UCUPVSsLvsyr5Q1cUfReIzRw</t>
  </si>
  <si>
    <t>UCm4YKoh7jOJQuznM5PaV8UA</t>
  </si>
  <si>
    <t>UCNrfs-wsE7yadASGhw6iKWg</t>
  </si>
  <si>
    <t>UCaGwH4JooqsvBt-gJtB85Lg</t>
  </si>
  <si>
    <t>UCkuQDT_EGAqb77j0mS_CbTw</t>
  </si>
  <si>
    <t>UCGfq28f57IvaQnod6DC4oxA</t>
  </si>
  <si>
    <t>UCvf0kmeVOmqL2KpCJ1wtIvA</t>
  </si>
  <si>
    <t>UChQmLfhPADwYT_qElU3pckQ</t>
  </si>
  <si>
    <t>UCDI5IfZGKC3iOcStCPwTG9A</t>
  </si>
  <si>
    <t>UCfc1PpwDsphDTwpOXW8HLnw</t>
  </si>
  <si>
    <t>UCbPUDwXjjV7KOYGdz3tLpXw</t>
  </si>
  <si>
    <t>UCVnlJ3_LHKxxRDDaQe_KEMw</t>
  </si>
  <si>
    <t>UCTWeF8oCyo-X-j299Ejp0Tg</t>
  </si>
  <si>
    <t>UC_9DVYOpjFeERgpAKMFqvPA</t>
  </si>
  <si>
    <t>UCigG7qiPLBvkObUmolSfDpg</t>
  </si>
  <si>
    <t>UCofS2Tx0VXd_P5RExvgXwUA</t>
  </si>
  <si>
    <t>UC0LdFQHqtBcmWKwE4ZlSTXg</t>
  </si>
  <si>
    <t>UCQItYmt8xH-WJGHIGqEzj4A</t>
  </si>
  <si>
    <t>UCfggIjwiHJ1z5M1pS-Xfedw</t>
  </si>
  <si>
    <t>UCNmfEa6DKdYJMO31VG7UR_g</t>
  </si>
  <si>
    <t>UCbnsKJ2aIL0BG6tar_f9Dlw</t>
  </si>
  <si>
    <t>UCLLFmbPgu2OyZfZ2a4pze1g</t>
  </si>
  <si>
    <t>UC4gDqipO4FBSDv8OYMarZJw</t>
  </si>
  <si>
    <t>UCuqujDDdRfaDggv-eECJnrQ</t>
  </si>
  <si>
    <t>UCySJrnD7XS16fF4qLFSaNuw</t>
  </si>
  <si>
    <t>UCvhPXToMzoWvDzhrqdP2FrQ</t>
  </si>
  <si>
    <t>UC3xSIa2eylx9jvkotsA6GGQ</t>
  </si>
  <si>
    <t>UC5OhhLoILL7Mhm-NJXHucSQ</t>
  </si>
  <si>
    <t>UCVqzdziTU0LGATI6BY7tnBA</t>
  </si>
  <si>
    <t>UCdY42Liu4wC4c5WTNVjZ_IA</t>
  </si>
  <si>
    <t>UC52iLVrQ4EpeSdAB3911rsg</t>
  </si>
  <si>
    <t>UCXmEe7GrufJ20HhxclJq7sQ</t>
  </si>
  <si>
    <t>UCS1MOwERzW7-ymkV4TuHXUw</t>
  </si>
  <si>
    <t>UCTOqL2qDFeSUZPcjutMC61g</t>
  </si>
  <si>
    <t>UCaMMR5rYM2P-BLtxQyIOSxA</t>
  </si>
  <si>
    <t>UCDB6Rql3lBoBGtG6xff94qA</t>
  </si>
  <si>
    <t>UC3Ek3fDt-W8hJeRu1CU_XSA</t>
  </si>
  <si>
    <t>UC_0vAivjbJUH6RShuK8h5Mg</t>
  </si>
  <si>
    <t>UCUtSGBFJHqQEM3ycODX2tjw</t>
  </si>
  <si>
    <t>UCHplhEFexpUMDSdzn4ZwpIg</t>
  </si>
  <si>
    <t>UCwVsJ_Z9lXhcT-E1NNbOFfQ</t>
  </si>
  <si>
    <t>UC3ZHtYaJtposbfvcQ-7ybSQ</t>
  </si>
  <si>
    <t>UCTY02IiFoTqS47RvyAV_YnA</t>
  </si>
  <si>
    <t>UCB02gUU4RR8_z0wmtGlopZA</t>
  </si>
  <si>
    <t>UCV1KOaw6Tb8N21m9k6cTwXA</t>
  </si>
  <si>
    <t>UCbnM9Ll4hMA0Y6TK_wxnZdg</t>
  </si>
  <si>
    <t>UC4P9PTfWJjXk10TFOaamWrQ</t>
  </si>
  <si>
    <t>UCCgOMpG5piKXUqQrmI3iDbA</t>
  </si>
  <si>
    <t>UCyxdH6b62AC4x-gfkSiDYyQ</t>
  </si>
  <si>
    <t>UCzqJIntkB9JF0nUhOfODGwA</t>
  </si>
  <si>
    <t>UCg0hjntziS1RJPiebG5wAaw</t>
  </si>
  <si>
    <t>UCAZsQoOUb8b2hRKd_6ZgZUA</t>
  </si>
  <si>
    <t>UClNS-1DaDOfP0383XRVCVYA</t>
  </si>
  <si>
    <t>UC1RYchByUCNuPUw1fEMfyow</t>
  </si>
  <si>
    <t>UCJcjRwKGfYlENM7T5g1fOug</t>
  </si>
  <si>
    <t>UCppBCkwdLJvMV1SscIT1CdQ</t>
  </si>
  <si>
    <t>UC0JyS3YYGP9S6bc5Kh2Y3WA</t>
  </si>
  <si>
    <t>UCcO8c5xCPYHQtst3X56ufsQ</t>
  </si>
  <si>
    <t>UCS8DMV8mw_vfx8IUBso8jhQ</t>
  </si>
  <si>
    <t>UCiMrTohczoY08TBtSd6FKgg</t>
  </si>
  <si>
    <t>UC2ZMiuXsWi9xrm66WEBPuZQ</t>
  </si>
  <si>
    <t>UC9Jxk_mBmLLqOnm61r9EBuw</t>
  </si>
  <si>
    <t>UCOQT0D8BvzsHj7djk8cQYbw</t>
  </si>
  <si>
    <t>UCBl_W5_GtiObF0Cu4NKM1ng</t>
  </si>
  <si>
    <t>UCA3sH6-ecjBRS1oVOc-1HiQ</t>
  </si>
  <si>
    <t>UC5bfIeshJGEYM7yAvUpfUYg</t>
  </si>
  <si>
    <t>UCaR5rs-2ptjz25T-f1JJ6iw</t>
  </si>
  <si>
    <t>UCXFxwj7DwumpUu5RNWlznTw</t>
  </si>
  <si>
    <t>UCUMmfOox0ktKS_eizQGfATQ</t>
  </si>
  <si>
    <t>UCaC4prHJ6uWSIKyaEvfU00A</t>
  </si>
  <si>
    <t>UC8-RDhShhhv6sgQZpf37uqw</t>
  </si>
  <si>
    <t>UCfadej2Rxk1wKhCI4KSH58w</t>
  </si>
  <si>
    <t>UC6nY9-2IrbD2tUoF6Xfgo0Q</t>
  </si>
  <si>
    <t>UCFEHCvUfFakdJyTl4Xuq92w</t>
  </si>
  <si>
    <t>UCvg_Mq4x-I70bkap3vvGpvA</t>
  </si>
  <si>
    <t>UC3y9tlNtHuxEw4E4xzcOm3w</t>
  </si>
  <si>
    <t>UCYpVkUX-DPiC4eXlL7wurvg</t>
  </si>
  <si>
    <t>UCNqBY4bm_Lbr7RokOFAS8Qw</t>
  </si>
  <si>
    <t>UCAuCGdk9-HUWdujEoJaEpKg</t>
  </si>
  <si>
    <t>UCSkhtV3EP-_Dj9g76D9HwHg</t>
  </si>
  <si>
    <t>UCEWNq-lFsOReP-voi2hnpaQ</t>
  </si>
  <si>
    <t>UCfczltCm62FOjB9zo9I0OlA</t>
  </si>
  <si>
    <t>UCOrWx1zDhibPGHu328HOc7Q</t>
  </si>
  <si>
    <t>UCB8t1aexYjhX2ey5n98SPRg</t>
  </si>
  <si>
    <t>UCGfe0iX2k7q0ouHcwjtVvyQ</t>
  </si>
  <si>
    <t>UCStOJC8F-Zn_oxeMi2lfQog</t>
  </si>
  <si>
    <t>UCKn7YUw5fcKp2vMr9TcJT_A</t>
  </si>
  <si>
    <t>UCkEOPdkMsBcodhDKAhyDTpQ</t>
  </si>
  <si>
    <t>UCV1P-0SN-WC4ETp5X7Z-S8g</t>
  </si>
  <si>
    <t>UCzrBR9Zo-bobJFsL9CDjTiQ</t>
  </si>
  <si>
    <t>UCt7K74a8SrA5Ig-xMbI5aZQ</t>
  </si>
  <si>
    <t>UCPLAMNJtETkoySu45tCJMdA</t>
  </si>
  <si>
    <t>UCEW_Fg9lQ2VaS7DLVma01Cg</t>
  </si>
  <si>
    <t>UCNUbHp-oak_7Rwxsg0Qyggg</t>
  </si>
  <si>
    <t>UCOW8E7o_ENEGYQb0lyzLhPA</t>
  </si>
  <si>
    <t>UCP7UwcLEDzJVYHuLmShYMrg</t>
  </si>
  <si>
    <t>UCgGo5gRflFY0m_YIiaZKk_Q</t>
  </si>
  <si>
    <t>UCEqxMIEiUNl7xhlY5l32Iyg</t>
  </si>
  <si>
    <t>UCGrzJFGyomJUV44HxhazlNw</t>
  </si>
  <si>
    <t>UCcHe90OcuzFFxI01SfBMu8Q</t>
  </si>
  <si>
    <t>UCV8gPq1U53yCiq4TOb_nJsg</t>
  </si>
  <si>
    <t>UCVgHeVqf7aIlqXQtB83v4sw</t>
  </si>
  <si>
    <t>UCI4oqJiBhSsZEEdzxnSppwg</t>
  </si>
  <si>
    <t>UCmmpqdInUPIIDXobjE__nHg</t>
  </si>
  <si>
    <t>UCuKx6skgXwFTA5sqbNDk9fA</t>
  </si>
  <si>
    <t>UCOIo6FrzLwf9H9r8kq4aBaQ</t>
  </si>
  <si>
    <t>UCk2VkCk0BwPDiPUgja41vkA</t>
  </si>
  <si>
    <t>UCOULzmNRKoQD5wl6HsXpgxw</t>
  </si>
  <si>
    <t>UCodtmsu-lJgqJhiWNa7uQRA</t>
  </si>
  <si>
    <t>UCxtZyGDTBGIJetWgep1ZRbg</t>
  </si>
  <si>
    <t>UCXMeQFZaNWnF7l8iHrLxxEQ</t>
  </si>
  <si>
    <t>UCT1STxZniQJ5B3sdChzuKvg</t>
  </si>
  <si>
    <t>UCCvpM7DecY_8xtKY8aeSCxg</t>
  </si>
  <si>
    <t>UCFOt62F9cFogxtHqgPnhyHA</t>
  </si>
  <si>
    <t>UCst7dIH10mMvu_PVpXMr7Hw</t>
  </si>
  <si>
    <t>UCOnoeC0owG-E_pMAw3xIvTA</t>
  </si>
  <si>
    <t>UC4_VDC6SgLANxJczhJz8WEg</t>
  </si>
  <si>
    <t>UC4f29h2XXPYgACXqYgdTquQ</t>
  </si>
  <si>
    <t>UCISDiVUynxni-0nju7e9k4w</t>
  </si>
  <si>
    <t>UC0iDL9CSqHtlzJDZLGKJX0Q</t>
  </si>
  <si>
    <t>UC6DjkmnqmM5cm0_22MeVdOw</t>
  </si>
  <si>
    <t>UCLBRUKmsxn76xnlyHDQx-rA</t>
  </si>
  <si>
    <t>UCdmVcQVvFNSU3ZryWvIXpdA</t>
  </si>
  <si>
    <t>UCMGQYesmpuP1xzJDKEAXgXg</t>
  </si>
  <si>
    <t>UCfMuCAP9_izClomt7CQ70uA</t>
  </si>
  <si>
    <t>UCwADKD62xOgWPxoe68rzMVA</t>
  </si>
  <si>
    <t>UCA2tmZh8zP-Cu_RNCs_NI-Q</t>
  </si>
  <si>
    <t>UCPXmsyUYvsiZtoe6JbH3giQ</t>
  </si>
  <si>
    <t>UCKQDWtkXTykKSgNtHCJH2Wg</t>
  </si>
  <si>
    <t>UC3nj1JNLJvK9jV4KTbZw_qg</t>
  </si>
  <si>
    <t>UCYRIzR9gXzrCObYW9defmow</t>
  </si>
  <si>
    <t>UC3k9loYBP7YaReV2j6vduUA</t>
  </si>
  <si>
    <t>UCqQfK7YxUCmIWu4hl_Qv74g</t>
  </si>
  <si>
    <t>UChqOY0OYg-Iwh6G_1g-8LqQ</t>
  </si>
  <si>
    <t>UC6Uzzt7V7ciOmz5doAF_2kQ</t>
  </si>
  <si>
    <t>UCQ6mb97-kuBBp4ko6v4yKEw</t>
  </si>
  <si>
    <t>UCezoQqJ5WwSEChnmOXjL_Vg</t>
  </si>
  <si>
    <t>UCkgipZF3jZ092pI5SmqQE2A</t>
  </si>
  <si>
    <t>UCWoB5-oINs55zsWe3_sygzQ</t>
  </si>
  <si>
    <t>UC_oJGwWKdmd60g-TgzUsftA</t>
  </si>
  <si>
    <t>UCuaEAjCWMlisLdTjMaIYqoA</t>
  </si>
  <si>
    <t>UC8w2DN9jurGyj5sutscVs-A</t>
  </si>
  <si>
    <t>UC4jZ2BALmfj-jaqVRTMqllg</t>
  </si>
  <si>
    <t>UCHXQiDwicRon0tRuWj6r9HA</t>
  </si>
  <si>
    <t>UC7GOb_cdkMDFEMmWkpEgXxg</t>
  </si>
  <si>
    <t>UCCowzpLYUF9jiAiRvjVZUWg</t>
  </si>
  <si>
    <t>UChlm7CpCV3mjsYy75yAYmsg</t>
  </si>
  <si>
    <t>UC-XyYZQKwuvQn_054LwxW1g</t>
  </si>
  <si>
    <t>UCLTnwHxWXAstqT5UKz77Nrw</t>
  </si>
  <si>
    <t>UCx9alO2pQnxgu1NgSYvJk6w</t>
  </si>
  <si>
    <t>UCCe_Q4HpmEkO8LVm5iNWu2w</t>
  </si>
  <si>
    <t>UCAWc1T5KonQo_mUddZT7Jtw</t>
  </si>
  <si>
    <t>UCvyZuLnV2dpRH967KlZGitQ</t>
  </si>
  <si>
    <t>UCLEQTAREdFM_m8sb0x5Ybyw</t>
  </si>
  <si>
    <t>UCefjfxxzMUYefvTRHCmZDDQ</t>
  </si>
  <si>
    <t>UCzqqr31HSE-B4HcM1Cw4RiQ</t>
  </si>
  <si>
    <t>UCCn4pflwQQ87UBGpNa2aW8w</t>
  </si>
  <si>
    <t>UCFj_1lZPayzuQg-6qV0B_Fg</t>
  </si>
  <si>
    <t>UCM5Mdndebnhub-s4zCpZJgw</t>
  </si>
  <si>
    <t>UCsLnFXaQlNS5I15LEyY6XWA</t>
  </si>
  <si>
    <t>UCj5LGFfFcoXdATF2scVy0RQ</t>
  </si>
  <si>
    <t>UCpK0OmWgjd58g_9AjZFA6bg</t>
  </si>
  <si>
    <t>UC6G_BGNiPKWdUR1UfPWNb2g</t>
  </si>
  <si>
    <t>UC4VZcxg_iUSWFeroXeJRvvQ</t>
  </si>
  <si>
    <t>UCu4W71AyIzu7ha5DDdk0R2w</t>
  </si>
  <si>
    <t>UC99DlBJSwIIXVoZoIhcEc_w</t>
  </si>
  <si>
    <t>UCTliR7g25Jjg7MgaR_tbYWA</t>
  </si>
  <si>
    <t>UCJH1MAjd60bwan3LemCpvUw</t>
  </si>
  <si>
    <t>UC9iE_IUroAr5neQGrxqCp0A</t>
  </si>
  <si>
    <t>UCFv7K8PR140E4Hq0nVhE3-w</t>
  </si>
  <si>
    <t>UCAKqOR5_3SPm23t3E45VFxw</t>
  </si>
  <si>
    <t>UCfIb90qNkuW8jHPWrBgpQlw</t>
  </si>
  <si>
    <t>UCzyEmDMbOrhnhOUsaowVbkg</t>
  </si>
  <si>
    <t>UCkOGIPvrOfL-KUkTY5e6liw</t>
  </si>
  <si>
    <t>UCTbdNxjDpncG9eEA-Y0Y-OQ</t>
  </si>
  <si>
    <t>UC0tSe4U6Bq6msRckWOWjadw</t>
  </si>
  <si>
    <t>UC8f_M_lyvvi04LEPgo-eUhw</t>
  </si>
  <si>
    <t>UCst4MaGPWdKNsCnVk4HxPPg</t>
  </si>
  <si>
    <t>UC9BvPOEYsxcCevGMjtCUk2w</t>
  </si>
  <si>
    <t>UC-zFoffRUAR5G-TQPOeMeLA</t>
  </si>
  <si>
    <t>UCbxanGmDdJ3MrTvAb2Mx72A</t>
  </si>
  <si>
    <t>UCdM4H956LWBYnt0HOGJxmmw</t>
  </si>
  <si>
    <t>UC9cpGw2hVv-6G-76HO22jQg</t>
  </si>
  <si>
    <t>UCy7cu23HkXwAtXad_V169tA</t>
  </si>
  <si>
    <t>UCbNNiJzzLQWW1umv3soLhAg</t>
  </si>
  <si>
    <t>UC6pfNw4PF5JZMiKTyzsu_6w</t>
  </si>
  <si>
    <t>UCr18ZJbdVHBUL5QYkknePIw</t>
  </si>
  <si>
    <t>UCka-LOLt8jecvEorBQdzE0A</t>
  </si>
  <si>
    <t>UC4sCKRhRbvNFDbwZrQzcl8g</t>
  </si>
  <si>
    <t>UClwbBBJGp2TZQFMcsoObY8g</t>
  </si>
  <si>
    <t>UC3PsooDxvFG0aEBe4JVtAbg</t>
  </si>
  <si>
    <t>UCeR7VYq8u0ztlwOI8kK5KDA</t>
  </si>
  <si>
    <t>UC8ee7jOTBnuxUc9PlUkMhrw</t>
  </si>
  <si>
    <t>UCCGyRy9giQHL7txcI56Jx7w</t>
  </si>
  <si>
    <t>UC2NK9G9_Y1B7Dy97PtyKj4g</t>
  </si>
  <si>
    <t>UCbIdbdCA00n15L5FrolDIqw</t>
  </si>
  <si>
    <t>UCtoaqVcJ_Q2xz04LlPAjHMQ</t>
  </si>
  <si>
    <t>UCwktdXEtJ7ApalkqBVWFZ_g</t>
  </si>
  <si>
    <t>UCjwORsbw3fUFk2mYOy-8KTA</t>
  </si>
  <si>
    <t>UC2wu_pEdxcHmb5WmWqI2HHw</t>
  </si>
  <si>
    <t>UClF9UTljviumfJf7t-VR5tg</t>
  </si>
  <si>
    <t>UCZKdxkPSW9eaVFxdXed7cBA</t>
  </si>
  <si>
    <t>UCb88xuI9FpqcfStKbHKmXVw</t>
  </si>
  <si>
    <t>UCnldP2FT5jLcCrB7EEM05Jw</t>
  </si>
  <si>
    <t>UCeDZR-AoIIU-uBMemvchiKA</t>
  </si>
  <si>
    <t>UCRTwo9eeCfOwIeJvHXOfvWw</t>
  </si>
  <si>
    <t>UC-h4fwgQ2dUapgYgQyFZ06Q</t>
  </si>
  <si>
    <t>UC0hxGTlhX0_J8NE38nMf6pw</t>
  </si>
  <si>
    <t>UCn8RZ3IPOPT63fBiaH7suYQ</t>
  </si>
  <si>
    <t>UC1QlyoPizYPh_orRUhX5TOQ</t>
  </si>
  <si>
    <t>UCwic-oH6HYwBrQ8BOdO-JQQ</t>
  </si>
  <si>
    <t>UCvTzEmkbDC4BEcZgBIPwL-A</t>
  </si>
  <si>
    <t>UCUZ2UNkLRRBE9RV2FW54SIw</t>
  </si>
  <si>
    <t>UCQroRFb1JnNLmma4PEEFJgw</t>
  </si>
  <si>
    <t>UCnslQg3WwOlY_vyStYBuneA</t>
  </si>
  <si>
    <t>UCDfsPgs4LYv9D59ztH3VYMw</t>
  </si>
  <si>
    <t>UCvPi6VoWdrDOiHLpQKEYuCA</t>
  </si>
  <si>
    <t>UC-M9uVxX2f7Zo1iClFzc7xQ</t>
  </si>
  <si>
    <t>UCJsfZlThv4zh5DAU2w9PoKA</t>
  </si>
  <si>
    <t>UCbzivAoD7ihV4tUwFttgmbw</t>
  </si>
  <si>
    <t>UCAUtDYwrT-id3YngcV9zjsQ</t>
  </si>
  <si>
    <t>UCLoSA4APnVIgkMSCvUq0PBQ</t>
  </si>
  <si>
    <t>UC2A1C1TObH9Q8VqeC_ibWRw</t>
  </si>
  <si>
    <t>UCImDs2bgIdG1Sttrn-SwBPA</t>
  </si>
  <si>
    <t>UCBsy7f40NzuWOhP3YdyyBjA</t>
  </si>
  <si>
    <t>UC0yk_ZxVXm1A0zEiNMGmE-w</t>
  </si>
  <si>
    <t>UC-9zRQ9QyMxAEdzBaWUoReg</t>
  </si>
  <si>
    <t>UCyMkeofMCqsaOaKvhjQCQ7A</t>
  </si>
  <si>
    <t>UCcTU1xyKRbYwaT3VkHdCYBQ</t>
  </si>
  <si>
    <t>UC1XjCuRAiE22S6b1wMIakUA</t>
  </si>
  <si>
    <t>UCk6qkhdKuV94gG8Qr6j3Ikg</t>
  </si>
  <si>
    <t>UCcm3sM3TqzIhls-UsidvT-A</t>
  </si>
  <si>
    <t>UC26fqIs836AbDW3E5_c9UIg</t>
  </si>
  <si>
    <t>UCQNN77y7ScDfVDTTQNGeLJw</t>
  </si>
  <si>
    <t>UCRmedmgFcPmW2d8OMa2SUmg</t>
  </si>
  <si>
    <t>UCnw8UBdf1vlxNztylIUxHfg</t>
  </si>
  <si>
    <t>UCMqVAkpkap8Y6vLZo-yHu8g</t>
  </si>
  <si>
    <t>UCLR9WWhUuOwaVzk795dLopA</t>
  </si>
  <si>
    <t>UCWqLe3aVj0hjIGFQW57BLAw</t>
  </si>
  <si>
    <t>UCwjWUUCiv_TPoErI9AZv6Lg</t>
  </si>
  <si>
    <t>UCuRJxbyJDgX7U3pt3f8-weQ</t>
  </si>
  <si>
    <t>UC3Hf04FCarkXvNWEzm4FK6Q</t>
  </si>
  <si>
    <t>UCk_KyyWtMiARvSsrJ1iScYw</t>
  </si>
  <si>
    <t>UCK4heKgj4nD12NyWiaDZYxw</t>
  </si>
  <si>
    <t>UCsrLgUBOY1xMvIebiqlCchg</t>
  </si>
  <si>
    <t>UCGhBQTaYICEZCdXXrlFVUFA</t>
  </si>
  <si>
    <t>UCOsYbKWJfxGlpoYgLIJToeg</t>
  </si>
  <si>
    <t>UCMAwt7WeThwk_XqI-xtGivg</t>
  </si>
  <si>
    <t>UC-xP_ERtjrN8Ng4NR2knspw</t>
  </si>
  <si>
    <t>UCmnJL119P9QDC-4-oO6SJrg</t>
  </si>
  <si>
    <t>UCYNEOQVEgkIJjuJUriz_qhQ</t>
  </si>
  <si>
    <t>UC5MRyJnE_YgwyWXzEsGH8Kg</t>
  </si>
  <si>
    <t>UCD7huOuTMLbAwiWUnjBovdg</t>
  </si>
  <si>
    <t>UCnKlS1M4ddOOR0GV9bnYBig</t>
  </si>
  <si>
    <t>UCNFug3OBXaPcAZxZ8_9mU-Q</t>
  </si>
  <si>
    <t>UCe3FaaUqcE6Sw0rNDYiskrA</t>
  </si>
  <si>
    <t>UCEwFnZ6cY4bKdDV0oUgQqrQ</t>
  </si>
  <si>
    <t>UCzFbjdenBiv4hLKFB9GEGcg</t>
  </si>
  <si>
    <t>UC74w1jZV3k4xsaTIY9EfcVg</t>
  </si>
  <si>
    <t>UCCyRi6xglLj3fNaXaTtNLXg</t>
  </si>
  <si>
    <t>UCn-c789u_dmDzlG63IJRGKQ</t>
  </si>
  <si>
    <t>UC-2Ga6vFz3l4Q-O0jFVnIIg</t>
  </si>
  <si>
    <t>UCXLfkdCKRL-Z50FNeSpstfQ</t>
  </si>
  <si>
    <t>UCBMWFg3WTe4WTxiEv5OZYYg</t>
  </si>
  <si>
    <t>UCKYcfwIUDfVooez2xt1j0iQ</t>
  </si>
  <si>
    <t>UC-njV1M9SnQgDofzkcSB2Pg</t>
  </si>
  <si>
    <t>UCMhk9axSPCJMlW-lM16n-Tg</t>
  </si>
  <si>
    <t>UC9gxbqFx4jhKvdl-3mMmKNw</t>
  </si>
  <si>
    <t>UCUNjWvu4ifdUw6uFQuxDPOA</t>
  </si>
  <si>
    <t>UCI5xmP-dHazQME_H8es0sFA</t>
  </si>
  <si>
    <t>UCmOXxBg4BgIKTQX_OO2VJNg</t>
  </si>
  <si>
    <t>UCghFg2WDkSS4FvVu6UVQ0dQ</t>
  </si>
  <si>
    <t>UCBGVW3mrW4mfSvfEHXW3icQ</t>
  </si>
  <si>
    <t>UCLgCKWviabKF5dINmgY669g</t>
  </si>
  <si>
    <t>UCyzb5WMm21Meb0KRMuzi5zQ</t>
  </si>
  <si>
    <t>UCkEC_eogExYEwhRxvAIDxug</t>
  </si>
  <si>
    <t>UCEAg-K4CF15qlSB3P-GNGeQ</t>
  </si>
  <si>
    <t>UCYFuxO6A0B-QfkxbPj33zrA</t>
  </si>
  <si>
    <t>UCsq4gc-EDXqxZZbaRjqFeTw</t>
  </si>
  <si>
    <t>UCASrUmw7uENmtokdrcWSQPg</t>
  </si>
  <si>
    <t>UCK4YALcySHCyYa2pEe7t0NQ</t>
  </si>
  <si>
    <t>UCYoj2l9OTYs6bKRreQebYXA</t>
  </si>
  <si>
    <t>UCklxTnDkt61GE7TShQOOrcg</t>
  </si>
  <si>
    <t>UCN6s7SY8cFX60Dc1ra_b89Q</t>
  </si>
  <si>
    <t>UCD_yzrvcYJkjfnF6Bf1JrnQ</t>
  </si>
  <si>
    <t>UCux9hwsBA6Uw02rJfvPveiA</t>
  </si>
  <si>
    <t>UCukWs-5bVk49S0DPkrognPw</t>
  </si>
  <si>
    <t>UCGnG89EnP8FgEiaQN26pgVw</t>
  </si>
  <si>
    <t>UC3TtRPcS6V0qb98uygXCpuQ</t>
  </si>
  <si>
    <t>UCrWZZJICp2nafJWnC9EnszQ</t>
  </si>
  <si>
    <t>UChb1SU40i5uYn0EHcvVyzAg</t>
  </si>
  <si>
    <t>UC8D0OhZKnAbbFhFP6362tTw</t>
  </si>
  <si>
    <t>UCPFemX6Rioygkc3gqx2V3Jw</t>
  </si>
  <si>
    <t>UCJ7czAlpYL2ePjJpNxLuwxQ</t>
  </si>
  <si>
    <t>UC3YQHxI-65ip5Mw3Z1eqb4w</t>
  </si>
  <si>
    <t>UCQlb-d65WXc74ni08kHZR1g</t>
  </si>
  <si>
    <t>UCpuFs1OlhuxbOPSA_FC8PUQ</t>
  </si>
  <si>
    <t>UC3T4fKy6TaBb_WViSgQl1Ww</t>
  </si>
  <si>
    <t>UCtnztQV4Lfuh5vxJU_3EP_A</t>
  </si>
  <si>
    <t>UCA2QkPzEOTVw5sFpHATSH7A</t>
  </si>
  <si>
    <t>UCU_5oIcVdb5pjLlhrWrI_Tg</t>
  </si>
  <si>
    <t>UCZodJZRZMJmgnq_Nih6vCEw</t>
  </si>
  <si>
    <t>UCDje1pl9oyWbwovZaMmEivg</t>
  </si>
  <si>
    <t>UCXpIVRiyfsMB2aXXn2yq6LA</t>
  </si>
  <si>
    <t>UCZvancwkgqJAxzL4potZd4g</t>
  </si>
  <si>
    <t>UCfMW5pK0WTjv8JSoSIo4uUg</t>
  </si>
  <si>
    <t>UCCbP6Kg5y5ljnK5dsT94kdQ</t>
  </si>
  <si>
    <t>UCl6YtJZLfKe3Z3x6h-_Yzcw</t>
  </si>
  <si>
    <t>UCMwMSdGFIw95LN8q2Gh9vcw</t>
  </si>
  <si>
    <t>UCrVOcb2fJCaVQlsI1_O_kHQ</t>
  </si>
  <si>
    <t>UCXkTX01spUrR2ZqlClESArw</t>
  </si>
  <si>
    <t>UClRPR4RDy-go2SbfZ8odFGA</t>
  </si>
  <si>
    <t>UCDIXpN8WOTPEDtx4ZaoPF0w</t>
  </si>
  <si>
    <t>UCw5qNQgqEhO8Um-av1UX4lA</t>
  </si>
  <si>
    <t>UCc9013Dj8CIjnBvYmu9edjA</t>
  </si>
  <si>
    <t>UCTXoitMnml5ViuIHY73qfpw</t>
  </si>
  <si>
    <t>UCFzKlPaWmFRIOZDgTUNGRiQ</t>
  </si>
  <si>
    <t>UCaReSBAGlIG99UYS5ry7wUw</t>
  </si>
  <si>
    <t>UCymXLWWse2egh1gq1yxsxyQ</t>
  </si>
  <si>
    <t>UC9Awl_4qjLO8-SqJ2VkpMZg</t>
  </si>
  <si>
    <t>UCJHtUUFE8lnVsf1o2FJODJQ</t>
  </si>
  <si>
    <t>UC08grsjqNoRswN1_H8iD38w</t>
  </si>
  <si>
    <t>UCtMa0aeC2SNsyOBAYRpDIzg</t>
  </si>
  <si>
    <t>UC2ZNaSf4OXcNQfebPrdMKAw</t>
  </si>
  <si>
    <t>UC1SC0EAixPdfQZHGywNk4Qw</t>
  </si>
  <si>
    <t>UCH3NyccoVmX0O6Bp3dlyqdw</t>
  </si>
  <si>
    <t>UCPFMiu2-9YKCvJ7eoB7dKUA</t>
  </si>
  <si>
    <t>UC9v_KhFxEX6D4f3oDd9_LIQ</t>
  </si>
  <si>
    <t>UC-Qby4x-8JDiznGG9l1wLpw</t>
  </si>
  <si>
    <t>UCazfE6mXdHXkSU6c0sEqlYQ</t>
  </si>
  <si>
    <t>UC1ZJMxWLx_JSRGCzJ1V7VdA</t>
  </si>
  <si>
    <t>UC4iA_MT5xczu_8cCQPBk0fA</t>
  </si>
  <si>
    <t>UCmor3c2v7S0846OdelClrNQ</t>
  </si>
  <si>
    <t>UCMrxij-L0HJ7dQJ_QQid3Xg</t>
  </si>
  <si>
    <t>UC9o_tB1YdmB8qFwAZZU5dtg</t>
  </si>
  <si>
    <t>UC507uEmHkM4ZRoEYswIqMFQ</t>
  </si>
  <si>
    <t>UCnyW0rpQk893kds7RCGR49g</t>
  </si>
  <si>
    <t>UCB_3ozr38H1A4Qh4jvBZHGg</t>
  </si>
  <si>
    <t>UCyjy3LTL7AIV_Iwf4A9PeGw</t>
  </si>
  <si>
    <t>UCKavz3-g2yDA-dds-fIQqWw</t>
  </si>
  <si>
    <t>UCp1T3Oi6gaNy7cngeEfQ09g</t>
  </si>
  <si>
    <t>UCLsRpB5Vfpm4cr1f-cbPUzA</t>
  </si>
  <si>
    <t>UCCThDD5tzLSspr3voqBhOvw</t>
  </si>
  <si>
    <t>UC36y73-6QGeyZxN3x_w-aFQ</t>
  </si>
  <si>
    <t>UCD-j8GPJ8zoIif6rNkzRamg</t>
  </si>
  <si>
    <t>UCCP4EvINOkgSZl60x1jPwIA</t>
  </si>
  <si>
    <t>UCgeBWUC7114kTI9MiopMHUA</t>
  </si>
  <si>
    <t>UCZLc48-3Z-lqU05NojeSjUA</t>
  </si>
  <si>
    <t>UCyCg7eZGaE5MPNer0AuZjoA</t>
  </si>
  <si>
    <t>UC1PbgMLgUZVxKTksBSlmbtg</t>
  </si>
  <si>
    <t>UCxv-bOfqQbEoK-ahXfjlazQ</t>
  </si>
  <si>
    <t>UCMFVP3Y12JCFgf2kKdq7sDg</t>
  </si>
  <si>
    <t>UCj071jozR0lDwkeBXA8k4og</t>
  </si>
  <si>
    <t>UCezx5_ObFYw0YRKj6qHyGbA</t>
  </si>
  <si>
    <t>UCEg0ejS8pCtjcfcJwYLpJog</t>
  </si>
  <si>
    <t>UCnaATjUxlDlOHbGQ8rNFmrw</t>
  </si>
  <si>
    <t>UCtEUnJ6P2gfffyK9olbutag</t>
  </si>
  <si>
    <t>UCKQ_lwJiewjitaaBDTfIWGg</t>
  </si>
  <si>
    <t>UCUumszIie8-D0LXi9AbvYCg</t>
  </si>
  <si>
    <t>UCK74VTJajtiAWbkfl7qHe0w</t>
  </si>
  <si>
    <t>UCHp2l85XAthEd4CPblhmT7Q</t>
  </si>
  <si>
    <t>UCiWowcNr-TrfODGOV08TCkw</t>
  </si>
  <si>
    <t>UC9CmdMkTppMfKGn231QOJvg</t>
  </si>
  <si>
    <t>UC7sax4ynbiUJ5TtPCKxqTIg</t>
  </si>
  <si>
    <t>UCgcMNAYC1dpVU54HHU6LkAA</t>
  </si>
  <si>
    <t>UCFlpGKkFc9KW6aWbDdx3oVQ</t>
  </si>
  <si>
    <t>UCuhY_kevdRqOjBlGOh_UA2w</t>
  </si>
  <si>
    <t>UCyJ8TJ86edoJd_f1E7Q5LNw</t>
  </si>
  <si>
    <t>UCZ5MoCwqHj42dFpGsCyknjw</t>
  </si>
  <si>
    <t>UCrACgZ-GbUGIQv82PNtpTgQ</t>
  </si>
  <si>
    <t>UCyJd4Mw19iJglF12kJfpGuQ</t>
  </si>
  <si>
    <t>UCDy0EyRnE59QCDKojpqqCcA</t>
  </si>
  <si>
    <t>UCMy4bjwHgwCqkeQCALVFG-w</t>
  </si>
  <si>
    <t>UCgOv5Ie4SG8ttxgM5G47YDg</t>
  </si>
  <si>
    <t>UCrna4ETvr_rWMjejCd9g2Cw</t>
  </si>
  <si>
    <t>UC9LRzVsUZkX0oMh783xfFeA</t>
  </si>
  <si>
    <t>UCwJ2Li8qsFYRTlFpM-mZUJw</t>
  </si>
  <si>
    <t>UC8WdiBgHIFDMJnGu24KZ_KA</t>
  </si>
  <si>
    <t>UCqZeVBcZvtRS8XfNjCk-JTw</t>
  </si>
  <si>
    <t>UCHYSkzJO7rE2NC4W62FYpcw</t>
  </si>
  <si>
    <t>UCsArQBhjBvTrI6fGIu_8WWQ</t>
  </si>
  <si>
    <t>UCPng2IH51bBcewVHo2i7zGg</t>
  </si>
  <si>
    <t>UCB9xCD612M7TkWKmJY5_lpw</t>
  </si>
  <si>
    <t>UCmXCfCIPVKtQqKsnT69XXOg</t>
  </si>
  <si>
    <t>UCfIiDhqRzQP4eZKfxbTLu0g</t>
  </si>
  <si>
    <t>UC-PZTLC76QWhvOOkbI6m16A</t>
  </si>
  <si>
    <t>UCbrzodypxhc9_cOg5kqre6Q</t>
  </si>
  <si>
    <t>UCROYN-84BHfLJIDFTHDeX2w</t>
  </si>
  <si>
    <t>UC56HJOGq5pVYsOcJO4VSzsQ</t>
  </si>
  <si>
    <t>UCWCiTvnpnEv0EFJV9NvGlSQ</t>
  </si>
  <si>
    <t>UCRw5sObvxfI2M4T6Mi52LpQ</t>
  </si>
  <si>
    <t>UCdU1XiNM6QVMGcTqe7m7TuA</t>
  </si>
  <si>
    <t>UCYpMGXkKpWv32cfV0Avw2Cg</t>
  </si>
  <si>
    <t>UCAZF3WiTLHsVJTlCvQmJiFw</t>
  </si>
  <si>
    <t>UC0CDr2jYBlfZ9TdP572qYuQ</t>
  </si>
  <si>
    <t>UC_tQq730floHxQkyM5GgWtQ</t>
  </si>
  <si>
    <t>UCATa5ZCT4szLoCBt52bd2ZQ</t>
  </si>
  <si>
    <t>UC-I1VF7OUlkhIzBO6qvOs7Q</t>
  </si>
  <si>
    <t>UCGr4hHDdC_DWEKM5eTjqYVg</t>
  </si>
  <si>
    <t>UCKqFnVooI6Otub2YO-8t1Yw</t>
  </si>
  <si>
    <t>UCr_E3Kw82DftqZNczISE6bA</t>
  </si>
  <si>
    <t>UCxpKViMUaXFQ6yWzr7TCkVA</t>
  </si>
  <si>
    <t>UCUF6g0RJhaggYyaUQWQkYfw</t>
  </si>
  <si>
    <t>UCaVdApj22yWDnsPCOXgOsng</t>
  </si>
  <si>
    <t>UCPsgRbrdpMSTFe_11StQ1ZQ</t>
  </si>
  <si>
    <t>UCKluA8kfCcsAj131qMpYm3g</t>
  </si>
  <si>
    <t>UC0z1aTgCt_4b0o4s8Tc6Nuw</t>
  </si>
  <si>
    <t>UCSh-zF-LcAHiGUITBtl7c2Q</t>
  </si>
  <si>
    <t>UCh8P1qWHZyoEwcW0UOYiKSg</t>
  </si>
  <si>
    <t>UC5vW6kz9X5Csf7Qpn9r-9nA</t>
  </si>
  <si>
    <t>UCuoVKzynVoqhYUB_-DfQ2AQ</t>
  </si>
  <si>
    <t>UC4a8JUTKGmjblSHa2asd7EQ</t>
  </si>
  <si>
    <t>UC1hj-wVKvD4qo3FIlViBA-g</t>
  </si>
  <si>
    <t>UCyntODq9rKnqsZxNo1tGAEA</t>
  </si>
  <si>
    <t>UC_9KqaLJtGuinCia1IN9Quw</t>
  </si>
  <si>
    <t>UCdpWnO00tdgStnlki5Q_F6w</t>
  </si>
  <si>
    <t>UC3BhgM9cJkBi--K0bxT3byA</t>
  </si>
  <si>
    <t>UCNsG6jhhBNO-LjjleFsuqOQ</t>
  </si>
  <si>
    <t>UCWCG9l0KB91gV1bB1C7fVLw</t>
  </si>
  <si>
    <t>UC0F5wYaREk9M9GjudOSp0Qg</t>
  </si>
  <si>
    <t>UCMfRUWKmNyz88opPLMB0pCg</t>
  </si>
  <si>
    <t>UCzelA5kqD9v6k6drK44l4_g</t>
  </si>
  <si>
    <t>UCdRT1nhtAWpWyCe8wurLktA</t>
  </si>
  <si>
    <t>UC-IjO0C_5_PhCYs1n3bpOjQ</t>
  </si>
  <si>
    <t>UCtgXJy0Ndynm-6U8ruA_WKg</t>
  </si>
  <si>
    <t>UCjrqYkdrvf6MHFOzZQf6HwA</t>
  </si>
  <si>
    <t>UCzr83xLuPSeOGLDHky-u2mg</t>
  </si>
  <si>
    <t>UCC_gNf3E5VZ4pIDpifIlxTg</t>
  </si>
  <si>
    <t>UCRtEWt48CRchY1X_5CWSrPw</t>
  </si>
  <si>
    <t>UCUWHlDsBGwsgiIvuY7B0INQ</t>
  </si>
  <si>
    <t>UCHUftyhuJrerVx9yWntJUdA</t>
  </si>
  <si>
    <t>UCu08jFEUczfFnq2VMknsk_g</t>
  </si>
  <si>
    <t>UCAtYISjPM8p1-8ot1vf9kPA</t>
  </si>
  <si>
    <t>UCeIyEcELndlOCF5JY-lzb4w</t>
  </si>
  <si>
    <t>UC3LW_QAsjdNmUFf1Tpb_x8Q</t>
  </si>
  <si>
    <t>UCXJhrvWgd1v3jb8X1SZfcOg</t>
  </si>
  <si>
    <t>UC-NYMEVTw75VpgChtUcYQNg</t>
  </si>
  <si>
    <t>UC1Ruv0Qh67Eca5ASxMiDraw</t>
  </si>
  <si>
    <t>UCG2P5uuWoy_2p1dRLeB6iRg</t>
  </si>
  <si>
    <t>UCakwd7fE8Kfkq-aIcrDmCyQ</t>
  </si>
  <si>
    <t>UC1d5koc5cVDThGB-0dx6-qg</t>
  </si>
  <si>
    <t>UCJ2DPOliTQSNWVeJWNWL6JQ</t>
  </si>
  <si>
    <t>UCUqHjKKkpSvDJQoV3N9fnbg</t>
  </si>
  <si>
    <t>UC6l9viMdZpovW5qH05GBIyw</t>
  </si>
  <si>
    <t>UCuT2Sw3RhOPwj5pj-xwHqJQ</t>
  </si>
  <si>
    <t>UCCjUBa9TMpYmsnKazkV75ig</t>
  </si>
  <si>
    <t>UC37l04o9cEn2iiLJmcgMYtg</t>
  </si>
  <si>
    <t>UCKATni_cPtV4ZO80MpTvXsg</t>
  </si>
  <si>
    <t>UC3AEIcsSKLrjvUUtEduZZ5g</t>
  </si>
  <si>
    <t>UC9PoSJoftLvEnXT-PtQ5Wtw</t>
  </si>
  <si>
    <t>UC6d0kHLA4jnpq50OAuMfRhw</t>
  </si>
  <si>
    <t>UCZ66fgy4YeJheQdu-G4U2Mg</t>
  </si>
  <si>
    <t>UCgwCja7-NXA9c_Supcf2rbg</t>
  </si>
  <si>
    <t>UCWL0LmizRxcHY76dahSHttQ</t>
  </si>
  <si>
    <t>UC20TPWLJPdIZYMz3NyRla_g</t>
  </si>
  <si>
    <t>UCTRxnMudmOGNw0g4gZf5D8g</t>
  </si>
  <si>
    <t>UC-LAdUcXpFsz2DGFIcHeHDw</t>
  </si>
  <si>
    <t>UC_P81iEFMySBDvVypl5qMJQ</t>
  </si>
  <si>
    <t>UC3h71tP1oBtqoi2JSt7n_Pg</t>
  </si>
  <si>
    <t>UCdwS-tjn0CKVoLD05KjN-dw</t>
  </si>
  <si>
    <t>UC_6BoiaLZ0eS2x2_dSqsoyw</t>
  </si>
  <si>
    <t>UCAbBB48flN4pVEcqa37QE1w</t>
  </si>
  <si>
    <t>UC6I5tQ-T-aGQHOPpiEL-4qQ</t>
  </si>
  <si>
    <t>UCMsEZ4DiNPPHx-Fkc_ECuBg</t>
  </si>
  <si>
    <t>UCfeVHm8AqJ0AtvtjhFoFT5A</t>
  </si>
  <si>
    <t>UCWgYtZWVHvDUTqItB6lwI4A</t>
  </si>
  <si>
    <t>UCFAxAC1DLKO9oc-esOC801Q</t>
  </si>
  <si>
    <t>UCTnETM8SXLVChvnf6wAfyxg</t>
  </si>
  <si>
    <t>UCmkaKwsynD0a253v0g3Sj1g</t>
  </si>
  <si>
    <t>UCEmJubp8-iSy1gXBVkaMImg</t>
  </si>
  <si>
    <t>UC2SoO31MFfwqNgGGZSkTZcg</t>
  </si>
  <si>
    <t>UCaRSag9TtV33NAk67dmu9Yg</t>
  </si>
  <si>
    <t>UCp5gcCb33T5k7i72FX4n-5g</t>
  </si>
  <si>
    <t>UCtuESp4KJSEW1qa6xMN73fg</t>
  </si>
  <si>
    <t>UCUcteoS0r4xCtK8D3bD3I8Q</t>
  </si>
  <si>
    <t>UCEolzR2qzWvZys2WFgvgSsw</t>
  </si>
  <si>
    <t>UCtHGthV3UJb_fUn0r3csQ7Q</t>
  </si>
  <si>
    <t>UCVtv2TredJ2LSwuxsYvr8Og</t>
  </si>
  <si>
    <t>UCqTJFC4i1X261hhma5DQGaQ</t>
  </si>
  <si>
    <t>UC8uiiMlcVCotLe6eyoY3Fjw</t>
  </si>
  <si>
    <t>UCDyqCxqgF6wmT5TkSCjIcyw</t>
  </si>
  <si>
    <t>UCjryV4VoaDou6yZzep7005w</t>
  </si>
  <si>
    <t>UC8FAP0wDUZz2rHh86cpppog</t>
  </si>
  <si>
    <t>UCc7gpqMnnOSbU_F2-5MVVZw</t>
  </si>
  <si>
    <t>UC-7jpsrhuSgkze9xC5pN2_A</t>
  </si>
  <si>
    <t>UCbOuW8UdzNMteORjGDiIIhw</t>
  </si>
  <si>
    <t>UCUeMAFA1drmYIHIE_5fXD8w</t>
  </si>
  <si>
    <t>UCGpTso5vLOk1POX2ruxBwAQ</t>
  </si>
  <si>
    <t>UCE-b8Z139G8rq9ekW8VjVQA</t>
  </si>
  <si>
    <t>UC-PPlFHLfi4wcFOe6DrReCQ</t>
  </si>
  <si>
    <t>UCHdHf5RbtKxgaAm9aQEKaVA</t>
  </si>
  <si>
    <t>UCqwg9ocLh_vc21PpErWZP1Q</t>
  </si>
  <si>
    <t>UCIfPgdRBzL9kbGSjynfuMOw</t>
  </si>
  <si>
    <t>UCoQOfMZRp55bM3uSHcW0nlQ</t>
  </si>
  <si>
    <t>UCNXVaq8LI7xBwZ76HJqlvvw</t>
  </si>
  <si>
    <t>UC9n-IAg-OK1d5h0NU6wPPKw</t>
  </si>
  <si>
    <t>UClvpZMFJC3nE6Lup1Ota5iA</t>
  </si>
  <si>
    <t>UCevnL1_oC_oAEmBnuk-789A</t>
  </si>
  <si>
    <t>UCDpp2MFPdh0xH8GXtv2kxtg</t>
  </si>
  <si>
    <t>UCWTPoWjoIeJphM41a-yA-kg</t>
  </si>
  <si>
    <t>UCEsVZ_OsV6GEjrpfrpEuZ1w</t>
  </si>
  <si>
    <t>UCZ9pGv09SzccI_ZP8j6zbfA</t>
  </si>
  <si>
    <t>UC4jBN3QMGcqVm_GLhu28xUg</t>
  </si>
  <si>
    <t>UCKHNtOTcwDm-qQst3-RpQlw</t>
  </si>
  <si>
    <t>UCDQ4bJwODX15QPrj0CCGUSw</t>
  </si>
  <si>
    <t>UCGh8Ngvs91EZFMzFygZAnsw</t>
  </si>
  <si>
    <t>UCZL8IjsvThThoDgmTYrZM2w</t>
  </si>
  <si>
    <t>UCjdV7QZWoie4CeqqYPsi7hw</t>
  </si>
  <si>
    <t>UCI1iAolc9wHoIL9Pe03fi7w</t>
  </si>
  <si>
    <t>UCrsaRHU7C1Rl7y0eP6zn5Rw</t>
  </si>
  <si>
    <t>UCG0OsYCIhgSce_TyTM_kc8g</t>
  </si>
  <si>
    <t>UC4nVN8yo19nKuJgA9RKCTRQ</t>
  </si>
  <si>
    <t>UC8Upsc0lcPIJGu4KNfUzJkA</t>
  </si>
  <si>
    <t>UC6RzhpVvcxwW-oZ9oYiXO0Q</t>
  </si>
  <si>
    <t>UCF_aWln1bSo3AEOD4F5pVUw</t>
  </si>
  <si>
    <t>UCkfrCsQB93Gt9ttWWQHg0tQ</t>
  </si>
  <si>
    <t>UCFMHW0eAkAh8mITEV1e_pPg</t>
  </si>
  <si>
    <t>UC7qKyp8hxObGIpeO3Xu2XPA</t>
  </si>
  <si>
    <t>UCjeu9L1rO-LQ88NsC5IK3XA</t>
  </si>
  <si>
    <t>UCxFqu5ogfORHnip6r9oC1eA</t>
  </si>
  <si>
    <t>UCFS8aUm5hUyZRQgRRuu57UA</t>
  </si>
  <si>
    <t>UC5oAzZA9ymIVTkIhEt0Rb2A</t>
  </si>
  <si>
    <t>UCaGrNkYMG_05mCjeLQy6yzg</t>
  </si>
  <si>
    <t>UCYM-JUh0TkkiGoaDY5eqkFA</t>
  </si>
  <si>
    <t>UCan6AI1ASU12XvVTom1WglQ</t>
  </si>
  <si>
    <t>UCs8tCrQGj_1_lXZwRiJO3oQ</t>
  </si>
  <si>
    <t>UC5xHrtUXzY7jem1wV1xxVHQ</t>
  </si>
  <si>
    <t>UCSQ7hHnWkDMyDBEp-h1Pqbg</t>
  </si>
  <si>
    <t>UC3Le06q7afg_FmSj6huHJPQ</t>
  </si>
  <si>
    <t>UCjEZzGGnUEius3ooJYtijuQ</t>
  </si>
  <si>
    <t>UCTxNZI7BOwoFoVWNEfIETLg</t>
  </si>
  <si>
    <t>UCCx-9-HIZdStDXjxeoOi0OQ</t>
  </si>
  <si>
    <t>UCumAv_FEtgLh1IWPknzJ0OQ</t>
  </si>
  <si>
    <t>UCDN-_nPU-4rKTMsb0RERtXg</t>
  </si>
  <si>
    <t>UCcLsovdT-CpnCwUZ_FsNfnQ</t>
  </si>
  <si>
    <t>UCakj-rp4juLPptYDl8KiHrw</t>
  </si>
  <si>
    <t>UCgs9JNEtY4HOIK0fLEPyT6Q</t>
  </si>
  <si>
    <t>UCu0vra4jQ4esgUpJ9nx3LlQ</t>
  </si>
  <si>
    <t>UCwedbKo27-rwgZqkYYQwZbA</t>
  </si>
  <si>
    <t>UCV3rR6KyYPPVlQ0DdGSgI8A</t>
  </si>
  <si>
    <t>UCX2GQwY94aG8f5tjQufl1Mw</t>
  </si>
  <si>
    <t>UCbPfW4KDhfbEwCcW0kHrR9g</t>
  </si>
  <si>
    <t>UCHJeCmKzFq3u3DuvnpeK4bQ</t>
  </si>
  <si>
    <t>UCG6JaN60ZwTEPk3rE8Sjq_w</t>
  </si>
  <si>
    <t>UCvxAt_WebjZ_-pMsxpraROg</t>
  </si>
  <si>
    <t>UC0OV_58VSgsCS6Z5t57IiNw</t>
  </si>
  <si>
    <t>UCWtKeCH3qnbq6GZpDiqgsKg</t>
  </si>
  <si>
    <t>UCc9_SUiDCV6DSSndt9o8W4g</t>
  </si>
  <si>
    <t>UCUzR0J-zG9fI1BPKGhpEHKA</t>
  </si>
  <si>
    <t>UC9j4z77QxI3mJhl5yi58i0w</t>
  </si>
  <si>
    <t>UCz2MRZfgplMHj-oQzrAee_w</t>
  </si>
  <si>
    <t>UCIW-VKVfc1eSV1hLK27zrLg</t>
  </si>
  <si>
    <t>UCCTvQztzIHQiklKLMIVrAyQ</t>
  </si>
  <si>
    <t>UC8L_SQU-FqIMk-4AfWT2CvA</t>
  </si>
  <si>
    <t>UCcT2rs8wqyzl2ywrsI24HiQ</t>
  </si>
  <si>
    <t>UCNp2LwM79QJYEwt25o8-B1w</t>
  </si>
  <si>
    <t>UC42UCFu4p4sRHWNOyCjkqGQ</t>
  </si>
  <si>
    <t>UCdwBYEuX-E8WxBnOkkv22ZA</t>
  </si>
  <si>
    <t>UCdEtpnaEyqVJ3p5Xm3OqMEg</t>
  </si>
  <si>
    <t>UCwfn1QfWF_L83WXf5e7tFsA</t>
  </si>
  <si>
    <t>UCU1fdHIAHC5XH8B_8hcCHUg</t>
  </si>
  <si>
    <t>UCtn51SvTKCLLpkIgDvs04Fg</t>
  </si>
  <si>
    <t>UCD_u3AOsgY6fFy61PEKoo4A</t>
  </si>
  <si>
    <t>UCGxA4M015NeJk3HCQU8S9SA</t>
  </si>
  <si>
    <t>UCU6xdXgWliHaAVKIVgNRK-Q</t>
  </si>
  <si>
    <t>UCMLa7SJrUOsbif-G_OhGnbQ</t>
  </si>
  <si>
    <t>UCwXxvdxjPxzGOYTaeXRDpDA</t>
  </si>
  <si>
    <t>UCkuYgPPSM3GRjrAD3_GRz5Q</t>
  </si>
  <si>
    <t>UCoBN-gIC21XDYMS9AlX8KYw</t>
  </si>
  <si>
    <t>UCSxY3aIGBg47WJASNYH6mUA</t>
  </si>
  <si>
    <t>UCwtjcbbTiBVoQIP_8gw4NJw</t>
  </si>
  <si>
    <t>UCmwNuWt_fCOJRxGQrBcb_jA</t>
  </si>
  <si>
    <t>UCTLfuOKdEa_r8lA2nS9qf4Q</t>
  </si>
  <si>
    <t>UCa9J1UPcs06nJwcgxs8SWDA</t>
  </si>
  <si>
    <t>UCeeMw_s2hpFBVGHkKQA1ZAg</t>
  </si>
  <si>
    <t>UCV89ngCOt2xnpCIQ2gvnTzQ</t>
  </si>
  <si>
    <t>UCbY6-Gp0aEHJpS9vPtcKWeA</t>
  </si>
  <si>
    <t>UC77irA3lLTw8XdPg7hvUU4Q</t>
  </si>
  <si>
    <t>UCe0j3EGS9KpS_JSkeoEAJLw</t>
  </si>
  <si>
    <t>UCt-t1tWP9KomYYQEJngX3Qg</t>
  </si>
  <si>
    <t>UCCwVj2-APiNMld6GuMxgZbQ</t>
  </si>
  <si>
    <t>UCOrU-4WlqHEnzEQ-_p1Ye1A</t>
  </si>
  <si>
    <t>UC-XJ8lZ6jgUsQj1GO2jN0pA</t>
  </si>
  <si>
    <t>UCuq09_Q76XZ4xlmGLidKjVQ</t>
  </si>
  <si>
    <t>UCyri-PL3l4Dn9IooWXQAqfA</t>
  </si>
  <si>
    <t>UCvs8v1B4G9NNWyiZSkPPsXQ</t>
  </si>
  <si>
    <t>UCsz7zblpw6YGxIw9W5N4KCA</t>
  </si>
  <si>
    <t>UCM0--k8uumfySc926W-ydlg</t>
  </si>
  <si>
    <t>UCwAR5SElzS5RkZxVGvEnr0Q</t>
  </si>
  <si>
    <t>UC-gtfXHnc4yjKwwgdVSmKzA</t>
  </si>
  <si>
    <t>UCwrq2QOdDoje0juh5d5ewWg</t>
  </si>
  <si>
    <t>UCSkbxW8NBCruk2qAwzLlJkg</t>
  </si>
  <si>
    <t>UChiofp_leIyBYw6LESTjeJQ</t>
  </si>
  <si>
    <t>UCX5TUz6WjVi2x1xT1vzdqEA</t>
  </si>
  <si>
    <t>UC5LPsrt_LivE-0SWmJfg-hw</t>
  </si>
  <si>
    <t>UCu4ZjeBUFVringyEVWzTskA</t>
  </si>
  <si>
    <t>UCLkqEqZTjlpx9yY97LC50dg</t>
  </si>
  <si>
    <t>UCEKcQCTOaJISRIf3P2HK4MA</t>
  </si>
  <si>
    <t>UCbHvajCYarrwp3PucixS4Iw</t>
  </si>
  <si>
    <t>UCp0hA_QrZU6CjonSJYC0hiQ</t>
  </si>
  <si>
    <t>UCOsAnmmNTp2wwma4QUyq9cA</t>
  </si>
  <si>
    <t>UCBE0kDDhhJVR5whCEcdh8xw</t>
  </si>
  <si>
    <t>UC0toc0pUhez0eAk4aObU6xA</t>
  </si>
  <si>
    <t>UCrOQfzW6Wyw_pmP02nkbixA</t>
  </si>
  <si>
    <t>UCDVMZxvlFIPTwqhe-i_EEUA</t>
  </si>
  <si>
    <t>UCo5ujm2NK320Lit5biyectQ</t>
  </si>
  <si>
    <t>UCDR90GpWzW-YLwBJdD4OehQ</t>
  </si>
  <si>
    <t>UCGVl1yTUqXovofQZk8r7mKA</t>
  </si>
  <si>
    <t>UCs4STJ5bnHxyGtZAvO42ang</t>
  </si>
  <si>
    <t>UCavlaLqpPQ8WmlF-qBTn3Bw</t>
  </si>
  <si>
    <t>UCwvaQ_T2IyOvNeMBchvhFlw</t>
  </si>
  <si>
    <t>UCQZ9eA25Gp8K4iiYeFN_82w</t>
  </si>
  <si>
    <t>UCUzV1c3Iil0hhkaR3YOJbew</t>
  </si>
  <si>
    <t>UCVZapV0958xAUsCctF_ED4w</t>
  </si>
  <si>
    <t>UCQDXX85N-6f2DVQAGm3vncQ</t>
  </si>
  <si>
    <t>UC8kLnPyn_8QYQzV42-_rYIg</t>
  </si>
  <si>
    <t>UCVl-3gdwsR8ph-JoPX_pnNw</t>
  </si>
  <si>
    <t>UC-E5mr-VPLe3bO725QjqGnw</t>
  </si>
  <si>
    <t>UC9H6xH4t2dREDy2cC8AC7iQ</t>
  </si>
  <si>
    <t>UCyGRqIWaKw79FC3VMKSCRqw</t>
  </si>
  <si>
    <t>UC8qkCAuQf59XvXrTwTpdOfQ</t>
  </si>
  <si>
    <t>UCH8C3uC0fapVBx4xb_GgrtA</t>
  </si>
  <si>
    <t>UCtKVHbY52OkIoITm9jQ0mmw</t>
  </si>
  <si>
    <t>UC51V8U7NjgeOXwnQgPnNbHA</t>
  </si>
  <si>
    <t>UCbIHXx0FVQCXG1fhkgnJINw</t>
  </si>
  <si>
    <t>UC7nzOo8R4TodMhQsXER2h6g</t>
  </si>
  <si>
    <t>UCY-G2UaVNJ9ahUnm5EIDtmw</t>
  </si>
  <si>
    <t>UCsHEx2nKaxDlyvw9MKZ-Fzg</t>
  </si>
  <si>
    <t>UCAOu3bPpngpCQkd4ksOg-yQ</t>
  </si>
  <si>
    <t>UCtch8OKgrqBBswTAmRtH5qA</t>
  </si>
  <si>
    <t>UC83TQkgdJVFi61ldxWWvwOA</t>
  </si>
  <si>
    <t>UCyJ_mCXzY-uSZDkhpKj0onA</t>
  </si>
  <si>
    <t>UCZi4KO44rQlGuAi4RxGkWgw</t>
  </si>
  <si>
    <t>UCBtEvaODmv8LMXvQs6EMEHA</t>
  </si>
  <si>
    <t>UC8hv12-RMrsyInCHruZmzDw</t>
  </si>
  <si>
    <t>UC6JoN6HfrT__TeICgr8ZH3w</t>
  </si>
  <si>
    <t>UC-z4dRvDO-OPsYWYD3ROFWQ</t>
  </si>
  <si>
    <t>UCwB6wOLDmjjTbemBXT3q6eA</t>
  </si>
  <si>
    <t>UCmzkNxK2ue20iSUDZkDF9PQ</t>
  </si>
  <si>
    <t>UCgdAgAvzx2NSPW_915uoAGg</t>
  </si>
  <si>
    <t>UCBJ1_kfnW3XKDluj28Zvsig</t>
  </si>
  <si>
    <t>UCA60sATnI1IOuP9uE-Rzmxw</t>
  </si>
  <si>
    <t>UCDkM5CLTtn5vayQU_ieKjbQ</t>
  </si>
  <si>
    <t>UCJFfHZakDHcFVwkyhgwxAAA</t>
  </si>
  <si>
    <t>UC4fFdfFiDfVCVxzZB61Vd4Q</t>
  </si>
  <si>
    <t>UClxlwQMEiVh78iR5GrXKSBw</t>
  </si>
  <si>
    <t>UC2cOzRAuLCwepq50zczWS8g</t>
  </si>
  <si>
    <t>UCT5I1pLXZcoKzf0GN2vOluQ</t>
  </si>
  <si>
    <t>UCXmMVXqAk98cwkI1R0VmU3Q</t>
  </si>
  <si>
    <t>UCUkWWu0TGW0Lro4Gw6IkBow</t>
  </si>
  <si>
    <t>UC_DDyK2FZhSIYhzom9pN1iA</t>
  </si>
  <si>
    <t>UC7IPsxd29n1iXO3GAv-p35w</t>
  </si>
  <si>
    <t>UCyOXm3cRE-kkeAwlkH5jGxw</t>
  </si>
  <si>
    <t>UCWZxPthDIiNJrKx4U1JyhuQ</t>
  </si>
  <si>
    <t>UCr8uEbKAxiX0dVDejI0nufw</t>
  </si>
  <si>
    <t>UCoxkw2pRInY66uAbuilcvkA</t>
  </si>
  <si>
    <t>UCYlffikT4wRswemlcQT7mbg</t>
  </si>
  <si>
    <t>UC3b7kZogr-LBdKCYcTxx45g</t>
  </si>
  <si>
    <t>UCHQh1cdzLuSY8bpYmeb8yfw</t>
  </si>
  <si>
    <t>UCSljO84JCPeaefyHe-8voIg</t>
  </si>
  <si>
    <t>UCKEMkY718AYCMcsdAKNaQaA</t>
  </si>
  <si>
    <t>UCTTxUEpmKcAtLQq8LtAUg-w</t>
  </si>
  <si>
    <t>UC9gZfKhsWcgnQPRyXsiZhDg</t>
  </si>
  <si>
    <t>UCIqJ2bX1IC-89S57Mle70xQ</t>
  </si>
  <si>
    <t>UCxDMP8CQM6ZWKdnVLg7RM2w</t>
  </si>
  <si>
    <t>UCWsb93vr1VhFFE2H3XZjgtg</t>
  </si>
  <si>
    <t>UC4h5HiUpjz4yIO5vrdGdS_g</t>
  </si>
  <si>
    <t>UCdk4ulweUJMDehDYWgDFTiw</t>
  </si>
  <si>
    <t>UCzI8K9xO_5E-4iCP7Km6cRQ</t>
  </si>
  <si>
    <t>UCQMSkUrawfoP_HB48-yWPZw</t>
  </si>
  <si>
    <t>UCWAuoYAZW3QK69nS4Oa9IPw</t>
  </si>
  <si>
    <t>UCVlBlkDJLP6njmZL5K8lMAg</t>
  </si>
  <si>
    <t>UC_Km_defHuGkxh8RpDmCO8A</t>
  </si>
  <si>
    <t>UCXORMXv82HqtO_UzXmLeoTg</t>
  </si>
  <si>
    <t>UC4GeYPaBvft1uzEb3be-QqA</t>
  </si>
  <si>
    <t>UCyiO3pCmFPBBIDcwcrRdXqw</t>
  </si>
  <si>
    <t>UCZlfSdM78jWIwK4PrpiyQGA</t>
  </si>
  <si>
    <t>UC_hULTloOyKL4WXAabX9hoQ</t>
  </si>
  <si>
    <t>UCwvTcWpx9ukwJIXm4muw4xw</t>
  </si>
  <si>
    <t>UCBQqcqVBizB5Mshpf3I-PCQ</t>
  </si>
  <si>
    <t>UCAhodEt_IeuIpG4gOe-AJQA</t>
  </si>
  <si>
    <t>UC8tjpscH7cvxk_aAvr-ks9g</t>
  </si>
  <si>
    <t>UCim8F-orfyR2_0O9QK7Y75g</t>
  </si>
  <si>
    <t>UCuXLeXtBrbgFwAdgRoSMbUA</t>
  </si>
  <si>
    <t>UCSWjM0ORyn939FbnF7y3Hxg</t>
  </si>
  <si>
    <t>UCiIYUY_Hcx3tfFNB2CnFxrA</t>
  </si>
  <si>
    <t>UCZm5XU5WfJbL7rYzkvgR_xA</t>
  </si>
  <si>
    <t>UCIxi6j0TECM_yhfCPYaJ6Eg</t>
  </si>
  <si>
    <t>UCLmCnRy6nPVlOvWF_l5u31w</t>
  </si>
  <si>
    <t>UCCD2UNMu9nvcTa-VXNlrdQg</t>
  </si>
  <si>
    <t>UCJxsndCAXaW1-7XFIxMniXg</t>
  </si>
  <si>
    <t>UC8OYS8Is3A_xFsxNsM2n0lA</t>
  </si>
  <si>
    <t>UCOWBL2B_JnbqJbhCaE4iJfQ</t>
  </si>
  <si>
    <t>UCvW2sI1mbbjcoYN4yM5h2mw</t>
  </si>
  <si>
    <t>UC8Lbs3BiOwzffell6CMCwsw</t>
  </si>
  <si>
    <t>UCpCbhelbss2iOLcDztqEeow</t>
  </si>
  <si>
    <t>UCtKSkSUu9xxY3k1s781as4g</t>
  </si>
  <si>
    <t>UCRL_2v-1iVTVhDmFlimyPKQ</t>
  </si>
  <si>
    <t>UCDats_DLX-bGZH3-KGu8JhA</t>
  </si>
  <si>
    <t>UCQh8vkwWNXLvyHVwi-8gN4A</t>
  </si>
  <si>
    <t>UCgVxxq6TXsN3OvoxnU4hfNQ</t>
  </si>
  <si>
    <t>UC5tCWj2dx3eK9WlVuuKyI-Q</t>
  </si>
  <si>
    <t>UCl5skzjHbLDG-C_p90R-iHQ</t>
  </si>
  <si>
    <t>UChVLogNfxiPMMZB23iK0unA</t>
  </si>
  <si>
    <t>UCmruVxLF0o0b6VP8OPgprsA</t>
  </si>
  <si>
    <t>UCgra6O-WDhVSwUCLlOZU8Zg</t>
  </si>
  <si>
    <t>UCuEJUtNsOD5tQlezWwZvEag</t>
  </si>
  <si>
    <t>UCsJO8p6lnyjZkuLO2k0qFXA</t>
  </si>
  <si>
    <t>UCMUNHqVoOleBzcLP8AA1riA</t>
  </si>
  <si>
    <t>UCwBpG9h_-u8QUgtOkz7cQ9g</t>
  </si>
  <si>
    <t>UCwSPpHFbgl2MRlzmALTcvzg</t>
  </si>
  <si>
    <t>UCgWxxSxDi1NH9kXdg7307wQ</t>
  </si>
  <si>
    <t>UCTgp5gCEhHMdaU-819uu70A</t>
  </si>
  <si>
    <t>UCj3_pQsYYuoK148JzKTEu_A</t>
  </si>
  <si>
    <t>UCke36Liq-w5fboMHkq1APZw</t>
  </si>
  <si>
    <t>UCXM6yS_zMZfdZ924hFLK1og</t>
  </si>
  <si>
    <t>UCDiNOQnEb5XhMNLzjHHgWhw</t>
  </si>
  <si>
    <t>UCHCqSLB99Oa3p2XiHFJ8eXg</t>
  </si>
  <si>
    <t>UCgwjt9aW4Ls8rtggo6raBEA</t>
  </si>
  <si>
    <t>UCCJI7FWb_6Ikg8cfmOcl6GQ</t>
  </si>
  <si>
    <t>UCLyx-gpKaPEgNwwNC4Wu0ow</t>
  </si>
  <si>
    <t>UCp8bT9ne4QZY-vNwx0tvd-Q</t>
  </si>
  <si>
    <t>UCBv2UmBb-VlBX9yxVIyELhw</t>
  </si>
  <si>
    <t>UCA6KcDK1RAOqzFAPGK1mP0Q</t>
  </si>
  <si>
    <t>UC0OmTNvg0sdYChbF80TuMew</t>
  </si>
  <si>
    <t>UCpWrNrZk60G4A2zqHTtbv7g</t>
  </si>
  <si>
    <t>UCVlcEAvjTxJt0SORoU07CwA</t>
  </si>
  <si>
    <t>UCTnjH0zEIm6aJCSDqFPE3ng</t>
  </si>
  <si>
    <t>UC9Fu17N0dxqJfbdpFT7Rcjw</t>
  </si>
  <si>
    <t>UC93mvkKXtyyEYOwxwsSsf8w</t>
  </si>
  <si>
    <t>UCE2q3AJQWnnsPLvwiVdU8xA</t>
  </si>
  <si>
    <t>UCoZVlWqnh9Y__VEylraaFdw</t>
  </si>
  <si>
    <t>UCPc7N5MmLjZofBSiPsvSHaA</t>
  </si>
  <si>
    <t>UCuFZIHBYk2IBffqRdW8zfuw</t>
  </si>
  <si>
    <t>UCleL9yejvbCSpUnfCVF1ekw</t>
  </si>
  <si>
    <t>UCFnyJfNPS_GqyOTgGvQ_HOA</t>
  </si>
  <si>
    <t>UCngwthoufuilGgXOkaFdg6Q</t>
  </si>
  <si>
    <t>UCRGxe7sX8nLI1F6NKz3hCvA</t>
  </si>
  <si>
    <t>UCEmOg9ooeiihAemFze-jQrg</t>
  </si>
  <si>
    <t>UCkPdqdBs_BYj9v4zCPWsHOQ</t>
  </si>
  <si>
    <t>UCkF5z1T4zVELKcPQlt-gP1Q</t>
  </si>
  <si>
    <t>UCiirFsFUcJ4LTWQ1YhyIFFg</t>
  </si>
  <si>
    <t>UC78ugGolZN0KBdOa7wjaJ9Q</t>
  </si>
  <si>
    <t>UCy99aElWGKFO64VVMPtqB2A</t>
  </si>
  <si>
    <t>UCr0DLaTYarzA3SxgZbKZXoA</t>
  </si>
  <si>
    <t>UCfAQyYnq_5oIVRd7fDsTg6A</t>
  </si>
  <si>
    <t>UCQuCr0-tPVZsBYbQfXLuBLg</t>
  </si>
  <si>
    <t>UCzrTsagimO8Ao2qCRnVPUHA</t>
  </si>
  <si>
    <t>UCGjZ_l_TvqM6zmRMZXTQ1aQ</t>
  </si>
  <si>
    <t>UC5bne-A4xJ08BmMpq4NB9kA</t>
  </si>
  <si>
    <t>UCuNIUeu993vlajAB87mCzoA</t>
  </si>
  <si>
    <t>UCYeUS1kY4bTdQa82wPsLGyA</t>
  </si>
  <si>
    <t>UCE20gsUW8Qpe9GbkfNUGNuQ</t>
  </si>
  <si>
    <t>UCZ1n9eo4LEY7ZQnkEjMPEfQ</t>
  </si>
  <si>
    <t>UCrK3rt-_JWd7pfica_YG2DA</t>
  </si>
  <si>
    <t>UCJBNVRG4o5ya5uc1fTnjUxQ</t>
  </si>
  <si>
    <t>UCMjf6P1rYTP2S_WX-9rqACg</t>
  </si>
  <si>
    <t>UCJyDelMvxUCceKJKQ67Ymyg</t>
  </si>
  <si>
    <t>UCAbQFC-TUMaIZoWLsQ7lhAA</t>
  </si>
  <si>
    <t>UCKRKRYfCtjmU7_ahJfNR43g</t>
  </si>
  <si>
    <t>UCifqJm4QMYTtrxZb_bN02Pw</t>
  </si>
  <si>
    <t>UCcMfdha8Z7wr5lMMoGjUnIA</t>
  </si>
  <si>
    <t>UCLdQzuIuagkREkhrNia3GAA</t>
  </si>
  <si>
    <t>UCzQsMoaAwj7xZa24Qz86N5g</t>
  </si>
  <si>
    <t>UCqTdxhfT7YrQ0bdfKgTF6WA</t>
  </si>
  <si>
    <t>UC65j6N2yqICxwRfE116A0vw</t>
  </si>
  <si>
    <t>UCLBoaTqXiTLs_esjy6skGIQ</t>
  </si>
  <si>
    <t>UCZt6GXD3VnY4rsvXqLX8IQw</t>
  </si>
  <si>
    <t>UC_FJ2hiPpsaXCeyL0RiP1iA</t>
  </si>
  <si>
    <t>UCRKiMqH27Xr0TIDj7bMtMCg</t>
  </si>
  <si>
    <t>UCt6xzUAH3ISwMDlM6JsBErQ</t>
  </si>
  <si>
    <t>UCg8hJdLl7PD8XjXQ4q1CVvg</t>
  </si>
  <si>
    <t>UCeEwcLXK4MVCoseZTaR9kuA</t>
  </si>
  <si>
    <t>UC01sCa22i8CVRRUaXCZ2Ybg</t>
  </si>
  <si>
    <t>UCVWuHjVeaHTZfQXxX791-Rg</t>
  </si>
  <si>
    <t>UCXM6YdJn7YVBoLqMBZG-8DA</t>
  </si>
  <si>
    <t>UCs_f85rEJMCBUMCiChKYzfg</t>
  </si>
  <si>
    <t>UCzWh1dxLlGtYtVqQWyw4w_Q</t>
  </si>
  <si>
    <t>UCi129kJgC1lL9x-GcMfI3Qw</t>
  </si>
  <si>
    <t>UCGIAhyXKGHuK2Y8VABCObiA</t>
  </si>
  <si>
    <t>UCV-aKADhLal5ki1ZqEAqjjw</t>
  </si>
  <si>
    <t>UCcl4k_ZnFg7-PNWZ_p-qeMg</t>
  </si>
  <si>
    <t>UCHpy4Lr9kfI_IDtLgL4ju5Q</t>
  </si>
  <si>
    <t>UC2-cInwyBeJ8jYGcZIUQ_Mw</t>
  </si>
  <si>
    <t>UCkR9kGDDgZJUdSkqkY8qqcw</t>
  </si>
  <si>
    <t>UCwTbbwHWLpBhNtUneCVUgvA</t>
  </si>
  <si>
    <t>UCmhe0p2-m_KURZYQNchK-QQ</t>
  </si>
  <si>
    <t>UCGdU_dV1xXjY365DZ4bJzYA</t>
  </si>
  <si>
    <t>UCQyuWRF40p4f5S1F6iD8Wlg</t>
  </si>
  <si>
    <t>UCndmj62YoEwttvbGEdWdmyA</t>
  </si>
  <si>
    <t>UCfJoeBRC5wJRro9sIc6YwlQ</t>
  </si>
  <si>
    <t>UCzFMf_-C5PsooDhLt4ujGMA</t>
  </si>
  <si>
    <t>UCW5ZADpnK4CbFKyqN8yPqaw</t>
  </si>
  <si>
    <t>UCc-wpCDwLBUfCNBIHFfokgw</t>
  </si>
  <si>
    <t>UCIT7ZPNYhsuZ1-kYoz6m6YQ</t>
  </si>
  <si>
    <t>UCvu9_r5iMlL6e_Ymq31b4DA</t>
  </si>
  <si>
    <t>UCuaf1ktoj9sKjRy1Go9x_mw</t>
  </si>
  <si>
    <t>UC0eYzMXfJxYpzAsoABQJ0wQ</t>
  </si>
  <si>
    <t>UCDBy3wJjPt0aZ4UxcbJzEbg</t>
  </si>
  <si>
    <t>UC7-TjHdykLxYkkFJWDPu1og</t>
  </si>
  <si>
    <t>UCwGHTKlxg__AW5Jae6sf1rw</t>
  </si>
  <si>
    <t>UC0F3CP0drqQV_sgV6pvdkzQ</t>
  </si>
  <si>
    <t>UCiisF6eyXRtf6cmENCokijQ</t>
  </si>
  <si>
    <t>UCN_LnQ96YVvdtxG9h2HxLiw</t>
  </si>
  <si>
    <t>UCxaDz9jPF4eVZL8LzVa3xug</t>
  </si>
  <si>
    <t>UCz4iTnctd-NyR8snxOT1Psg</t>
  </si>
  <si>
    <t>UC9I8jU4gBuWs1Mf737x8Csw</t>
  </si>
  <si>
    <t>UCbAgKfKahvJFTIZXQahtjag</t>
  </si>
  <si>
    <t>UC9gEwbZVyfvisLCKjKRwnyQ</t>
  </si>
  <si>
    <t>UC5qk-osYbBIAA-CeUBGOpWg</t>
  </si>
  <si>
    <t>UCxPRKiHISnDo1v98dkHXAiw</t>
  </si>
  <si>
    <t>UC80vy5zkyMDYxU_PQy0nr0A</t>
  </si>
  <si>
    <t>UC2v1WpOO1CwlwbZ3GHMejEA</t>
  </si>
  <si>
    <t>UC365X-mldX-QPsxmIwyq2_Q</t>
  </si>
  <si>
    <t>UCh8pg6CXz9erbbAHwJ36Z7A</t>
  </si>
  <si>
    <t>UC8iHJ7ke5DqwO4mJ_9OO6_A</t>
  </si>
  <si>
    <t>UCShmhtE2YHcZdd46FkkbjGg</t>
  </si>
  <si>
    <t>UCtw4gixbKgicHy4rEQkDVVQ</t>
  </si>
  <si>
    <t>UCDGtqeBHixu-KT7Z900UNqQ</t>
  </si>
  <si>
    <t>UCdnnx1dCayjn9RGfI-hmhHQ</t>
  </si>
  <si>
    <t>UC3k6Cfk_BNGiGVX_s5UCs6Q</t>
  </si>
  <si>
    <t>UCjOXlKzzxdZG6BhKCQtWKWQ</t>
  </si>
  <si>
    <t>UC3wOsBou3LFVL6j_VXAVFOw</t>
  </si>
  <si>
    <t>UCjmiaywJOC6BozwxjHX9kRg</t>
  </si>
  <si>
    <t>UCszmPQuJOuL2MLxn_jzqxvQ</t>
  </si>
  <si>
    <t>UCnJzVg25D412Ly0YtSGtEsg</t>
  </si>
  <si>
    <t>UCv70UnAfDWrPDojrOJfGF6A</t>
  </si>
  <si>
    <t>UCafy77HuV0-_xXEnmNQxCyQ</t>
  </si>
  <si>
    <t>UCPiTeb0qUB12hvDWH7Pa6Gw</t>
  </si>
  <si>
    <t>UC2Sk-7BXA9XxsXijTo3eXlg</t>
  </si>
  <si>
    <t>UCMNWkCT9sl3Grpu_GvTBr0g</t>
  </si>
  <si>
    <t>UC0XMtgp0H7vlzAG8u2pWkYg</t>
  </si>
  <si>
    <t>UCseHui0yyp3BCOzh_MvXxcQ</t>
  </si>
  <si>
    <t>UCTAnlBGVdOuDDLy3WF_HPyw</t>
  </si>
  <si>
    <t>UC5pi5pD0ICvvAHGWvT7BdDg</t>
  </si>
  <si>
    <t>UCGqGWKlZ-9-p8_tgVemZKkg</t>
  </si>
  <si>
    <t>UC3L9A_BxTRzuQHtLxOg8WCQ</t>
  </si>
  <si>
    <t>UCYATfva4HDll4iZgUkr-hdg</t>
  </si>
  <si>
    <t>UCdMR959PfCiM3Y9p7Fr2Hqg</t>
  </si>
  <si>
    <t>UCkZd_LfJiUudv8aJE6Dur7w</t>
  </si>
  <si>
    <t>UCH-gOOzUrr4H10eI_f9GBtQ</t>
  </si>
  <si>
    <t>UCKd-Wfqr3kEIMCCP1GPMrYw</t>
  </si>
  <si>
    <t>UCq48RIJyxozpNWl5Qgkw7dQ</t>
  </si>
  <si>
    <t>UCmseUwOf5ngmBeHRPJv07vw</t>
  </si>
  <si>
    <t>UCJVdRMFCz7vdN3UlyAV1Fhg</t>
  </si>
  <si>
    <t>UCKgPKC2UhMXAo9D32BbOU4Q</t>
  </si>
  <si>
    <t>UCMY14hktTNGi_zrHShfY8JA</t>
  </si>
  <si>
    <t>UCYx1KqZAkLCqURnejZYLycQ</t>
  </si>
  <si>
    <t>UCOOip2GuRbjynekjbYodgBQ</t>
  </si>
  <si>
    <t>UC8J8Mjzm_F-fLnc9lMzLiSg</t>
  </si>
  <si>
    <t>UCGxep3lPsez5QZJRtFLK7mw</t>
  </si>
  <si>
    <t>UCwCKddovSCpQ6PNpIf7ORMA</t>
  </si>
  <si>
    <t>UCyQTue-4MKYUMai-Hetl4Gg</t>
  </si>
  <si>
    <t>UC4Gck5XdbCKJGdLrs8iqiMQ</t>
  </si>
  <si>
    <t>UCDatBjNBkcWM-xIFQTa212A</t>
  </si>
  <si>
    <t>UCjXoFsAE2XQk2eO9tJpf6mg</t>
  </si>
  <si>
    <t>UCFY4zPK5ncTJNO1Oc4HbwMQ</t>
  </si>
  <si>
    <t>UCKg5jaZNjA3axTVPZRJ6zIQ</t>
  </si>
  <si>
    <t>UCBW-1-gDbevHgStfAXgbkqg</t>
  </si>
  <si>
    <t>UC9JWnvl5ZjZv09F5RqiLptw</t>
  </si>
  <si>
    <t>UCFmMGcetY6yT4VLtDuC8TrA</t>
  </si>
  <si>
    <t>UCUHgN-A9ka_UvCd7amkjrHw</t>
  </si>
  <si>
    <t>UCP2q12OYjV-2Hj-Suzsqz0Q</t>
  </si>
  <si>
    <t>UCVQRkmqCZSV4TUhcegN2GJg</t>
  </si>
  <si>
    <t>UCCKwT30KrDn0txYHSNIqeBw</t>
  </si>
  <si>
    <t>UC2Erap74TIyr39C8-CsYCwQ</t>
  </si>
  <si>
    <t>UC7db8gjQbfKVy4H2JjDP-hA</t>
  </si>
  <si>
    <t>UCJpjQ2Z5VH9VQv6ad6I8Fsw</t>
  </si>
  <si>
    <t>UC0PCABNVT8toBV3cCE2Wy-A</t>
  </si>
  <si>
    <t>UCjs-qusGf8nbdbWNy6g58Dw</t>
  </si>
  <si>
    <t>UCEsGZnulexXKOQ9wWY1RShg</t>
  </si>
  <si>
    <t>UC2753A_EjWtEOt_9LeZtw7A</t>
  </si>
  <si>
    <t>UCQ8YI3Q9ZzpAsD3uJ1roq9A</t>
  </si>
  <si>
    <t>UCK_XEK6GaKE1VHne_Jif92Q</t>
  </si>
  <si>
    <t>UCZJcDejPgShIpNExoaN_EIg</t>
  </si>
  <si>
    <t>UC4aw7OjM2-T-Vm9Zbs1o4zw</t>
  </si>
  <si>
    <t>UCxEzwY-Pl3PYrXESIgdYGXQ</t>
  </si>
  <si>
    <t>UCsY49XZcJSogGDrCr8YLpqw</t>
  </si>
  <si>
    <t>UCHx2PDpK1QoY0HLfQ8TVwow</t>
  </si>
  <si>
    <t>UCj048BbykkLlBdi7rPkZMFQ</t>
  </si>
  <si>
    <t>UCbrVH9d2YOSUFfktfZA07hQ</t>
  </si>
  <si>
    <t>UC-2D3M90JCYb-2Nzu2Fv-eQ</t>
  </si>
  <si>
    <t>UCVqasCjwWsVWgaiP4WFRpfg</t>
  </si>
  <si>
    <t>UCUeocvBLLnLEcd9ibFH18dw</t>
  </si>
  <si>
    <t>UCnPbpVSe37tUM0UOGzaNMiw</t>
  </si>
  <si>
    <t>UC2ozzcjJsD0Q1DglEytSZrQ</t>
  </si>
  <si>
    <t>UCjtBaBTe1-IWJI-KQJVLvyw</t>
  </si>
  <si>
    <t>UCZDZV65-2XVTw8wH0yl2IqQ</t>
  </si>
  <si>
    <t>UCJ6j1kvBD_aALinVCUowmxA</t>
  </si>
  <si>
    <t>UCQrVlQOkcNxRA1Urjj9g50g</t>
  </si>
  <si>
    <t>UCjT6_sNT1aTc7JBqlFULh5g</t>
  </si>
  <si>
    <t>UCoArnOBDfejaCvrrhzC5bQw</t>
  </si>
  <si>
    <t>UCjyOW64EscX9cVSD7dUbpzQ</t>
  </si>
  <si>
    <t>UCaprahp6swmp7BUXrwMt2ZA</t>
  </si>
  <si>
    <t>UC4bDgHx8rFxOh2-Rc5UxqXQ</t>
  </si>
  <si>
    <t>UCT03JEcKbX-e9Q45jOmjSJg</t>
  </si>
  <si>
    <t>UCo1DF1WI8NjIDu_IZcXKl0Q</t>
  </si>
  <si>
    <t>UCYcSNY8zUfWKrpZm3GPFBVg</t>
  </si>
  <si>
    <t>UCBAgZ-DFLP2QPrv1AaFrNng</t>
  </si>
  <si>
    <t>UCyim2IjuwJHmNG5DHYEQ72w</t>
  </si>
  <si>
    <t>UCtj64mwssQEDBGhR6L47vqg</t>
  </si>
  <si>
    <t>UCo7S5qgzt1H66Qlepl90c1g</t>
  </si>
  <si>
    <t>UClzTEWo76_uCbW16ta1JYhg</t>
  </si>
  <si>
    <t>UCRuufFFF7QBSBGR8i1EMXrA</t>
  </si>
  <si>
    <t>UCnFrHLm2qQsMb9nND5SsCrA</t>
  </si>
  <si>
    <t>UCSNZY6JVbtuTuKqJAG_mHxw</t>
  </si>
  <si>
    <t>UCuafSL4vOtZtSxOnZpa4Y8w</t>
  </si>
  <si>
    <t>UCMQ6LAuP-HXd_S9HV52DhZg</t>
  </si>
  <si>
    <t>UCor35SrLuThXBbcUOokTccg</t>
  </si>
  <si>
    <t>UChKJcp3jpd20ge2WAZlWO1A</t>
  </si>
  <si>
    <t>UCrkQMtWNtuq-1j0q8c2RVeQ</t>
  </si>
  <si>
    <t>UCACsggM5x7HAFEutsU-hLyg</t>
  </si>
  <si>
    <t>UCDEwdcIWEpo91p8UxBdGs0w</t>
  </si>
  <si>
    <t>UCNwwaqjMdlMtLy0cwY9OD9Q</t>
  </si>
  <si>
    <t>UCIOpQbcUj5y_d3Z3HoNfD8A</t>
  </si>
  <si>
    <t>UCEU5GkE4iztslTaWv0F7NTg</t>
  </si>
  <si>
    <t>UCMjtCnm9EAxgvuzFKMe3lNg</t>
  </si>
  <si>
    <t>UCV30cm3XhAtktkXsyCy6fTg</t>
  </si>
  <si>
    <t>UCkvmk8vmtsuwlHt265OtXtg</t>
  </si>
  <si>
    <t>UC8qTsPmXV6JoOZ91D8kFWtw</t>
  </si>
  <si>
    <t>UCN4NbglGz8zoPNeb-6dgTDg</t>
  </si>
  <si>
    <t>UCnHjMIQm84JFZovWMA0T-NA</t>
  </si>
  <si>
    <t>UCNxj5MDSe31CKwOMWcdB0-A</t>
  </si>
  <si>
    <t>UCuDto9TosMmRIIX2-t1x4uQ</t>
  </si>
  <si>
    <t>UC5HxL24mt7cGhHiG2-JsdSA</t>
  </si>
  <si>
    <t>UCUvQiJ76luXrsOwMLb1EjnA</t>
  </si>
  <si>
    <t>UCpIQFA4l0Q0qRiHvHpOHRjQ</t>
  </si>
  <si>
    <t>UCjKQg2xz01Wfq2Q11hzJ3Pg</t>
  </si>
  <si>
    <t>UClFtqXt4UWHW0obWwHK53IQ</t>
  </si>
  <si>
    <t>UCdnAswLzqey__zV92alcK9Q</t>
  </si>
  <si>
    <t>UCfJivNAL3LW3xs547S-5xVA</t>
  </si>
  <si>
    <t>UCYizlE4afsNhluCSLFPr10A</t>
  </si>
  <si>
    <t>UCu2lnkymwFq2ySTXn2lqaKg</t>
  </si>
  <si>
    <t>UC9TLSoPpZw0a-PrE__gG2ZA</t>
  </si>
  <si>
    <t>UCUBmvnLUQ2IcOKM6nyo6bjA</t>
  </si>
  <si>
    <t>UC3e7NIf2DOS79L9EKg3ESiA</t>
  </si>
  <si>
    <t>UCEm15TtAeSJuGN7LNiizHMw</t>
  </si>
  <si>
    <t>UCuVb4vFoFO8maaRZoupRpAg</t>
  </si>
  <si>
    <t>UC6SZdwGIHMoC2WqC5nugBDw</t>
  </si>
  <si>
    <t>UCZbNi5DqBvaOZygMl8HfjDQ</t>
  </si>
  <si>
    <t>UCNcL_pyCG3Tt9NPGaBzpUKQ</t>
  </si>
  <si>
    <t>UCJMnwi5o_kFjA_vPgEbQ8Sg</t>
  </si>
  <si>
    <t>UC-Gn7EgShAINFthjuzxi9PQ</t>
  </si>
  <si>
    <t>UCKBmtpvPVux6e_hTKcdgekg</t>
  </si>
  <si>
    <t>UC--39GwFNIGO5synGNH8eTg</t>
  </si>
  <si>
    <t>UCJ1YrZg15MU-3iDPJhCyCrw</t>
  </si>
  <si>
    <t>UCY606J1h0M4LMgC7xFYtDbg</t>
  </si>
  <si>
    <t>UC3Q-kW3Yyj94J_TfVOliW6Q</t>
  </si>
  <si>
    <t>UCsMfc73weJdFWt1xCzsS6Wg</t>
  </si>
  <si>
    <t>UCJuMzU9bXLVy2dv6aSp47uQ</t>
  </si>
  <si>
    <t>UC58uzQLTQgLGj2JZ6A59D2g</t>
  </si>
  <si>
    <t>UC_W0pN2Ncqo5025TMnXSf2w</t>
  </si>
  <si>
    <t>UCpZxF2O5dgn0s-du2AnYGOA</t>
  </si>
  <si>
    <t>UCjLTH2TSthsO1vLZ0ryRebA</t>
  </si>
  <si>
    <t>UCVG3ZuAM6Uty8DHQ5RKxWmg</t>
  </si>
  <si>
    <t>UCdz-GnSp4g-NLn-qXseGO4w</t>
  </si>
  <si>
    <t>UCfIVDlzggOCin7LHTRve1OQ</t>
  </si>
  <si>
    <t>UCQgEiJUeY1vwEPdQrEX5IZQ</t>
  </si>
  <si>
    <t>UCj4C42RccW_wJ8ac24u5EZg</t>
  </si>
  <si>
    <t>UCfry4AGESQ19x_ENSm1lyfw</t>
  </si>
  <si>
    <t>UCP92ucn4oyy_u8BZ28iAIgQ</t>
  </si>
  <si>
    <t>UCQEzf8Pu7iyYyqlm-aucxyg</t>
  </si>
  <si>
    <t>UCcbBDuVQ1B6CEUiNPQ4DU0Q</t>
  </si>
  <si>
    <t>UCFSI96vClUFIq3P8x5WDSqQ</t>
  </si>
  <si>
    <t>UCKoF-qjX9TNUTn28Xh9PmKA</t>
  </si>
  <si>
    <t>UCbdqAJiLnR0wwwJQWH5cAYw</t>
  </si>
  <si>
    <t>UCUdnJ_1aP16vj6UstA3AVTg</t>
  </si>
  <si>
    <t>UCtTJkuvyb1nx9Br_texTA5A</t>
  </si>
  <si>
    <t>UCSpeRyVO89aVsjVq5VFjXRQ</t>
  </si>
  <si>
    <t>UC8VhAy195zETCSCm9WRVClA</t>
  </si>
  <si>
    <t>UCnB3a0-3bHfcx7dlaECNKxw</t>
  </si>
  <si>
    <t>UCKFnbjBQDzzh002TMJcyuZA</t>
  </si>
  <si>
    <t>UC001yhAyDlEnMq8Lp-QkC3g</t>
  </si>
  <si>
    <t>UCWA4JUorqN8o1_63kj2qUvg</t>
  </si>
  <si>
    <t>UCvGLTTJS52pyEARqZvYb8Yg</t>
  </si>
  <si>
    <t>UCewHMHmERjN2cOQ0e9ErKzQ</t>
  </si>
  <si>
    <t>UCf28fQHLTNUqiCuU91wGjxA</t>
  </si>
  <si>
    <t>UC8nYeBvnz4Shns_7O8C3lVA</t>
  </si>
  <si>
    <t>UCz1Vg6qveHlW1NHE_NQR4LQ</t>
  </si>
  <si>
    <t>UCKMkQIT9QAsFRIBEDtxED7Q</t>
  </si>
  <si>
    <t>UCqFXfon4hX0Szi9QMOevwBQ</t>
  </si>
  <si>
    <t>UC6w8rCMnoBPOjbVeNZmdZ1A</t>
  </si>
  <si>
    <t>UCb0chCe9hHazEtKMmFUlziA</t>
  </si>
  <si>
    <t>UCHgSkWQRH1W52pkeU6Y4D8g</t>
  </si>
  <si>
    <t>UCunemWKENIz4Vw5KWC8sh0w</t>
  </si>
  <si>
    <t>UCZZrqIMm2SkTX0W860fY-Tw</t>
  </si>
  <si>
    <t>UCAtzc4ncYg0KImh6TA4ycmA</t>
  </si>
  <si>
    <t>UC7tH_E2ZMd1huzCD_-MVdcQ</t>
  </si>
  <si>
    <t>UC3k4fsA02YJy5sPUuOx1MFw</t>
  </si>
  <si>
    <t>UCG0ecj5Uvz2EdcUptxYx2MA</t>
  </si>
  <si>
    <t>UC8OZJ-c_5cTfM8cUL2slc6A</t>
  </si>
  <si>
    <t>UCT3YyKCqHB16hGoApydLk-A</t>
  </si>
  <si>
    <t>UCzUV1tZ_Lwsq9buL5E4Iqrw</t>
  </si>
  <si>
    <t>UCEzzngreD9QuO4MVgfWr3Ww</t>
  </si>
  <si>
    <t>UCz5OR1qz402ZdnH8wsjKHFQ</t>
  </si>
  <si>
    <t>UC2RxJoATXtqBHmHkxoZvfuA</t>
  </si>
  <si>
    <t>UCAY4SBV4-lIi2TI5DIOLMdQ</t>
  </si>
  <si>
    <t>UCCDgGcFqSbwg43MUs5AuMCw</t>
  </si>
  <si>
    <t>UCKf6GCg-Rc2slbwtGzuhQiA</t>
  </si>
  <si>
    <t>UClKsmgTyRchtmlQOw-F-xpQ</t>
  </si>
  <si>
    <t>UCE2UyS0YLZ0BG4kPFvXe7wQ</t>
  </si>
  <si>
    <t>UCcIWxPoYjE-ZSZAQdcBo0CA</t>
  </si>
  <si>
    <t>UCK40XaiYx6_x3upGBWvbh8w</t>
  </si>
  <si>
    <t>UCPRlKanVIZfIMv1CEfMnxVA</t>
  </si>
  <si>
    <t>UCooG7-JvYNaFcOeJemYNnkg</t>
  </si>
  <si>
    <t>UC2RTDBpBkHNX6G0fFFp65hA</t>
  </si>
  <si>
    <t>UC6y0g8jGOvnuPidJOx_vbsg</t>
  </si>
  <si>
    <t>UCX051gHPmD3wi0f_Fd12Yiw</t>
  </si>
  <si>
    <t>UCLmlEdiv9cDJnh8Y8i0Q0EQ</t>
  </si>
  <si>
    <t>UCU55r0lA80aZZlG68tWzy6g</t>
  </si>
  <si>
    <t>UCcb1d2iS9EPyKFU0hzQVEfA</t>
  </si>
  <si>
    <t>UCbO3u2wkdFXl_LcHSFOzGQA</t>
  </si>
  <si>
    <t>UC9SGjJCQoOmy40NN_tfiWKQ</t>
  </si>
  <si>
    <t>UCXcixmdzB7kzL7DSYoPxH2g</t>
  </si>
  <si>
    <t>UCF80bswbf1JedtcatVW56qQ</t>
  </si>
  <si>
    <t>UCM6YFCUkr820fB-JBnS96Pg</t>
  </si>
  <si>
    <t>UCx2bCaJoAeRb43M24DYvGfg</t>
  </si>
  <si>
    <t>UCgf-uk3xxvftwaUW3wT6aTA</t>
  </si>
  <si>
    <t>UCL7oYjpNyvT7cuQUn5XzooQ</t>
  </si>
  <si>
    <t>UCww_kmjRlpRgnJlY5geuaWA</t>
  </si>
  <si>
    <t>UCqyd20d0lqOnDTFYoRe9eHQ</t>
  </si>
  <si>
    <t>UCd6o-59W9R60qNHon-UNyjA</t>
  </si>
  <si>
    <t>UCsuN9WqTqaJRsqghhoiyIgw</t>
  </si>
  <si>
    <t>UCnTjWFHkprKL948UgpnlfPg</t>
  </si>
  <si>
    <t>UCFck4v_-6TwyYKHbLFox2pw</t>
  </si>
  <si>
    <t>UCJhUrrLCybxIavwFSmc5uvw</t>
  </si>
  <si>
    <t>UCeHBtWLeV3wLJT3B_8Oq0TQ</t>
  </si>
  <si>
    <t>UCq5eyKhkerrFZ4qfu7qO1Bg</t>
  </si>
  <si>
    <t>UCK0VhFo5kjrARP8VW_0npng</t>
  </si>
  <si>
    <t>UCzxUIZjHGHkt-D-mvCNMWzw</t>
  </si>
  <si>
    <t>UCE6Y7fJCSeQEUaCxQPENjCg</t>
  </si>
  <si>
    <t>UCpWv4exRrg3Xde_qb78tewA</t>
  </si>
  <si>
    <t>UCGJTRElIv1hmK2z2dv_GJdQ</t>
  </si>
  <si>
    <t>UCMhRPskrxoRoa6hYG9h-c4w</t>
  </si>
  <si>
    <t>UC7Cmck_-9xXMDaYDLq1W_2Q</t>
  </si>
  <si>
    <t>UC7Ce2BvvoA71AipHamlN70Q</t>
  </si>
  <si>
    <t>UCPW1L32EDQzcUmwMzq0sSiQ</t>
  </si>
  <si>
    <t>UCHQR5W50LJPL7dibe5xoCrg</t>
  </si>
  <si>
    <t>UCXW0SzDz6QxnxpXTT5B4-SQ</t>
  </si>
  <si>
    <t>UCJVYrcaEUk3xWX8UQEss7Rg</t>
  </si>
  <si>
    <t>UC6-y6iGjIft93B_rjG9-CrQ</t>
  </si>
  <si>
    <t>UCABOBqS3y8Xn_o7bXvH-j2Q</t>
  </si>
  <si>
    <t>UCMxF9y06Ly2oZw6HLvyJtrg</t>
  </si>
  <si>
    <t>UCXeQJcOZTBBxu8Jmjj_7c_A</t>
  </si>
  <si>
    <t>UC4Ecb_xYnIKf8sLwMnxRIRw</t>
  </si>
  <si>
    <t>UCppLbz-ek1LBvlID2uuvk2A</t>
  </si>
  <si>
    <t>UCTcw7g1y3vRGHSXOarzx0KQ</t>
  </si>
  <si>
    <t>UCNFmBuclxQPe57orKiQbyfA</t>
  </si>
  <si>
    <t>UCN2rsoP_miOkSIvohOMFiqQ</t>
  </si>
  <si>
    <t>UCbF70rc8JhQvN0LruDiX4QA</t>
  </si>
  <si>
    <t>UCkqmkM5gLc23V4MPljct2wg</t>
  </si>
  <si>
    <t>UC3NPsjhzSLmatOYyIpKvQxQ</t>
  </si>
  <si>
    <t>UCGOl3bsCSJkX3FGJqRChzwg</t>
  </si>
  <si>
    <t>UCHjTVaCc0IMueSRKp9R5jBg</t>
  </si>
  <si>
    <t>UCfC_J3_v3mCyhvlB7C0M6bA</t>
  </si>
  <si>
    <t>UC5j0i8xOklk-3WrUOFjlleg</t>
  </si>
  <si>
    <t>UCti91F5eV0IDB0T4zi63UAA</t>
  </si>
  <si>
    <t>UCFPuuaEXTg4ICbTL_QzPTzg</t>
  </si>
  <si>
    <t>UCYaQrRKxq8nf1Jy95roPZSw</t>
  </si>
  <si>
    <t>UCUITKhflrJnU5NJGLD3Rdhg</t>
  </si>
  <si>
    <t>UCCt2sMQvjxDvQSr4p15sAYg</t>
  </si>
  <si>
    <t>UCoZFJZ9biIZ5AFazpih7GQQ</t>
  </si>
  <si>
    <t>UCIJmXFzeUIVHOTE8n9o5B9g</t>
  </si>
  <si>
    <t>UCoQ1kN7vC_SG0zLGZAZpbPw</t>
  </si>
  <si>
    <t>UCHKfV6NEIwJy1OreYVRWzCA</t>
  </si>
  <si>
    <t>UCWhueby5VkDRqtLi6OWAikg</t>
  </si>
  <si>
    <t>UCTn4Ecu4uKVRnFvL5ZHU-WQ</t>
  </si>
  <si>
    <t>UC6tAl2_5eBK-RCmrDUy_xrg</t>
  </si>
  <si>
    <t>UCy7g3SxwT4-IjfK0sslECDQ</t>
  </si>
  <si>
    <t>UCnWsPUc-BfTto8JoLP-M8oA</t>
  </si>
  <si>
    <t>UC4cCgia3NmbiRSsuJdbNsbg</t>
  </si>
  <si>
    <t>UCmgDkCijcth2d2DaA2bMSCg</t>
  </si>
  <si>
    <t>UCo5XUJUiaf7bTISuWLVgjXA</t>
  </si>
  <si>
    <t>UC3NzzCZOO-kX5hIOcGFB_hA</t>
  </si>
  <si>
    <t>UCuhjoaggLnXRGEztM-EjywA</t>
  </si>
  <si>
    <t>UC5GEMsi1gD-YQPBeHC4lsHQ</t>
  </si>
  <si>
    <t>UCOjF0sFwGka-_ouGbuWzpdQ</t>
  </si>
  <si>
    <t>UCLNYhA7rnXfdaFh-W6hJTSg</t>
  </si>
  <si>
    <t>UCwpr_shE_KEjoOVFqbwaGYQ</t>
  </si>
  <si>
    <t>UCpW81DZzRWm4gpTsrbcB-Cw</t>
  </si>
  <si>
    <t>UCRlx0NpAhTYTK9HDPAhR3jA</t>
  </si>
  <si>
    <t>UCgsLP-5poOdyJhphPv6uAng</t>
  </si>
  <si>
    <t>UCOyafUzUfn4nKXa3G0z3tjw</t>
  </si>
  <si>
    <t>UCXDDyIhgzmB3Z93eb1VGbXA</t>
  </si>
  <si>
    <t>UC8-N0yljzmWALk_8blbxZqQ</t>
  </si>
  <si>
    <t>UCKYbCaqodngk9D6gPiFMQ_Q</t>
  </si>
  <si>
    <t>UCVGqw7ACdIdRJ6vQN2jMIfw</t>
  </si>
  <si>
    <t>UCuD0PQp0jf2qXvtHF6zOXNw</t>
  </si>
  <si>
    <t>UChf6KQvgV3XsmZZ1jlXFR7g</t>
  </si>
  <si>
    <t>UCRnI8mSAO35rx7T4-BFLxtA</t>
  </si>
  <si>
    <t>UCNTFnnKxtIfFdy-7E9WNTZA</t>
  </si>
  <si>
    <t>UC6HyaMdlertY8QqgZikzGJg</t>
  </si>
  <si>
    <t>UCVGm0D_B1GKL9SwImo3N6aA</t>
  </si>
  <si>
    <t>UCuVLXPqY4LZx3VgiXPmxkaQ</t>
  </si>
  <si>
    <t>UCX3WKROa10PoBCNHcWEnNQw</t>
  </si>
  <si>
    <t>UCoirKcfNSYyX1bIfv4wzTHA</t>
  </si>
  <si>
    <t>UCEIdmUwbBQKaFNJ76JThDvA</t>
  </si>
  <si>
    <t>UCnlgiPLpnXdXr7opagJv3fA</t>
  </si>
  <si>
    <t>UCdRB5rtE38xRr5LWQYDPupg</t>
  </si>
  <si>
    <t>UC_ViiQBrIqBK6Jd2fs8UU2w</t>
  </si>
  <si>
    <t>UCBQrlLdnPVOAqkbfWRExD4A</t>
  </si>
  <si>
    <t>UCVFxsqokk8w3Z_t1qvIiOAg</t>
  </si>
  <si>
    <t>UCtwzx1Q8-3e-3OEcpH_dfOA</t>
  </si>
  <si>
    <t>UCaT78z-j8wnl2wkjgafBiyw</t>
  </si>
  <si>
    <t>UC2MLBAipi69tv2neGMje60g</t>
  </si>
  <si>
    <t>UCxqb3jHBOaDvh0vOU6yO_Jw</t>
  </si>
  <si>
    <t>UCwMRL9aFOIWUpex_ePmO1fw</t>
  </si>
  <si>
    <t>UCz1UlqHiDu8JqkFvH9IVj3w</t>
  </si>
  <si>
    <t>UCUXnjRd1I_CMKWG25oDnskA</t>
  </si>
  <si>
    <t>UCHuOsNDBRizR-4PKmGsVqZA</t>
  </si>
  <si>
    <t>UCdj8Tl1OYgwZopOGX_FcdNg</t>
  </si>
  <si>
    <t>UCv5sWId-J2RLPXFiS9M0YmQ</t>
  </si>
  <si>
    <t>UCe9vIGL_VdILZUrJ56u7a3w</t>
  </si>
  <si>
    <t>UCx5nJh47g3MZjYepQzyl5DQ</t>
  </si>
  <si>
    <t>UCIzGgW3qt0cvVJXc7iYL2lw</t>
  </si>
  <si>
    <t>UC0dQcJVnUeT6ZYJQiXlCLYA</t>
  </si>
  <si>
    <t>UCT2e1zBLZKPCXE4XLCZnv4Q</t>
  </si>
  <si>
    <t>UCc34FvrsixVdHuvaipikMxA</t>
  </si>
  <si>
    <t>UCSxVNNq3L-hYWWiLMFEXFfA</t>
  </si>
  <si>
    <t>UCISUhmQdaz2YzBzo3VWW2gA</t>
  </si>
  <si>
    <t>UCE7hqLeaoffWs0OWfGZEk-Q</t>
  </si>
  <si>
    <t>UChD7Sm4Gj1z_RiuteNX3U2w</t>
  </si>
  <si>
    <t>UC9qOrdYP2YR4UlMKpBol2Lg</t>
  </si>
  <si>
    <t>UCDuH1sMhViWZsVF8O88yrWQ</t>
  </si>
  <si>
    <t>UC3dy0r-HxPrWTRHVvicdMmg</t>
  </si>
  <si>
    <t>UCAabp_jYgGa1AVWEbPoiIBA</t>
  </si>
  <si>
    <t>UCKla4QMk-p_QgUv94t6odWQ</t>
  </si>
  <si>
    <t>UCgAp63djuph7IIQGrAu9iGw</t>
  </si>
  <si>
    <t>UCI3x8HoS2pSHNrPuolHa5WA</t>
  </si>
  <si>
    <t>UCnhI3XLOySDPtH9ouJjkcVw</t>
  </si>
  <si>
    <t>UCxFXgZh2s89ZJnbaU_M8ztw</t>
  </si>
  <si>
    <t>UC4EPQwVmIo17WTPQ87IryKA</t>
  </si>
  <si>
    <t>UCgWtrl_kPg2FxhvNP7cIepQ</t>
  </si>
  <si>
    <t>UCUAFokaSwfq35rTCyL5R0bw</t>
  </si>
  <si>
    <t>UCwrZb7kKRqe7TSN6oxxTGFw</t>
  </si>
  <si>
    <t>UCSQ0b9Em9deyN7Hvus4X1Wg</t>
  </si>
  <si>
    <t>UCQ5RRY__x9hdK0U31HfXGZg</t>
  </si>
  <si>
    <t>UCPYGjKyFOWdQ3uVgG47IRow</t>
  </si>
  <si>
    <t>UCLD47bbAQssch-yIHxVOXXA</t>
  </si>
  <si>
    <t>UC_IWa3nj2wJ1ZIJK6CKBy4A</t>
  </si>
  <si>
    <t>UCiKWejcDBLkRdJjKxqMH5uA</t>
  </si>
  <si>
    <t>UCN496AtV81RC_pniTxZst5A</t>
  </si>
  <si>
    <t>UCjOZC0qz72xUYgNKlXN6Iwg</t>
  </si>
  <si>
    <t>UCQExh9iPxZ1YkgnZANbyMNw</t>
  </si>
  <si>
    <t>UCQ35nlZLI0AfmhGhoGNOKyA</t>
  </si>
  <si>
    <t>UCJymPHAMfxcgZrcWC94F7rA</t>
  </si>
  <si>
    <t>UCDTYty9nfS3dlVG2TLgrm7g</t>
  </si>
  <si>
    <t>UCO9ckSKZCUMyKPGxRFLHNGw</t>
  </si>
  <si>
    <t>UCpUFu--bhtJ12M1PQA3OjeQ</t>
  </si>
  <si>
    <t>UC-_twliyxYIawfTtzD276fA</t>
  </si>
  <si>
    <t>UCr7g_vSZRs84wS5W-XI8iRQ</t>
  </si>
  <si>
    <t>UCiDe7hYPwT3aCpe0M9L3EPQ</t>
  </si>
  <si>
    <t>UCbXJGyPzrM9WCZ-o7fig3LA</t>
  </si>
  <si>
    <t>UC3ITEPB1plAEtHf5Cm8nQLA</t>
  </si>
  <si>
    <t>UCc1aq4F_dnz5oWGXV7Ov02g</t>
  </si>
  <si>
    <t>UCvjLv1PUo76vb9LNN5OyXTg</t>
  </si>
  <si>
    <t>UCi7w0Y_qch4rMLDPFCRvOyg</t>
  </si>
  <si>
    <t>UC44ludjTptL-x-5wPnKbGEQ</t>
  </si>
  <si>
    <t>UCX8P-atCbeOtbhKVal5cjDA</t>
  </si>
  <si>
    <t>UCDQERu26HyRJXxeHvXHRTUg</t>
  </si>
  <si>
    <t>UCMBnqlKelJD4MGNImrS4mGw</t>
  </si>
  <si>
    <t>UCDE4KyzVREqHg8WPPOLTKpA</t>
  </si>
  <si>
    <t>UCuonhtT6vo8YlanJbbcYKbw</t>
  </si>
  <si>
    <t>UCKaCQ_hhYfOsw3QDT9ucx7A</t>
  </si>
  <si>
    <t>UCIXJbwtkQVxUshfFqFoFB8A</t>
  </si>
  <si>
    <t>UCEUCiyvlUHwQLYt7MVYOBHg</t>
  </si>
  <si>
    <t>UCvobtAFyYtyeiVT8F_ZkhfA</t>
  </si>
  <si>
    <t>UCwixRrkteY1J4-DFs3ZyV5w</t>
  </si>
  <si>
    <t>UCUrxIZb64R5U-jcDsYz6wMg</t>
  </si>
  <si>
    <t>UCJJCHEdH9s75Nbhoq2Q_pzw</t>
  </si>
  <si>
    <t>UC0feGOb1AVfKKBS0JJEh1eQ</t>
  </si>
  <si>
    <t>UC-y-UTxSbPngyGgDzBKpI3A</t>
  </si>
  <si>
    <t>UCO-OeZH14b_k1YZzM67he3w</t>
  </si>
  <si>
    <t>UCTIRF_ft3qjMvm1TXCAAoxQ</t>
  </si>
  <si>
    <t>UCHDrpziM6zoKaAwt4SNO8cw</t>
  </si>
  <si>
    <t>UC8-MB2TnXV7axsw6Ykobkjw</t>
  </si>
  <si>
    <t>UCE7GVKraoSNP60yHwDSYFdQ</t>
  </si>
  <si>
    <t>UCz17OJWV27c5FZKKBlLDXEw</t>
  </si>
  <si>
    <t>UCt_-GkMqKEz4Pe9bFdl9Lkg</t>
  </si>
  <si>
    <t>UCQgQVXBqnms-7VYoPvbvMZw</t>
  </si>
  <si>
    <t>UChFsPJoTQ2CnIcBhHwCz1aw</t>
  </si>
  <si>
    <t>UCAk1fju9wTjRRdsJb4RLjNg</t>
  </si>
  <si>
    <t>UCcLy4MpJzxuLg0ehlksWdng</t>
  </si>
  <si>
    <t>UC-lCQc2eIAg6--pAn1vDoFw</t>
  </si>
  <si>
    <t>UCtT-THJb0Bfmqzz127iL1bA</t>
  </si>
  <si>
    <t>UCugF92Cw66UbH6lG4CJwK1Q</t>
  </si>
  <si>
    <t>UCFs1g6dwU_Jvz-bQsku7cZQ</t>
  </si>
  <si>
    <t>UC_U-4_iOvhEVvZSGE_8KsHQ</t>
  </si>
  <si>
    <t>UCK62ReSRAY1fdbfHuhWTOIQ</t>
  </si>
  <si>
    <t>UC7btqG2Ww0_2LwuQxpvo2HQ</t>
  </si>
  <si>
    <t>UCX737Ag9HltrcP7SeaYNHPg</t>
  </si>
  <si>
    <t>UC5sPeifY9rg0dWRvGtrsIMg</t>
  </si>
  <si>
    <t>UC8iqsSEC7aYwFFUDzahJQYw</t>
  </si>
  <si>
    <t>UCEhGxpmpSwWPJjHEPQpspNQ</t>
  </si>
  <si>
    <t>UCtBLpR3fIv_JE17toWMgECQ</t>
  </si>
  <si>
    <t>UCe7JwY7Ijgc0g-FKiLYLoQA</t>
  </si>
  <si>
    <t>UCyL3qfzr0HtE7bHpK3tz9TA</t>
  </si>
  <si>
    <t>UCcudRs0KCQsnOiQU0sxuUDw</t>
  </si>
  <si>
    <t>UCqc-JrBasBeHwMeXpjCVKKA</t>
  </si>
  <si>
    <t>UCyWCwh4tNeHkj8RPYlUY7iQ</t>
  </si>
  <si>
    <t>UCN8RXipFCQqgLpsXcpz8New</t>
  </si>
  <si>
    <t>UCgx8PiXOg7LMir3Tm2RLqfA</t>
  </si>
  <si>
    <t>UCEHusMVi6ZuEYckbqCvsUDw</t>
  </si>
  <si>
    <t>UC0fEeg3RaynX1iJfenw0VKg</t>
  </si>
  <si>
    <t>UCc3QZwrnDbHohHN8hudifFg</t>
  </si>
  <si>
    <t>UC2ZsJuSVzqAZChQ0lg7SlvQ</t>
  </si>
  <si>
    <t>UCTH8N_tX5rzmTOqCudPO5qA</t>
  </si>
  <si>
    <t>UC5w5J49tzBvSwmOowwBJ-eA</t>
  </si>
  <si>
    <t>UC-WfxbiPAmdxWRD5O-S9ztQ</t>
  </si>
  <si>
    <t>UCiNKIaRTh3hoWAVBD381TuA</t>
  </si>
  <si>
    <t>UCGJO3tZg7mTX7MUGw6TVY1A</t>
  </si>
  <si>
    <t>UCVspwa6OoJ4jVmxl_hrHovw</t>
  </si>
  <si>
    <t>UCl547PVVpkBZTqv3KDnnZcg</t>
  </si>
  <si>
    <t>UCa-sEIAlqi0C2KuS84MGGfw</t>
  </si>
  <si>
    <t>UCZcbvRr1cqFlNgEEwUtJVzA</t>
  </si>
  <si>
    <t>UCWf-YsP9NBMCsjN1vf5JmjA</t>
  </si>
  <si>
    <t>UCDLdrj9IZQNHCXAzwoH7flg</t>
  </si>
  <si>
    <t>UCaGyMmI0K3erz6LWK2NEfMw</t>
  </si>
  <si>
    <t>UCMO24lP6dXHKbnBjTUOxJCg</t>
  </si>
  <si>
    <t>UCoI7kIuTrSjwBIw1Yd3nVCQ</t>
  </si>
  <si>
    <t>UCfNWyM9OsOSu62zj1mWjXZg</t>
  </si>
  <si>
    <t>UCcErZD9wUPQONYaoRXWX-hw</t>
  </si>
  <si>
    <t>UCJer7lK0ILB_RrPzOeJ01fA</t>
  </si>
  <si>
    <t>UCNNshWaYgpDwLOZqIecQTKw</t>
  </si>
  <si>
    <t>UCfPsKnaLm9TvC6eEMvA0_og</t>
  </si>
  <si>
    <t>UCW1LdF6sbTj2uurZM4Ntljg</t>
  </si>
  <si>
    <t>UC9bm_ieAvbP6oBBc5WIuxzg</t>
  </si>
  <si>
    <t>UCqtVYwJC5SGifirO0Mg_V5g</t>
  </si>
  <si>
    <t>UCSQ58N7O_QAoI516gPfvAOg</t>
  </si>
  <si>
    <t>UCdTa-8clwx4fRHmt2N9Y2sw</t>
  </si>
  <si>
    <t>UCx-H-Ue9w92spsj6seBrJRg</t>
  </si>
  <si>
    <t>UC2amkJX5zDyQJ0mDajAWRSA</t>
  </si>
  <si>
    <t>UCVZLozjLM_XKUMx6bTK2oUQ</t>
  </si>
  <si>
    <t>UC0dbfhI06t4SpKsI-lmw9fA</t>
  </si>
  <si>
    <t>UCAXSMvM9PtGaaslhz-pc8Tw</t>
  </si>
  <si>
    <t>UCzxfpzSF7mz8j7bNIXyZWmA</t>
  </si>
  <si>
    <t>UCGcHw5kP7-PfNdujznmF48w</t>
  </si>
  <si>
    <t>UCHTwv1rbDkmB_xa9aDnm3qA</t>
  </si>
  <si>
    <t>UC1g3ZGQhS2TlofMl0qhAsJg</t>
  </si>
  <si>
    <t>UCO-uVs959_GUzzUx4ctwMMQ</t>
  </si>
  <si>
    <t>UCUofT-FbQC4z2INMGZrQUOg</t>
  </si>
  <si>
    <t>UCJKlBsEx-aj2lP7wLETWpcA</t>
  </si>
  <si>
    <t>UCFlI3jVIzCqPmjrscE0eqpQ</t>
  </si>
  <si>
    <t>UCjfD0yjoqV9M093E16L1crA</t>
  </si>
  <si>
    <t>UCX9NM-LGNt9plULr29sE8EA</t>
  </si>
  <si>
    <t>UCid6x3HtSLudifY7gS81YyA</t>
  </si>
  <si>
    <t>UCgiBnsy9QXyrzdwTIoDi4Tw</t>
  </si>
  <si>
    <t>UCvg9MtEwkLQAQTjtRCP_OnA</t>
  </si>
  <si>
    <t>UCQ6uRnV6i-SqhFq2ww5IGIg</t>
  </si>
  <si>
    <t>UCtYWpwLjEakboZegaxgD7EQ</t>
  </si>
  <si>
    <t>UC0VkiYFJ-_ZAGdu8YmqR3pg</t>
  </si>
  <si>
    <t>UCDttH6yITMoH-6RzVvJsbaQ</t>
  </si>
  <si>
    <t>UCGjwyK9AVBE0ODAfbabk_mA</t>
  </si>
  <si>
    <t>UCFx437jSydhhu8qFGd8d5ow</t>
  </si>
  <si>
    <t>UCME6sOi5ut1mk2NqgZ_fbgA</t>
  </si>
  <si>
    <t>UCcIbfdQoGKzPx9ftiP534vw</t>
  </si>
  <si>
    <t>UCbtG0yrbtIWgTFRMyLooIWQ</t>
  </si>
  <si>
    <t>UCqQoECAfS7f659Vmwki1gRw</t>
  </si>
  <si>
    <t>UCU2X91zXTPgEAGLDtcInopg</t>
  </si>
  <si>
    <t>UCpUfEepdMCGe4Cg1v4vi0KQ</t>
  </si>
  <si>
    <t>UCmA9e2PueO58nI-1KlZFXRQ</t>
  </si>
  <si>
    <t>UCU12tnXc4KU9zT7_yL5hhMA</t>
  </si>
  <si>
    <t>UCiDyLRbYiJI-uz-Ngn8DR2Q</t>
  </si>
  <si>
    <t>UC9gcI3j2_p1GS-RlHtl2_wg</t>
  </si>
  <si>
    <t>UCeq0O_65iXcBQBzfX7wIrbA</t>
  </si>
  <si>
    <t>UCbak0vY9UsMepE1vx28Gobw</t>
  </si>
  <si>
    <t>UCw9TU6O2g6Dwp7pbz2P9PnA</t>
  </si>
  <si>
    <t>UCIxcGcfSaC0p4Vul_7STr1w</t>
  </si>
  <si>
    <t>UCCtiOd8UJtAEVadRK6tqXAQ</t>
  </si>
  <si>
    <t>UCqriz5XqE-RiTjpVnSlhw_w</t>
  </si>
  <si>
    <t>UCnz68ZFJ6MiEgsdklkVMXKQ</t>
  </si>
  <si>
    <t>UC2A79PtHiLLdfpeP8zsJpwQ</t>
  </si>
  <si>
    <t>UCnUEZLLPTFGBwCxnNxxUl9A</t>
  </si>
  <si>
    <t>UCP9nfyNpZ2GNZlDWCLEn_MQ</t>
  </si>
  <si>
    <t>UCRfKZLANQsdI0r_H9lhyltQ</t>
  </si>
  <si>
    <t>UC0rkh_gKMuRXJ_RvN51R8yw</t>
  </si>
  <si>
    <t>UCgCP6fPIE9DHnzNL2Gqffzw</t>
  </si>
  <si>
    <t>UCeMHts_XcA5_hYy1hzqqWWg</t>
  </si>
  <si>
    <t>UCWY1Bh_0hNWQjx-Vx3DdYkA</t>
  </si>
  <si>
    <t>UCxmBDeg_V2Bzg13tqpelDUw</t>
  </si>
  <si>
    <t>UC3znh2wqPs44ReNwUnn0YAQ</t>
  </si>
  <si>
    <t>UCalSswu31wiJb8MtVcgkpFA</t>
  </si>
  <si>
    <t>UCQ6plIcys-J_YsTKYzjVXEg</t>
  </si>
  <si>
    <t>UC3AZCwbdamlfZRiplyzYDnQ</t>
  </si>
  <si>
    <t>UCLBo1sRUQzDdblEvsytdsig</t>
  </si>
  <si>
    <t>UC16jk3P3UfHNvU1uz9X45Zg</t>
  </si>
  <si>
    <t>UCXPerWafigpb8u0o0wuPl1Q</t>
  </si>
  <si>
    <t>UCzJ1kK3mGupL2V0YZ-lOMVQ</t>
  </si>
  <si>
    <t>UCo28i-Ybrc7fsOfQOoK087Q</t>
  </si>
  <si>
    <t>UCz8URNUsLJvdpk93ykTErOg</t>
  </si>
  <si>
    <t>UCrB89r63w92HyV379cKhrlg</t>
  </si>
  <si>
    <t>UC4XmhSAvLwZ-HMo7YdM1JcQ</t>
  </si>
  <si>
    <t>UCOuLBqvSmGNQ4Wc7VE52P-g</t>
  </si>
  <si>
    <t>UCXYJhrml5iHpGLpAj8774gw</t>
  </si>
  <si>
    <t>UCitqoqR05Rw7zjqYgBMerSg</t>
  </si>
  <si>
    <t>UCAY0pfcVZSNTpMTHDMyULlQ</t>
  </si>
  <si>
    <t>UCfX4rbfqf8u8hW_zR0gpm9A</t>
  </si>
  <si>
    <t>UCgUu_wUy9EYd1HDuMVnmTbA</t>
  </si>
  <si>
    <t>UCJoSin4fZf3n9dSmRqeOVCQ</t>
  </si>
  <si>
    <t>UCbDSTdDec28mNCVviJc0njQ</t>
  </si>
  <si>
    <t>UCRsIKgdOAeSe1uPB4OhMk0A</t>
  </si>
  <si>
    <t>UCZzAdTSJwcBGnAhLLgV3siA</t>
  </si>
  <si>
    <t>UCHb2gq0oKAR_9pNCj8ayndw</t>
  </si>
  <si>
    <t>UCz8uZWF8sOcvgYl1W5vTydg</t>
  </si>
  <si>
    <t>UChpLpgCXFyHTZnqhjP2e3IQ</t>
  </si>
  <si>
    <t>UCuzgC8FnVI_9CBvmkKg1-xg</t>
  </si>
  <si>
    <t>UCgV7eFhS7PHCLAVh6OcErQg</t>
  </si>
  <si>
    <t>UCC4l_9W4elvWxnf0Hq10hFQ</t>
  </si>
  <si>
    <t>UC5--2hnPaYi2fjngwNstE0g</t>
  </si>
  <si>
    <t>UC--El6rKTcXkpBZUf5Yymnw</t>
  </si>
  <si>
    <t>UCoWPdWyn2LMNf-HACa46qCQ</t>
  </si>
  <si>
    <t>UCGzYy9oeP0xtYazlsbAGEnw</t>
  </si>
  <si>
    <t>UCFM0bU8Iro7J5eqdrDVGv-Q</t>
  </si>
  <si>
    <t>UCv36MqPsUtwTM0R5FSEqV8g</t>
  </si>
  <si>
    <t>UCGwo5G2BMre1ajlDkHlKEmA</t>
  </si>
  <si>
    <t>UCjCuGNjHhtjzAHZF1Jths1w</t>
  </si>
  <si>
    <t>UCKe_Awq6TZ7cCpVu7RGyXew</t>
  </si>
  <si>
    <t>UCWnE1xLNLgHKIm--kNDTRzw</t>
  </si>
  <si>
    <t>UCrvVInhBDyitV7cNOeL83SQ</t>
  </si>
  <si>
    <t>UCpxYT5ZsN4YhLfHd52cz75g</t>
  </si>
  <si>
    <t>UC_G-B9CK6BVIuYXxw49y5gg</t>
  </si>
  <si>
    <t>UCE7hXHjGwUE4YZgsSqwRpfQ</t>
  </si>
  <si>
    <t>UCoXjp78cw6nVA9x2kd7C2iw</t>
  </si>
  <si>
    <t>UCONer0p9GxcHsc-dBqr_HXA</t>
  </si>
  <si>
    <t>UCKV6eQNDZTfZ7co0t9GkBTg</t>
  </si>
  <si>
    <t>UCigyXziCENfikGiOUlzur7g</t>
  </si>
  <si>
    <t>UCxvvV_BZ4jHkIH5ZpNxFX3A</t>
  </si>
  <si>
    <t>UCti_hY0Xqrhij14Oq3o0iog</t>
  </si>
  <si>
    <t>UCHk5rERcW5h_4C7aRqm8J3A</t>
  </si>
  <si>
    <t>UCCmHKnIad-Jc_NfRIZbqeVg</t>
  </si>
  <si>
    <t>UCIoCTcci1S4GXXXcXOKnyCQ</t>
  </si>
  <si>
    <t>UChWrzMraX280K3gQv2KL5Dw</t>
  </si>
  <si>
    <t>UCMlSAEE0BED6HpclVjBhyCg</t>
  </si>
  <si>
    <t>UCHd1bPiKz7J5zPSDJ82uvKg</t>
  </si>
  <si>
    <t>UCKBJgOKQLMQpMJrMxrpCj5w</t>
  </si>
  <si>
    <t>UC9k0oRCpGfdlFEgHzcHgWqg</t>
  </si>
  <si>
    <t>UC4wbIiUrhQ_YflWNC_2bKCQ</t>
  </si>
  <si>
    <t>UCaGpgaj_OHeROcx1IpLYlHQ</t>
  </si>
  <si>
    <t>UCGqc6kZfeIbmEompY5UlnQA</t>
  </si>
  <si>
    <t>UC8xSCjbnQhxx78EuGqd365g</t>
  </si>
  <si>
    <t>UCpg-rSVxo3EgwEmWHl2nN9A</t>
  </si>
  <si>
    <t>UCh3qF-atlox2rDuWmfnkVUA</t>
  </si>
  <si>
    <t>UCfPFb_7wklo6dCP-Tt6R2dQ</t>
  </si>
  <si>
    <t>UC2NTE0wVBPHMYvPpH5twcgw</t>
  </si>
  <si>
    <t>UCw4AqdlNDDK3VxqlinbF4bQ</t>
  </si>
  <si>
    <t>UCVBlZKzZHIhQu9HwdaT9ldw</t>
  </si>
  <si>
    <t>UCrn9n6JS87sZXoMcOEIQFug</t>
  </si>
  <si>
    <t>UC2SicZtprC4e-4T-gcUdZvg</t>
  </si>
  <si>
    <t>UCnm0sVADc1jOM2r-putIFQQ</t>
  </si>
  <si>
    <t>UCCqnJ1DYhYy1MpG-UKWGmvA</t>
  </si>
  <si>
    <t>UCuyUQYlWnnqU0OXYMgg9VXw</t>
  </si>
  <si>
    <t>UC0hm0Ebqgs4FnyWs-Uvxn_Q</t>
  </si>
  <si>
    <t>UCR-kOr9Xd-UhFw5flSvd5sA</t>
  </si>
  <si>
    <t>UCTFELVHLJOfeMgnHuTnqWQw</t>
  </si>
  <si>
    <t>UCNZou6ZbrcdsMo53Ndlm86g</t>
  </si>
  <si>
    <t>UCXjAkKh8JPq22rxiGGFw8_w</t>
  </si>
  <si>
    <t>UCdfvhwk882wpOYe15DgTkug</t>
  </si>
  <si>
    <t>UCfK07E90OzqP-VafR4kJ0iQ</t>
  </si>
  <si>
    <t>UClfbAP6HCyg4QvH0ZELOhQA</t>
  </si>
  <si>
    <t>UCfxFsg2KOpgXq2GiEb2Vk0A</t>
  </si>
  <si>
    <t>UCFC3ExFLgtjaHZH_Wgs7VJg</t>
  </si>
  <si>
    <t>UC1jOuGeZt7WMEOxuLUGd09Q</t>
  </si>
  <si>
    <t>UCS6ySc7Ugdmcbnh0KKn5kaA</t>
  </si>
  <si>
    <t>UCYPNoXbmAX45TzMgZMVcGTg</t>
  </si>
  <si>
    <t>UC1X4URMx0X9C94FOKXOA26Q</t>
  </si>
  <si>
    <t>UC-dpOlkxDNX6VWtf6yMWWSg</t>
  </si>
  <si>
    <t>UCg7z14wdaWh4l9ZPSIK-GQg</t>
  </si>
  <si>
    <t>UC4H3x4cGUugRnOB3kPKY2xg</t>
  </si>
  <si>
    <t>UCTJ9288yPA-hkSWpuAzcr5g</t>
  </si>
  <si>
    <t>UCNOB0348CgrQWMci-dW6JIA</t>
  </si>
  <si>
    <t>UCGmIbwjW4mtEn9y_P03-BPA</t>
  </si>
  <si>
    <t>UCld-G5wfM0k5Tz5VmQxTbRw</t>
  </si>
  <si>
    <t>UCp9msr0SrAq1ep9OGL1PkLA</t>
  </si>
  <si>
    <t>UC0tNRA1X8F9OZXwlzQuvVKQ</t>
  </si>
  <si>
    <t>UCCkWUwFW_6hMaWVRSl9SWsA</t>
  </si>
  <si>
    <t>UCRIWTSgd7hGtZhx4RYoASEg</t>
  </si>
  <si>
    <t>UCwZiV2eywcB2XAcD1-6UCrQ</t>
  </si>
  <si>
    <t>UC7pxOyjcbR1OYBJLzKEEtSA</t>
  </si>
  <si>
    <t>UCv3Q6eQyaDpzdeNQuIhB4Rw</t>
  </si>
  <si>
    <t>UCYfHm8KPcvGMfVgoM4AHnHA</t>
  </si>
  <si>
    <t>UChd6d-IqjNyu-9Gom7INNGw</t>
  </si>
  <si>
    <t>UC_Hhe4HkcAeBCar0_q6C0pw</t>
  </si>
  <si>
    <t>UCKigb0AUdvNya0SOnBAhuWA</t>
  </si>
  <si>
    <t>UCnWhV0q8E3XUrWBMabQTN7g</t>
  </si>
  <si>
    <t>UCkcuTJa6ozdwt7wy-NCxLRg</t>
  </si>
  <si>
    <t>UCXVdEe1Qh2nzCVG7I5TnZZA</t>
  </si>
  <si>
    <t>UCPM8OV1o1rbwHCSpJPLZNGw</t>
  </si>
  <si>
    <t>UCpd_sPylqiSUCaOFAuHmU9w</t>
  </si>
  <si>
    <t>UCoXZlLYEAydAuXspa2oqgBg</t>
  </si>
  <si>
    <t>UCcXPEPxkcJId307kh_0divA</t>
  </si>
  <si>
    <t>UCrP-c3O8ecC84HOnKmrVXOA</t>
  </si>
  <si>
    <t>UC4FUjHHzr753fv9vQ4mE32g</t>
  </si>
  <si>
    <t>UCsXbPc2dcSsaZfjQYc7I8SQ</t>
  </si>
  <si>
    <t>UCtn2CfR1_d0ovjInkeahNHQ</t>
  </si>
  <si>
    <t>UCV3QJnEqBfenLa5uE1feTZw</t>
  </si>
  <si>
    <t>UCwOP6zJATKjtXuU3CyRINYQ</t>
  </si>
  <si>
    <t>UCAgL1c8YS-eqQ4tGDJIT1ng</t>
  </si>
  <si>
    <t>UCm6jM-S3VTESIIiQyJs6ZjQ</t>
  </si>
  <si>
    <t>UCwsLXInOtJM01ZCslCeuWxQ</t>
  </si>
  <si>
    <t>UCFb9gADdPu-4OzHhYq6b5kQ</t>
  </si>
  <si>
    <t>UCOgwby0sIklFYoRHE4NdxXg</t>
  </si>
  <si>
    <t>UCFVMB7Pwxg91TrwJqM4hhOQ</t>
  </si>
  <si>
    <t>UCUg5CEP4VlJMh5kRhHbZrbQ</t>
  </si>
  <si>
    <t>UC-DOBqjjDVXvcMBBYeXCVyQ</t>
  </si>
  <si>
    <t>UCusQA3O5vRYIVt0kxqNKImA</t>
  </si>
  <si>
    <t>UCP-Obavy2xyUaDFQaqYxJzw</t>
  </si>
  <si>
    <t>UCTKMQdFFHK_pf6Ng7-s7wGQ</t>
  </si>
  <si>
    <t>UC5PjAuNROsyYKIgQQ-IYWIQ</t>
  </si>
  <si>
    <t>UCa1RYMRmB1i9kk9TwiX9CGQ</t>
  </si>
  <si>
    <t>UCiLahkg6rx_Z16d7O-K2N5g</t>
  </si>
  <si>
    <t>UCW1dBTJ0OadYx6i6Y8G6vKA</t>
  </si>
  <si>
    <t>UCu6NoqCiFHd26J8SDgKaG_g</t>
  </si>
  <si>
    <t>UCjsla2e3yANPM20KvXaNqJA</t>
  </si>
  <si>
    <t>UCUmy64PmElVmOn6uxOkknTw</t>
  </si>
  <si>
    <t>UCG8obDLHwRQVf7VGF8gUl2w</t>
  </si>
  <si>
    <t>UCo1oi6iPsxjo84aVkq7XjhA</t>
  </si>
  <si>
    <t>UCywE8WLFSywNqQ66sByBuTw</t>
  </si>
  <si>
    <t>UC043HDOmWBhAUSOV01z3mUQ</t>
  </si>
  <si>
    <t>UCZGWLOsRxvnDol4TlknY-4Q</t>
  </si>
  <si>
    <t>UCKG9h2uaYjleIjI3YiqdwuA</t>
  </si>
  <si>
    <t>UCsh2dJYznlFXFpScOSvmZKg</t>
  </si>
  <si>
    <t>UCAmdKoDP4t6Jg43_hdQLM4g</t>
  </si>
  <si>
    <t>UC9yVLzb7BhPlJSzgUxOPEAw</t>
  </si>
  <si>
    <t>UCCZrWLq1BlpxvIF9wwhv5Lg</t>
  </si>
  <si>
    <t>UCSXST7C6VuW-lDEHpwb1UIw</t>
  </si>
  <si>
    <t>UCNygeTbe0AhjEVt-KhkI9Vw</t>
  </si>
  <si>
    <t>UCrskVY5hbNGjoJdF5nc8l1A</t>
  </si>
  <si>
    <t>UC6tJpi5UxHAxY_-PZh_sCNA</t>
  </si>
  <si>
    <t>UCTIOuoYgNC_ftWpe4XgeKTQ</t>
  </si>
  <si>
    <t>UCX1_HnwfhuCSPoMb9UoZx5A</t>
  </si>
  <si>
    <t>UCzZAr-86Rn3yPEGIN9IOjmA</t>
  </si>
  <si>
    <t>UCZ6oq5nit5vkIVJrd_KHSrQ</t>
  </si>
  <si>
    <t>UCV3_b0eETTtfdXsfuhmBfiA</t>
  </si>
  <si>
    <t>UCZocQGO7MzUs3i9KgwmMknw</t>
  </si>
  <si>
    <t>UCAOhZoipb7jDigA7KHvGrQg</t>
  </si>
  <si>
    <t>UCeJKlvLzYWy2EEJOX4nx_lA</t>
  </si>
  <si>
    <t>UCXe0UintfbrnHtw5vgHxxew</t>
  </si>
  <si>
    <t>UCw70ukDK5hI6la2qFdQWULQ</t>
  </si>
  <si>
    <t>UCLCusVt_U764QKM7f-5rFaA</t>
  </si>
  <si>
    <t>UCUqLrhPb5_iIypQlqZTVADA</t>
  </si>
  <si>
    <t>UCy0EBCDr3UW2o5TnqqXP6NA</t>
  </si>
  <si>
    <t>UCrOfzpH1sWPu1IqHnVhojKA</t>
  </si>
  <si>
    <t>UCRtiocX-RByBNkJeFYxxk0A</t>
  </si>
  <si>
    <t>UCcHedrvbDgBVVdITAE8JEnQ</t>
  </si>
  <si>
    <t>UCpzJCfqlpzCwxaUAR0nwYgA</t>
  </si>
  <si>
    <t>UCHOFSr20rRKNFfPRyrllnTw</t>
  </si>
  <si>
    <t>UCKhmBdIPdTp2ESXZMVzguPw</t>
  </si>
  <si>
    <t>UCBrQniHNblYjTuDpTEUDbNA</t>
  </si>
  <si>
    <t>UC-vXsj8DkB86ZOLt77BFU1w</t>
  </si>
  <si>
    <t>UCG3xi6xuvSJeEcpYKzck0Tw</t>
  </si>
  <si>
    <t>UCy5hKhlq4c8LMm_76gIuhJQ</t>
  </si>
  <si>
    <t>UCYGGYVpoEzyV3aEDnlKHmOg</t>
  </si>
  <si>
    <t>UCtBKmLm10hij6gUEHjgv7zg</t>
  </si>
  <si>
    <t>UClm1toQ4Udx6CmBeowrW4YQ</t>
  </si>
  <si>
    <t>UCy6yf58ANPri2ADxmwyHxUQ</t>
  </si>
  <si>
    <t>UCf3tTLax9_lfJXvgXOwcX8w</t>
  </si>
  <si>
    <t>UCZGeCqk3Uk-z6vR24OScIYA</t>
  </si>
  <si>
    <t>UCp17NQoVyAztDISp6lXkkFA</t>
  </si>
  <si>
    <t>UCCRObrfmcgoijkHjqdAl7tw</t>
  </si>
  <si>
    <t>UCXn9EUQXsmogW8Id0aXJKaQ</t>
  </si>
  <si>
    <t>UCeDFY10-tBWXcfCqqh9GsSw</t>
  </si>
  <si>
    <t>UCYZTWrj5N7gwDCr3wabQs2w</t>
  </si>
  <si>
    <t>UCs9Zdbl-mpNAxCl3ugagRDg</t>
  </si>
  <si>
    <t>UC16_4VRe0XOWgCYvinbmNMQ</t>
  </si>
  <si>
    <t>UCD-4GvGvyv6n0CmJx6hYS4w</t>
  </si>
  <si>
    <t>UCFyMkijt-pDexasIYlE0jJQ</t>
  </si>
  <si>
    <t>UCfpcUZG7xFGhKgsAtI8kJ3Q</t>
  </si>
  <si>
    <t>UCy24j0xJXAUDhyAlfJUMN3w</t>
  </si>
  <si>
    <t>UC-tFowwKBQtnMGUta4LHcpQ</t>
  </si>
  <si>
    <t>UCXef8RFQf-cGn7aZkyAMprg</t>
  </si>
  <si>
    <t>UCLr1s9zKvByfxUTGk0egUug</t>
  </si>
  <si>
    <t>UCiPqz-lDsf_47xLE6TScyfg</t>
  </si>
  <si>
    <t>UCbjIGe5ZNyf5pq3DGcdZ0ew</t>
  </si>
  <si>
    <t>UC3t12uYAbBtbPkuSRsb8W-A</t>
  </si>
  <si>
    <t>UCorr8hWS9JgiGrr-OmJxMJQ</t>
  </si>
  <si>
    <t>UCFgm8gxM7oeNNubVs6tqVDA</t>
  </si>
  <si>
    <t>UCmc6liSJRK15NzEz3o_VE9g</t>
  </si>
  <si>
    <t>UCHBjDnqvXPx8KcvgNQciRGg</t>
  </si>
  <si>
    <t>UCG6rE3Iq8lVzw0mN6Q2n2SA</t>
  </si>
  <si>
    <t>UCfmC_rOgtWXoza4Z-OBaI_g</t>
  </si>
  <si>
    <t>UCiJtxa49oqxt_DA4PrBEa4A</t>
  </si>
  <si>
    <t>UC6p4EDuDsU8N0PvETW0OmSQ</t>
  </si>
  <si>
    <t>UCV-CPspQhwTsaiftR4JvT0w</t>
  </si>
  <si>
    <t>UCRmNWI61kzeyz941WvkPh1A</t>
  </si>
  <si>
    <t>UCGp2jzV_8VY6ihB2pNQLtCA</t>
  </si>
  <si>
    <t>UCv0CH6pzYWJ7jmSzyY1Hmwg</t>
  </si>
  <si>
    <t>UCWovNHct5sAF35yqNXevmOQ</t>
  </si>
  <si>
    <t>UCxSt1EfgmmW8ZiaBjmsDUIQ</t>
  </si>
  <si>
    <t>UC0P96DvxPjnddtxk5qlkDWA</t>
  </si>
  <si>
    <t>UCB7fjXxobqfGg5HIRZPb9VQ</t>
  </si>
  <si>
    <t>UCkvwc-nKcdcfyCijHMdsv-Q</t>
  </si>
  <si>
    <t>UCoqDNfWMSCgJ2XPKEIsQ4Hg</t>
  </si>
  <si>
    <t>UCtJcXOUyIx1Ey_JgePkHfsA</t>
  </si>
  <si>
    <t>UC1Eq40wcysGfwfS_7xZ5Giw</t>
  </si>
  <si>
    <t>UCPoHDLSthMLaslpTTze79sQ</t>
  </si>
  <si>
    <t>UC_HY4sdpCo57Qyy5dyJA-8g</t>
  </si>
  <si>
    <t>UCqWy_bVUWjZ_nVJJ0FMmaLQ</t>
  </si>
  <si>
    <t>UC2SX421_6U1lcRy4PeXAlCQ</t>
  </si>
  <si>
    <t>UCrJY8i_Oycs9y6QV-QgJVgg</t>
  </si>
  <si>
    <t>UCT1qJXMRiS85GsIhTmS2kUg</t>
  </si>
  <si>
    <t>UCkuuuBaAXULT0hE1oLLGVug</t>
  </si>
  <si>
    <t>UC_rXIJpXsgiNX9yJQO1t-4A</t>
  </si>
  <si>
    <t>UCtDQCu1WtBLfrOMJ5Mt-1hw</t>
  </si>
  <si>
    <t>UC8Sq9OdQJTnVGh1R3TSu5Ww</t>
  </si>
  <si>
    <t>UCMj0L7XbEBIQhocL8Jl4iRQ</t>
  </si>
  <si>
    <t>UCBx7nZGYMmeiG7FMT7s2DEA</t>
  </si>
  <si>
    <t>UCcesEvuN9wVDGgGs1V4xc8g</t>
  </si>
  <si>
    <t>UCVHzwVKV8RAXDO9Is71WVeA</t>
  </si>
  <si>
    <t>UCz3dFKn8ne4HfcHMtiRShHw</t>
  </si>
  <si>
    <t>UC_lMHnKnRGNlnC6SsTHEKMg</t>
  </si>
  <si>
    <t>UCwM1DSmqRvQA2F0-nxEc8uA</t>
  </si>
  <si>
    <t>UCYwtKvjpukkaoj3mKT3nQ4g</t>
  </si>
  <si>
    <t>UCHXTux7spaQA-7sjsaD0t4w</t>
  </si>
  <si>
    <t>UC6eb7_IST0YUGEMdmFLvrJA</t>
  </si>
  <si>
    <t>UCqbWJXoHirhuDUeJ1L9vhzw</t>
  </si>
  <si>
    <t>UCIBl-4dBk2w-JD-doYRWI9g</t>
  </si>
  <si>
    <t>UCN2neQjk5vGLDJldnFSrq5g</t>
  </si>
  <si>
    <t>UCTnAgoFfDvschp2-b13BRwA</t>
  </si>
  <si>
    <t>UCylULGpxuLYDySqMsd6j0TQ</t>
  </si>
  <si>
    <t>UCxIIEJJYcDoZrAHT287O2Bw</t>
  </si>
  <si>
    <t>UCRK5xmIi8kuLUduTE3Ti7lw</t>
  </si>
  <si>
    <t>UCx5ECw_cUqWhrrPJ7QMA6AA</t>
  </si>
  <si>
    <t>UC93RelY0-obNxzVdPO2gQAg</t>
  </si>
  <si>
    <t>UCbOkZlwRtOP3EGGAYd-Zi1Q</t>
  </si>
  <si>
    <t>UCZAiLmgGgniVJEC2JVoQa9w</t>
  </si>
  <si>
    <t>UCwzk0n8iA9jsclJTWDrGPiw</t>
  </si>
  <si>
    <t>UCJ__lhRyYdf3C1kFMxY6KlA</t>
  </si>
  <si>
    <t>UC2P4OcuzAkCM8AFk9lAX_bQ</t>
  </si>
  <si>
    <t>UCO0KFz5_gtZt-AfyIV2sAkw</t>
  </si>
  <si>
    <t>UCa3sQoBkibz4-PohUdeBGsg</t>
  </si>
  <si>
    <t>UCi7GGjcIwlaIPRMXMlfhpsQ</t>
  </si>
  <si>
    <t>UCy-JgepT_qtRjv03a-TQVJw</t>
  </si>
  <si>
    <t>UC1UOne4B9wIrMe0KMwe-7_g</t>
  </si>
  <si>
    <t>UCFLjl9uL46qZLz6G6yCLJ8w</t>
  </si>
  <si>
    <t>UCSLdPvBqRtmYULL-oKOLcHQ</t>
  </si>
  <si>
    <t>UCPSxQaoBBQEbCEH9wRdJaZg</t>
  </si>
  <si>
    <t>UCdEqd30OY4ao-COgcRMx2zA</t>
  </si>
  <si>
    <t>UC08ushRWUBKBJvrPsHWc0PA</t>
  </si>
  <si>
    <t>UCcHx5yHUmZB-XwBveePXi2w</t>
  </si>
  <si>
    <t>UCZmqD4htbc9GsYraXr3TF4Q</t>
  </si>
  <si>
    <t>UCP9nUFJdgLthUUFOhSlG4ew</t>
  </si>
  <si>
    <t>UC-jsOlDWbJctgd9Qdjokd1Q</t>
  </si>
  <si>
    <t>UChzpUzwe_EvKV8aYorCQMIw</t>
  </si>
  <si>
    <t>UCpXQnpbJCTmEHj1_Py_gIlQ</t>
  </si>
  <si>
    <t>UCRNNx_STzEzkiMiMNpYdUNA</t>
  </si>
  <si>
    <t>UCPnH61dzgKObR3_KBnr6WAA</t>
  </si>
  <si>
    <t>UCM3G0qLnOD3NEI2ixgXUi7Q</t>
  </si>
  <si>
    <t>UC5ST-kbOim0kvbMw9gEhflw</t>
  </si>
  <si>
    <t>UC4wLSheBX-bopMK5_n4RhDA</t>
  </si>
  <si>
    <t>UCgLj5we8hYoIHLA5Rl8F-pw</t>
  </si>
  <si>
    <t>UCGN_04Loctqx4yk2BBPDSiA</t>
  </si>
  <si>
    <t>UCduWTdd9YXd8iQ8Z9PyEXAA</t>
  </si>
  <si>
    <t>UCwmAOOa6KFArqr7X7AjWLvQ</t>
  </si>
  <si>
    <t>UCR-HcOVaxb9nV_VgBzLPhmw</t>
  </si>
  <si>
    <t>UCzlzeSeFbuU2R34eEtDtWow</t>
  </si>
  <si>
    <t>UCjRFNLGOgsv0OCsNQWDo5yA</t>
  </si>
  <si>
    <t>UCOmbRCsa4j7mO4CiWMB0QuQ</t>
  </si>
  <si>
    <t>UCr0V8lVq4yKVfwATURR7Ijw</t>
  </si>
  <si>
    <t>UClCkLTokuD6DWa6D7mpjM1w</t>
  </si>
  <si>
    <t>UCXb5SLRhTcn2RxQKOgsQNDQ</t>
  </si>
  <si>
    <t>UCiCMp4kRBK2tAVNOEaWtxjA</t>
  </si>
  <si>
    <t>UCLQ2oduV9s9j5w1FIkhxI8w</t>
  </si>
  <si>
    <t>UC0vhWIlzdwo3Gw5uveZBu8g</t>
  </si>
  <si>
    <t>UCUrgJG_mkHrQzXpAweq2VJg</t>
  </si>
  <si>
    <t>UCDCBUMgndU6e5YdvTbOdwJg</t>
  </si>
  <si>
    <t>UCXRQy4Z0hX6x5BsqamHXAVQ</t>
  </si>
  <si>
    <t>UC6nD4gYfOliSeE9QXHNFQCw</t>
  </si>
  <si>
    <t>UCmyeqp_l83KEJ5MKDJzawAg</t>
  </si>
  <si>
    <t>UC8V8Q7S1-bKK8OVwjdpl_IA</t>
  </si>
  <si>
    <t>UCt3jkk_EFyQe8tnGo2VPrdw</t>
  </si>
  <si>
    <t>UCas3EI8062DlbfIWoe6lT1A</t>
  </si>
  <si>
    <t>UC26HClnrlOjucUcIZAoYGbQ</t>
  </si>
  <si>
    <t>UCyTJlqFJqj6xQJSPG4JHWsQ</t>
  </si>
  <si>
    <t>UCOqnb0JhnoEdSjvzb5aFfFw</t>
  </si>
  <si>
    <t>UCm4SZVmLwk0uaopNtzA2V7w</t>
  </si>
  <si>
    <t>UC550s7Y1bLdmzASbdhnk9nw</t>
  </si>
  <si>
    <t>UCERbizhB5e5i0qAHj2IKbng</t>
  </si>
  <si>
    <t>UCdBrJs1-C9tB_nkWfACqThg</t>
  </si>
  <si>
    <t>UCQtLpxUr0hzNyilim3BojdA</t>
  </si>
  <si>
    <t>UCQpxFeJKvu5E8fRlR1N6RMQ</t>
  </si>
  <si>
    <t>UCRUKXzeoHDGanjNRCrYHTUg</t>
  </si>
  <si>
    <t>UCckyT_IW_fETaJL9h9-JBKg</t>
  </si>
  <si>
    <t>UCCVrndP3QAuZUy2pYuFuSUA</t>
  </si>
  <si>
    <t>UCFLKgwM2TyPnilAPJ-dhQdw</t>
  </si>
  <si>
    <t>UCUSqVPHdBp19cicjWYtQMpA</t>
  </si>
  <si>
    <t>UCNOIvYDrYMf2wz4AOc02W8w</t>
  </si>
  <si>
    <t>UCvXvWJfWqD5DdWdnyYF6zkw</t>
  </si>
  <si>
    <t>UCUigcfgzSyjftBMj6QCrirg</t>
  </si>
  <si>
    <t>UCfEL-pBCOJJFoFV7ERyTuDw</t>
  </si>
  <si>
    <t>UCMLbN9Wgrd65N-br_sWQJ5w</t>
  </si>
  <si>
    <t>UCMda-13oRrcjDd9fni2k-Nw</t>
  </si>
  <si>
    <t>UCOGlPacW2ZVABzdM-muVipg</t>
  </si>
  <si>
    <t>UC45A1IH_CwXZ9b1zXutyF7w</t>
  </si>
  <si>
    <t>UCmvOe9z0Es8UcLRzgWczEKA</t>
  </si>
  <si>
    <t>UC16fbAGWo_kHQzop-I4gsBQ</t>
  </si>
  <si>
    <t>UCdqSCu3iI_rZbM7TXRzJnHQ</t>
  </si>
  <si>
    <t>UCaK15EMdcGMGgiQBT6-brRQ</t>
  </si>
  <si>
    <t>UCQ4wswrRIHbAfgBzpP17CHg</t>
  </si>
  <si>
    <t>UClDPRMF6xr9G4ZTzB7fMXkA</t>
  </si>
  <si>
    <t>UCwIzzog32-gzcYYq002c9fQ</t>
  </si>
  <si>
    <t>UCh8-ERdIP9Rn6M3tWLWiJ2A</t>
  </si>
  <si>
    <t>UCaqkok_r96V3PaieOOXcmxg</t>
  </si>
  <si>
    <t>UCCYYZ5FXSRwNEHImDBYozng</t>
  </si>
  <si>
    <t>UCMBuhLCDDmxfwa01TuuvTgA</t>
  </si>
  <si>
    <t>UCzaJX4F-PPVz7andv4AqMxA</t>
  </si>
  <si>
    <t>UCzRCZj6hUgsYaUl7bTXdDkQ</t>
  </si>
  <si>
    <t>UC9j15EEgU9FDN7FVB4fA4Qw</t>
  </si>
  <si>
    <t>UCfIDdBdYUWpJsg1xDlO6L2w</t>
  </si>
  <si>
    <t>UCmQ2honNd6CPcu7cXKM0AYw</t>
  </si>
  <si>
    <t>UCJsptLfnA0JQUU8Hs0Qqakw</t>
  </si>
  <si>
    <t>UCVri2C046u3ysJFAxSvNReA</t>
  </si>
  <si>
    <t>UCx8RaonvlQ-BvsM4U0Ciocw</t>
  </si>
  <si>
    <t>UCtsnYj-P7GlKCAAcOCPqzLw</t>
  </si>
  <si>
    <t>UCisTN-GbgzzLRXftgnCJGKg</t>
  </si>
  <si>
    <t>UCUZnVFJE0G0P5zeWsKQI3cw</t>
  </si>
  <si>
    <t>UCMWwOva5s9_5uGy8_-kumWQ</t>
  </si>
  <si>
    <t>UCs23O8qZd7ukNwvC_Ym47Kw</t>
  </si>
  <si>
    <t>UC4suBkBgdYwMN1hJUvwGOag</t>
  </si>
  <si>
    <t>UCKncK30igizBFA6qFZBUKBw</t>
  </si>
  <si>
    <t>UCeu3Q14xcvVYQ8yvCtLlXcw</t>
  </si>
  <si>
    <t>UCATmVnURdQtktMmGjHzwYiw</t>
  </si>
  <si>
    <t>UClpeLlEHyJOcPQPxXUwwomA</t>
  </si>
  <si>
    <t>UCey1jVojdyJN2I3FZ3Csj5g</t>
  </si>
  <si>
    <t>UC5Wsx6murjwGfZnT4ytMacg</t>
  </si>
  <si>
    <t>UCQ3NrqLVF5uQkvlmUmEe9VQ</t>
  </si>
  <si>
    <t>UC8Ku9Vut_I_BXpts7AebSCQ</t>
  </si>
  <si>
    <t>UC7DzH8zmGykyzcqIWMXieAQ</t>
  </si>
  <si>
    <t>UCkCRcCL-HfoWwwV4buAuZYQ</t>
  </si>
  <si>
    <t>UCM4N-TtaYnrCyHLf7QgZrMw</t>
  </si>
  <si>
    <t>UCFD_IgJSsb3FOKYa5DD--BA</t>
  </si>
  <si>
    <t>UCSHl7SxZTmWce2xL7zA7hYw</t>
  </si>
  <si>
    <t>UClUk4a-JilVydkkqtZGNhGw</t>
  </si>
  <si>
    <t>UCqsoUxYmxNr7OGjmTEDzMbg</t>
  </si>
  <si>
    <t>UCdV1f2ul6mymrcTVWPIZz0g</t>
  </si>
  <si>
    <t>UClKvt9EER6ZZBRR6xypWzbw</t>
  </si>
  <si>
    <t>UCBd6Po_18WQ_17fO5B93HNg</t>
  </si>
  <si>
    <t>UCuP-DDG-E-z_OJCnJ9tbBkw</t>
  </si>
  <si>
    <t>UCQ5zACxDj4xhH4NHQnLLmDg</t>
  </si>
  <si>
    <t>UCQp5HWkbulYJikj7OiYawSg</t>
  </si>
  <si>
    <t>UCa18K-lI0noaMFMQYJ9NEkA</t>
  </si>
  <si>
    <t>UCDOk20xpy9mww4BDeHc-ncw</t>
  </si>
  <si>
    <t>UCvY5a5IMGVIrG9Wos5F_amA</t>
  </si>
  <si>
    <t>UCN2k7XsHh6j9_XEu9t-qkPg</t>
  </si>
  <si>
    <t>UCbQ-mnhf71y9sKeS7f410uA</t>
  </si>
  <si>
    <t>UCnTwsAoqgyDVe5hxOmbMOiw</t>
  </si>
  <si>
    <t>UCMbiz--dyguBHGGXSi0PHig</t>
  </si>
  <si>
    <t>UCSimIEOWBHsLQL6iQAq20RA</t>
  </si>
  <si>
    <t>UCkkIYBSxVBil3ancnKSj4MA</t>
  </si>
  <si>
    <t>UCCKbMXggtIxq2TqkfOgr33Q</t>
  </si>
  <si>
    <t>UC8iLOET5O2nQdnpx1QGSFTg</t>
  </si>
  <si>
    <t>UCEuRjmGsp_6XW_NZ55p8ayg</t>
  </si>
  <si>
    <t>UCnS0Rg9zC05bpNkOLqfjApA</t>
  </si>
  <si>
    <t>UCtvsCcDbN1Y4SgahHf9SmYg</t>
  </si>
  <si>
    <t>UC7jT2EII2yt_hWZGHyW2gKg</t>
  </si>
  <si>
    <t>UC_NfI3PmUQP4wEdQtuCpsWw</t>
  </si>
  <si>
    <t>UCLQipAGYP3kxII4IbV__IRg</t>
  </si>
  <si>
    <t>UCMhn_LMCwURTeFzAjWf8TGA</t>
  </si>
  <si>
    <t>UCgwcE1FmWRKevvMcxuxCA0g</t>
  </si>
  <si>
    <t>UCmcUNcukFwJ64_THjgNVaiA</t>
  </si>
  <si>
    <t>UCZLXr7hSfS87GJIG86LkOiw</t>
  </si>
  <si>
    <t>UCIrAOrn6W00HXRNYEeoxL3A</t>
  </si>
  <si>
    <t>UChoFfUUAokIH5a58W_PGtXA</t>
  </si>
  <si>
    <t>UCBOhd2V4z2wZmIzLJpJR72Q</t>
  </si>
  <si>
    <t>UCpgJ9_kSol2trpmt1On5mkQ</t>
  </si>
  <si>
    <t>UCcbhpngcGDw-LemvWaEaT0Q</t>
  </si>
  <si>
    <t>UCGcXyLgWdwHO_TkJJFHJHAQ</t>
  </si>
  <si>
    <t>UC__9YCm_H5Jcm7sJXVI6lsg</t>
  </si>
  <si>
    <t>UC5WO7o71wvxMxEtLRkPhiQQ</t>
  </si>
  <si>
    <t>UCdWYRE0QbO41O3k-HXyhDAA</t>
  </si>
  <si>
    <t>UCM5lnK0WJyzr6JEwkoT5VUw</t>
  </si>
  <si>
    <t>UCXvgguH0bhLYURuSl1TjKfA</t>
  </si>
  <si>
    <t>UCh2YI5Jm3wPy4b_CKZURNew</t>
  </si>
  <si>
    <t>UCn6IZANXL-7FGr-w3pcrw9w</t>
  </si>
  <si>
    <t>UCqLPWCNRQH737Exg8wO9RzA</t>
  </si>
  <si>
    <t>UCx4LUlj8G9JyCKyyAiOLoOw</t>
  </si>
  <si>
    <t>UChltLvxXd5y_yOdlXYLB7CQ</t>
  </si>
  <si>
    <t>UCXxvceVwEBo1aVPWBW_0_oQ</t>
  </si>
  <si>
    <t>UCIITa0iPpFLal9GwWj472bA</t>
  </si>
  <si>
    <t>UC2xyMvKmEDU5wkRYfyT1ZsQ</t>
  </si>
  <si>
    <t>UCU91ilky-nR0VwKYFmJTsUA</t>
  </si>
  <si>
    <t>UCm88bBE_-k7SusfKB1sAc8g</t>
  </si>
  <si>
    <t>UCm1TsGteHVIWlMuusBiVKWw</t>
  </si>
  <si>
    <t>UCNSxfqK-zTbmZZMMTyzHSug</t>
  </si>
  <si>
    <t>UCLz7LG4YVi7_iyk4yOARcxA</t>
  </si>
  <si>
    <t>UCtDtViiT7X-0EfqXySu92tA</t>
  </si>
  <si>
    <t>UCNXn680a-LtOmh5bVd4yqsA</t>
  </si>
  <si>
    <t>UCNxR6fhTNFSpGjmkvFgsTkg</t>
  </si>
  <si>
    <t>UCFPxNZvFlCiAw3GpzwnlwVg</t>
  </si>
  <si>
    <t>UCdJie4gDKplUUUqA-1KvDyw</t>
  </si>
  <si>
    <t>UCYeZbrsv_A7-m5w0Gy5vFUw</t>
  </si>
  <si>
    <t>UChh0DE4LosUyXSiZA0Yn1RQ</t>
  </si>
  <si>
    <t>UC9pxOEHrjsl7YKBSc7sl_KQ</t>
  </si>
  <si>
    <t>UCMkrMgam8HQQxK0-4fH9zYQ</t>
  </si>
  <si>
    <t>UCeDYbDDLFkcvt-84WqKwQhA</t>
  </si>
  <si>
    <t>UC36DICnZg9KVJhKUtRcQ8SA</t>
  </si>
  <si>
    <t>UCqfiWh6WCf335A5-YQCb3mA</t>
  </si>
  <si>
    <t>UCyLz9DkPmnqyXMbRTRGBftQ</t>
  </si>
  <si>
    <t>UCRajP34_ci2jiQNAbwzEaxA</t>
  </si>
  <si>
    <t>UC3Ji1yQtKvHrkK5pR3LQEsA</t>
  </si>
  <si>
    <t>UCl1a5cOgVYM3VAYBoBt_Pjg</t>
  </si>
  <si>
    <t>UCuMrqKO1xGH8Tnxl6PLP9Ow</t>
  </si>
  <si>
    <t>UCZ41xFtBLxH6DszX1LH50ZQ</t>
  </si>
  <si>
    <t>UCKnbXodUoiLVjTR1UGDpMHg</t>
  </si>
  <si>
    <t>UCQC8Rer3Atzj9uYkccDEstg</t>
  </si>
  <si>
    <t>UCCETjDW-G8rr12-XeAWQ6sw</t>
  </si>
  <si>
    <t>UCCd0oq5V7xXjS4myncq9p7Q</t>
  </si>
  <si>
    <t>UCNQ6FEtztATuaVhZKCY28Yw</t>
  </si>
  <si>
    <t>UCegrpPesyIlZYOZrjW-OGug</t>
  </si>
  <si>
    <t>UCHz5XRlqn3nQdq62973lQvA</t>
  </si>
  <si>
    <t>UC7dt8nDHR51X9BAd4feT6MQ</t>
  </si>
  <si>
    <t>UCExiQlpVLz6-yiQ-t4XZ2_w</t>
  </si>
  <si>
    <t>UCdN8KcE_9fi4FyAvdHDQlGw</t>
  </si>
  <si>
    <t>UCbymSx4cXFw6WAoP3pDhiYw</t>
  </si>
  <si>
    <t>UCHm_mJ23LCwSs6Zpo79CX0w</t>
  </si>
  <si>
    <t>UCtd0-bLpTyxYg6pamrlL6vA</t>
  </si>
  <si>
    <t>UCqRMmSk8v8MoMhMuw3EUSjQ</t>
  </si>
  <si>
    <t>UCUIINNlBEStKxTUMX1NVnpg</t>
  </si>
  <si>
    <t>UCOxlZ6435kCLM1S7sxjsjRQ</t>
  </si>
  <si>
    <t>UCpkqMwlK-5eS3u5bV9Xsa4g</t>
  </si>
  <si>
    <t>UCytSKiwS35jhNO-p0OR0PZA</t>
  </si>
  <si>
    <t>UClRThtp-OfWWbrCt_iwUalw</t>
  </si>
  <si>
    <t>UCp-Ot7B7dCPoVxhsrn9qAoA</t>
  </si>
  <si>
    <t>UCsv1k9Klg3OMzo83gBxT3Og</t>
  </si>
  <si>
    <t>UCIIt42-XPqkx1LAJfmC08bw</t>
  </si>
  <si>
    <t>UCgWA0ydiRFUH3VHwpxMQNsA</t>
  </si>
  <si>
    <t>UCnsLyAmbk5GNrO5fcbpST6Q</t>
  </si>
  <si>
    <t>UCKHY-EGHO_ls1kwaBn_9dJg</t>
  </si>
  <si>
    <t>UCOUf1Az2n3dGRQG_CeRbq6A</t>
  </si>
  <si>
    <t>UCZkFodsDj-4z__MEhIahzng</t>
  </si>
  <si>
    <t>UCCaN1AWZMz_EvGSJ1yvkH5g</t>
  </si>
  <si>
    <t>UCzxVQetjJYUbg96yo1qb72w</t>
  </si>
  <si>
    <t>UCc7RDSp4swlhRRzFuoLtNEw</t>
  </si>
  <si>
    <t>UCh7Lw6Wna_Qask4WZLrcZeQ</t>
  </si>
  <si>
    <t>UC4pLhHTgL-WUgH1GlEo6jmg</t>
  </si>
  <si>
    <t>UCq6F_3o__BOOKm8ne_28TgQ</t>
  </si>
  <si>
    <t>UCQ1Xjn6GMMfejy3o_sZrgBQ</t>
  </si>
  <si>
    <t>UC9t_DMZMErkKIQcnLOEvEeA</t>
  </si>
  <si>
    <t>UCnLCoVqTL-KVMVbsZP1JsaQ</t>
  </si>
  <si>
    <t>UC75UAB83xlYtPUig1Z9la8Q</t>
  </si>
  <si>
    <t>UC3JQ4oHAe2vkX2-pBYZq6JQ</t>
  </si>
  <si>
    <t>UChWHS6KhKRguobVFZoZ44tA</t>
  </si>
  <si>
    <t>UCf3CrtR1erujWN_ZK6hj8aw</t>
  </si>
  <si>
    <t>UC-AyjLkoQSxTHN3zlThxg6w</t>
  </si>
  <si>
    <t>UC2SP8yo6IM1HoW6YojNj8EA</t>
  </si>
  <si>
    <t>UCmfWgsWlWZwmyzMP8Bixs6w</t>
  </si>
  <si>
    <t>UC2fFklOIpQgK16opRNoMJug</t>
  </si>
  <si>
    <t>UCNTO6cjXeFuN5T4SVTYGiBQ</t>
  </si>
  <si>
    <t>UCjWv9qBBf0di7RWS5rC7Jcw</t>
  </si>
  <si>
    <t>UCpc_JaPCcpN9Kd63CcLrzoA</t>
  </si>
  <si>
    <t>UCiXKTdHsvNxKzBFWsWTlsYQ</t>
  </si>
  <si>
    <t>UCSYbjDgZx0au48cvI6RUSAg</t>
  </si>
  <si>
    <t>UC53vvfdlTgtACVRbusR1u7Q</t>
  </si>
  <si>
    <t>UCSN0ehODyVpQWgWDkUS0izQ</t>
  </si>
  <si>
    <t>UCCNqBrFZbWSp5OYjl11fF3Q</t>
  </si>
  <si>
    <t>UCcbIRsBt6NcvogISolZiwag</t>
  </si>
  <si>
    <t>UCtBx0udFMN5gzZiOB6_43JQ</t>
  </si>
  <si>
    <t>UCHN04Bwzh3IBd-0Kq3O7KSw</t>
  </si>
  <si>
    <t>UCuI44-4QZ7YMtzeDz1hixmw</t>
  </si>
  <si>
    <t>UCFWCFYvqnAMT-jcCqTp_SlA</t>
  </si>
  <si>
    <t>UCJIZMz72pv9rPZmgWJt0L0A</t>
  </si>
  <si>
    <t>UCgg-eLaCQoWbYKWoZKLkbZw</t>
  </si>
  <si>
    <t>UCxIurz10nqku-7IMH_InuQA</t>
  </si>
  <si>
    <t>UCtZfzwsSClLkRHiIBZnah0A</t>
  </si>
  <si>
    <t>UCdBCF7_NKXYXv5WjjY0zrIg</t>
  </si>
  <si>
    <t>UCHT11Z-nc07-xcv5ycU_eFg</t>
  </si>
  <si>
    <t>UCGCKVYfwTJ1MOM9X26accNQ</t>
  </si>
  <si>
    <t>UC44Wys2XOgRzWfJm-X_4KTg</t>
  </si>
  <si>
    <t>UC5k9Iiom0XcAHapsIwzncOw</t>
  </si>
  <si>
    <t>UCR6jer_UVcHHHlmjZzo5JjA</t>
  </si>
  <si>
    <t>UCSQmiyP26keQ3L_WI_LHdGw</t>
  </si>
  <si>
    <t>UCDFOkbaN9IuV6tjO8Aqo1ww</t>
  </si>
  <si>
    <t>UCrYirjTMOhNq6UrEg3vDtvQ</t>
  </si>
  <si>
    <t>UC9rQw9V314UqtqEfG8ctW7g</t>
  </si>
  <si>
    <t>UCnGNIUvBIAQvGwXKqUrFZ1Q</t>
  </si>
  <si>
    <t>UC65hTmyQXTmn-MHHIj_awow</t>
  </si>
  <si>
    <t>UCb7McXJYspZFzF0m21SYd1g</t>
  </si>
  <si>
    <t>UCb6MJFWnZvrQph6iVEeYS5Q</t>
  </si>
  <si>
    <t>UCiWnI7OYx5KkxFrOurw0TlA</t>
  </si>
  <si>
    <t>UCuklC4KhPbX_crqBHnEbo_Q</t>
  </si>
  <si>
    <t>UCg2_j8t2tlwTIU4HL59Q7gw</t>
  </si>
  <si>
    <t>UCvEKHATlVq84hm1jduTYm8g</t>
  </si>
  <si>
    <t>UCz0Ql4g16mSe3_IzJa__v7A</t>
  </si>
  <si>
    <t>UCOCPInEncz7NFDAtaqHNiZA</t>
  </si>
  <si>
    <t>UC5oiJCdehjArUKNa3sRetbg</t>
  </si>
  <si>
    <t>UCiYJN7P9TBGVqZm3q06FAXw</t>
  </si>
  <si>
    <t>UCwBfgxcxKUzlhpEMJxWEmdg</t>
  </si>
  <si>
    <t>UCCMWDXrVpUOsfIpVJbZDBsA</t>
  </si>
  <si>
    <t>UCthW9AxK9YKOCh7vCH8_F-Q</t>
  </si>
  <si>
    <t>UCPGObJpNl90s5AEmESo9dcQ</t>
  </si>
  <si>
    <t>UC1qjTZAkimFkNSLMAZyIc5Q</t>
  </si>
  <si>
    <t>UC-gq2-AQPR78o5YP6cQXiLw</t>
  </si>
  <si>
    <t>UCrDsn614zw32Tao_Y38xLWA</t>
  </si>
  <si>
    <t>UC_tu7TDtgl2Pt1tGac6Ntbg</t>
  </si>
  <si>
    <t>UCRz32i7F0hArfqshGThsM8w</t>
  </si>
  <si>
    <t>UCagK63XPST_9VnVY2keNVng</t>
  </si>
  <si>
    <t>UCZwBFI0HyoCFTVhrCZf_ZaA</t>
  </si>
  <si>
    <t>UCeTz0lYpbTecp_DnJi-0anQ</t>
  </si>
  <si>
    <t>UCJL0S6hNdoTQPZdkmh-AmzA</t>
  </si>
  <si>
    <t>UCGpQ0YuawhirWPKFnXcTh5A</t>
  </si>
  <si>
    <t>UCkHzY2GRdCGAIUJIdifBM_Q</t>
  </si>
  <si>
    <t>UCBlyjOeIg9Ej-nbXjlyvfwg</t>
  </si>
  <si>
    <t>UCtT9Sd904fZRKDwSqZvkgCA</t>
  </si>
  <si>
    <t>UCFzKbf-ggLWm4uzXwdZYDBw</t>
  </si>
  <si>
    <t>UCa0Alai4EzVJhOysZHL6c6w</t>
  </si>
  <si>
    <t>UCRP_WEwEXufEErhl21D8Qqw</t>
  </si>
  <si>
    <t>UCmsd11GSKyWz472NFo4Yz4w</t>
  </si>
  <si>
    <t>UC9ojDGjDozoskCUmD3e5omg</t>
  </si>
  <si>
    <t>UC7q0N_ED2tzjuudy9P5UO8A</t>
  </si>
  <si>
    <t>UCssSl9ZCuCj7jYpbti8gigQ</t>
  </si>
  <si>
    <t>UC-barUwAe4iI0y5eL-iMwlA</t>
  </si>
  <si>
    <t>UCrjcrMXItIt7id460F7oVcw</t>
  </si>
  <si>
    <t>UCcLuah_TaA0uOE8pKRoiPnw</t>
  </si>
  <si>
    <t>UCcut1207KRCj6McKa9AHA2g</t>
  </si>
  <si>
    <t>UCg0eWdRir64QUvYGDG-9VjA</t>
  </si>
  <si>
    <t>UC8DANtaIxmg8rNWTLNCOdow</t>
  </si>
  <si>
    <t>UCqVvXo5g0ELvLyiWq-HNk8Q</t>
  </si>
  <si>
    <t>UCoA5LPDBNwELT7_aOkqDmCg</t>
  </si>
  <si>
    <t>UCsnGfh6K96wIGE27KxPVZfg</t>
  </si>
  <si>
    <t>UC2uQ5rMpl_CqAf405R-mjjg</t>
  </si>
  <si>
    <t>UCHl-rbHJsAyqL2oRXtFV_8w</t>
  </si>
  <si>
    <t>UCYIRfEKJigGHtOftTv_DZRA</t>
  </si>
  <si>
    <t>UCVKaQzBzw9RLt3p45MPuQng</t>
  </si>
  <si>
    <t>UCsrYw7cLrrhwyFK3eOtU5Tw</t>
  </si>
  <si>
    <t>UCe1jvhdJVdGaJAevPss-TVg</t>
  </si>
  <si>
    <t>UCNF06EbfkXie7A7GnGA_8Gg</t>
  </si>
  <si>
    <t>UCNNT2IUS3H-VXNDEzEBXUuw</t>
  </si>
  <si>
    <t>UCC5wtNbxiuJLrr52uaJem3Q</t>
  </si>
  <si>
    <t>UCmllyPQZGEO3256IvHavU6w</t>
  </si>
  <si>
    <t>UCCykHV1oXG47imJFn_xUAFw</t>
  </si>
  <si>
    <t>UCni25N9di41YVKRaNfhNshA</t>
  </si>
  <si>
    <t>UCDBErhGM1VE_ehjwo5YJGvw</t>
  </si>
  <si>
    <t>UCQpcuJAlZfcnrbdePSZrnog</t>
  </si>
  <si>
    <t>UCNGvOZalM2hMaSmkRIuYQRg</t>
  </si>
  <si>
    <t>UCNNJwrynzE9otjQ_OU4keFw</t>
  </si>
  <si>
    <t>UC8wAlSksnxQRAKtUinCfYpg</t>
  </si>
  <si>
    <t>UCNH7sBhNrHquvLDdg9GiR-Q</t>
  </si>
  <si>
    <t>UCXAxLTfYCDejvnQ3Q5mh8bw</t>
  </si>
  <si>
    <t>UCTF7NWwMxI9meD6RYLfYcTA</t>
  </si>
  <si>
    <t>UCh2gQbj8j5316vJXQu8gxwA</t>
  </si>
  <si>
    <t>UC9M4B-wauKFUDXkDDLpshfg</t>
  </si>
  <si>
    <t>UChQsnCx7XCYp5qevg3SM-hA</t>
  </si>
  <si>
    <t>UC9P3hBFODSMLu8WWZgFyC-Q</t>
  </si>
  <si>
    <t>UC2wTpWwNnN-krBQQzHKemIw</t>
  </si>
  <si>
    <t>UCULsefZscnI9FQlbRcVYvtQ</t>
  </si>
  <si>
    <t>UCl3yHjxL4d2FVOUjS1TXzSA</t>
  </si>
  <si>
    <t>UCYCEj-PEDJdmQFKG4DCeycw</t>
  </si>
  <si>
    <t>UCAEbXCEypXNdSkNXqGBqS2g</t>
  </si>
  <si>
    <t>UCvhSrtX9gzf5n2r1OoCj-bQ</t>
  </si>
  <si>
    <t>UCl6eIhS1QEEcjZPeqk9-Cpg</t>
  </si>
  <si>
    <t>UCjO13jdUoQGSE7N4TVJpA2Q</t>
  </si>
  <si>
    <t>UCbOmKK-tRxdULpLP2C_RRwA</t>
  </si>
  <si>
    <t>UCt6OXVV_2oxf5DD0Mad6e9A</t>
  </si>
  <si>
    <t>UCXlWT5y31RESuqxtNLvrtfg</t>
  </si>
  <si>
    <t>UC4iceXE3F98QJqFK9aEmnGQ</t>
  </si>
  <si>
    <t>UCDvDT8C67GdV8HX4mEvBpOQ</t>
  </si>
  <si>
    <t>UCjUUAlIPVpmsaFKu4aVs1oQ</t>
  </si>
  <si>
    <t>UC_yQL2cdSPkw_DxvIt8TBJw</t>
  </si>
  <si>
    <t>UCJq6I2JomkH1V9Arzv9VKyg</t>
  </si>
  <si>
    <t>UC4K7vyx_mITvs2AobI_WMpg</t>
  </si>
  <si>
    <t>UCS7CnHtninM4TweGqpQTEtA</t>
  </si>
  <si>
    <t>UC4D1jtqACNzfzhpcduiP2tg</t>
  </si>
  <si>
    <t>UCNXTS4NpAcOM7VCaZKDK_fw</t>
  </si>
  <si>
    <t>UCDe9O8oIGYX-bsox70kU_iQ</t>
  </si>
  <si>
    <t>UCOR4tTOCnjctn2EhFPWuOTg</t>
  </si>
  <si>
    <t>UCO-8oKiQD5k8_ggA9Z7FGfQ</t>
  </si>
  <si>
    <t>UCSzcL8Y2BERv6-yO9Tbgm6A</t>
  </si>
  <si>
    <t>UCy9Ap11iLu5EnznFj-ggqKw</t>
  </si>
  <si>
    <t>UCH_4bAwpwDAwpBSS0ni2fEA</t>
  </si>
  <si>
    <t>UCdhk6hjAwLys22jBGTmWLig</t>
  </si>
  <si>
    <t>UC2gMHaUekvep04RswSNVccQ</t>
  </si>
  <si>
    <t>UCUwwIlzdWIkASiLBw1AAijA</t>
  </si>
  <si>
    <t>UCdLtjycStTXTaiISUPOkB2Q</t>
  </si>
  <si>
    <t>UCX_xF6PYadeOdFc8xOdQcZQ</t>
  </si>
  <si>
    <t>UC9F7Jp57llPni9da2mhKZyA</t>
  </si>
  <si>
    <t>UCUD-0EcPNkjx3YGX4bGFjxA</t>
  </si>
  <si>
    <t>UCO-pbCDM8Zkj6t8jMnPVCeQ</t>
  </si>
  <si>
    <t>UCKnRNV6x7s-ZSDfYPATq7cQ</t>
  </si>
  <si>
    <t>UCEHreiNTKQygEJip9ExpEvQ</t>
  </si>
  <si>
    <t>UCpyEynyShZ3Kb3OG6guzeFA</t>
  </si>
  <si>
    <t>UCYbuZB5F36Q3q5eqD-fZuEQ</t>
  </si>
  <si>
    <t>UCNxV2WMzhw8YDavB3-ZKLGQ</t>
  </si>
  <si>
    <t>UCU6HkRQLLod0IsjKy0Ausgw</t>
  </si>
  <si>
    <t>UCNrGNHz7xNZTSrj_H3Q2AUg</t>
  </si>
  <si>
    <t>UCC3ntdyD1p76ybXH2GSANMA</t>
  </si>
  <si>
    <t>UCLqQP4Dh-9Ew8zFzyC2b4mw</t>
  </si>
  <si>
    <t>UC2YG4bmqYQetlqUb0z2pSDQ</t>
  </si>
  <si>
    <t>UCvdTSGAK5v-EjJDJ70tlmNg</t>
  </si>
  <si>
    <t>UCFK0dLqgMUPdpLQmma2T-Ag</t>
  </si>
  <si>
    <t>UCl4rckjgrVmjDLYP10YHBRQ</t>
  </si>
  <si>
    <t>UCKwgH3vASrD2brd1l2m6NHw</t>
  </si>
  <si>
    <t>UCdF919W7arTWEQNo0E7_Fow</t>
  </si>
  <si>
    <t>UC5xfT9uKUeh5PchY8XbuGDw</t>
  </si>
  <si>
    <t>UCLwH_zWxLVDCe28zC-v47VA</t>
  </si>
  <si>
    <t>UCQ0MKa7di8zpiF35GEgvsKw</t>
  </si>
  <si>
    <t>UC5GThCUwy9QHs_lK_OAmVrA</t>
  </si>
  <si>
    <t>UCfJdRf-tZTor-qQepHVPzcQ</t>
  </si>
  <si>
    <t>UC5FzKN5Jk9-Pr-JgxMwJ1Lw</t>
  </si>
  <si>
    <t>UCshPyRiu9XTQb2gEagNt-3A</t>
  </si>
  <si>
    <t>UCXnfnDlFnd8n8fvB3vWmNZw</t>
  </si>
  <si>
    <t>UCAGleADXMmioBj65sUoy6Wg</t>
  </si>
  <si>
    <t>UCkry_Vn2ADaHEf0V77CuMvg</t>
  </si>
  <si>
    <t>UCmkwLgoYGQvAKC96_1-176w</t>
  </si>
  <si>
    <t>UC-9_drIFv14KfzEI8HmEizA</t>
  </si>
  <si>
    <t>UCh82OAfofTeBsBdsUiMa5WA</t>
  </si>
  <si>
    <t>UCCbQBG_KOVF0AAQWX0K6WBQ</t>
  </si>
  <si>
    <t>UC0Z-YjNAVj9hc8pBv8MxExg</t>
  </si>
  <si>
    <t>UCDoaU1MNrzt7YWE8DAPgO1w</t>
  </si>
  <si>
    <t>UCjM5mTkke-Vk4S5VgKtHsaQ</t>
  </si>
  <si>
    <t>UCjmFp8Mx_PfO1X6fV0NNwTQ</t>
  </si>
  <si>
    <t>UCYDBGNfriISI5JFhmPQHzwQ</t>
  </si>
  <si>
    <t>UCjpg0caey5yaQzGuM0W_dJA</t>
  </si>
  <si>
    <t>UCq8BnZLK20b0fJtdz1srzCg</t>
  </si>
  <si>
    <t>UC9O8HLbJro2EpcEwdHEn1sA</t>
  </si>
  <si>
    <t>UCL_r3riNH2oGxA1dsq5OfXg</t>
  </si>
  <si>
    <t>UCVGXxMtRs07sOxtZGwy6cNg</t>
  </si>
  <si>
    <t>UC5_eoUljblq4gYImI0H0vfQ</t>
  </si>
  <si>
    <t>UCkKl0hHlQc0viuhAqjBE60A</t>
  </si>
  <si>
    <t>UCXT5MxnQaOERLhnTMBGnBug</t>
  </si>
  <si>
    <t>UCldES24kcvABucv6BBWGwGw</t>
  </si>
  <si>
    <t>UCgHIP3UO7ZXO6G68I_G0x4A</t>
  </si>
  <si>
    <t>UCOYHWvhY4oil8nj-cWMzhLQ</t>
  </si>
  <si>
    <t>UCzbpWmj4EcCOe5R6lU0qyfw</t>
  </si>
  <si>
    <t>UCXJppNx52EJ31X9lIylp3aw</t>
  </si>
  <si>
    <t>UCCgS_0yaZqsHj2dLCc34ETA</t>
  </si>
  <si>
    <t>UC09KcsS0VQlJ7vgaBwz9q4A</t>
  </si>
  <si>
    <t>UCVxkGvcIlZ16LrQnA9auBww</t>
  </si>
  <si>
    <t>UCSBezlW3M3dL_1nLzbeI_uQ</t>
  </si>
  <si>
    <t>UCQl_Ev-sLXmujdct1kByndg</t>
  </si>
  <si>
    <t>UCtAO3D4ajTp8AHwgXffka1A</t>
  </si>
  <si>
    <t>UCsaywmutgysDg3sXA6oc-nw</t>
  </si>
  <si>
    <t>UC_a-Op86jiX7MVz5GV4m2GQ</t>
  </si>
  <si>
    <t>UCEfgG4h2CQe2i3pz2wGs0Hw</t>
  </si>
  <si>
    <t>UCKvkaBfifDJ0Y4kiQ-0yyQw</t>
  </si>
  <si>
    <t>UCRn3nqxefFzTxrYgmzh0tsw</t>
  </si>
  <si>
    <t>UCzWtyDo9KmEC1JoAqa1LIEw</t>
  </si>
  <si>
    <t>UCji6ITCdOOmxUzd6R2TonZQ</t>
  </si>
  <si>
    <t>UCEHVfgn7f4gP0oa0O1WKq8g</t>
  </si>
  <si>
    <t>UCjlZ0-UpfO0ZKpgzRaOKTWQ</t>
  </si>
  <si>
    <t>UCPQlly4Px2HNC6ehTj3-qgw</t>
  </si>
  <si>
    <t>UC8oCSEKZm49cdcWcw8k70gw</t>
  </si>
  <si>
    <t>UCMUqQCaGju8m6m4Lv3HCNLg</t>
  </si>
  <si>
    <t>UC-i2exyOfdj18NflmxzGAiA</t>
  </si>
  <si>
    <t>UC8reTjZYBmOXNn1BJGBbNSQ</t>
  </si>
  <si>
    <t>UCeQzqNjFSz3oSby7jk_HpUA</t>
  </si>
  <si>
    <t>UCRQ5TdiJiO-aTLC8-pUljLA</t>
  </si>
  <si>
    <t>UCKAzZtxqNwZeUJiXTGSsaxw</t>
  </si>
  <si>
    <t>UCBeNrIZRz4V6cjtrAZB4oBA</t>
  </si>
  <si>
    <t>UCuKJGwzZbEHh3jJaxsEUNpA</t>
  </si>
  <si>
    <t>UCMMmW49Rt2uSmOSznd-xaUQ</t>
  </si>
  <si>
    <t>UCl4IlQ2-6vjGTiJf0KPOqow</t>
  </si>
  <si>
    <t>UCfRKHZbXrswT4NLrjqnrUgQ</t>
  </si>
  <si>
    <t>UCZZCYMWsccbOCq5_7vNyR4A</t>
  </si>
  <si>
    <t>UC3ALraDJopOqm5007ZhqtTQ</t>
  </si>
  <si>
    <t>UCPJyvNlOuE042nwOBhSMCqw</t>
  </si>
  <si>
    <t>UCE8Xi-gaVkRZwD95MUnpeGQ</t>
  </si>
  <si>
    <t>UCWWJAvsUVSJPvxs2Zi3oCoQ</t>
  </si>
  <si>
    <t>UC9VKIBoC_nUs-5dCSStLrdQ</t>
  </si>
  <si>
    <t>UCjPVpmdfI14VBW_EVngG53A</t>
  </si>
  <si>
    <t>UCinim6CyiZE1j773HI2lfPQ</t>
  </si>
  <si>
    <t>UCrpELe0mluSZ8-2saJH5a0A</t>
  </si>
  <si>
    <t>UCymYVlelcF1y5NpQGF5YStA</t>
  </si>
  <si>
    <t>UCYFbANuo5ginJCVP-Q_bBCA</t>
  </si>
  <si>
    <t>UC-Kyv-riTefZUcT02-YPoNA</t>
  </si>
  <si>
    <t>UCl6uVL-a9cAJGEieE08vM3w</t>
  </si>
  <si>
    <t>UCO6ZCUQ0t0FYFmdCX1_WyPw</t>
  </si>
  <si>
    <t>UCQsox5ma02kXA_FsoZA4TSw</t>
  </si>
  <si>
    <t>UCSb2n9YZUUvLBI2GX6ak9eQ</t>
  </si>
  <si>
    <t>UCO3pT4ZI8x2RVqYWxxcrZsw</t>
  </si>
  <si>
    <t>UCsVjKQ6XknYR5UQfbryQQTA</t>
  </si>
  <si>
    <t>UCBW9M4Jq5Oe2XEJaLmzH7qQ</t>
  </si>
  <si>
    <t>UCLYzcOoHEuioRwUh6-hUQDQ</t>
  </si>
  <si>
    <t>UCzwqO6XZXzI_1A8GwcqCuYQ</t>
  </si>
  <si>
    <t>UCCOi5b2vqQ0hHQRBZ6yoT3w</t>
  </si>
  <si>
    <t>UCRRhmki3oK4BVlYQEz1Nd2g</t>
  </si>
  <si>
    <t>UC6RI9vAOtnyFdqdukjfrWbw</t>
  </si>
  <si>
    <t>UC3rY5HOgbBvGmq7RnDfwF7A</t>
  </si>
  <si>
    <t>UCjYCC2D0ZIZJex44goyLGzw</t>
  </si>
  <si>
    <t>UCmxBT_0CizMoFB8z26x5MMQ</t>
  </si>
  <si>
    <t>UC9BRRt-cAWkOUHme4AjiQCA</t>
  </si>
  <si>
    <t>UCSBOzRJp_EFPUPnKSrCdJ1A</t>
  </si>
  <si>
    <t>UCf4KV0fvs49gWIG0Hm_j7fA</t>
  </si>
  <si>
    <t>UCSPf35HviohoY08zBz1LUCg</t>
  </si>
  <si>
    <t>UCMXeSYF8qNL5PdeUc4o3B4A</t>
  </si>
  <si>
    <t>UCFHyvyHcRFld5iigCQURvRQ</t>
  </si>
  <si>
    <t>UCCgtZjZ6gn7upJ9GfmTDOXA</t>
  </si>
  <si>
    <t>UCWPGlSz8DLN2tvwT8B9DgKA</t>
  </si>
  <si>
    <t>UC38JswK5mWxfmZ2pYVYAzPg</t>
  </si>
  <si>
    <t>UCGrn9xyBP5qyfaRwfn5HOpw</t>
  </si>
  <si>
    <t>UCIgXF0FrYJL0a6sMsRIsLvA</t>
  </si>
  <si>
    <t>UCQ5O3wFnqen5LSXfOH4VBxw</t>
  </si>
  <si>
    <t>UCQVgzFyRv2RImUisFG0DSYA</t>
  </si>
  <si>
    <t>UCWszoo-ehwqPFMsZw5Mbivg</t>
  </si>
  <si>
    <t>UCo0ipfCAkMjZ1-fKm_WS7mw</t>
  </si>
  <si>
    <t>UCoGinxYRzBw3PUfOyHNaA-Q</t>
  </si>
  <si>
    <t>UC8gb5NmMEfm8JrR7y9MLfYg</t>
  </si>
  <si>
    <t>UCZDUyJegWGvZxuQKJjblUzw</t>
  </si>
  <si>
    <t>UCa637tUXPuLyl_v0DL5Vs6A</t>
  </si>
  <si>
    <t>UCISibXXlCqNDNzkeiK8faOQ</t>
  </si>
  <si>
    <t>UC28WUIGPjv-QMK6LNocYPLQ</t>
  </si>
  <si>
    <t>UC7no-E2gLFp_XyoV5Y4nNzg</t>
  </si>
  <si>
    <t>UCvgA-bfqEKINLy-H56v06Hg</t>
  </si>
  <si>
    <t>UCwS1t7jCvCCKyl8UjeJazTg</t>
  </si>
  <si>
    <t>UCKMfECyfU9kl0TnzCbMPrrQ</t>
  </si>
  <si>
    <t>UCaKlBs7qI0ZhFVSYak6KY-w</t>
  </si>
  <si>
    <t>UCirYjLJKUGMuIKWFxIGoqxg</t>
  </si>
  <si>
    <t>UCSlC-71pALGCGhToLtw3CZA</t>
  </si>
  <si>
    <t>UC6mQFQcjhRktjOTcKbSlDBQ</t>
  </si>
  <si>
    <t>UCKX_Z1cQRcmkFNv4UOctS5w</t>
  </si>
  <si>
    <t>UCeZTF0GplLDNV7m5JFnrBMg</t>
  </si>
  <si>
    <t>UCK4AR6KQOgDG4b_UqcnmmQg</t>
  </si>
  <si>
    <t>UCxNkKjhIPOCFQTgi6lSRWsQ</t>
  </si>
  <si>
    <t>UCwBVsIwbbsIXDSOjlspUhxg</t>
  </si>
  <si>
    <t>UCpEy7rhPS3sGjvzSqAdqzjg</t>
  </si>
  <si>
    <t>UC4Es_TJaDD_KG6ajhjtkcPQ</t>
  </si>
  <si>
    <t>UC6R9rI-1iEsPCPmvzlunKDg</t>
  </si>
  <si>
    <t>UCVyKRsupeY1aWW71GhQV_PA</t>
  </si>
  <si>
    <t>UCbBHmU0XZTvWc1ds28TSmHg</t>
  </si>
  <si>
    <t>UCCSOpVi5a-WcQbuZI-Df7EQ</t>
  </si>
  <si>
    <t>UCLE5Oj-VPxPqreuIbhDBHaQ</t>
  </si>
  <si>
    <t>UCjxQ7M1W2AL8hI_5JuxFYgA</t>
  </si>
  <si>
    <t>UClWQvfU9vn-BrtOre0ag_OQ</t>
  </si>
  <si>
    <t>UCdlDuf0FuyoPQDIZzQzj1sA</t>
  </si>
  <si>
    <t>UCLDU-A-TWN7Rq9x099BCf2w</t>
  </si>
  <si>
    <t>UCE6R68ZZ3mwuX3aLYmCqUfg</t>
  </si>
  <si>
    <t>UCpDejDXV8oMW6PLH-00Pp0g</t>
  </si>
  <si>
    <t>UC3IHRoPoCPb7OggSrZdCX-Q</t>
  </si>
  <si>
    <t>UCdBjdV7u939-r4wGtOaFqSg</t>
  </si>
  <si>
    <t>UChO18r_h8-K_Lf4Hb-bYGDQ</t>
  </si>
  <si>
    <t>UCmJJk_Dr6Gk_tE2iHx43Otg</t>
  </si>
  <si>
    <t>UCvHgsbwl81wU7LCMguloSMg</t>
  </si>
  <si>
    <t>UCbGu2-aFCrD-Rj0BzQiZ9-w</t>
  </si>
  <si>
    <t>UCUXUw6Y8SiKIxzwdh9zxZ4Q</t>
  </si>
  <si>
    <t>UCMqx2EnpF1tNvlhxSMlBCnw</t>
  </si>
  <si>
    <t>UCbl3TYbU0unc_5dx8VlZ40Q</t>
  </si>
  <si>
    <t>UCHN4NuiJLhrIErVF1n8pK1w</t>
  </si>
  <si>
    <t>UCpN5VTIP6V1GBaCIEOUvuGg</t>
  </si>
  <si>
    <t>UCNlskj9YLOFhi2HLKgcsDLQ</t>
  </si>
  <si>
    <t>UCbPya_3VMt7zVE0mqlAzVZw</t>
  </si>
  <si>
    <t>UCONdr1BGLSE78OiD_MZDYaQ</t>
  </si>
  <si>
    <t>UCs7oVZAgc73U5HQUhHkoYSg</t>
  </si>
  <si>
    <t>UC6_EAtTSF2yr8rgiYxz6agw</t>
  </si>
  <si>
    <t>UC97GLIslcFx4LhKFlLDGroA</t>
  </si>
  <si>
    <t>UCKJ5uH86BLfqAvspY06VdPQ</t>
  </si>
  <si>
    <t>UCVjazKM77Svf3q5EF0_rKAQ</t>
  </si>
  <si>
    <t>UCSKFTXMLdHvVwrP0MFlB7mA</t>
  </si>
  <si>
    <t>UCQtVJ-76KjPds9evTODkq-A</t>
  </si>
  <si>
    <t>UChDRGN9Au5GZ8Tv2tUSgvRQ</t>
  </si>
  <si>
    <t>UCulk3jaetjBSmUteuRASnDg</t>
  </si>
  <si>
    <t>UCHR8mlMPY5GAc-Os04R7mqg</t>
  </si>
  <si>
    <t>UCqVS6hIYfGgijdQCR1jAcGA</t>
  </si>
  <si>
    <t>UCf-UFBej5jem6HzXx8d0hfg</t>
  </si>
  <si>
    <t>UCy7sT8nmcmLG1hvkBE8Drzw</t>
  </si>
  <si>
    <t>UC6xv-K01vdj72aXQrJmG6Og</t>
  </si>
  <si>
    <t>UCgz53cJh4xVXoR0L3bF_2qQ</t>
  </si>
  <si>
    <t>UCIfCOl43tunZVNYafeC4RQA</t>
  </si>
  <si>
    <t>UCFx1oEjvkFHbK4u1CDyYw0Q</t>
  </si>
  <si>
    <t>UCJxYbh_Agi58YbRuhnYKFbA</t>
  </si>
  <si>
    <t>UClg1BK5TSUqbepZH4PU_coQ</t>
  </si>
  <si>
    <t>UCcutJctd0EVt6389IcfWy0w</t>
  </si>
  <si>
    <t>UCD_3XkU1Rbyw2prMMHxLvDQ</t>
  </si>
  <si>
    <t>UCXwcATMDBEk835L85rWaYBA</t>
  </si>
  <si>
    <t>UCG2Z9WQd7soxZEJ2fZr1OxQ</t>
  </si>
  <si>
    <t>UCActulm9RE4NprBNhi9zRLA</t>
  </si>
  <si>
    <t>UChHDMEo3xb1lNWO9RoDjaBA</t>
  </si>
  <si>
    <t>UCOltB42fi0PJHEsM05IT-pw</t>
  </si>
  <si>
    <t>UC8Qq3zFsEu4SOYYPjMQnVGw</t>
  </si>
  <si>
    <t>UCiOVE31BCTznIdDKnaRm0Yg</t>
  </si>
  <si>
    <t>UCm2qAwbJmpSQkRdqfnlUugA</t>
  </si>
  <si>
    <t>UCut7heEG4HvpKbGKoYsfTVA</t>
  </si>
  <si>
    <t>UCIUtDsstjSpvbNqkBAqIeug</t>
  </si>
  <si>
    <t>UCSOCaBh5XNT_Jv1kI5bf22g</t>
  </si>
  <si>
    <t>UCr2RCM93GlWJjQw04fQY4UQ</t>
  </si>
  <si>
    <t>UCwSnPeFrCe8-c9KdMoZqr4Q</t>
  </si>
  <si>
    <t>UCYb5hx_Nxn7xeiTHK-tGe6Q</t>
  </si>
  <si>
    <t>UCAb06BuM_jiOmQewNE-mj_A</t>
  </si>
  <si>
    <t>UCPY47hP9FhymmVpN8WbajyQ</t>
  </si>
  <si>
    <t>UC-a5wMvJSeF57fJmUU_Md5g</t>
  </si>
  <si>
    <t>UChouxcSDxyVhXghLpgBXb-g</t>
  </si>
  <si>
    <t>UCxvepFr7nm1ItIJuvxrmHDQ</t>
  </si>
  <si>
    <t>UCngrTLZoePGDdrOmVsG4vOA</t>
  </si>
  <si>
    <t>UCclVlribxolAVdm2uKiPwDg</t>
  </si>
  <si>
    <t>UC3I0w7SoDKdG4bk6K3lW-Mg</t>
  </si>
  <si>
    <t>UCFA2nNrEe7ihOrsxTkKpONQ</t>
  </si>
  <si>
    <t>UC0d9BLkBLjOQ8rCzeYJ23wA</t>
  </si>
  <si>
    <t>UCVFfR4eOjEdcj1ic1N21CDw</t>
  </si>
  <si>
    <t>UCHBgQq2xQxTvHkPlHqZA6Vg</t>
  </si>
  <si>
    <t>UCZvnwHjxanXtSAkwKfFQlrg</t>
  </si>
  <si>
    <t>UCuoxj3WMGpo4NOEzsjsGNiQ</t>
  </si>
  <si>
    <t>UCwSpi3-QdDMX5tjENyhPwBA</t>
  </si>
  <si>
    <t>UCbJ9KR5rKDrjzIamrbUmEKQ</t>
  </si>
  <si>
    <t>UCayPPBDOY3KOYmqgqFHPEaw</t>
  </si>
  <si>
    <t>UCt2q5rJmBjK3v-HOoCk9BOg</t>
  </si>
  <si>
    <t>UCeGtxWU2GHyY5FCf1dJPUlg</t>
  </si>
  <si>
    <t>UCFLLwUH0-IbbzpdbHUByYeQ</t>
  </si>
  <si>
    <t>UCy0rLP4gKbXLqmU4sLmI-sA</t>
  </si>
  <si>
    <t>UC1mziZzo-PrFx054WzShSMw</t>
  </si>
  <si>
    <t>UC7UnAtqeoJ3dPnkGbdHgT2A</t>
  </si>
  <si>
    <t>UCGSoxVMhaFq7woTOCfxMzLQ</t>
  </si>
  <si>
    <t>UCNNxPxH_zIPxvWy5QMFkruA</t>
  </si>
  <si>
    <t>UCYJbbonlRgUxRu7_gXgt9kQ</t>
  </si>
  <si>
    <t>UCIJkvvkO4twDrOYMaiV5Kng</t>
  </si>
  <si>
    <t>UCmaygOAkZxDzrkLADrhM5wg</t>
  </si>
  <si>
    <t>UCUqW4X-fHeSpKg3MGDd7Jqw</t>
  </si>
  <si>
    <t>UCxTh_MkXJdbhayK3N64YBhA</t>
  </si>
  <si>
    <t>UCmu4BXx9MYa25r0XbMX-Gjg</t>
  </si>
  <si>
    <t>UCl9ykXPS6HPUzxXvkSmgxaw</t>
  </si>
  <si>
    <t>UCwZit5ah1vBwbpeQV55VRIA</t>
  </si>
  <si>
    <t>UCwafG7DfOibd4Ou5926puFQ</t>
  </si>
  <si>
    <t>UCXh69H4qIrJa00kNme8mtCA</t>
  </si>
  <si>
    <t>UCMvR3TC3uKiIY_Y29t0baeA</t>
  </si>
  <si>
    <t>UCMIS6sqwOfm5IBYkec01x4Q</t>
  </si>
  <si>
    <t>UCDn2QEPeQV3rTKam4l7L6fg</t>
  </si>
  <si>
    <t>UCrcE9sxEf08L1mSVLEZo4qA</t>
  </si>
  <si>
    <t>UCwqakcn6NziszDXH65yzptw</t>
  </si>
  <si>
    <t>UCnODAwNsQmNwwrCUd9qUe8A</t>
  </si>
  <si>
    <t>UC1diQQQOrUsGoSzYKPTXv6g</t>
  </si>
  <si>
    <t>UCgRZVTt9s7Mp4V1HJWJj17g</t>
  </si>
  <si>
    <t>UC7XJ3DcUt_ou4xk4doZodMg</t>
  </si>
  <si>
    <t>UCsTGGz3D3jHrpXo7_2C9AAw</t>
  </si>
  <si>
    <t>UCduIoIMfD8tT3KoU0-zBRgQ</t>
  </si>
  <si>
    <t>UCE-ErkFfCLTAbzePnjJeJ4A</t>
  </si>
  <si>
    <t>UCV-PNGiLeer9JtSBZ85AfnA</t>
  </si>
  <si>
    <t>UCVT5DSAygbvf4ynpjqd0q1w</t>
  </si>
  <si>
    <t>UCAkz9E0-h1E5IIO0WDK4Qew</t>
  </si>
  <si>
    <t>UCxx58G-Y2hlYnWFCENNKSQg</t>
  </si>
  <si>
    <t>UCUuvOiEdAqCxBSXmNKqo7Sw</t>
  </si>
  <si>
    <t>UC4t5UgR6muEYRhpfDQIvjeg</t>
  </si>
  <si>
    <t>UCiMUfP2iaKe_Q82M8yJ0t5w</t>
  </si>
  <si>
    <t>UC5rFeE-sYDcl1I_dzoUqMdw</t>
  </si>
  <si>
    <t>UCMFqvZr7SMOR5tfxGoDFzEQ</t>
  </si>
  <si>
    <t>UCA7uH0JIN6mml0jnxRIDKTw</t>
  </si>
  <si>
    <t>UC6UP4VYOpQkq2zo5LTlOF8A</t>
  </si>
  <si>
    <t>UC65K3z9ZsQ48iPO1lPY7OMA</t>
  </si>
  <si>
    <t>UCjoeicblfdhtlTu_iFX-quA</t>
  </si>
  <si>
    <t>UCWqjqK3VYIHxgX-dha8UI_w</t>
  </si>
  <si>
    <t>UCQIVUW5Ebv23tlqdimqa1Xg</t>
  </si>
  <si>
    <t>UC4fYz3HK6BFaM24XIgsPiXA</t>
  </si>
  <si>
    <t>UC_ZpnlQvRstaiC0clerJ9DA</t>
  </si>
  <si>
    <t>UCTXr8Ue45TgcJOH48sReZjw</t>
  </si>
  <si>
    <t>UC9FauzNSotfGumDsNaEGChg</t>
  </si>
  <si>
    <t>UC9kKIpmg8loB6bg6PVWB4-g</t>
  </si>
  <si>
    <t>UCsu_X3vk8y-2OR-L7on5yzg</t>
  </si>
  <si>
    <t>UC0vNFpsOzRm2-X3k5JU4UMw</t>
  </si>
  <si>
    <t>UC2N5r2FvEOiDPKvaLW9rivw</t>
  </si>
  <si>
    <t>UCuc1YiAjTRklULbPrJ5wBYA</t>
  </si>
  <si>
    <t>UC90d9YRS0YQkkHdrIL8BI-g</t>
  </si>
  <si>
    <t>UCugCuqIU-UQzlW3Obka8EPw</t>
  </si>
  <si>
    <t>UC6Mjq4_2oN2Xz00M8tiu1eg</t>
  </si>
  <si>
    <t>UCXjgbqSZcL2CpTyp-p_7TGQ</t>
  </si>
  <si>
    <t>UCXu031YDwofSCxBMjlB_U5A</t>
  </si>
  <si>
    <t>UCRuTURI-Y6WKzZSg2IaDm4g</t>
  </si>
  <si>
    <t>UCa9IEkJ2FIQbZ78ZGy4C1CA</t>
  </si>
  <si>
    <t>UCImfTPawTwwmw1ptA1T51ug</t>
  </si>
  <si>
    <t>UCSqmNgwztXAgqjRtYLa6WIg</t>
  </si>
  <si>
    <t>UCnmuIyT7LOA_k42P6AXSkaA</t>
  </si>
  <si>
    <t>UCUncJ8wglDhSzEYeTSjKaxg</t>
  </si>
  <si>
    <t>UCdlz8SZEyYPOnTaPPYcCyAA</t>
  </si>
  <si>
    <t>UC9o-nrsTml69zdOHjshkm-w</t>
  </si>
  <si>
    <t>UC0_36RirUPzzsFWaLJ-yfGg</t>
  </si>
  <si>
    <t>UC3DOgauBYLQQXdH1siGjfpw</t>
  </si>
  <si>
    <t>UCGD4TVd_w6q7HRv0yVZc58A</t>
  </si>
  <si>
    <t>UCNYaai-7_Gm6FaGXnmdpZbQ</t>
  </si>
  <si>
    <t>UCs5XJrUcB-GHDnfxgn3dTrQ</t>
  </si>
  <si>
    <t>UCBD-5jNfAgTZzkQFL_0i6UA</t>
  </si>
  <si>
    <t>UCj5_1B96L78xU6LeTKB64Bw</t>
  </si>
  <si>
    <t>UCd1ytxSqmdKOUlGKVifqeDg</t>
  </si>
  <si>
    <t>UC7vUHu4HYaXitXmRAe0MSdQ</t>
  </si>
  <si>
    <t>UCq6Vo-4IpnuleQacfFwXNuw</t>
  </si>
  <si>
    <t>UChRSWoRFDHELm4xjfinM_yA</t>
  </si>
  <si>
    <t>UCNDijpNju1gg-OzeMf85dHw</t>
  </si>
  <si>
    <t>UCGBc4xsDQScHnWGwOmhhzhg</t>
  </si>
  <si>
    <t>UCvG8PtQyrghsNZUQLqiNYng</t>
  </si>
  <si>
    <t>UC5TurWFv5PtQ3qsmlnbIl3Q</t>
  </si>
  <si>
    <t>UC93NIQUxTyBGEoSgZSVgVnA</t>
  </si>
  <si>
    <t>UCeKBpvounVpN6zAa2YHjgVg</t>
  </si>
  <si>
    <t>UCkuW82d00AdTT3krDzlq8cQ</t>
  </si>
  <si>
    <t>UCIpsBr_Hdih_OCEjLZuM_Pw</t>
  </si>
  <si>
    <t>UCtXyahACV1mSSljfelgiPyQ</t>
  </si>
  <si>
    <t>UCLyl0vA-7WMQpcPw1fSAMhg</t>
  </si>
  <si>
    <t>UCcFekqvhGtcZkyZIOuyO6lA</t>
  </si>
  <si>
    <t>UC0AP0ZUNosuNRWyTWvlZjWw</t>
  </si>
  <si>
    <t>UCJRAFDSvjstWRwqB0iGLpSg</t>
  </si>
  <si>
    <t>UCmQMyhzqClFysWtd7jhQYIg</t>
  </si>
  <si>
    <t>UCdRbQh-fL_SDFkfZHS7WddQ</t>
  </si>
  <si>
    <t>UC8Zt1gY5CDURy09-PnBtDLQ</t>
  </si>
  <si>
    <t>UCgD8HY9tNbMbJqDUa_ydcgA</t>
  </si>
  <si>
    <t>UCo7T_g7ewWFnUv4O1KUVpnQ</t>
  </si>
  <si>
    <t>UCJlnxcJFi5CJXBZoDmFGl0w</t>
  </si>
  <si>
    <t>UCG4blgN_GGe9NIFYXD3WtBg</t>
  </si>
  <si>
    <t>UCbJfVBfX9q4vZOp3es64QTw</t>
  </si>
  <si>
    <t>UCezs3zWFhb8uLNpIkWWUiCQ</t>
  </si>
  <si>
    <t>UCbe7HaMP6IXfoWwCR4KUf_Q</t>
  </si>
  <si>
    <t>UCpn2TLtZwefGrJXcgk3BL9Q</t>
  </si>
  <si>
    <t>UCTOoDZo_OgituMMqRw8XCEQ</t>
  </si>
  <si>
    <t>UCgasV_IRW4Ou6fELqRAmLaw</t>
  </si>
  <si>
    <t>UCR_Tzu1r5M9uoNB3CF4Zg3g</t>
  </si>
  <si>
    <t>UCIhjVXmCsKEcrf-XLbwlBsw</t>
  </si>
  <si>
    <t>UCAU4DrXDSUdRz4ePf4ihXaQ</t>
  </si>
  <si>
    <t>UC4Zgf1eMmCbreTjSVXR7EOQ</t>
  </si>
  <si>
    <t>UCA_4F_g2Y4rd2j4iASYH3xg</t>
  </si>
  <si>
    <t>UCiA9b-lwh3ymh9xFEmFjPZA</t>
  </si>
  <si>
    <t>UCb8d3GfTCas8cV-k_TKQzuw</t>
  </si>
  <si>
    <t>UCQkW_1w8ywzWWi8RDHcnpsQ</t>
  </si>
  <si>
    <t>UC5EB5v5OUlROC_M-l7twlgw</t>
  </si>
  <si>
    <t>UCuwkFz6PseXcEt8osI6OsMA</t>
  </si>
  <si>
    <t>UCE7w50wKIvD7k0-dy0wilqA</t>
  </si>
  <si>
    <t>UCTzhDx8Y2UVUm4UA2IOGK5Q</t>
  </si>
  <si>
    <t>UCKliIabx-RsHYTqjOiYegSg</t>
  </si>
  <si>
    <t>UC_vWEPGSpzb93g2z4h3BOJQ</t>
  </si>
  <si>
    <t>UCHkfrwKv_XbsqoX53M8Mszg</t>
  </si>
  <si>
    <t>UCt6EGHR1jG-m1zFUh_1tVmw</t>
  </si>
  <si>
    <t>UCUmGdJNHH7adrBvzOszaM5A</t>
  </si>
  <si>
    <t>UCjjhz78xjiUWVpfPntFwRsg</t>
  </si>
  <si>
    <t>UCg5ukNutGtg1KqvWwuc56xw</t>
  </si>
  <si>
    <t>UCo5Ohm3pplL1FygbzdHEmpw</t>
  </si>
  <si>
    <t>UCsvYNbtfrUE-W7JnQ3ZgeIg</t>
  </si>
  <si>
    <t>UCMYy6GPi21M024NrjK8k9oA</t>
  </si>
  <si>
    <t>UCT7iQsqVrJN_RpQl97WaW1w</t>
  </si>
  <si>
    <t>UCFTDi0yFljnd1MYTPBClAdA</t>
  </si>
  <si>
    <t>UCKExptiGLTdsHi9itaNvSVA</t>
  </si>
  <si>
    <t>UC-TW1ntlyJsc3y9d79TUx5A</t>
  </si>
  <si>
    <t>UCH2jT_DmFdGSSajOu40gXOA</t>
  </si>
  <si>
    <t>UCjvlvUCXK2tof2hZINfKHtg</t>
  </si>
  <si>
    <t>UCgmmCoisJRilHgtnuah7wuA</t>
  </si>
  <si>
    <t>UCb-_-IUREAGx3-2ocWXyhUw</t>
  </si>
  <si>
    <t>UCQUHkb24YI1RKYhobM6JsuQ</t>
  </si>
  <si>
    <t>UCCUtMK8O-AnwJvl7CYEZ-rw</t>
  </si>
  <si>
    <t>UCMZ-tdoelw8cXSVziDDy3hg</t>
  </si>
  <si>
    <t>UCz3GnYKnGFbrDPI8tYe9QFg</t>
  </si>
  <si>
    <t>UCVkX14tAAB-wg_G_JUbh9tA</t>
  </si>
  <si>
    <t>UCLx_v9wnA_6lUS_CWL4UR-A</t>
  </si>
  <si>
    <t>UCukI6GR31qv8UkgBsZDrRSw</t>
  </si>
  <si>
    <t>UC3tjg7zcUxr7X97qj4adiIg</t>
  </si>
  <si>
    <t>UCKvk1Hca-bpehy6pF7Ze9tQ</t>
  </si>
  <si>
    <t>UCbw-Veyg8pSV9_Hhofd3v-Q</t>
  </si>
  <si>
    <t>UCbtoOV-DNzHylmqJXZ8Pn-A</t>
  </si>
  <si>
    <t>UCk4rjM7ouxJuQ-qUf6uKVfg</t>
  </si>
  <si>
    <t>UCldR9M65TxGIxwMw8xQdb5A</t>
  </si>
  <si>
    <t>UCrdZSdaGZUSSj7F9HaJNe_Q</t>
  </si>
  <si>
    <t>UCxoqijukm8u4OiDHAIYFkxg</t>
  </si>
  <si>
    <t>UCzYFEmssRtseay7kR_axGvg</t>
  </si>
  <si>
    <t>UCKiOX8jAnxDFUuzcr15o6zA</t>
  </si>
  <si>
    <t>UCrNx7WlPJ9LF7fopoY8vumQ</t>
  </si>
  <si>
    <t>UCybUMKenam2HGFFqxJws_8Q</t>
  </si>
  <si>
    <t>UCH912uDFX3sIaPXMrJa9X_w</t>
  </si>
  <si>
    <t>UCstsOcqlhpnQYnHphP6uWAw</t>
  </si>
  <si>
    <t>UC5TIQgjmZkO_YoTdwDLkSNw</t>
  </si>
  <si>
    <t>UC3ei80FUGr3P2VmzkNmA3IA</t>
  </si>
  <si>
    <t>UCGZW6RbRerbbY_XiK3yMX3w</t>
  </si>
  <si>
    <t>UCmS1XjJszrO-sFFsba7I7PQ</t>
  </si>
  <si>
    <t>UCsDOgGLJ0I5td9UZyikyMjQ</t>
  </si>
  <si>
    <t>UCZtFCUZf-meFkY0IH0ii2nw</t>
  </si>
  <si>
    <t>UCOL3DM1xsspRExkRIlPZWQA</t>
  </si>
  <si>
    <t>UCdsn7bSXfoep-YXo3Gke9og</t>
  </si>
  <si>
    <t>UClWWtcaxXzptwrWpFaL6mdQ</t>
  </si>
  <si>
    <t>UC1WanPy26JgoGoydCjyQDXQ</t>
  </si>
  <si>
    <t>UCuZYQQGB5UhzZOS6YucIV9Q</t>
  </si>
  <si>
    <t>UCu69anrYqpLkNJYw6yuzeWQ</t>
  </si>
  <si>
    <t>UCOeedtn0A-arNTyUGwMAYwQ</t>
  </si>
  <si>
    <t>UCANHPTFjTMoL45WjQ2qaokg</t>
  </si>
  <si>
    <t>UCI8uiBZGsDuOvM2S5VcPS_g</t>
  </si>
  <si>
    <t>UCjsDr56e1d5B_FHEAirEftQ</t>
  </si>
  <si>
    <t>UCW-7D6uAvENKjFfNASyn--w</t>
  </si>
  <si>
    <t>UCcvag2CHtCfOjCzngMPuTpg</t>
  </si>
  <si>
    <t>UC7RM2jWMI0pDxalgI3r_kVg</t>
  </si>
  <si>
    <t>UC2PHmTkbk961QPpv80FVxEA</t>
  </si>
  <si>
    <t>UC80ZIW1Gbx34lwCp59iwxdg</t>
  </si>
  <si>
    <t>UCMdElTwiU4JrDUkuI_eqPJg</t>
  </si>
  <si>
    <t>UCDkOJYIogu_Kqc3qVFt9UTA</t>
  </si>
  <si>
    <t>UCDc9CuTvi4mWaSv_I4yhfKw</t>
  </si>
  <si>
    <t>UCSOyHuAdfDeHS8xp2JRsj0A</t>
  </si>
  <si>
    <t>UCC0-MHKPdq09Mtg5bGjFY7A</t>
  </si>
  <si>
    <t>UCJ2XpHgbTQL_GzmVGV_fgPQ</t>
  </si>
  <si>
    <t>UCTP9sDeqayLKuD4QjHKdcIw</t>
  </si>
  <si>
    <t>UCdUEJABvX8XKu3HyDSczqhA</t>
  </si>
  <si>
    <t>UCfg2R1NF7-MDf0Oj2SKSqyA</t>
  </si>
  <si>
    <t>UCyfn04p-OsACM0kGfpcIvEg</t>
  </si>
  <si>
    <t>UCqasuP1xl4qc88tQfbi5h2w</t>
  </si>
  <si>
    <t>UCyvBkE9TvJ4nHTgh3eXTbWA</t>
  </si>
  <si>
    <t>UC624Fc6gVVxDAhKg_XPzsug</t>
  </si>
  <si>
    <t>UCe9PkNnkHNHGmaml-agcOqQ</t>
  </si>
  <si>
    <t>UCPl4DUvWoCPVPiNsuPTuZig</t>
  </si>
  <si>
    <t>UC3-jjVxqORuoy-l1CtPNtzA</t>
  </si>
  <si>
    <t>UCnHwry_kfr6oJ3W3nMpV6Nw</t>
  </si>
  <si>
    <t>UC5WOeym8I0WxNo57bp5hY8g</t>
  </si>
  <si>
    <t>UCS9GOg86FmnqcXEnK7gZqkQ</t>
  </si>
  <si>
    <t>UCHsEbzW4ers0G5dVOhvG1eg</t>
  </si>
  <si>
    <t>UCuRM705Lww_6O1_jcDUy0iw</t>
  </si>
  <si>
    <t>UC-INBV6UZjXtY1fhXE4g1QA</t>
  </si>
  <si>
    <t>UCSkKcSIO8pHDcBXKESn5Uzg</t>
  </si>
  <si>
    <t>UC2ej7VFQqlplInNLv5Y8MnQ</t>
  </si>
  <si>
    <t>UCMbCcf1PZJ1uzvBkW9WDbNg</t>
  </si>
  <si>
    <t>UCqBFYKgcg_dVlON26pj62qw</t>
  </si>
  <si>
    <t>UCZ56bfzgD7hIYGZ2k5SEtbA</t>
  </si>
  <si>
    <t>UCn8mnhabljpjSwk0e08DhDA</t>
  </si>
  <si>
    <t>UCKRvZ0HH4M28uO7iG95l6bw</t>
  </si>
  <si>
    <t>UC7-qH50CcjsoQgAvXlsV0rA</t>
  </si>
  <si>
    <t>UCRlb64X288JwwOQaTOsxbZw</t>
  </si>
  <si>
    <t>UCNQ4SM7lT1hcEPFaW4jRYng</t>
  </si>
  <si>
    <t>UCPaON0FnhUepdvN2g9PzNBg</t>
  </si>
  <si>
    <t>UCU10SKZZ1FaZq4fE1gTSBvw</t>
  </si>
  <si>
    <t>UC7__IrXEmpCqBYWjCxsjCiQ</t>
  </si>
  <si>
    <t>UCh_PqQd1xnNcqk2xqlWVigQ</t>
  </si>
  <si>
    <t>UCoZB8RrUaX0SUBHtjBmd7lw</t>
  </si>
  <si>
    <t>UC241kY9XOhVVT0h7W3k1Q9Q</t>
  </si>
  <si>
    <t>UCNKeZC76djN7iccLrNe0jMw</t>
  </si>
  <si>
    <t>UC-gTvS58qVpSrTEii8mA1Ng</t>
  </si>
  <si>
    <t>UC6tzJpKwxfHUY_kVosoKF8g</t>
  </si>
  <si>
    <t>UClnGa00sZzv0IlUd5mOPnCg</t>
  </si>
  <si>
    <t>UCTN-fCATY79l4QiJQ7rT0wA</t>
  </si>
  <si>
    <t>UChi65R6k012O5BFMSoaF1Ww</t>
  </si>
  <si>
    <t>UC3ffRgp31O5chU-AIILbbYg</t>
  </si>
  <si>
    <t>UCFqYcXDkv9inrIsALD00SQA</t>
  </si>
  <si>
    <t>UC68lur_mj2HNmsiHiepSjSA</t>
  </si>
  <si>
    <t>UCZ9Fvu-OG-5Pbn7GsFNca5g</t>
  </si>
  <si>
    <t>UCiQ-9FaMFVC_YtcC5br5t2Q</t>
  </si>
  <si>
    <t>UCXiFvBv-DKqGdB8Oaz5fJ1A</t>
  </si>
  <si>
    <t>UCUCAaCS_Y2flDdfnflNJKLQ</t>
  </si>
  <si>
    <t>UC5pEueTEbkzRSWnbDgheEJw</t>
  </si>
  <si>
    <t>UC87nvoOFB2s9d21kN8kMVAQ</t>
  </si>
  <si>
    <t>UCRL2Yg5SvOirIFJ4pBGyYiQ</t>
  </si>
  <si>
    <t>UCo8j2-HSffAI0LdzewmXgDg</t>
  </si>
  <si>
    <t>UCroQZIIe16wrhRa_4-fRF1Q</t>
  </si>
  <si>
    <t>UCsI2nEEXkYKJAaw3E4gFpmQ</t>
  </si>
  <si>
    <t>UCJbkHuANctTz4t04jZTuB8Q</t>
  </si>
  <si>
    <t>UCuy32Rdw-ACBLr2pjRkGs1A</t>
  </si>
  <si>
    <t>UCgPvnAfOownKETS9umR0qZQ</t>
  </si>
  <si>
    <t>UCwB1sptW5PPeaXnrW5Yb3-A</t>
  </si>
  <si>
    <t>UC1bvkhVSWzW3A2QSyQzQc2g</t>
  </si>
  <si>
    <t>UCqZPnKQMJb3vHrouQAL7NaA</t>
  </si>
  <si>
    <t>UCswhwax56FzRlY6NDn39c7Q</t>
  </si>
  <si>
    <t>UCwzvBgthkz1Yia8lwUGnD0w</t>
  </si>
  <si>
    <t>UCNie47CaRVWFctIWK1oxORw</t>
  </si>
  <si>
    <t>UCirFVreJ0gigY8VVer6IK6w</t>
  </si>
  <si>
    <t>UCsEQFPYUIps-DQLEu9zY5JA</t>
  </si>
  <si>
    <t>UCGO8oVc1Ez2TEYZHnppvpXg</t>
  </si>
  <si>
    <t>UCO_wL9u8V4mKWAQdscfB2Ow</t>
  </si>
  <si>
    <t>UCqY603rMxh19K9Rgv16AnaA</t>
  </si>
  <si>
    <t>UChgIrOLZBtp0XJQe-PW1RSw</t>
  </si>
  <si>
    <t>UCcMU5NE1Lmf4Fqpx7n9F3Sw</t>
  </si>
  <si>
    <t>UCPFchA0VYeAx1g3-1JYOCCw</t>
  </si>
  <si>
    <t>UCt2jQCUslwfQZeZ7S8Spoyw</t>
  </si>
  <si>
    <t>UC3apKJae9J1qKTAFcBnFcbA</t>
  </si>
  <si>
    <t>UCcNaySjYDcTlqaca7sxCtCA</t>
  </si>
  <si>
    <t>UCPCAHCchzcH2aAn_l-f6LZA</t>
  </si>
  <si>
    <t>UCtc4ATS8qCEvHrVJOEzCw0A</t>
  </si>
  <si>
    <t>UClcW8Lfj5zE67tvsQ27lb_g</t>
  </si>
  <si>
    <t>UCUUlw3anBIkbW9W44Y-eURw</t>
  </si>
  <si>
    <t>UCrfwMUFeZZ4RBO7xTkmD3QA</t>
  </si>
  <si>
    <t>UCgqmFRo_UgJc3D6ZZ630bBA</t>
  </si>
  <si>
    <t>UCy8pIFKA0_kYcNv7izlnpVg</t>
  </si>
  <si>
    <t>UC9fDC_eBh9e_bogw87DbGKQ</t>
  </si>
  <si>
    <t>UCwoe0oWOq3c20cnCXk9zxhA</t>
  </si>
  <si>
    <t>UCVGRzd9YUtXYozquyYcjQOQ</t>
  </si>
  <si>
    <t>UCppbocQIYU_GuFvElvqFmKw</t>
  </si>
  <si>
    <t>UCq1dPRJPbEE-Jp4vMOQ5diw</t>
  </si>
  <si>
    <t>UC2vyj6Cq1PSZ4R6ehuXBzqQ</t>
  </si>
  <si>
    <t>UCg-ypLXLsFs2f9--pu0RLjQ</t>
  </si>
  <si>
    <t>UCfgKnK6FcIuyRLWhAa7fang</t>
  </si>
  <si>
    <t>UCHNEWECzDTSrllTdacPUclQ</t>
  </si>
  <si>
    <t>UC6mo397lcMVIDqTl-SOiFQQ</t>
  </si>
  <si>
    <t>UC8LPkg5QyymAMHA_jN4vi2g</t>
  </si>
  <si>
    <t>UCCZtGp-joMkIOeELzk3PDNQ</t>
  </si>
  <si>
    <t>UCBZ8LniCS7GqN4dPvUipgzg</t>
  </si>
  <si>
    <t>UCutBKCG0O15HD9-12qbpJNA</t>
  </si>
  <si>
    <t>UCMB1CheNAXov4tVIO3ALUmg</t>
  </si>
  <si>
    <t>UCPqWdEuhsHrJNKR4aXQa5ug</t>
  </si>
  <si>
    <t>UCqvponRMB09SJPGMcCaEJvA</t>
  </si>
  <si>
    <t>UCOBXOVsHwh_SIoGSrM3HxAw</t>
  </si>
  <si>
    <t>UCTBC8eauZrFkx8VYIo625Cg</t>
  </si>
  <si>
    <t>UCaSKE0e0JTvICiHlrJLeJ3A</t>
  </si>
  <si>
    <t>UC5GdJxJkSGSKqy5ZIRnvHUQ</t>
  </si>
  <si>
    <t>UCm_vk-JuHWUSbzePWl4-QKQ</t>
  </si>
  <si>
    <t>UC6VTuwUfZ9AJArThXXdQB9Q</t>
  </si>
  <si>
    <t>UCN5WZWmDBxWwLAzM23YSHtQ</t>
  </si>
  <si>
    <t>UCds2QbEcFXCaJ9Q16-rloyg</t>
  </si>
  <si>
    <t>UCdy0WxveYwpQempYszFBjCw</t>
  </si>
  <si>
    <t>UCu_cd2w_UGKa_pfqC9LKkGQ</t>
  </si>
  <si>
    <t>UCLXwu_ET5qWD_foftJNz_Hw</t>
  </si>
  <si>
    <t>UCL6rn9EiArG_vviPv4CnQVA</t>
  </si>
  <si>
    <t>UCiIQdFHOTBm5jcskSa-spsQ</t>
  </si>
  <si>
    <t>UCrzxy3Ij6P-SNVNbK1Z7Xzw</t>
  </si>
  <si>
    <t>UCfmuwTbLrG7xdsPUrZXz16A</t>
  </si>
  <si>
    <t>UCxOj4cClt_t2de2eHhXSJ0w</t>
  </si>
  <si>
    <t>UC0cX1L_2XJ7pJFFGhf0jIOQ</t>
  </si>
  <si>
    <t>UCAl_f9MQWmHY8kxtyLYDOSw</t>
  </si>
  <si>
    <t>UCr-N1np17VhC8SZbcODCpUA</t>
  </si>
  <si>
    <t>UCCNNhRwylGWquKLnaCRyTNw</t>
  </si>
  <si>
    <t>UCVikcgdEIjvwIVG2RBQUBTg</t>
  </si>
  <si>
    <t>UCJ6b_f8P9gWlDS0pV_JT87g</t>
  </si>
  <si>
    <t>UCGbZ_aTQ3zmqY-6p2OXfCdg</t>
  </si>
  <si>
    <t>UCAJJt_YDIbSIC-BXYRysXlQ</t>
  </si>
  <si>
    <t>UCDlU8KZ1l4oBbkXBu0CSO8w</t>
  </si>
  <si>
    <t>UCzRk6U_QZ1N43IJJ3vAsR8A</t>
  </si>
  <si>
    <t>UCbFJL5uuDr5utEZJJhYBejA</t>
  </si>
  <si>
    <t>UCMdPhSBJqnObwyP5gCOk7fQ</t>
  </si>
  <si>
    <t>UC90_DJMmeOYnVnYWMwInS2Q</t>
  </si>
  <si>
    <t>UCLd3sd0PwS_wPOXHXor6o6g</t>
  </si>
  <si>
    <t>UC63H7BtE6tPfQEVhZ39Klmw</t>
  </si>
  <si>
    <t>UCRx3SBHcRByPr2aHtM8qtig</t>
  </si>
  <si>
    <t>UCywNFyPG8UHZ6Ysw6oX8Hdg</t>
  </si>
  <si>
    <t>UCp1XFt1s2B3v8jtfWRZP08Q</t>
  </si>
  <si>
    <t>UCxykVmXr1GwZZZxKG8ZRaUg</t>
  </si>
  <si>
    <t>UCx7ZLpECjMnfgnXCuGxAkLw</t>
  </si>
  <si>
    <t>UC9f4LRRkoUozyry78kMsnEQ</t>
  </si>
  <si>
    <t>UCESK-e5qHVy1upS1NKu3WjQ</t>
  </si>
  <si>
    <t>UCl5rQli0tPri0CwUhZrwX6g</t>
  </si>
  <si>
    <t>UCBCZHDgdLQYKAiRch-kPelQ</t>
  </si>
  <si>
    <t>UCnJu5BlttbKHNkUxG_eh28g</t>
  </si>
  <si>
    <t>UCg4K_yXyWKKRZe9OLaaYK7g</t>
  </si>
  <si>
    <t>UCSFJJYU22kuUlRolI3-Muzg</t>
  </si>
  <si>
    <t>UC2MYZHG8a56u4REI2RedtRA</t>
  </si>
  <si>
    <t>UCASy8K-nA46uVJX_eJFeU-w</t>
  </si>
  <si>
    <t>UCfK_cpbu5KOoF6qOOQ-vZgA</t>
  </si>
  <si>
    <t>UC-1kx-Bzkq0IRwm0PD0_ezA</t>
  </si>
  <si>
    <t>UCok5A3vWKKfNB0CiEB3ogZA</t>
  </si>
  <si>
    <t>UCEcaFRSbG5fTrEkhb1re81A</t>
  </si>
  <si>
    <t>UCYcTkYDzw-pRIgWXuU2X99g</t>
  </si>
  <si>
    <t>UCiJaUS2jA4b9cTXpG1HeNmg</t>
  </si>
  <si>
    <t>UCd92PxolgytBmn7CVKgyrew</t>
  </si>
  <si>
    <t>UCOdtpvIAk16bcxHh_zN6XHg</t>
  </si>
  <si>
    <t>UCs8aHjosGclYBvLJc6PtLjg</t>
  </si>
  <si>
    <t>UCj8VZmrzJ3CGcStp5pxDVYw</t>
  </si>
  <si>
    <t>UC0GDHStEIx9n4FqUiDkxiRg</t>
  </si>
  <si>
    <t>UCuytub27_V2hvULQ0pys_cQ</t>
  </si>
  <si>
    <t>UCkS9cZtLqrMzs_glCw0U88A</t>
  </si>
  <si>
    <t>UC6xy0ssQnS23gtQmwkWl4Tg</t>
  </si>
  <si>
    <t>UCbsVOZgTNBxNmcPVvuLig7Q</t>
  </si>
  <si>
    <t>UC9ybULkGKv59RB1fwZRuNOA</t>
  </si>
  <si>
    <t>UCy4qP0S_RkFMwvs2HvNiTgQ</t>
  </si>
  <si>
    <t>UC3z_qB0Jbqdj1zCiCp8aHUg</t>
  </si>
  <si>
    <t>UCXX1fJgR9j7S0jTTtCuYfoQ</t>
  </si>
  <si>
    <t>UCBFw9siMq1Kt6XFnrqRMcPg</t>
  </si>
  <si>
    <t>UC9OicB9iT0hHQjw-gVBRrog</t>
  </si>
  <si>
    <t>UCtWP6dr67yqKy3bAXcOeT-Q</t>
  </si>
  <si>
    <t>UCTAxjEvlMaKRglgHN77eSAA</t>
  </si>
  <si>
    <t>UCsLDUk0e_ct9fEOscyLsRPw</t>
  </si>
  <si>
    <t>UCTRNilqgOpktrzMx3ZltrAA</t>
  </si>
  <si>
    <t>UCVcDCxUAX9in_yTq3_DjHqw</t>
  </si>
  <si>
    <t>UCcxtJ3K0Qml803x7sqyps0A</t>
  </si>
  <si>
    <t>UCWCGvAu1NDCldmLasELk62g</t>
  </si>
  <si>
    <t>UCI7oBLDX1tAFT3obD8_uNpw</t>
  </si>
  <si>
    <t>UCTv--69JAwXMHdAf-1jTz3A</t>
  </si>
  <si>
    <t>UCS9ylflS6E0AvXg0LZ0P6_g</t>
  </si>
  <si>
    <t>UCWG6Uf6m3M80F72mqmn62Uw</t>
  </si>
  <si>
    <t>UCddLK4Q_9nq2iJqvHoq2f_g</t>
  </si>
  <si>
    <t>UCFixnsj09GeeUA4vEKzuQbA</t>
  </si>
  <si>
    <t>UCXCiIaGZv0tmRS7nBBFn0-g</t>
  </si>
  <si>
    <t>UCwPCt3ieoV-bN2ycx6PzN1A</t>
  </si>
  <si>
    <t>UC4vcItZ7IA9gXBKLX4lUEFQ</t>
  </si>
  <si>
    <t>UCdkcFKhW5i4LjFLXlOpAbzw</t>
  </si>
  <si>
    <t>UCJdMbGrfy_F6Vh1SnOcV4mA</t>
  </si>
  <si>
    <t>UC7srgIVtA3XexXKuisvyOAg</t>
  </si>
  <si>
    <t>UCEQZqWS5MWD3TqDOapr8AQQ</t>
  </si>
  <si>
    <t>UCAHYUPVmHFPFZsUtg0WPsCw</t>
  </si>
  <si>
    <t>UCnzF6QaUOPGVYH4fi26DMDQ</t>
  </si>
  <si>
    <t>UC2Foet8jAtIrLa9CkKWenJg</t>
  </si>
  <si>
    <t>UCpcEoj8S4hJNbwsSbMl5U6Q</t>
  </si>
  <si>
    <t>UCyPEDIb-XCJfqYwoyezbHIA</t>
  </si>
  <si>
    <t>UC8kO1uAC3sWWmnm8YdHFINA</t>
  </si>
  <si>
    <t>UCpJZNu7SznV_dQpZ8D3DLUQ</t>
  </si>
  <si>
    <t>UCjbh9WWO5Cz3cN2k1qp8odA</t>
  </si>
  <si>
    <t>UCt7cLrg-v7pMw1JgBuLkbLQ</t>
  </si>
  <si>
    <t>UCO7-tvmIJbKi87Rl6w-1yAg</t>
  </si>
  <si>
    <t>UCoaEnNXeMbW-pCUD4Ni9v6g</t>
  </si>
  <si>
    <t>UCiEa9zCBA1sNmBlZQY5JytQ</t>
  </si>
  <si>
    <t>UCgqviExbS6xlip9TiSU0bbA</t>
  </si>
  <si>
    <t>UC7jMeMP56G8jbTeEtgU_h-g</t>
  </si>
  <si>
    <t>UC5D8fb6BNdUgSnpYYIvw6Vg</t>
  </si>
  <si>
    <t>UC3FNXhj30aCCQ-B4r6P83Ww</t>
  </si>
  <si>
    <t>UCAveYPOT7_1ySBwhv4aZt2A</t>
  </si>
  <si>
    <t>UC548yrl-xGe6xB-rj7hIuPw</t>
  </si>
  <si>
    <t>UC8gnlsed8PJ1nwURyacjzzA</t>
  </si>
  <si>
    <t>UC-n8szdwFgv4eAoO-GKbGNA</t>
  </si>
  <si>
    <t>UCriVXocNtDp2YyFAveb-fFg</t>
  </si>
  <si>
    <t>UCbGkBupvCK2ijXfh_-hw9ag</t>
  </si>
  <si>
    <t>UCZp9l2HmsSHAMLJ-za6JRkw</t>
  </si>
  <si>
    <t>UCe9tn6m-7PyiKJCSQfaVo5g</t>
  </si>
  <si>
    <t>UCzDWMaPnWlf1rD4p5ceLsfg</t>
  </si>
  <si>
    <t>UCcVskglXLe_kokNX52GG56w</t>
  </si>
  <si>
    <t>UCxbrlA5S6M2JFthokWOveqQ</t>
  </si>
  <si>
    <t>UCivdG7GGDPMjsibIqcWIxqQ</t>
  </si>
  <si>
    <t>UCpcS-Xnlv5GwTd66h1Dnt5Q</t>
  </si>
  <si>
    <t>UCMg4OFH7TA_pVm8cJcspfaQ</t>
  </si>
  <si>
    <t>UCgCusDkO0mOkxEpvhVV6e9w</t>
  </si>
  <si>
    <t>UCSbp-sQ9vv5thQEk6DXTcNw</t>
  </si>
  <si>
    <t>UCuUotW14kzvZqnOIC8xNKUA</t>
  </si>
  <si>
    <t>UCfK2Q_BX1EIbTwi5y60BVEg</t>
  </si>
  <si>
    <t>UCe4KAakZS9-jRelJbWVBWOw</t>
  </si>
  <si>
    <t>UCb5-XDuavDpXDTHJ6crERPQ</t>
  </si>
  <si>
    <t>UCWVyEdLMP9b6P0FOSkripLQ</t>
  </si>
  <si>
    <t>UCZgzBbqFpLZTV_rx3EPyf6g</t>
  </si>
  <si>
    <t>UC8F29jp4qAzeUUI-8BDoBIg</t>
  </si>
  <si>
    <t>UCquF-h0__LWcyBh9wBTFKaA</t>
  </si>
  <si>
    <t>UCbq4Tfk7nIu-w0NWD4uj0UQ</t>
  </si>
  <si>
    <t>UCbGyY8RetTq7XUolpjITRMw</t>
  </si>
  <si>
    <t>UCKHO5y-zlzFJWWn0tefRiKA</t>
  </si>
  <si>
    <t>UCrt2cC2yaeFV8zRD0oQ7LkA</t>
  </si>
  <si>
    <t>UCaVaavS22fEPQFqeEJXhWHg</t>
  </si>
  <si>
    <t>UCqJKF61VZJJjToVLQL_Knsg</t>
  </si>
  <si>
    <t>UCwwO0O1utqZvbTeMQb82_sg</t>
  </si>
  <si>
    <t>UCXhbGVsFkmlcxQQvwlHMQbg</t>
  </si>
  <si>
    <t>UC1bO9XQRhccxbWcIRIYm2HA</t>
  </si>
  <si>
    <t>UCSHon7X44tNM8s3IcX2F7Sw</t>
  </si>
  <si>
    <t>UCV3NxaHWgiCxJFKzdl-yWDQ</t>
  </si>
  <si>
    <t>UC9l7tHD7VC4orBaP26Ad2JQ</t>
  </si>
  <si>
    <t>UCI2v_Wb4Um0a6CdO07yBbmg</t>
  </si>
  <si>
    <t>UC8SLPARhJnJ1s3UOODfnX6Q</t>
  </si>
  <si>
    <t>UCP2-bsO6X6YIiZp4pkLJ8lg</t>
  </si>
  <si>
    <t>UCSBlLH6Vzzt3s0AMMxmLCjg</t>
  </si>
  <si>
    <t>UCPL5fp6DaVlNPbT2yMIHM8w</t>
  </si>
  <si>
    <t>UCVeuXHUfX9QqQWlH-QsX_CQ</t>
  </si>
  <si>
    <t>UCy2manvGDTPPlkm0N3gIYTQ</t>
  </si>
  <si>
    <t>UC3ldzzMr6S0WCpN19mRcH5w</t>
  </si>
  <si>
    <t>UCZOG4X4yW22nkuY2aKt0A_w</t>
  </si>
  <si>
    <t>UCNWTKpzIPahDwUqHe-aE1WQ</t>
  </si>
  <si>
    <t>UCHupEZdzOus7yyBf29j3Wcg</t>
  </si>
  <si>
    <t>UCrQ2-hzImdJ4A3BD0yIYm-A</t>
  </si>
  <si>
    <t>UCOvtkDR1erIxakUu721dgiQ</t>
  </si>
  <si>
    <t>UCcD8FfX12tT_r-fLe-O3smw</t>
  </si>
  <si>
    <t>UCGnqaEa5wmyxxXeP8NXo6qw</t>
  </si>
  <si>
    <t>UCcbyQi8gB9nX8GcUts04g3g</t>
  </si>
  <si>
    <t>UCoBL8gRrEPm49lp78h4U9bw</t>
  </si>
  <si>
    <t>UCFv86IHdngwcdyvgWxAMh8Q</t>
  </si>
  <si>
    <t>UC7k1dni-9gAqW6hC4LsKLPg</t>
  </si>
  <si>
    <t>UCtGWF3ZtO82eYoSSrcV7raw</t>
  </si>
  <si>
    <t>UCyNiG0gtjio00qye4q2JvWA</t>
  </si>
  <si>
    <t>UC0BeZVbVh5PI1XlrWYcoh1A</t>
  </si>
  <si>
    <t>UCl1Umy9WXb3I49JTMG3WoWw</t>
  </si>
  <si>
    <t>UC_yAPG8MzTokSdRZ-Fg4ciA</t>
  </si>
  <si>
    <t>UCx2JqR1M5TxiI0l2cQXo1Xw</t>
  </si>
  <si>
    <t>UCMzHk-rGHmACzYlyFPyhrBA</t>
  </si>
  <si>
    <t>UCdFxWsKWs6G5c_1_V4-UhoQ</t>
  </si>
  <si>
    <t>UCFgm-FN5SAyDSUwqCsKld-w</t>
  </si>
  <si>
    <t>UC53WzZ-e7rAiDNVDS4vdLRQ</t>
  </si>
  <si>
    <t>UCg4e-Fwgz8kgsRzKjeHzLVg</t>
  </si>
  <si>
    <t>UC3I2KbI0nwBgUQU2iUU-yYw</t>
  </si>
  <si>
    <t>UC7ZRlcwPxgSAfZuf4mSlNZQ</t>
  </si>
  <si>
    <t>UCR2D0AS2LBV53CP0hxYYlvg</t>
  </si>
  <si>
    <t>UCYUmnSiVDLJ0X1Rz3DyHWgQ</t>
  </si>
  <si>
    <t>UC_40SOqHA1KzYnqcNtX8wcg</t>
  </si>
  <si>
    <t>UC1XuXEGc1e-d14P7GvKyuxw</t>
  </si>
  <si>
    <t>UCmeVA7qy9XsyyDc2UmDrSQw</t>
  </si>
  <si>
    <t>UCJTY6z_SrU39MIcJxEtmduA</t>
  </si>
  <si>
    <t>UCn4fhtzOgtoEKIrAAV4yCMA</t>
  </si>
  <si>
    <t>UCoIR1MksCBbhgb4Ti9XfVfQ</t>
  </si>
  <si>
    <t>UClEgsK1xsJmmSd0OUCNWyHA</t>
  </si>
  <si>
    <t>UCh9cHh3jMZFf6Rdw5T3dKMw</t>
  </si>
  <si>
    <t>UCEIP9i0nehPMjK-sJ3yylkQ</t>
  </si>
  <si>
    <t>UCqRtVwlbtHdAro5drwH4JDA</t>
  </si>
  <si>
    <t>UCICgZCUy8adAVm4a1Aq8ZMg</t>
  </si>
  <si>
    <t>UCFBFRXpGCtcHxN0N_tFd0ow</t>
  </si>
  <si>
    <t>UC_0BWZix0TDsMAVUfkQmR2Q</t>
  </si>
  <si>
    <t>UCmtTRAtkoaaqFSgI9AJX6pA</t>
  </si>
  <si>
    <t>UC2UtUHQUYs1LgPL2acz3reQ</t>
  </si>
  <si>
    <t>UCfQ2q24dCGFzP_-Zqr26ZDA</t>
  </si>
  <si>
    <t>UCwXiOtJgoSTNiMZlcs_OwAQ</t>
  </si>
  <si>
    <t>UCqZInQ17xdGfdvauCzOklcw</t>
  </si>
  <si>
    <t>UCWVK60ydiDZQqPcNWQR6-JQ</t>
  </si>
  <si>
    <t>UCYgTs0FWF9ScbWo86dSX3rg</t>
  </si>
  <si>
    <t>UCL-WEWu1kx79Cc9CLMSBM3w</t>
  </si>
  <si>
    <t>UCUtp6Uo2RHUb6dXur9LWwhg</t>
  </si>
  <si>
    <t>UCsCssxQZU8SdoB-8tTyUDYw</t>
  </si>
  <si>
    <t>UCD7_ALuBe9-SQDZt_mLJC1A</t>
  </si>
  <si>
    <t>UC7Ibt1KA9K8Qj2hE6uCdGSQ</t>
  </si>
  <si>
    <t>UCZSyJyxtMG3Qbjh7ZZY39tg</t>
  </si>
  <si>
    <t>UCycmCbzmIJUqHY7YccLfotg</t>
  </si>
  <si>
    <t>UCDr7Bg2MkdoaJ8gqLxPOoGA</t>
  </si>
  <si>
    <t>UCf3jRtMiA4ZVlbNUzrt2mMw</t>
  </si>
  <si>
    <t>UCCt0XCeUyqcdT0oTZgXx9cg</t>
  </si>
  <si>
    <t>UCrvTLxAglmn_Eo6E_QtzJzw</t>
  </si>
  <si>
    <t>UCgHWvBdY4Mqi6Lf2oLq4gGg</t>
  </si>
  <si>
    <t>UC-V9Mloh_jF5xoSLKF46sVQ</t>
  </si>
  <si>
    <t>UCdirrRY54CQA3ap1RgWU77A</t>
  </si>
  <si>
    <t>UCgp17ZrgKs2G099C3Mue48Q</t>
  </si>
  <si>
    <t>UCAIHs5fcbJkXH8VrYEW8i1w</t>
  </si>
  <si>
    <t>UCcC9txrthD4MYZfWwIwMzUA</t>
  </si>
  <si>
    <t>UCZmBKf48Oz4J7BjXbcM4EQw</t>
  </si>
  <si>
    <t>UC0TcHdGxVLN667qOPXEdQaQ</t>
  </si>
  <si>
    <t>UCSOO8aliEwUKxIVkk5Igz-A</t>
  </si>
  <si>
    <t>UCWjHDFIZoWIaHqnCT8M4lnQ</t>
  </si>
  <si>
    <t>UCUfafFfZV88iOA41PeEiRPQ</t>
  </si>
  <si>
    <t>UCcUvHFmjGEg32p-8qBVFYAA</t>
  </si>
  <si>
    <t>UC7T7MYzrTQiKd2V-6WKf6GA</t>
  </si>
  <si>
    <t>UCZgFP65br-6ZS8kyf63nM2A</t>
  </si>
  <si>
    <t>UCb3pf6Ge8XPFDjuhzDjrrdQ</t>
  </si>
  <si>
    <t>UCRXKFHtNEIW_1l2-DarXkwg</t>
  </si>
  <si>
    <t>UCiJ7alz4sKCtl7vz_axzH2w</t>
  </si>
  <si>
    <t>UCflhRMrXRAR8Y7w4KHEdTdQ</t>
  </si>
  <si>
    <t>UCg5XdacNdNcBf3M-KD5ZHjA</t>
  </si>
  <si>
    <t>UCJHniBBC2qjK-bXxf3vS4eg</t>
  </si>
  <si>
    <t>UClT18-hI0yT5uzjzC69iC8g</t>
  </si>
  <si>
    <t>UC1Yny3o49-_IEFgYXAXXq0w</t>
  </si>
  <si>
    <t>UC1bCSAQ0LCIkMcORx2ljh5Q</t>
  </si>
  <si>
    <t>UCywA_oFKMktwGSSh2HCyWzQ</t>
  </si>
  <si>
    <t>UCFYLZrj2fr4csQzWSYzipjQ</t>
  </si>
  <si>
    <t>UC0Uio_I-hdoCp67jk4SwyzQ</t>
  </si>
  <si>
    <t>UCZA12q81vXYNN07gMU6Jn2A</t>
  </si>
  <si>
    <t>UCtTX7w1DQi5ChptpmHUrTaQ</t>
  </si>
  <si>
    <t>UCx1QFeAVLwh802nit7w8bxw</t>
  </si>
  <si>
    <t>UC-5lbA1VRYtujuHtmZMMC-g</t>
  </si>
  <si>
    <t>UCGaDjgRl_bxBjVLBpO9tfYg</t>
  </si>
  <si>
    <t>UCoo44ktzx2_nxS48dYJckNQ</t>
  </si>
  <si>
    <t>UCYKzJJk45giuAyYLllTr-_g</t>
  </si>
  <si>
    <t>UC1C0ZstUEYlnkvo6ss2SdSA</t>
  </si>
  <si>
    <t>UCa7bzx12B8wcUTF7YpI67VA</t>
  </si>
  <si>
    <t>UCtcHSoazwdKG4uT2g4SKJiA</t>
  </si>
  <si>
    <t>UCjFmxGKiUOubPoOhUeBUeAg</t>
  </si>
  <si>
    <t>UC6HpnMV8XCdQR6-dNsiMB9Q</t>
  </si>
  <si>
    <t>UC4w7zyr3jAC05HACZMjKgkA</t>
  </si>
  <si>
    <t>UC5rylQF2P8iwYm-Sezg1YbQ</t>
  </si>
  <si>
    <t>UCRKQFdpVbURR-jEpB1kRmfw</t>
  </si>
  <si>
    <t>UCwD6wSolY9DYNGvR9KgHN-w</t>
  </si>
  <si>
    <t>UCDzvKFFM8rr5PcNl4HJTRew</t>
  </si>
  <si>
    <t>UC5XKsCcbfo3PIWJiR0Tv91w</t>
  </si>
  <si>
    <t>UC-i4Cfb5-QrfMJFl_EDOHWw</t>
  </si>
  <si>
    <t>UCXDCMerJ8KFuk8G-ROftCvQ</t>
  </si>
  <si>
    <t>UC3KfagXjHGS3HXawJuiznPw</t>
  </si>
  <si>
    <t>UCdtkd7y5VCgyXjiVRt2Wf8A</t>
  </si>
  <si>
    <t>UCXycH2hhUJp8wDXbR4oVRdQ</t>
  </si>
  <si>
    <t>UCv6au74Lema0O6WsyRu9UPw</t>
  </si>
  <si>
    <t>UC-Cg8jae1wvpYDHU_F6OX-g</t>
  </si>
  <si>
    <t>UCBpsR3Eig4w856iDef0-W-w</t>
  </si>
  <si>
    <t>UCT6cbW0wVYCZmC1AZstoxyA</t>
  </si>
  <si>
    <t>UC8jj3Xyh-rVeWTGrsGTJrLg</t>
  </si>
  <si>
    <t>UC7rNzgC2fEBVpb-q_acpsmw</t>
  </si>
  <si>
    <t>UCVeZhekbhV-jP4sfHVYlvhQ</t>
  </si>
  <si>
    <t>UCSWj8mqQCcrcBlXPi4ThRDQ</t>
  </si>
  <si>
    <t>UC0YpUo9uKkcMo3R3OY4dUDw</t>
  </si>
  <si>
    <t>UC7EVQDy_YA7s2vUM183zwFQ</t>
  </si>
  <si>
    <t>UCvbYEOIb6SnYVJQG3uNUcBg</t>
  </si>
  <si>
    <t>UCaeUO2QsqmjGFScgYmxn-qQ</t>
  </si>
  <si>
    <t>UC3J-oDvUEagrbsHLygya5kA</t>
  </si>
  <si>
    <t>UCcn-QohtLN2AOcwBwVSQkog</t>
  </si>
  <si>
    <t>UCT7SsX2XZagLirou1dvFSHQ</t>
  </si>
  <si>
    <t>UCuHNkFASNJaQc7-4tSgdQ7A</t>
  </si>
  <si>
    <t>UCSASBTu9o0W6kmhuooUJX3Q</t>
  </si>
  <si>
    <t>UCDzhFuVYou1D8w1ABZo3b9A</t>
  </si>
  <si>
    <t>UCC5SQubiIduRla3V1AtQpkA</t>
  </si>
  <si>
    <t>UC6H0uD5Sri0Z2Z4fjefOwJA</t>
  </si>
  <si>
    <t>UCOgMBTdFTSCtr8p7yVzSHkw</t>
  </si>
  <si>
    <t>UCtr-r8KsYQAb02UBhEuvpeg</t>
  </si>
  <si>
    <t>UCxNB-oHPC-iobznPJLLPv7w</t>
  </si>
  <si>
    <t>UCitKzGsWFjUYpvuQu97w9KQ</t>
  </si>
  <si>
    <t>UC2Oth1Sz9qXb3mfG3IVhWig</t>
  </si>
  <si>
    <t>UCc1Q2bMi4uJzsANe0_tBwvg</t>
  </si>
  <si>
    <t>UCmyYlRWyC9iJZ4TBiAiIQhw</t>
  </si>
  <si>
    <t>UCSi4dFvEhfGRYEYp-SL4yng</t>
  </si>
  <si>
    <t>UCNqs8oenY2h57rD6zxE5jaw</t>
  </si>
  <si>
    <t>UCZyY35a5V0VWboyOzCL1tRQ</t>
  </si>
  <si>
    <t>UCvedSU2XjHrCGroA_eVuNDQ</t>
  </si>
  <si>
    <t>UCdZPtWw-_zszxvFm320PqTA</t>
  </si>
  <si>
    <t>UCHuVrAwvWOBue_UfI8WNtlA</t>
  </si>
  <si>
    <t>UCoOmmbxxZxL9833L21LR-_Q</t>
  </si>
  <si>
    <t>UCB3adahEXWZNWQDzH47LnQg</t>
  </si>
  <si>
    <t>UCvzDBL1d5HjGrhXl3q1aDjw</t>
  </si>
  <si>
    <t>UCZn38KmU8VEsupVPhrYonzg</t>
  </si>
  <si>
    <t>UC4kcnj_FiNpCPxuMwT5Cocw</t>
  </si>
  <si>
    <t>UCZyMvGctcnreaU5jPVaYPvg</t>
  </si>
  <si>
    <t>UCzZiFG_Z5ZaiwknfQXE9I_w</t>
  </si>
  <si>
    <t>UCe1Z7zp-tScd0a5YJr0Au9A</t>
  </si>
  <si>
    <t>UCb9rVuhPfNDfgHuWVWeNG2g</t>
  </si>
  <si>
    <t>UCHs4sOlVcTDFFPBP0F3VxQQ</t>
  </si>
  <si>
    <t>UCKD80chR74a7NZrQQpIRHKQ</t>
  </si>
  <si>
    <t>UCH4ualuNWAGJ-qRUZfYE7Zg</t>
  </si>
  <si>
    <t>UCsyGdf6B7zK33Ju0amPOUhA</t>
  </si>
  <si>
    <t>UC28wTmsp8t2DC0oHWJkOBqg</t>
  </si>
  <si>
    <t>UCAX-FN71KS2ENCqwyCKGBoA</t>
  </si>
  <si>
    <t>UCpD5Mqr1ySapcxU3xuz0RRg</t>
  </si>
  <si>
    <t>UCYv1s6H7gklod65rvZ8MqlQ</t>
  </si>
  <si>
    <t>UCaO19EP1T3m61v7lhXO0Cfg</t>
  </si>
  <si>
    <t>UCuzf6UhBn93qcf_fthR8AYA</t>
  </si>
  <si>
    <t>UCp3kQ5PRuaPrwhfbkS41W4w</t>
  </si>
  <si>
    <t>UCQvGBZkMsQRDm_uFnOFptsA</t>
  </si>
  <si>
    <t>UCrelZh0dgdEMgBLz0Y4DtRA</t>
  </si>
  <si>
    <t>UC1UxdECF_PH4I0j5khCxkJA</t>
  </si>
  <si>
    <t>UC_WLIZ4aZKKjDDG9PlcIrrg</t>
  </si>
  <si>
    <t>UCT5lhnIOkq6GhoilSAo-XZA</t>
  </si>
  <si>
    <t>UCPSfNH-pU60iGdEW3KCZCxg</t>
  </si>
  <si>
    <t>UCH7nXSievFlbRKzKzEySbkw</t>
  </si>
  <si>
    <t>UC1kEG25q-JE69jVw5ITXCrA</t>
  </si>
  <si>
    <t>UCGbdpXT0waDfg330LsyzDEg</t>
  </si>
  <si>
    <t>UCQ4fzJC9kXSDRyIcEWGyy_w</t>
  </si>
  <si>
    <t>UCynwWIeqIV2U0S8rQSISnjQ</t>
  </si>
  <si>
    <t>UC3Uu0UTUCdmKsXCbyVsme2w</t>
  </si>
  <si>
    <t>UC0z7z3obmsEFs8RtEJQvqCw</t>
  </si>
  <si>
    <t>UCIRiegTlNb8efCKaQwZ7eag</t>
  </si>
  <si>
    <t>UCZpHsujxA_qZsv7Y1gzYOyg</t>
  </si>
  <si>
    <t>UCLoZwwHIX3eYyL8CiAgh71Q</t>
  </si>
  <si>
    <t>UCuvu7UxqWcZ5OiP_Cs1LXYg</t>
  </si>
  <si>
    <t>UCCNQ77MXvhqrg4Xmlgn3q_A</t>
  </si>
  <si>
    <t>UCuZBk65U4vw2ypTwyueOEJg</t>
  </si>
  <si>
    <t>UCYq67N0oJticIVD36iaXXgQ</t>
  </si>
  <si>
    <t>UCHlv3wd98vwjY2IemIFIqnA</t>
  </si>
  <si>
    <t>UC5pR9Ddimm3vx4TNT8C7XYw</t>
  </si>
  <si>
    <t>UCAiZZXXEG6FQHTRuG5ytjQg</t>
  </si>
  <si>
    <t>UCvxxvwhlUoevG6Ix3HVoCgQ</t>
  </si>
  <si>
    <t>UC0KNSKm8EIgJC3Es_hiiacg</t>
  </si>
  <si>
    <t>UCgrO5dfUlvJJeYwgtFbzN0g</t>
  </si>
  <si>
    <t>UCgvzleUr1gP9JdwbSdgSQWg</t>
  </si>
  <si>
    <t>UCL7Nu8D1sk3Os5_f0babhcw</t>
  </si>
  <si>
    <t>UCFKcL-HAgmAQu48vkFrLmjg</t>
  </si>
  <si>
    <t>UCr5U-4xvd42vKeKGKbfLvVg</t>
  </si>
  <si>
    <t>UCOWdhdvdzuZbocyrCmxVSjA</t>
  </si>
  <si>
    <t>UC8mXId8maqIBmWnhKEgFy8A</t>
  </si>
  <si>
    <t>UCJ07HQAwggSlD-5CyH3uDOg</t>
  </si>
  <si>
    <t>UCxfLgAyLr-LgNl15MOydOig</t>
  </si>
  <si>
    <t>UCCzZBzLZr3sV4BdUf6CQ0JA</t>
  </si>
  <si>
    <t>UCn9ZOsKV-JxmKujSrxadc7g</t>
  </si>
  <si>
    <t>UCsVgyqNJtKEJlFTNMJP6wjg</t>
  </si>
  <si>
    <t>UCd4B6bFqze3kHEiC6b7yPmA</t>
  </si>
  <si>
    <t>UCU7k1XrP24uQlcDPdRP2abw</t>
  </si>
  <si>
    <t>UCofLyWKImmSHboaerI4AwfA</t>
  </si>
  <si>
    <t>UCKuVgjeO_a8qSwhVnpKhNZw</t>
  </si>
  <si>
    <t>UCj12YYSGd0UQ8JCd5qgP5XQ</t>
  </si>
  <si>
    <t>UC6fuLPlqTGXOFfOKseoVrow</t>
  </si>
  <si>
    <t>UC_nc5PYKkbMUg8eN2X4JXTA</t>
  </si>
  <si>
    <t>UCFdgwb-pr2KRZxIGuDCmL6A</t>
  </si>
  <si>
    <t>UCLO2HOiLW2uK3h4Of70bPRw</t>
  </si>
  <si>
    <t>UCIBU8-ywFVNb5-WXnL8r0hw</t>
  </si>
  <si>
    <t>UCdi4Th4-jbpAuxMwdbZDRbQ</t>
  </si>
  <si>
    <t>UCKSAreF27xPS1SCsKhen75A</t>
  </si>
  <si>
    <t>UCiPACp5xRoPyL4fXedTiT3A</t>
  </si>
  <si>
    <t>UC0gXOfKcj1xoiE_qg-BxaYw</t>
  </si>
  <si>
    <t>UCASvkd82H29rXxKhF2YPV6Q</t>
  </si>
  <si>
    <t>UCMEqhLYE1rnLMZGjO8ng8Lw</t>
  </si>
  <si>
    <t>UCPNuV99h2pi1634kHb6h8sw</t>
  </si>
  <si>
    <t>UCYFnBsDPU_lMGlmOY8dLcjQ</t>
  </si>
  <si>
    <t>UCPZO-UzgWeKS-ERRIIcTrdQ</t>
  </si>
  <si>
    <t>UC1RBej3dtZOJrnsCWzgz1DQ</t>
  </si>
  <si>
    <t>UCUAarmOqu_NimCYVvJZPLfg</t>
  </si>
  <si>
    <t>UCZwDE1cWz23fkTnEuaYMkNQ</t>
  </si>
  <si>
    <t>UCON7ruHzb7hwAk84LnOvKjA</t>
  </si>
  <si>
    <t>UC18XaAAcDbxWlgfPmAXDrpw</t>
  </si>
  <si>
    <t>UC0iCgoYvFGcLQuP7phPWPIQ</t>
  </si>
  <si>
    <t>UC4CAmIDWVXblO8kurX9RSng</t>
  </si>
  <si>
    <t>UCP-nc74OQhb2QLOI0jCX4eQ</t>
  </si>
  <si>
    <t>UCWtkhb1R3SAyfmUHOCAQ5BA</t>
  </si>
  <si>
    <t>UCP_MAR-m1iBDShrQkjSL6kA</t>
  </si>
  <si>
    <t>UC0hRWIhoK7S5qm9wyX7cv9A</t>
  </si>
  <si>
    <t>UC9RPlhB_vNQMSJJSQhSDe3Q</t>
  </si>
  <si>
    <t>UCoiAWU_ANQajmaP9lpo7FyQ</t>
  </si>
  <si>
    <t>UCDEiPebR63LvKb78gj4cNWA</t>
  </si>
  <si>
    <t>UCy55Eb9sSvoQv7xsf8qzqMg</t>
  </si>
  <si>
    <t>UCJ7ve3cKLZtc8DSB4Kq8EiQ</t>
  </si>
  <si>
    <t>UCPav_SA2JzAyeB9LZatr7og</t>
  </si>
  <si>
    <t>UCMZ7kyMqoONJteGCGKcwxlA</t>
  </si>
  <si>
    <t>UCy8QRG6YcK4ZK93mEk0C3cg</t>
  </si>
  <si>
    <t>UCH7kCq3_vAqiNkjhS6Ynv9A</t>
  </si>
  <si>
    <t>UCSGglJWd8q_tcMScor66Tkg</t>
  </si>
  <si>
    <t>UCcTII5pbZYkU4fgFtb4uesg</t>
  </si>
  <si>
    <t>UC4xQEqFlEr4rdKIBSXAGvfQ</t>
  </si>
  <si>
    <t>UCdf_rjCB1wleiA7mS-nVW6g</t>
  </si>
  <si>
    <t>UCFG5323J1YHw7hkKmyEeYrQ</t>
  </si>
  <si>
    <t>UC6XwtueHJhFDg2VePmO7Chw</t>
  </si>
  <si>
    <t>UC0znJ1WHj8tt4s0uvQvNKgg</t>
  </si>
  <si>
    <t>UCJLrmICtWo1WVB3VoD7owaQ</t>
  </si>
  <si>
    <t>UCz5AnMXCpBELGQMFGOmVqgQ</t>
  </si>
  <si>
    <t>UCuaP2VzDe4DB4MeLeYbpwxA</t>
  </si>
  <si>
    <t>UCjCya6QyacYPXtvCiMPeHZQ</t>
  </si>
  <si>
    <t>UCzsXBv2J7vz4HRHOGDcnlTw</t>
  </si>
  <si>
    <t>UCq90YqbrIl38sLysnmIMnrQ</t>
  </si>
  <si>
    <t>UCQ3r9xbgmQ2H5zfYHGPu9Qg</t>
  </si>
  <si>
    <t>UCqHu8KPahIqfz-IuVxjrisw</t>
  </si>
  <si>
    <t>UCevaMPXN3n3aHZqbBl4sdVA</t>
  </si>
  <si>
    <t>UCAJkBf7_dGkAMZgIq9kV-Og</t>
  </si>
  <si>
    <t>UCU-prSVv0FM9srENTImfnig</t>
  </si>
  <si>
    <t>UCS1Z22ppKcpV9sRCSAKOxTQ</t>
  </si>
  <si>
    <t>UCuHFPZWYX7u5Xwoj4x8_NOw</t>
  </si>
  <si>
    <t>UCo-gf-bX27_zUD6utawQ2tA</t>
  </si>
  <si>
    <t>UCHpjWjqOaSCVHKfjqoUoqqw</t>
  </si>
  <si>
    <t>UCJicYbAv2XVEA6Gm5oqyLHg</t>
  </si>
  <si>
    <t>UCJDeNzApS0v4oob0mQhJ_QQ</t>
  </si>
  <si>
    <t>UCFWc59cclCQbln4jCY-L-MA</t>
  </si>
  <si>
    <t>UCZDXGoo2MxjJRAKusbbDzvA</t>
  </si>
  <si>
    <t>UCg9AGaxlH4LykK4JQqoHHdQ</t>
  </si>
  <si>
    <t>UCqp0No5YstxpjwFQmf_VnCQ</t>
  </si>
  <si>
    <t>UChjZGtMo6NTQrVZwjPaPO1Q</t>
  </si>
  <si>
    <t>UC9M-Duij19OLAq9QYSH_qVQ</t>
  </si>
  <si>
    <t>UCyvTq-wZONHYc3ZOTD9NxNA</t>
  </si>
  <si>
    <t>UCFIHHfDF3fxlXh4Ue4Xq7MQ</t>
  </si>
  <si>
    <t>UC5MGFQ-Okh5Rk23Dzf70clw</t>
  </si>
  <si>
    <t>UC7QqFMkfbF7dBRkJYGKbUJQ</t>
  </si>
  <si>
    <t>UCl4QXhHRepoKx9KQ3a_olmA</t>
  </si>
  <si>
    <t>UCtCr23OJQYG1oNoJuBOuvoQ</t>
  </si>
  <si>
    <t>UCU2FDfBEnO--A6Dx-L-pefw</t>
  </si>
  <si>
    <t>UCVbOzg4tW_Aym0WMTmq2Uuw</t>
  </si>
  <si>
    <t>UC6pMKCAyafRjC9CpHClQ3zw</t>
  </si>
  <si>
    <t>UCvE2Mrct7l1OfgSk6eAl3BQ</t>
  </si>
  <si>
    <t>UCGV-AgCmIvuufu3_LorPP-Q</t>
  </si>
  <si>
    <t>UCmn2MEf2snnnO3ayqXsIUkw</t>
  </si>
  <si>
    <t>UCYul7fqF4_X8kWNTyDzOE6Q</t>
  </si>
  <si>
    <t>UCgLE734cXt84Ut3gb1o9yDg</t>
  </si>
  <si>
    <t>UClGvFh8_gBn5qfrt-rGU0eg</t>
  </si>
  <si>
    <t>UCg4BjMjF7jlbksSme_ISdGg</t>
  </si>
  <si>
    <t>UCBgtw9o52tCEtqCN5PEvC4A</t>
  </si>
  <si>
    <t>UC06pjGDwJg-CS1f4n_ebZ8w</t>
  </si>
  <si>
    <t>UCxe5Nq5v4jFYhwkDQDIFo2w</t>
  </si>
  <si>
    <t>UCi5j7JBGACI8m-0iRzOwZZQ</t>
  </si>
  <si>
    <t>UCzGFvYp1fHdZGOBS-dyqTYQ</t>
  </si>
  <si>
    <t>UCevlfy8fq9tYTx9T77LuLng</t>
  </si>
  <si>
    <t>UCv-iyxr1zXiqqfKf0ROT-bg</t>
  </si>
  <si>
    <t>UCK10ThBZnabhP3TQXc6XyIw</t>
  </si>
  <si>
    <t>UCEPLXwJZgtGdXOuBN2a3PPw</t>
  </si>
  <si>
    <t>UCLqy3Uc4GsO0QqSQQNCHXyA</t>
  </si>
  <si>
    <t>UCUakoAxTEz02Rt5fk9wk9FQ</t>
  </si>
  <si>
    <t>UCCI0F4i_N8TJhPN2F4G7LjQ</t>
  </si>
  <si>
    <t>UCVC32Fpmw7ES04br2FmTVQg</t>
  </si>
  <si>
    <t>UCK-y2OU_T31SdqoG4KbWN-A</t>
  </si>
  <si>
    <t>UCRQmgoeGbtJK9GZZqLdLUIA</t>
  </si>
  <si>
    <t>UC7bUjNTtLIZU1mBbD5N0Kdg</t>
  </si>
  <si>
    <t>UCoLGtRN59d7cJwi4G4w4HSw</t>
  </si>
  <si>
    <t>UCrmsp2voP5agAXWHvEPvxsg</t>
  </si>
  <si>
    <t>UC-xZoIgrorc_RFsuaoWsP1w</t>
  </si>
  <si>
    <t>UCJDWWcuhA1sFDapeHBctbSA</t>
  </si>
  <si>
    <t>UC2mMkJmeEd-s8G2DSmRZyag</t>
  </si>
  <si>
    <t>UCeumGTY1v0mZjcQDRixH40A</t>
  </si>
  <si>
    <t>UCmkgwwC1mkVwRrDhWxGvRJg</t>
  </si>
  <si>
    <t>UCukj2de3g3kGf-0FhQ6NjDg</t>
  </si>
  <si>
    <t>UCJ2NzoMLBvGppHF24_uKiEQ</t>
  </si>
  <si>
    <t>UCWNfq5icDtUC15ABhIuPrrw</t>
  </si>
  <si>
    <t>UCtUS_t2OeibX-oaucag8dXA</t>
  </si>
  <si>
    <t>UCCrzzlwjhxuQOF_h9YlZkvg</t>
  </si>
  <si>
    <t>UCPl6PGfpqRUOdsDB3-uhcgA</t>
  </si>
  <si>
    <t>UC9Qz_nFge87nTXgBZQBQKKQ</t>
  </si>
  <si>
    <t>UCO_mqJLhrFKmK9cG9N0QLYQ</t>
  </si>
  <si>
    <t>UCiYhx9AKC_vZkLWV3u-1HFg</t>
  </si>
  <si>
    <t>UCNTyBcS7qegCP2y5rX6xejg</t>
  </si>
  <si>
    <t>UCPvRRYoRhcgActXTPpwn5MA</t>
  </si>
  <si>
    <t>UCWUDiLzQZr4VDHNyMsVYn-g</t>
  </si>
  <si>
    <t>UCnxrXCK9A2BAU-uAmw5Edsw</t>
  </si>
  <si>
    <t>UCVJg99p0n_fZFrDEzQnFLrQ</t>
  </si>
  <si>
    <t>UCPVtQqx3lnwwU4PTj73Ovjw</t>
  </si>
  <si>
    <t>UCVVrkup00vVhVqKZ_T_aV2Q</t>
  </si>
  <si>
    <t>UCs93qsSQKNd6C55TYCMXD1Q</t>
  </si>
  <si>
    <t>UCqVcIgbY4aElp2FQb3NqUoQ</t>
  </si>
  <si>
    <t>UCQB6Kpbn0oD8I_NOkwrCZwQ</t>
  </si>
  <si>
    <t>UCdFQqCE001KrYONkiJQIapg</t>
  </si>
  <si>
    <t>UCER7j540vQitkDc-KVILibA</t>
  </si>
  <si>
    <t>UCUuaG4CYkWwpAHvcp4K6g6Q</t>
  </si>
  <si>
    <t>UCQbtnep92kRWQdl62D01A8w</t>
  </si>
  <si>
    <t>UCbXsn4nfz90dFMOdWsFblrw</t>
  </si>
  <si>
    <t>UCVVRDJbTe6q6FJRR4m3h3_A</t>
  </si>
  <si>
    <t>UC4B4GVw19XBxE8jHUVhBbgw</t>
  </si>
  <si>
    <t>UCwbQWWnnsci_-bdd-mQVjsQ</t>
  </si>
  <si>
    <t>UCTn0UsklYqRWTDyxk2Op1fQ</t>
  </si>
  <si>
    <t>UCARCQYADNa9sp7HQSm39K4w</t>
  </si>
  <si>
    <t>UCYaWUzjQG2YiUbf7l2IP2Xw</t>
  </si>
  <si>
    <t>UCSJjHyEgaTB5NKeGI4mIA8Q</t>
  </si>
  <si>
    <t>UCjbbO-4P3ffU8Yb42cD7INA</t>
  </si>
  <si>
    <t>UCXhbCCZAG4GlaBLm80ZL-iA</t>
  </si>
  <si>
    <t>UCpg3BmwRY7tZb793x0358ig</t>
  </si>
  <si>
    <t>UCeIwRr40cvrwyNtTYmeW5sA</t>
  </si>
  <si>
    <t>UCW876vRmv-zz4ZaVjhY_z0g</t>
  </si>
  <si>
    <t>UCblWiTfdFDHqk_h-lQfNJNQ</t>
  </si>
  <si>
    <t>UCZXq61aIBsE5pKeL23P9uGA</t>
  </si>
  <si>
    <t>UCFNKAkkj9Yf9iiz8Tljp90g</t>
  </si>
  <si>
    <t>UChxK_CwwMx47mxsi-QEhKEQ</t>
  </si>
  <si>
    <t>UCaKerkQsXVAiwZtTn_26YGQ</t>
  </si>
  <si>
    <t>UCHXE04ah5yYXXK8Uo_6Xj2Q</t>
  </si>
  <si>
    <t>UClDiJFy8dqoAmOjkH9Um2Hw</t>
  </si>
  <si>
    <t>UCrsegeAX43QzoFYEqvD_PeA</t>
  </si>
  <si>
    <t>UCOP6cjJZURDm35be6AQO8xw</t>
  </si>
  <si>
    <t>UC0e1jiP_BJ6azCjSEidVupA</t>
  </si>
  <si>
    <t>UC2iO7dZW_TrxZDie9JU91qQ</t>
  </si>
  <si>
    <t>UCt4otV53CPB_6l3Rx5TSRPg</t>
  </si>
  <si>
    <t>UC1kgBbuT5nzFvXJ3MxFA_Yg</t>
  </si>
  <si>
    <t>UCBWCNd0TmH3vPPMWt768v5A</t>
  </si>
  <si>
    <t>UCc5wA9g90rnml5HbGHKt3WA</t>
  </si>
  <si>
    <t>UCXUOqZI4yaRueCJNo9xwdpg</t>
  </si>
  <si>
    <t>UCDb1BpAxouP8Kc8oNjwbB-w</t>
  </si>
  <si>
    <t>UCXyoXlYa_QkdE4yG59N0Wog</t>
  </si>
  <si>
    <t>UCKfxJfs1ZgGnp2VTiF45wRg</t>
  </si>
  <si>
    <t>UCx5Zz3rqcuIAJXQJCM6iGRQ</t>
  </si>
  <si>
    <t>UCCa6U2EW09-bQVcrgdUNd4Q</t>
  </si>
  <si>
    <t>UCK9JpgVuzkuu93JrJmfZOgA</t>
  </si>
  <si>
    <t>UCvChOVaV4GGxyeXKkZFgRVw</t>
  </si>
  <si>
    <t>UCSoKJElPvpeKfOycio3VaMA</t>
  </si>
  <si>
    <t>UCBVqtNs_GFQiiwtwDtklqdg</t>
  </si>
  <si>
    <t>UCRhkqXUVSym5k9QU_MuB5ZA</t>
  </si>
  <si>
    <t>UCzMisd9MGyxpjOR0Tf3vn_A</t>
  </si>
  <si>
    <t>UCmqZP0h6j54i4a_Q_4HZ6Ug</t>
  </si>
  <si>
    <t>UCcr93i1-6gGWnxZmDtEfl6Q</t>
  </si>
  <si>
    <t>UCsVPbkoI3K8kv216r3ZkzTg</t>
  </si>
  <si>
    <t>UCulxstSxSpZEPcSiNapF-iQ</t>
  </si>
  <si>
    <t>UCAtpF2RB8AuVizM2An4beAw</t>
  </si>
  <si>
    <t>UCeC3zNU7USbE4GHF0gJJlGQ</t>
  </si>
  <si>
    <t>UCdsTWzhTaAjkNd04LkZPhIQ</t>
  </si>
  <si>
    <t>UCEPNeKhUwgMV_GyWQIn7E0A</t>
  </si>
  <si>
    <t>UCsASogTybRzvm6mEDTt9XLA</t>
  </si>
  <si>
    <t>UCUyobj6SVTCj_whyBaRCaaQ</t>
  </si>
  <si>
    <t>UCDEsY3tKlXDleEJ8tTRhxzg</t>
  </si>
  <si>
    <t>UCh_HZKnkDaF-qJ68DjpxuNA</t>
  </si>
  <si>
    <t>UCrG2Z0usOCCdUTAr4D1A8mw</t>
  </si>
  <si>
    <t>UCqIOOwkxICVBcrfW-iZI7Yw</t>
  </si>
  <si>
    <t>UC07PV2n3lBSXaQE7t_hpZ1g</t>
  </si>
  <si>
    <t>UC3h5_QjA3kyXh77JB57a_EQ</t>
  </si>
  <si>
    <t>UCr2ROHE68uwTcI9QqibAhlg</t>
  </si>
  <si>
    <t>UC16CPLrAcpctTzgtd6zybdg</t>
  </si>
  <si>
    <t>UCQ9xZBXdzb_e46DPaJiZJkA</t>
  </si>
  <si>
    <t>UCoWEOzNVIRFl952hSoPxoPQ</t>
  </si>
  <si>
    <t>UCDDa1csS2eSHJcr6o9HqGXA</t>
  </si>
  <si>
    <t>UCGOzUtWEq9ANGvw8weQwl0g</t>
  </si>
  <si>
    <t>UCp1IKaxGFEy-TZ0mrW-oqXA</t>
  </si>
  <si>
    <t>UCjURG00hSKViyKC7QWZYAVA</t>
  </si>
  <si>
    <t>UCsN174eDjrNll0zJc7kHjUA</t>
  </si>
  <si>
    <t>UCdY2UHrbFurbFJ-rGjRvGVg</t>
  </si>
  <si>
    <t>UCIeVoFr7Symb-dABDjNwP9A</t>
  </si>
  <si>
    <t>UCets2nMeUNlLxiKIIAOgycw</t>
  </si>
  <si>
    <t>UCA0TGgcv60m8EKtyYt79r9g</t>
  </si>
  <si>
    <t>UC_PELB_CTdncbRPgtmbbYZA</t>
  </si>
  <si>
    <t>UCpeWhRw2m6YLAVsXDiQokDg</t>
  </si>
  <si>
    <t>UCY2-_zKd_QBcZXfaaNu7Cdw</t>
  </si>
  <si>
    <t>UCOpP3QXFCYEG4-CEeVYWmzw</t>
  </si>
  <si>
    <t>UClPH8tL-fWX1rqTTegkTNZw</t>
  </si>
  <si>
    <t>UC2R0NCq6kpkayTWbZcx39DQ</t>
  </si>
  <si>
    <t>UCFGwI4hvLDPhqL59AQhVxag</t>
  </si>
  <si>
    <t>UCpJtGHJpwJyDS6qcmLNYGtg</t>
  </si>
  <si>
    <t>UCo9Ir9szOHsZwwunzrfnewg</t>
  </si>
  <si>
    <t>UCW4mtUZr2k0itdZ6zYPcODQ</t>
  </si>
  <si>
    <t>UCjNxcxkpbWw6_F0c3mcNdpg</t>
  </si>
  <si>
    <t>UCbvHBoiYJgE8Ojs4piFPeLw</t>
  </si>
  <si>
    <t>UCtsO3-B6MR_Lx-kvAD_QaAA</t>
  </si>
  <si>
    <t>UC__JX7j7HYXROO6jCAUmHIw</t>
  </si>
  <si>
    <t>UCR45AhnuvCzPjlqi1usYsCw</t>
  </si>
  <si>
    <t>UCZQlZW2OWTWPjcQUTtCD-Vg</t>
  </si>
  <si>
    <t>UCrMG-MUxA3Ku3U8UymxyBeQ</t>
  </si>
  <si>
    <t>UCcFEMMhCQ9eCR5BGiRtA43w</t>
  </si>
  <si>
    <t>UCvSE2vW71NVLqh5IwjhxLBA</t>
  </si>
  <si>
    <t>UCfFpcbX1d_xkCV7PmC5KdEQ</t>
  </si>
  <si>
    <t>UC8qfNa1Z4WD8kRXkXQuNCtQ</t>
  </si>
  <si>
    <t>UC5nr3wq52O7K86mTj5FqGPQ</t>
  </si>
  <si>
    <t>UCjrP-LOuPcr5Jr58hEGUgNQ</t>
  </si>
  <si>
    <t>UCdw_PocG9G8-y4f6wYkz8og</t>
  </si>
  <si>
    <t>UC63sV2jsA51MOc17xySVYfg</t>
  </si>
  <si>
    <t>UC4tpRMfc-lvDs9_O0xIC7vA</t>
  </si>
  <si>
    <t>UCdzbhf3KwxeQdqmN9sKUZ-A</t>
  </si>
  <si>
    <t>UCc74WsQOGR1TzUvFPYdcq8Q</t>
  </si>
  <si>
    <t>UCVgink4KPY3EgrO3AWz8vNw</t>
  </si>
  <si>
    <t>UC-KTn5xUClpzIA9ehXG215Q</t>
  </si>
  <si>
    <t>UC7HQ3mzdsyvLU0Y7a2t3N7A</t>
  </si>
  <si>
    <t>UCGbShG-2foBqX3ReYKoK3Ug</t>
  </si>
  <si>
    <t>UCPMH0rAihA2SpdlZoChF90g</t>
  </si>
  <si>
    <t>UCu9Y1fhJIM4SGN-URbF6VqA</t>
  </si>
  <si>
    <t>UC5TNYNqsc-ZjuEm8RXiW_4A</t>
  </si>
  <si>
    <t>UCuq3ocdTaFL7iUl4I4FZ_tg</t>
  </si>
  <si>
    <t>UCT9Lp53cw2l6PV25jCmPO1Q</t>
  </si>
  <si>
    <t>UCske9zlnBPZTwdpRFh2PuYw</t>
  </si>
  <si>
    <t>UC-exkKplYZ8GEJwjJF-O8vw</t>
  </si>
  <si>
    <t>UCyoPv7PNj38RWZkT2a4aMWA</t>
  </si>
  <si>
    <t>UCFk4DOMss770b0Zszm_aeLw</t>
  </si>
  <si>
    <t>UCn_eh89gPwM6hgIZMDaIcxg</t>
  </si>
  <si>
    <t>UCbpIFUuQg31erZtDf2V4lmw</t>
  </si>
  <si>
    <t>UCs55OZ6PkvIjwtyyqEFk8JQ</t>
  </si>
  <si>
    <t>UCp8TgMsq8WYbDJDkUwCTfwA</t>
  </si>
  <si>
    <t>UC76uxPhWXR8tK2JjhGUM0yQ</t>
  </si>
  <si>
    <t>UCVKySO8Qzqw7N7-UVuO390Q</t>
  </si>
  <si>
    <t>UC40f8_PO3IawJPM1-sV7gXw</t>
  </si>
  <si>
    <t>UC-Ej1MXX6os_x46qg9aYsRw</t>
  </si>
  <si>
    <t>UCBGcs9XTL5U34oaSn_AsHqw</t>
  </si>
  <si>
    <t>UCaZrHhOJT_aKeU3x81O0eJg</t>
  </si>
  <si>
    <t>UCiAg86hcVgqYDvVzYrNTmYA</t>
  </si>
  <si>
    <t>UCrrUOXO-sG-IlUWihEGCIIQ</t>
  </si>
  <si>
    <t>UCs26mhp-QYeLlH7pZIvp2_Q</t>
  </si>
  <si>
    <t>UCA17v3ENpnoN4MWo8sbmM6w</t>
  </si>
  <si>
    <t>UC10pJKb_EyvMAWVSISS0jJw</t>
  </si>
  <si>
    <t>UCqrZ6xzgDgHvDdIQPoI22lQ</t>
  </si>
  <si>
    <t>UCsi2yRodXP-xg6iPIcrp7fQ</t>
  </si>
  <si>
    <t>UCGnOCQ_Yazt_dquZ3G9C1uQ</t>
  </si>
  <si>
    <t>UCpJIVLWUHHZIqSuj064A3cw</t>
  </si>
  <si>
    <t>UCNV2ThRd_ubgPPuxtKjT_kQ</t>
  </si>
  <si>
    <t>UCqgCCRFp0qn4N-6KKCDr-3Q</t>
  </si>
  <si>
    <t>UCY-Rb2-JgAgiR_qzsMRq3qA</t>
  </si>
  <si>
    <t>UC8VkCgud96XpZYevLPcdnQA</t>
  </si>
  <si>
    <t>UCVi65AObMZGhjw7NmKBy10w</t>
  </si>
  <si>
    <t>UCYCpciukxcFrujB5LgiCTQw</t>
  </si>
  <si>
    <t>UCZyPHmGTELTJpmeU7cYd2TQ</t>
  </si>
  <si>
    <t>UClYCRVPn-5Fpfjpvj9XKaIg</t>
  </si>
  <si>
    <t>UCYItQV94Lp0fopkQ0otDIkQ</t>
  </si>
  <si>
    <t>UCzlI95b1cMo_vP_QYiecU7Q</t>
  </si>
  <si>
    <t>UCPDd5Nce089KBPtR0XvZgyg</t>
  </si>
  <si>
    <t>UCOebusYe-EQR--ZNfc83MXQ</t>
  </si>
  <si>
    <t>UCWE0eCRajvDnrwzstf_0Y6w</t>
  </si>
  <si>
    <t>UCGYBU5MrqIMgAyXU11YHPng</t>
  </si>
  <si>
    <t>UCEYNR81bAsCdAHJiuEkQWJg</t>
  </si>
  <si>
    <t>UCWh6zwwXHfDxNQRxIfHEiKA</t>
  </si>
  <si>
    <t>UCPNR5RcY4mxmrwK23PYyWag</t>
  </si>
  <si>
    <t>UCBqr7ntHrhUjO4EMtJ0IfEg</t>
  </si>
  <si>
    <t>UCsLyx5-80REcG0UlkT5J97A</t>
  </si>
  <si>
    <t>UClauXTOND6V3PthOMW74gTQ</t>
  </si>
  <si>
    <t>UCTWX5iIUDDpt8KXJfFGjkQQ</t>
  </si>
  <si>
    <t>UCYI_hm0oHEqHtDEGsQIXPWw</t>
  </si>
  <si>
    <t>UCRc3_GeTBJfmg7uPNNBUeqA</t>
  </si>
  <si>
    <t>UCkcjGxTW_mLZmmEfWP2UMtQ</t>
  </si>
  <si>
    <t>UCn01sNVk-Pwer_VE4BZHcOA</t>
  </si>
  <si>
    <t>UCBgFYcK7vYRfCbJzQCwkCQA</t>
  </si>
  <si>
    <t>UCCOwt-tbVTwmJEGx2914mmQ</t>
  </si>
  <si>
    <t>UC3ouB3ylliNZfcTl-9Y7FRg</t>
  </si>
  <si>
    <t>UCpc3kVClJRuNTRmx-V_2mWw</t>
  </si>
  <si>
    <t>UCikg4iY36yk1BRhAqZCLiVw</t>
  </si>
  <si>
    <t>UCqQH9k6YOkLKe1F-uMzQksQ</t>
  </si>
  <si>
    <t>UCT9UfjuivmgK6Us8xnncOCg</t>
  </si>
  <si>
    <t>UCsoobiPi-CdqVgUqeIW9GJg</t>
  </si>
  <si>
    <t>UCi8BBYhFLGfFPxsV5LsBsEg</t>
  </si>
  <si>
    <t>UCEwKMXfktjqfaT9JoPB6r-A</t>
  </si>
  <si>
    <t>UCWTZqEJHVpZdwqOkPZahsJQ</t>
  </si>
  <si>
    <t>UCYJLQMEv96Weo2hU856d5-g</t>
  </si>
  <si>
    <t>UC3B5E5WhaeXRl76qgcT376w</t>
  </si>
  <si>
    <t>UCnQ_CFIzfKp8rvLDqS7Mhcg</t>
  </si>
  <si>
    <t>UC319C3j1OleKwNqmFvGjHww</t>
  </si>
  <si>
    <t>UCq8zA0MWh_GiiO5MBxNPAtg</t>
  </si>
  <si>
    <t>UCp0cGtvB1jL6HEP4oq5OEAA</t>
  </si>
  <si>
    <t>UCMxk7pJAUCzKWVSMMh1Ehww</t>
  </si>
  <si>
    <t>UC6SWCKmOGEUp82OdTV9fQkw</t>
  </si>
  <si>
    <t>UC5T--LEpfk6pWhOWZpMK-9g</t>
  </si>
  <si>
    <t>UC97Iq8a5dqrgxD8b-D2Z25Q</t>
  </si>
  <si>
    <t>UCfep1KeL_oQ88VVjWJKAFww</t>
  </si>
  <si>
    <t>UCSYpl4zKqy7tQ3502pqSsKw</t>
  </si>
  <si>
    <t>UCtsqN8cNZrSp4KyNeK92tSw</t>
  </si>
  <si>
    <t>UCG8HkD_BXy6BL1mi19BIpHA</t>
  </si>
  <si>
    <t>UCmV-QvDtCF-zonCGzay6YRA</t>
  </si>
  <si>
    <t>UCtecyQO5Zq7fy9OTPqAl_Tg</t>
  </si>
  <si>
    <t>UCVYNbGNwAjdJDCQ4bdJT-vA</t>
  </si>
  <si>
    <t>UCtYmjpDAMIFxrJIyfmhURBw</t>
  </si>
  <si>
    <t>UCfRELHZAIKGhC2pk-yRzh8g</t>
  </si>
  <si>
    <t>UC-_r3ybLeGdNfca0UriJ6XA</t>
  </si>
  <si>
    <t>UCwkjzH5MWxeb92S_vMbV0AQ</t>
  </si>
  <si>
    <t>UCA8o2QQJa3Gvo13-S7vhyew</t>
  </si>
  <si>
    <t>UCnBxbeM7ui8c7j88SNHjjiA</t>
  </si>
  <si>
    <t>UCuqR_SVvDRydh_2AJ4WJK7w</t>
  </si>
  <si>
    <t>UCHezSdoLEwr2JL4SAxcdfIQ</t>
  </si>
  <si>
    <t>UC2c2kZ193ICi1IsjVV0_h_A</t>
  </si>
  <si>
    <t>UCjqGrJ3ZqFeF83DYQMTtf-A</t>
  </si>
  <si>
    <t>UC2RWQHI9g-h0wK9FuC2u5tQ</t>
  </si>
  <si>
    <t>UC2cO7_ZOxVfswjgqL-7N0hQ</t>
  </si>
  <si>
    <t>UCrgly73dEyg8991HERnUVKA</t>
  </si>
  <si>
    <t>UCdhxilAOoCT2RnY4V0NdeOg</t>
  </si>
  <si>
    <t>UCWWEvCschv0T0rtou4VaKGw</t>
  </si>
  <si>
    <t>UCKDCsekaxzCpRa3FxRcD-yQ</t>
  </si>
  <si>
    <t>UCDkyGyEl4M8kjA1AusHfEtg</t>
  </si>
  <si>
    <t>UCf8W9sxIPEEpkGgErwKEz6A</t>
  </si>
  <si>
    <t>UCzAjKbXXWnsJ58bTrUvUBAA</t>
  </si>
  <si>
    <t>UCIUwx-q4PhPc_mqO-L-2jJw</t>
  </si>
  <si>
    <t>UCiTRiUdYEaglRoQY2pwPY2Q</t>
  </si>
  <si>
    <t>UCHrF2dqJ_NH_yxO1QrM7_Qg</t>
  </si>
  <si>
    <t>UCMVFiQmtYnI8wOkHjQ1I5Hw</t>
  </si>
  <si>
    <t>UCGxYv9itgPT5wWAbj2Wei8A</t>
  </si>
  <si>
    <t>UC0nSofOA8kACzAPtjNKJLIg</t>
  </si>
  <si>
    <t>UCSKeACtwKGA3v3d0OEErQfA</t>
  </si>
  <si>
    <t>UC4j4eAtG9DWomFFaJKBdLRA</t>
  </si>
  <si>
    <t>UCSoYnAlOM-FCUlZn43RgBOg</t>
  </si>
  <si>
    <t>UCAUacf01-rS5YITgPnFnufg</t>
  </si>
  <si>
    <t>UCBQzyykz41kVybE4Y36UJdw</t>
  </si>
  <si>
    <t>UCnyBNdh52ppsLZJMXFOVdWQ</t>
  </si>
  <si>
    <t>UCNGtN6zI1jlAQ-Iiuqp22Tw</t>
  </si>
  <si>
    <t>UCpJQhoUSYeHZGWH_RjxL8sQ</t>
  </si>
  <si>
    <t>UCbEaRpx7i4Zuu7oKFdeHEkQ</t>
  </si>
  <si>
    <t>UCvkHU_mJ4y5nOpGF5SKKjOA</t>
  </si>
  <si>
    <t>UCypauEGxFDpDwTVlSeBkwjw</t>
  </si>
  <si>
    <t>UC5qBQ02GZu7-ihXFeb4BQtw</t>
  </si>
  <si>
    <t>UCsV4WaKfG2ldTtz-nLjzeqA</t>
  </si>
  <si>
    <t>UCn3c7pMnXhoj5dRlpWlxCKw</t>
  </si>
  <si>
    <t>UC-frSd_nlU2wl-irZJXrH-Q</t>
  </si>
  <si>
    <t>UCkkYQSSpnFNtnSOVigHTS5w</t>
  </si>
  <si>
    <t>UCMxWtY5Wd_h8MohaM0gDWHQ</t>
  </si>
  <si>
    <t>UCDqoeeWJSingko0Vky3Upuw</t>
  </si>
  <si>
    <t>UCA7k2t3qd2NdNzjYrxYrQcg</t>
  </si>
  <si>
    <t>UCsbkwBU36y5tKeOpOkMY9oQ</t>
  </si>
  <si>
    <t>UCHClxSa5EmxS3qVk-t1zJoQ</t>
  </si>
  <si>
    <t>UCL1ChzPwGrmf0OwShJkTEQA</t>
  </si>
  <si>
    <t>UCKXZ9cnWTIvPTqnjgxbPJ2w</t>
  </si>
  <si>
    <t>UCKuY28Rjqe8WaHDXwRao2MA</t>
  </si>
  <si>
    <t>UCRznGuBQ7bu92ZgkNCrsvkA</t>
  </si>
  <si>
    <t>UCOOLKeeJsMZq2brGn6eJ0ow</t>
  </si>
  <si>
    <t>UCHVyE9Gfn-D8h7v5k0fbCmw</t>
  </si>
  <si>
    <t>UC06sTNEcdEN4_0papCbcChg</t>
  </si>
  <si>
    <t>UChs-CAvg_KktUtpVDMYfxGw</t>
  </si>
  <si>
    <t>UCxbkGJG2wrpVjJlOVblohzg</t>
  </si>
  <si>
    <t>UCB90rkvVhNL-pFqG0xGJtmA</t>
  </si>
  <si>
    <t>UCk08Q7faXUxOMORpNjkG8fw</t>
  </si>
  <si>
    <t>UCnxhETjJtTPs37hOZ7vQ88g</t>
  </si>
  <si>
    <t>UCSxjMb2OIobraWIljViiW8w</t>
  </si>
  <si>
    <t>UCqD4jxX5SWls_GFUgWPx5YA</t>
  </si>
  <si>
    <t>UCPhUF87GQZvAaMDWQ3YFv0Q</t>
  </si>
  <si>
    <t>UC0l1f1xQNLmwDRdlOouCcvA</t>
  </si>
  <si>
    <t>UC9N2r98brtcpKej2ctQBrCw</t>
  </si>
  <si>
    <t>UCp07D9zEvS8uVixNZx9MPLQ</t>
  </si>
  <si>
    <t>UCKC81SI5JTxRBuBWgf8BEfA</t>
  </si>
  <si>
    <t>UCSDTIQPXVZy6wjjjUUT3q0w</t>
  </si>
  <si>
    <t>UCHPExtSzt1OnN6HIgbyHYCA</t>
  </si>
  <si>
    <t>UCHNqYETr44g0xtmawvmuScQ</t>
  </si>
  <si>
    <t>UCdz4K8g0Gmo9RlOatc6kjQg</t>
  </si>
  <si>
    <t>UCTRRohLBdU4clVMSWduHz6Q</t>
  </si>
  <si>
    <t>UCrrStJLqfMdS9yUoC7qzaXQ</t>
  </si>
  <si>
    <t>UCmLe0C7rzzDYGJsJPIXT7dw</t>
  </si>
  <si>
    <t>UCSIWEBVhYtlTkPeasGIs03g</t>
  </si>
  <si>
    <t>UC6rDKWOSkyxuZT9i0j3JKIQ</t>
  </si>
  <si>
    <t>UCCBw4Zr7ASXnGqAZohUl0Kg</t>
  </si>
  <si>
    <t>UCOMGZC8XY7lgA4Q8HANOQng</t>
  </si>
  <si>
    <t>UCPkQEoKQ71haGvAubRzgC7Q</t>
  </si>
  <si>
    <t>UCdHqjtlp8HtKFtQXDe3BZ4w</t>
  </si>
  <si>
    <t>UC9CowaN91gLuFaFF92t9fWQ</t>
  </si>
  <si>
    <t>UCRYYEJPD9G-jLAg8rDASKXQ</t>
  </si>
  <si>
    <t>UCVf2ZV1JnIeMFkj62oC6QLw</t>
  </si>
  <si>
    <t>UCNW_gAZmvml9-FE2f2x-a2A</t>
  </si>
  <si>
    <t>UCUGt48KaZR8eWETObVrjLBw</t>
  </si>
  <si>
    <t>UCHPN581vSAvNc_HoXBJThHg</t>
  </si>
  <si>
    <t>UCA-QIzrqtKok2XK5d4BPDdA</t>
  </si>
  <si>
    <t>UCTM7jds-XZ64otCPw5pndDA</t>
  </si>
  <si>
    <t>UCXDpYn00phIuHIYGR_LHUFw</t>
  </si>
  <si>
    <t>UC0jPeMWvtGFfIXt8uJIg6aQ</t>
  </si>
  <si>
    <t>UCyIpvE439-sa_SMtqO8bHpw</t>
  </si>
  <si>
    <t>UCT-teXvffuQY8-XFqjHRnGQ</t>
  </si>
  <si>
    <t>UCVNPZiacmOWIiRMSvdvTpnQ</t>
  </si>
  <si>
    <t>UCPfJN0yahPMKgps2SY2-W1Q</t>
  </si>
  <si>
    <t>UCKFkTEYYlQa0Xm9mwPSegyA</t>
  </si>
  <si>
    <t>UC-eGvMVspiyS2zR0HAZXtEg</t>
  </si>
  <si>
    <t>UCmdqWGMx9sK6TjtHdaG193Q</t>
  </si>
  <si>
    <t>UC-2n_D5CjEO98iVRyrHBq0g</t>
  </si>
  <si>
    <t>UCWmEfq3ltVp47AvKvQaEmHw</t>
  </si>
  <si>
    <t>UCnL1Yz_kLLOnSL3iyfqimsw</t>
  </si>
  <si>
    <t>UCVEHStBVfixGO0vLwl2MC7g</t>
  </si>
  <si>
    <t>UCwpKIrDWXi7kL654rMBIwsg</t>
  </si>
  <si>
    <t>UCUMKgv5IOnUkSV7nMurOYpw</t>
  </si>
  <si>
    <t>UCpctdcJ9Avm06qrX_PJvkXA</t>
  </si>
  <si>
    <t>UCTgjAbE15aimiJJPl0XPl0A</t>
  </si>
  <si>
    <t>UCiwW7cK5YucPQYZTZOywnfw</t>
  </si>
  <si>
    <t>UCeAi_PwYzg-WvRwJUcSQSFA</t>
  </si>
  <si>
    <t>UC9xghV-TcBwGvK-aEMhpt5w</t>
  </si>
  <si>
    <t>UCe0SSKVNZbXbDYuVoicv3cw</t>
  </si>
  <si>
    <t>UCaMUD-fURTxMSijFiawgtcA</t>
  </si>
  <si>
    <t>UCaSATlzHU5EdIjt2cY3iUNQ</t>
  </si>
  <si>
    <t>UC0rQBg8Rn5bnhoBCGfq9zjg</t>
  </si>
  <si>
    <t>UC-1p-XvchOe9HG44-n49TtQ</t>
  </si>
  <si>
    <t>UC6QF4_nEFQxFTIlPl4T1TzA</t>
  </si>
  <si>
    <t>UCDfvYRqElX15Qmhhs9acpIA</t>
  </si>
  <si>
    <t>UC5OjXeSm4ZcdJSaEYW4r1vw</t>
  </si>
  <si>
    <t>UCgknAZcKYtVliwYvF7JGRbg</t>
  </si>
  <si>
    <t>UCZ6txk_avSegAnVRVY26qsA</t>
  </si>
  <si>
    <t>UC20p9r-IHzBPh9k7sPdpREw</t>
  </si>
  <si>
    <t>UCTmNy_6xY6W4OZuU3pbuPvQ</t>
  </si>
  <si>
    <t>UClc-lw3O3uNvdVVuiUd2KCA</t>
  </si>
  <si>
    <t>UC4yElp8V3XrTWkBUpZkDfTg</t>
  </si>
  <si>
    <t>UCLYIErN1C26Y2ca98ZO19lg</t>
  </si>
  <si>
    <t>UCHyIwWs-OC6ADQpaYbu40Lg</t>
  </si>
  <si>
    <t>UCbRvEuy8Fcb-ppiLPc7jCgQ</t>
  </si>
  <si>
    <t>UCdMmSkqvKcf0wcwUfGfoN2Q</t>
  </si>
  <si>
    <t>UCiu6DauiGpeZK2gVct_LF1A</t>
  </si>
  <si>
    <t>UCGHddhaA2gjt0OqRHF7gkwQ</t>
  </si>
  <si>
    <t>UCr3GuyRSJO1yRwzTt5rzFWA</t>
  </si>
  <si>
    <t>UClor5ISYxTlHSS7Z5UKSiJw</t>
  </si>
  <si>
    <t>UCXWDDATM2FbiRlbilKGCFug</t>
  </si>
  <si>
    <t>UCGHjx7-g9CpUohp0epnqHEg</t>
  </si>
  <si>
    <t>UCIMNq6tXc40OH8B_-nE__eQ</t>
  </si>
  <si>
    <t>UCfBPmF9EaTn9AcCzBVI-ZYQ</t>
  </si>
  <si>
    <t>UC4B-FqP8YaontLqG8mlZg2w</t>
  </si>
  <si>
    <t>UCY4e0YZkCE4q0pbybw8e8Zg</t>
  </si>
  <si>
    <t>UCuGWIkiNaWjsCqybgxGuxfg</t>
  </si>
  <si>
    <t>UCs269cNJCrk8KXBqqiqdUiA</t>
  </si>
  <si>
    <t>UCToOyr5OuOCDECVqVSSm7Bg</t>
  </si>
  <si>
    <t>UCK2C1lxxt8R205-q6CAECrQ</t>
  </si>
  <si>
    <t>UCVxZpA4Lu4eMJgNZHm6ZyJQ</t>
  </si>
  <si>
    <t>UCI20M_CVSwi26xF1X6q4OFA</t>
  </si>
  <si>
    <t>UC8n1WyS8BTr4DJ32Wd5RdbA</t>
  </si>
  <si>
    <t>UCg7ud0_zifsxT_8M9iEQo-w</t>
  </si>
  <si>
    <t>UCK0_YyW1U0gaev_mLzqoryQ</t>
  </si>
  <si>
    <t>UCJ04m06GHw3DUDQG6chCAUA</t>
  </si>
  <si>
    <t>UCHEzOwOYwqZHWLLIYNu1Gog</t>
  </si>
  <si>
    <t>UCAtS4dkImvNlvIhCCyMNWAw</t>
  </si>
  <si>
    <t>UC4GMwg99W5UST6JtwPxmYQQ</t>
  </si>
  <si>
    <t>UCv9xFWjsU_SdArRig-T0wDA</t>
  </si>
  <si>
    <t>UCTukQLtiPzbRSlQG3yQCsWw</t>
  </si>
  <si>
    <t>UCGWDArew0JJVKm_k2gy5ZLw</t>
  </si>
  <si>
    <t>UCPKr1y9vZm2E-I-wqqJYWXw</t>
  </si>
  <si>
    <t>UCmtPrBlbO2REG6I_jxzkBOg</t>
  </si>
  <si>
    <t>UCP5DZgmXyAiibvipxb8PtaA</t>
  </si>
  <si>
    <t>UCdfVt1eCzEGXNAIX6YcetIQ</t>
  </si>
  <si>
    <t>UCa1FSXPOxb0x8lZTYCbQJ5g</t>
  </si>
  <si>
    <t>UCTKmO1SQBUw94pdyjcFBMIw</t>
  </si>
  <si>
    <t>UCG-GNqwtTTB3nafNPtXUZGg</t>
  </si>
  <si>
    <t>UCGU_iDjSqn6Apv86K9XqKaQ</t>
  </si>
  <si>
    <t>UCNa2XVW-mWw3DG8fnvtSSdg</t>
  </si>
  <si>
    <t>UCw4ZOp5KINIQkn3cNtzdk5A</t>
  </si>
  <si>
    <t>UCNPNG2qbuEPcSOP8Ez1rUYQ</t>
  </si>
  <si>
    <t>UCSTz9B0VBboVjUxWTZEeOtg</t>
  </si>
  <si>
    <t>UCrrziNjlMF1OKD_1BB0Dz8Q</t>
  </si>
  <si>
    <t>UC5QHuagJelJkbne-w7V0sNQ</t>
  </si>
  <si>
    <t>UCfXRUiUGAQZNwaSlmj8HN9g</t>
  </si>
  <si>
    <t>UCDLeIf4w2OsADjqqUaxL9Pw</t>
  </si>
  <si>
    <t>UClT04Ksmua3XpPZoglnK4hg</t>
  </si>
  <si>
    <t>UCGlUPA9kZBU0fEAJbbXwT1Q</t>
  </si>
  <si>
    <t>UCaOI6eIy2scNgiaNwxWiaYg</t>
  </si>
  <si>
    <t>UCiHX7KbT6bnA-BCvuGucpog</t>
  </si>
  <si>
    <t>UCPicaemf8wqxHnOoLrC8B2A</t>
  </si>
  <si>
    <t>UC16GBBeEQ_ICyTyikxncAOg</t>
  </si>
  <si>
    <t>UCptMnp7qS_eo0PfFlFj1Kxg</t>
  </si>
  <si>
    <t>UCfI-ysoYd6wZVXRXN0A_KdA</t>
  </si>
  <si>
    <t>UC8_sWwYKtkG7PZwi3mKJnXg</t>
  </si>
  <si>
    <t>UCrvytpH2vVJ9AuRgzJdL0DQ</t>
  </si>
  <si>
    <t>UCIaA5JtVH3eW7KdEfnEotVw</t>
  </si>
  <si>
    <t>UCt7eTv7e9L-XLZz3VjqM9_g</t>
  </si>
  <si>
    <t>UCc09nh0gWTn1SvQ3dlUnU6Q</t>
  </si>
  <si>
    <t>UCqO3bph_lz44aPO_SCXDzIQ</t>
  </si>
  <si>
    <t>UCR5veS44sw5cfotqGim_pKA</t>
  </si>
  <si>
    <t>UCBIWB7KTRPZQ0GnFx1GiOVQ</t>
  </si>
  <si>
    <t>UCORuRdpN2QTCKnsuEaeK-kQ</t>
  </si>
  <si>
    <t>UCAuY-7ztx1cujniLYk0Qxww</t>
  </si>
  <si>
    <t>UCKuLeGPxAUGkE0usfwRyJ5A</t>
  </si>
  <si>
    <t>UCxev0_drz4JHYYPJb6qCkfw</t>
  </si>
  <si>
    <t>UCrSEh1sgQJI1WH2lN_zZBkg</t>
  </si>
  <si>
    <t>UCWECqPnaJKpnKKCklW94xmg</t>
  </si>
  <si>
    <t>UC8ydg7Odlz_iNGuRFVbLIFQ</t>
  </si>
  <si>
    <t>UClTOPJoCCNAsXcBLcxkF-BA</t>
  </si>
  <si>
    <t>UCA-W-09oXlnCLzs-axhX6SQ</t>
  </si>
  <si>
    <t>UCBGr_bTnckSEUEMJADxGEhQ</t>
  </si>
  <si>
    <t>UCEWHRixg17cM4r7uXMeMFhQ</t>
  </si>
  <si>
    <t>UCeFSyU_YccvccBduPz3WwcQ</t>
  </si>
  <si>
    <t>UC3UvyHJE7ileiZznz6_7f8A</t>
  </si>
  <si>
    <t>UClg28ye6e4sURSGNF0nKmpA</t>
  </si>
  <si>
    <t>UCbqjYf3cJ2ZbZdUBoTRiQYA</t>
  </si>
  <si>
    <t>UCw5VW7w-iyTkRSrDfnIll4w</t>
  </si>
  <si>
    <t>UCzx-gcc1YbLmmYnBXim4XGA</t>
  </si>
  <si>
    <t>UCBnUfWDGE5yaFMC68fszuvw</t>
  </si>
  <si>
    <t>UCnSxfMC4WBUQqbqRyYjMEvQ</t>
  </si>
  <si>
    <t>UC9XJEwjIdLbndqPB-XSVyEA</t>
  </si>
  <si>
    <t>UC-V-S42WNXETMCbAGvFaYLA</t>
  </si>
  <si>
    <t>UCIv8X2oa8OWLJBg1BVpB-Vg</t>
  </si>
  <si>
    <t>UCZynAfnm7VKVAQDHDbLY76A</t>
  </si>
  <si>
    <t>UCDzYjzZ78mdYgG0dUyVb8ow</t>
  </si>
  <si>
    <t>UCGq_yYWgAhjTJUMzuKfdcJw</t>
  </si>
  <si>
    <t>UC3SXAgzTE1M_EipeHorW7PQ</t>
  </si>
  <si>
    <t>UCFT6Xp4xYF9ofxrqhBGT2zA</t>
  </si>
  <si>
    <t>UC20-WktA24R9cDpTZs5td3A</t>
  </si>
  <si>
    <t>UC-4WZ8K-aRHwUjssk8yFcRw</t>
  </si>
  <si>
    <t>UCR-n-mtxIgIDbZeHBwNIA4w</t>
  </si>
  <si>
    <t>UCbUlstakmukmtGaIEYvnmlg</t>
  </si>
  <si>
    <t>UC4ZJX2ejd9gys5kfQw7UBVA</t>
  </si>
  <si>
    <t>UCEZi1OcahaPpgQcQeT514kQ</t>
  </si>
  <si>
    <t>UCtRZL2dPgXWCiJgtFskpCKw</t>
  </si>
  <si>
    <t>UCp1mdWj16LkIB503ZLshiRw</t>
  </si>
  <si>
    <t>UC-ydlZd_3-53WOJZCHpSOGg</t>
  </si>
  <si>
    <t>UCSUW6PdvIV8FCtOQ_Y1HUIw</t>
  </si>
  <si>
    <t>UCSW6FznExnWe6QIpowzi91g</t>
  </si>
  <si>
    <t>UC7ZEIf22kp0AEpvx3OLiX-g</t>
  </si>
  <si>
    <t>UC0mtJgx8mB7aZkGx6V3vaUg</t>
  </si>
  <si>
    <t>UCoorvG4f0ILFoYJC9OM2R8Q</t>
  </si>
  <si>
    <t>UCOUzUekTe8W7zPhpmNOQ4eA</t>
  </si>
  <si>
    <t>UCU0EvOqg5yi88G3lZw7V0Nw</t>
  </si>
  <si>
    <t>UCeh254QTJVaO2y3LgaWMnPQ</t>
  </si>
  <si>
    <t>UClV2ANUfNRF0vGL3xg-67Pw</t>
  </si>
  <si>
    <t>UC5pr0xIiFUnHIKqL-N_e9lg</t>
  </si>
  <si>
    <t>UCSxVNR9Ryul-117Ijx0_yMg</t>
  </si>
  <si>
    <t>UCfmrN_kmoV5zVrQo3jQRwLA</t>
  </si>
  <si>
    <t>UCSyDnL-5qdTRahb_RkzSlRw</t>
  </si>
  <si>
    <t>UCGVlyWrFI0e8fFGd07DxlFw</t>
  </si>
  <si>
    <t>UCKwLutjyQ1JaO0QbMmWBxUg</t>
  </si>
  <si>
    <t>UC6Ug6Zkf_BnybrGCbix9vFg</t>
  </si>
  <si>
    <t>UCu8TSJvevS2lVqAalnHTYTQ</t>
  </si>
  <si>
    <t>UCtCH96LBdX7u1UNZA68vUuA</t>
  </si>
  <si>
    <t>UCt9asQpJUfQcJfdtLgJ9XQg</t>
  </si>
  <si>
    <t>UCcoE2A4fIoxxLYtyvZPrnlw</t>
  </si>
  <si>
    <t>UCDAsjwsBa9qsUB_BIJZXAOQ</t>
  </si>
  <si>
    <t>UCcO12FftXg8xz6oS0CeO9MQ</t>
  </si>
  <si>
    <t>UCLsEViQK9JsyauekLRAXDXw</t>
  </si>
  <si>
    <t>UCrk7-qX2xMIxGX-fztxSuOA</t>
  </si>
  <si>
    <t>UC7spANzq3lzLB5oU88S3s8Q</t>
  </si>
  <si>
    <t>UCLBzo3Ubqveo7FmHgrHaEVA</t>
  </si>
  <si>
    <t>UCTu5ntEfTFZBTMLnYOEmV4g</t>
  </si>
  <si>
    <t>UCaX7TPCDUklUwuRItkCcDug</t>
  </si>
  <si>
    <t>UCi6JUh0YEbdAXN6MY-ongUQ</t>
  </si>
  <si>
    <t>UCuLyyxpAOqEsOYiNMapZNKg</t>
  </si>
  <si>
    <t>UCiXn7_emGY-CC15neR7XnFg</t>
  </si>
  <si>
    <t>UCK4PfF4kEFtmMFQbkvZoADQ</t>
  </si>
  <si>
    <t>UCLKGnjLcx2l5_zwiErLbdZw</t>
  </si>
  <si>
    <t>UC182Ki4Cb_updDJDuM7_OMA</t>
  </si>
  <si>
    <t>UCLIypG5Bj4Gfx-eHJk6IKwg</t>
  </si>
  <si>
    <t>UCp5AKql19BCy9ANMlGV7YTg</t>
  </si>
  <si>
    <t>UCDqTdACfPIQtm5RAWYNcktg</t>
  </si>
  <si>
    <t>UCdINwFss1xUNB8_UYys7kSQ</t>
  </si>
  <si>
    <t>UCpG4iNQEYH4iVlVpMYvWT8A</t>
  </si>
  <si>
    <t>UC4WRiurRdIp57d_AFWRL0iQ</t>
  </si>
  <si>
    <t>UCrORCBA71E_VBm68CEhdj7w</t>
  </si>
  <si>
    <t>UCTu4_J3udoDzgOHeRrTy5rg</t>
  </si>
  <si>
    <t>UC8byJu4j_TL3xtLUXp3ngXA</t>
  </si>
  <si>
    <t>UCoXV4wkiPVGJpLCsoPtWqPw</t>
  </si>
  <si>
    <t>UCvxQ36lH2KXZstVt0-lTB9Q</t>
  </si>
  <si>
    <t>UCb7d0l7XxDIBdWIEmlHCT4w</t>
  </si>
  <si>
    <t>UCGXEnXsCBTh33jK_aaHYDJg</t>
  </si>
  <si>
    <t>UC13Pubu5BnIQjEPp2J8edfw</t>
  </si>
  <si>
    <t>UCaV0_BhFhxrlMpWrWfROftQ</t>
  </si>
  <si>
    <t>UCV78_Od_VfioEBtnty-2Efw</t>
  </si>
  <si>
    <t>UCt8OFYyeXWmu8jiLU3hUwjw</t>
  </si>
  <si>
    <t>UCita9YRujIVAi0eDbPPbheg</t>
  </si>
  <si>
    <t>UCgxp8t-ISRXj9eINlL2-W4w</t>
  </si>
  <si>
    <t>UCK-2Ikxor8vEOMOWL2XDXnw</t>
  </si>
  <si>
    <t>UCUadg_M5epvrBN5f1fwYysA</t>
  </si>
  <si>
    <t>UCUOcHaB30SeUuJ15fyVlmPQ</t>
  </si>
  <si>
    <t>UCFdfQcd4WydE8dcV6yLceiQ</t>
  </si>
  <si>
    <t>UCo35sHI21mUxaGIyZGmP3Ww</t>
  </si>
  <si>
    <t>UCWWA_u2mp4LUaXjm9yd2UYw</t>
  </si>
  <si>
    <t>UCzfzaTB0W32eZBIZnrpKx8g</t>
  </si>
  <si>
    <t>UCPY2FucwiBcecEcCwbmw9RQ</t>
  </si>
  <si>
    <t>UCU99t3-KRyvKZXGIabIL4jw</t>
  </si>
  <si>
    <t>UCURpfKo74TEy9VnyZzmNREw</t>
  </si>
  <si>
    <t>UCxEGaZzQU67WAFTuY7wAMFQ</t>
  </si>
  <si>
    <t>UCldaJqPqpBK1r_93ndj5MvA</t>
  </si>
  <si>
    <t>UCitGjiaWpmEixyIDH6ZVZ1w</t>
  </si>
  <si>
    <t>UC4--pPs1CVZvs60uuhfjdwQ</t>
  </si>
  <si>
    <t>UCDRI4hNxGA23zqf14V-lc4Q</t>
  </si>
  <si>
    <t>UCUtRy6q8wEXgq6JglkJYNBw</t>
  </si>
  <si>
    <t>UCJV1u6BRBKBY-RagJ5l-B3g</t>
  </si>
  <si>
    <t>UC8n5ScN_cbkEXYaUXE8jn7Q</t>
  </si>
  <si>
    <t>UCjJZ-6IzOjnyLVBX2nvk65g</t>
  </si>
  <si>
    <t>UCbs2mcuu_mCYWzYouwn_vrw</t>
  </si>
  <si>
    <t>UCftiaJYW94_HgfvSRwRLGKA</t>
  </si>
  <si>
    <t>UCwmntf3FNRDs3yTQMLtCbrw</t>
  </si>
  <si>
    <t>UCwZM6xzRra8bCd_VBcDE0Tg</t>
  </si>
  <si>
    <t>UCw0Hnw9JvndVLhxHWo6hcpg</t>
  </si>
  <si>
    <t>UCiTljW6FMHQQhK81MWVGoag</t>
  </si>
  <si>
    <t>UC-zR6mLEUCfuVfHpvdP0BNg</t>
  </si>
  <si>
    <t>UCET5k1jfmGJGy9lnLxDxfLw</t>
  </si>
  <si>
    <t>UCejAoJKie-fMuihgxboidOw</t>
  </si>
  <si>
    <t>UC_DxcmjRnU_wvr2RM7vUajw</t>
  </si>
  <si>
    <t>UCsKLi4zwR5togS1I-YaMS_g</t>
  </si>
  <si>
    <t>UCkjBF-877OvOPh5AtVhwmGA</t>
  </si>
  <si>
    <t>UCfCrOU4sj-GqUkIrCGvFk6A</t>
  </si>
  <si>
    <t>UCv7hkitw1yX-cPYQ77PQ5eA</t>
  </si>
  <si>
    <t>UClruEFjUfEo6eY7OP3zfW1Q</t>
  </si>
  <si>
    <t>UCSsQy5PyHxwt4V7PigQLSOA</t>
  </si>
  <si>
    <t>UC2DU0GQdKRxfipZ_MwJjQaw</t>
  </si>
  <si>
    <t>UCPnGN6fKboTzb4OTAYg-uxw</t>
  </si>
  <si>
    <t>UCZfk6GW4vMTumYmGKDIJHGw</t>
  </si>
  <si>
    <t>UCgy3qN5FbkSIJwxhPu0rkmA</t>
  </si>
  <si>
    <t>UCOrZYhImUu4_lJLphXbfiPw</t>
  </si>
  <si>
    <t>UCEZvjCk6yoPOfDWDgiWjnVQ</t>
  </si>
  <si>
    <t>UCNQ3Et8nx7tKd7RZaGaAqKA</t>
  </si>
  <si>
    <t>UC5jqx018WF-UA1PpkLD7gRA</t>
  </si>
  <si>
    <t>UCzwW2U4F6ZkYLjAj_fqubNQ</t>
  </si>
  <si>
    <t>UCrR_MBTAD2vvAQmjdbhfbQA</t>
  </si>
  <si>
    <t>UCwSQpTlVkDetOTKH9cio5dQ</t>
  </si>
  <si>
    <t>UCkOVsApCY9PiY4l44nOOBUA</t>
  </si>
  <si>
    <t>UCuwzijmDIvNe_COaRbVmKXg</t>
  </si>
  <si>
    <t>UCIKg83HEdGFEz4sKTQRnjBg</t>
  </si>
  <si>
    <t>UCboqh2MKjzK0cFZpX1sB-NQ</t>
  </si>
  <si>
    <t>UCdqyRScesQZPq5bh6zEzaDg</t>
  </si>
  <si>
    <t>UC61kgbrqggBKUD2nBb8f3Aw</t>
  </si>
  <si>
    <t>UCeCaoXj1dfM0YOxfJBIslYQ</t>
  </si>
  <si>
    <t>UCxjq3jDGc6woniBalWnMwgw</t>
  </si>
  <si>
    <t>UCNjwhUqU3vJKqZzyto9stfQ</t>
  </si>
  <si>
    <t>UCm_RsUOkf7Xs3CvOqNAwBlA</t>
  </si>
  <si>
    <t>UCpKw_2tj_0sJSpxEgh9DyYA</t>
  </si>
  <si>
    <t>UCK5JIV2S6HBvQYFxAnCcJgA</t>
  </si>
  <si>
    <t>UCLofg3J-Im_FFEfbYqTKg4A</t>
  </si>
  <si>
    <t>UCN8xEpChSVV67rfqhx16j4Q</t>
  </si>
  <si>
    <t>UCXArWJM8ju26uXAOdD88MOg</t>
  </si>
  <si>
    <t>UCbhs3zigsyg1jKaxhF00j0w</t>
  </si>
  <si>
    <t>UCZ0qWFn85MrbgmhqmX2CNFg</t>
  </si>
  <si>
    <t>UCIdtPLjTb111r4iubQ9Mq5A</t>
  </si>
  <si>
    <t>UCAbM05jBqu9chfEq-bURAeA</t>
  </si>
  <si>
    <t>UCy7Rdmj0RgoGTjRRO8wXW9w</t>
  </si>
  <si>
    <t>UCdIAr2sxtaKgah1UGC4dFJA</t>
  </si>
  <si>
    <t>UCoJqs4oSzkz_Mg2aJVCnObQ</t>
  </si>
  <si>
    <t>UCueLl1vNiMge2CR4Dc1bx6w</t>
  </si>
  <si>
    <t>UCX3S3GEvSEF9hNFjLA2aQMA</t>
  </si>
  <si>
    <t>UCmPlOBE_xR9OYIZev4VVuMQ</t>
  </si>
  <si>
    <t>UC6bu0WFx3O3zhdEhvX9PXMQ</t>
  </si>
  <si>
    <t>UCXu36TIOSnfdeCKY4APkT8w</t>
  </si>
  <si>
    <t>UCXMqWoMyDBz7CSayQRTkkXw</t>
  </si>
  <si>
    <t>UCNeoOTYX88-aKAESyn7YL4A</t>
  </si>
  <si>
    <t>UCBIHH323Q74eAPlBCYU-wFQ</t>
  </si>
  <si>
    <t>UCaO2vNfm_rIUd8rqEYlMfFQ</t>
  </si>
  <si>
    <t>UChn_mayBEwvlyC3LHpgvCsw</t>
  </si>
  <si>
    <t>UCyA0hVjN35YmMZLyZkES-Pg</t>
  </si>
  <si>
    <t>UCbHF47dcp7B1YIyq9elogVQ</t>
  </si>
  <si>
    <t>UC5rGM6f7tei--QSu38Nzcag</t>
  </si>
  <si>
    <t>UC-vwvyKl28recPRSK6Ad7-g</t>
  </si>
  <si>
    <t>UCZRzgo8lXsC_iX2tIVSgxmQ</t>
  </si>
  <si>
    <t>UC4aJMVRrycBeOVEuidU4XVQ</t>
  </si>
  <si>
    <t>UCRje9emfvyEAeStnh7oyiRA</t>
  </si>
  <si>
    <t>UCFUJ0gruUokpZSpO6lILtjA</t>
  </si>
  <si>
    <t>UCjfE5EmNU1kyf1wwrtYlnGQ</t>
  </si>
  <si>
    <t>UCjs5dlECieutsx6hkZCRE6A</t>
  </si>
  <si>
    <t>UCuCWAK3C84HYo4F31zUmftA</t>
  </si>
  <si>
    <t>UCqLUC2Une_4qJC59ECjaN_w</t>
  </si>
  <si>
    <t>UCb-TR_pvKXDidWJemHejqvw</t>
  </si>
  <si>
    <t>UC1HCCOz_OVSRkz8m2ZSQfZg</t>
  </si>
  <si>
    <t>UCPNg7VBm5ccGF-3rS-2yr2w</t>
  </si>
  <si>
    <t>UCNL5TkqNmy22oT9QpWJpOvQ</t>
  </si>
  <si>
    <t>UCkuv-tZeqPZ6bzYBc_rn0VQ</t>
  </si>
  <si>
    <t>UChPzcvRs05UDf0XcmKaWtcw</t>
  </si>
  <si>
    <t>UCv_V36ly9k_jH-8oYWcQH1Q</t>
  </si>
  <si>
    <t>UCw8dM_oRFRegt1AbhQN31_w</t>
  </si>
  <si>
    <t>UCMkws09v_kx4La8So1xOogA</t>
  </si>
  <si>
    <t>UCCyCYLy5nJvNfz4eiD2gn-g</t>
  </si>
  <si>
    <t>UCINVqB5qMq0_qxlYv9mrYuA</t>
  </si>
  <si>
    <t>UCDoV0E69f3HgTfm2OVqBUOw</t>
  </si>
  <si>
    <t>UChkcHuy_i5AUe40ZqnVUR8Q</t>
  </si>
  <si>
    <t>UCM-q0U0F6-oMOFTYPtlsEfA</t>
  </si>
  <si>
    <t>UCEMQb2Q1VMO7xZ1JmGuRvmA</t>
  </si>
  <si>
    <t>UCKlPiDxyTBIJo_d1RjTxz7w</t>
  </si>
  <si>
    <t>UC4ERo2RzKxYA0GHEQZrJqhg</t>
  </si>
  <si>
    <t>UCoHtzQF79hdHu2yBhJ8RHqQ</t>
  </si>
  <si>
    <t>UCloeL1Rbw33jNHb6rMPqUyw</t>
  </si>
  <si>
    <t>UCaZ3YqYiP7aaFvFOctoIMXg</t>
  </si>
  <si>
    <t>UClC2ua5AOBejM274u5wM4fw</t>
  </si>
  <si>
    <t>UCSuom_wVDA-dn_Inu1rKNSQ</t>
  </si>
  <si>
    <t>UCE0HcS5Kgt5avBpeDMiRxLQ</t>
  </si>
  <si>
    <t>UCkZ80NUtBaJTiPbB009ZIag</t>
  </si>
  <si>
    <t>UC56LNg4HFGs5c-s6sQV3ZtQ</t>
  </si>
  <si>
    <t>UCtAKJ4vpNEuYONtYEbQ-uKw</t>
  </si>
  <si>
    <t>UCgY5n0NkAptvVLlkVtrT2vg</t>
  </si>
  <si>
    <t>UC4mx0zHsDkhzceD-hKiVT1g</t>
  </si>
  <si>
    <t>UCHfH6v6S7FOp2AoBE267FGw</t>
  </si>
  <si>
    <t>UCrmKqCdvQUJjIRcTquh46XA</t>
  </si>
  <si>
    <t>UCSnk4I3vYlgg9mPyQ5t8FiA</t>
  </si>
  <si>
    <t>UCbeOj-sFB8DAfaeJe4aep_w</t>
  </si>
  <si>
    <t>UCrC4NjvL3v1YRCjxOvFX_5A</t>
  </si>
  <si>
    <t>UCYdeu_7BFLqqBBl78rOo7Zw</t>
  </si>
  <si>
    <t>UCummnKxaPcPetzTm4haDQbg</t>
  </si>
  <si>
    <t>UC9FBNwk4VuDRHZigWcFVzIg</t>
  </si>
  <si>
    <t>UC-plqy8LWebD8C9YxAoCOaQ</t>
  </si>
  <si>
    <t>UCNgqhocea4MYwXUklEtjrlg</t>
  </si>
  <si>
    <t>UCgp7yvcZ1MwP09741jed7TA</t>
  </si>
  <si>
    <t>UCBPdwtkrhaV-hoijVj5bnBA</t>
  </si>
  <si>
    <t>UCfsn38nGTyPwXWMT0QJc3aA</t>
  </si>
  <si>
    <t>UCKHR2sI-rFJ4_nugHu_kFVw</t>
  </si>
  <si>
    <t>UCbvHfGzXXhd7RnbtDHAI67A</t>
  </si>
  <si>
    <t>UCBGveH0QXcGtTETUb-Axt6w</t>
  </si>
  <si>
    <t>UCDh_ZmpuZhIAzPnB60ecjSg</t>
  </si>
  <si>
    <t>UCBuKa4YZamcn7sJ8Ks85n6w</t>
  </si>
  <si>
    <t>UC4plPeL9AGdNk2PubviiFxw</t>
  </si>
  <si>
    <t>UCeZ6J-OeP5kNhn_cFNtN_zg</t>
  </si>
  <si>
    <t>UCLDW0G-0gxsjiUrenuP-NKw</t>
  </si>
  <si>
    <t>UC5oZfKcyeB3O1sKrxVTibAg</t>
  </si>
  <si>
    <t>UCeOKB73omgoheipQwiUP5KQ</t>
  </si>
  <si>
    <t>UC6er0AAj54QY28eY-no9x4g</t>
  </si>
  <si>
    <t>UC4KUFSZ_NGmcDq_ZE5_HVag</t>
  </si>
  <si>
    <t>UCO_ZxZJVU_2cucqlQizKA6g</t>
  </si>
  <si>
    <t>UCemQTMeapTRvLvC2ee3ExJQ</t>
  </si>
  <si>
    <t>UC4-LIpaZur7StCh76r62J5Q</t>
  </si>
  <si>
    <t>UCPesk0DDd0nbzjZORXuwqgw</t>
  </si>
  <si>
    <t>UCdTCho3kU2lMHw2UjebD8fQ</t>
  </si>
  <si>
    <t>UC3J-0LPz-z-GIB1V6B3NRmw</t>
  </si>
  <si>
    <t>UCfD9yQTH-9J1XyUfHGBFmbQ</t>
  </si>
  <si>
    <t>UCPXHoVDdKV8sr967XK7aW_w</t>
  </si>
  <si>
    <t>UCIUXCy7y_vMtRmvc0kc3c3w</t>
  </si>
  <si>
    <t>UCwekO_oXeK8evl4SP9m_Usw</t>
  </si>
  <si>
    <t>UCB-vpRKTNDwtcsm4qmfIgNA</t>
  </si>
  <si>
    <t>UChYyq0Rp017VYEQzrxOuSmQ</t>
  </si>
  <si>
    <t>UC-ei98rmpZXUAByMHYZSmrQ</t>
  </si>
  <si>
    <t>UCdVyVmiFbGZVdT9Wy3n91bg</t>
  </si>
  <si>
    <t>UCv3D5uoIDNV7vKDyGkrStvA</t>
  </si>
  <si>
    <t>UCiwWuWlxuD8zCnOVoGnFAmQ</t>
  </si>
  <si>
    <t>UCFpKYgMZwVy3uPMwmW62pvw</t>
  </si>
  <si>
    <t>UCJePfa53hTUMnagZogQRLoA</t>
  </si>
  <si>
    <t>UCw3xZCuPNcKP5G5dzObOC_Q</t>
  </si>
  <si>
    <t>UC3tnYcq6QvJe-hEsxEDOCbg</t>
  </si>
  <si>
    <t>UCN7YQVeBMiDot6lQk2JrK1w</t>
  </si>
  <si>
    <t>UCYRIDmCOzFcgkpp1f-wWcrQ</t>
  </si>
  <si>
    <t>UC0PHk55mQ5rX8jznMML_UNQ</t>
  </si>
  <si>
    <t>UCs6_3hofyNGT5dBsoheTneQ</t>
  </si>
  <si>
    <t>UCiJ04SZ-Ff8sAXVsdaz10TQ</t>
  </si>
  <si>
    <t>UCGq3--Xt60HDPt_BLOyGklA</t>
  </si>
  <si>
    <t>UCUgY0x3uYC79betpz_oQtew</t>
  </si>
  <si>
    <t>UCb6sOnoCgRxDk95UY-kBzMQ</t>
  </si>
  <si>
    <t>UC39wPxSAe3VTmQ70zL1KcyA</t>
  </si>
  <si>
    <t>UCWX2YVqpQbz2Y2GP-g7aqxw</t>
  </si>
  <si>
    <t>UCG53Opzdn0uC1n_PVzVcARw</t>
  </si>
  <si>
    <t>UCjIOCy9zOCsg_rm6asIYj4g</t>
  </si>
  <si>
    <t>UC3lgdS0YMCNx-DlLJiRLxlw</t>
  </si>
  <si>
    <t>UCHMp_3qN4bANzGnb0u-KvzQ</t>
  </si>
  <si>
    <t>UCut7Y9sJkcEaHtwy7jz6p2A</t>
  </si>
  <si>
    <t>UCX5UonDJTWWBEle1W9jJ7yQ</t>
  </si>
  <si>
    <t>UCO2lYk6BNbdgcQs_5XfBC_Q</t>
  </si>
  <si>
    <t>UCGMb4EIQp4FBSEcj5BYVq5Q</t>
  </si>
  <si>
    <t>UCW6q0Rsd0uLcJwn7XsWsRRQ</t>
  </si>
  <si>
    <t>UCXdDntJ93c1cxtMVFxDzflQ</t>
  </si>
  <si>
    <t>UCDklhDKZtD19feBwZxfzO5w</t>
  </si>
  <si>
    <t>UCtpcWP6wnbiDWhewxjQxlBw</t>
  </si>
  <si>
    <t>UC5Pug1yQPkk3FG9ii04kVCg</t>
  </si>
  <si>
    <t>UCnghV3naSnmflBOXvCmDBUA</t>
  </si>
  <si>
    <t>UCWe925xZQQKlwMkRBx0m-SQ</t>
  </si>
  <si>
    <t>UCVH4k1bqzb8bMFsDkyYDxCQ</t>
  </si>
  <si>
    <t>UCxCqzqvsUQPVMV3Qx8LyM9A</t>
  </si>
  <si>
    <t>UCDia5JKHbPJsagJJWjZhG_Q</t>
  </si>
  <si>
    <t>UCKs4Qrz36FWoyKnkeS4F6hw</t>
  </si>
  <si>
    <t>UCiTVPxb4HESj02hGy2Fp0ww</t>
  </si>
  <si>
    <t>UC1huyI8FK6y7m-heJIBqV1g</t>
  </si>
  <si>
    <t>UC1uunsjUSb_RbPv_HEWndQg</t>
  </si>
  <si>
    <t>UCZmHITmPv3ajSX7jfZhx01A</t>
  </si>
  <si>
    <t>UC-UCmb8ZBfgxi_nc33b-KXw</t>
  </si>
  <si>
    <t>UCBhMoHxBoO825RVTqVykSMw</t>
  </si>
  <si>
    <t>UCeT3qfOyeMOgRcBhzF4xA7Q</t>
  </si>
  <si>
    <t>UCyc8V1mh6Mxz0w5Z7oGQvhA</t>
  </si>
  <si>
    <t>UCKRXcFTob6Bm8DooP-q1Z5A</t>
  </si>
  <si>
    <t>UCtDTN2mTQ0izsD8b0B7LNGQ</t>
  </si>
  <si>
    <t>UC-m0ZsUO5KZiYM8xe-bct0w</t>
  </si>
  <si>
    <t>UCFjH8uA8Z7SCnzzX-kwCl9w</t>
  </si>
  <si>
    <t>UC9yuIuCyyCnp91NjBwBEuDQ</t>
  </si>
  <si>
    <t>UCJlQYP1IbUWQxGFgkp64BCg</t>
  </si>
  <si>
    <t>UCFXSwZ5gSw6-ZdV83SniKBA</t>
  </si>
  <si>
    <t>UCkwRx_efphyDYdozRJoI4hw</t>
  </si>
  <si>
    <t>UCdHME-0O5eDGjitZ6XRFB8Q</t>
  </si>
  <si>
    <t>UCpdO7Ops0JUPwjnTIdQrL2Q</t>
  </si>
  <si>
    <t>UCSVvCIdkkL7714i0GCB0G0w</t>
  </si>
  <si>
    <t>UCq5IPdewxm5b5B_MABpygRA</t>
  </si>
  <si>
    <t>UCUnJQHVD_p3fOl43h14DcTw</t>
  </si>
  <si>
    <t>UCuwUPdiFLW9gP-otfiCN8AQ</t>
  </si>
  <si>
    <t>UCtD0WGExA3sz6AIRd8zF5Rg</t>
  </si>
  <si>
    <t>UCmkVY7JEm3qHj2OYplUEzfQ</t>
  </si>
  <si>
    <t>UCmQp20pAxi6_-WU7RFzNwZg</t>
  </si>
  <si>
    <t>UCrvdMsIjkBv5VPUMZjSojaA</t>
  </si>
  <si>
    <t>UCP_I2jiHXW7wfKwxCWoaJZA</t>
  </si>
  <si>
    <t>UCAFvNPWMVbOtWxWdrq2Xa_A</t>
  </si>
  <si>
    <t>UCaQI5-FQ0rdD7uAdHIYSxzQ</t>
  </si>
  <si>
    <t>UC-WnK7if_o95z_b6tHDrcdQ</t>
  </si>
  <si>
    <t>UCEVZH1rk4d80Eej4ze-sjtA</t>
  </si>
  <si>
    <t>UC2TpiJFaC0f4_5GopyMkDdQ</t>
  </si>
  <si>
    <t>UCxENjVwBdP_i-JPfhXxQ5fQ</t>
  </si>
  <si>
    <t>UCzmlP2hHOILqjLZs6Dp159g</t>
  </si>
  <si>
    <t>UCR7hu8fna-b9i4B_Wcir9JA</t>
  </si>
  <si>
    <t>UCKNH9T3HU06GJ98_tmCe_zw</t>
  </si>
  <si>
    <t>UCfUB6aRXeVC0FZNF9AdSJyA</t>
  </si>
  <si>
    <t>UChGAsulnpraZCLYOefcTfLg</t>
  </si>
  <si>
    <t>UCo40MMzxUMBCc0m4F0MZTgw</t>
  </si>
  <si>
    <t>UC8rnu-BNvTWqDiDVkoLfUKQ</t>
  </si>
  <si>
    <t>UCa1-U0EemGNREMYbzFMimTQ</t>
  </si>
  <si>
    <t>UCNrYkkIkpj3Z0o98LWVHg5g</t>
  </si>
  <si>
    <t>UC7R5vRGwIQ-piVnhgg_TSrw</t>
  </si>
  <si>
    <t>UC6byD7xvMFhLS3nA5bHTDYQ</t>
  </si>
  <si>
    <t>UCi9-YhR-OPTsl3Vxxp5K9Qg</t>
  </si>
  <si>
    <t>UCkssF8RnDqw9Ik6OGP7adPA</t>
  </si>
  <si>
    <t>UCnwm1TTH0yTkqu20LyaAsQg</t>
  </si>
  <si>
    <t>UC7VrgeP09t-u5-wViBtrbWw</t>
  </si>
  <si>
    <t>UCKAXfjc3Fcb7RkQG3W0S98A</t>
  </si>
  <si>
    <t>UC6c-ENRpMlsW9V5QDIqxnig</t>
  </si>
  <si>
    <t>UClKctgfjTY1TPllOk4Ad3VA</t>
  </si>
  <si>
    <t>UCY_a4XLkX3pLVgnxhIKkpug</t>
  </si>
  <si>
    <t>UC0jxaPd5bmPFd2feM2cLkGA</t>
  </si>
  <si>
    <t>UCS1TURJzrhYRTSeTZWBz-Pg</t>
  </si>
  <si>
    <t>UC_9qStMfEWnXA1mWImmpNKw</t>
  </si>
  <si>
    <t>UCpoZCRvh1GAqOvd11kPnQAg</t>
  </si>
  <si>
    <t>UCdO08pEyC5mmy8Nn52fr1HA</t>
  </si>
  <si>
    <t>UCcYMuT4RfW8F7pqSwsBPZgA</t>
  </si>
  <si>
    <t>UCplhQGetBamwiuuhTN740yw</t>
  </si>
  <si>
    <t>UCLpOxO6e77kYJwwxBy9bqww</t>
  </si>
  <si>
    <t>UCw-HOXCTXe-_UoJKcr7lXPw</t>
  </si>
  <si>
    <t>UC-IpItKB30KslMXO43fjrrQ</t>
  </si>
  <si>
    <t>UCsGE4HYwOgyjJtEQBVsVd9g</t>
  </si>
  <si>
    <t>UCtnItzU7q_bA1eoEBjqcVrw</t>
  </si>
  <si>
    <t>UCkz33NQQY2k5uZPTmJRGZNw</t>
  </si>
  <si>
    <t>UCjwhB3ihHJFLA2-ttMKwubQ</t>
  </si>
  <si>
    <t>UCyd9JybuLU7tvGjwEO4uzfg</t>
  </si>
  <si>
    <t>UCKI-Hd3MVgXZk6QbQazbcfQ</t>
  </si>
  <si>
    <t>UCkROzKyhiHz_druKjVnRjvw</t>
  </si>
  <si>
    <t>UCOhYgIVWvQTpqkcDZ9EpqzA</t>
  </si>
  <si>
    <t>UCB-0-vhS6ptQ-0pqJ2RoDxQ</t>
  </si>
  <si>
    <t>UCxTbOU79jb1wXT-nFF3PxdQ</t>
  </si>
  <si>
    <t>UC4ZM4oVunAgw0zUDUOV3bXA</t>
  </si>
  <si>
    <t>UCHCAyYs_y9FfYV9ITDOeDMQ</t>
  </si>
  <si>
    <t>UCz0LaWOWAyrZRe6_4ZotnDw</t>
  </si>
  <si>
    <t>UC85Xaic7dQ7y5OEY1eENQKw</t>
  </si>
  <si>
    <t>UC6niHX--jTANllnTSGuaYCA</t>
  </si>
  <si>
    <t>UC2mBriLGJmcdhXatIrGU-iQ</t>
  </si>
  <si>
    <t>UCb8WiD1MrN-CgFsbxf36BLg</t>
  </si>
  <si>
    <t>UC5U2oPFb6mDgHnznpO1nicw</t>
  </si>
  <si>
    <t>UCpqMmunB8nTmAaJ7BJ5VizA</t>
  </si>
  <si>
    <t>UCwtILQwYy1gOiT4xY4Asg8A</t>
  </si>
  <si>
    <t>UC44urSwje54Hwdok-3hT1dQ</t>
  </si>
  <si>
    <t>UCcGThtkeEAcJMrD-kzoYNSA</t>
  </si>
  <si>
    <t>UCQUzGYhSML2PvVzhAwO90Ug</t>
  </si>
  <si>
    <t>UCgKIKiGmZZpo_iwN9Rao7yA</t>
  </si>
  <si>
    <t>UCfDXCu67W34W_9h2RonxJvQ</t>
  </si>
  <si>
    <t>UC3BC9FbD797RGSvZnQ4AREw</t>
  </si>
  <si>
    <t>UC5gi1kBz0ZZ1P9ohNFWOt0g</t>
  </si>
  <si>
    <t>UCYNuhWmnBRxNYI6l49lcGYw</t>
  </si>
  <si>
    <t>UCyCdGJqjRBQl6-YI9l-vAPA</t>
  </si>
  <si>
    <t>UCKfBmr2jPKGIkw9waYU0KNA</t>
  </si>
  <si>
    <t>UC6TSm2Jmt8yDT2enjDKdnzw</t>
  </si>
  <si>
    <t>UC7oeFutCTWQnF25lsooUiXQ</t>
  </si>
  <si>
    <t>UCU0H8h4IFMwqzd5tz4XaQBQ</t>
  </si>
  <si>
    <t>UCZIC60Uj1v82NoAIA9nWltQ</t>
  </si>
  <si>
    <t>UCtdwrHl2Q_QV8ShNH_bP6mA</t>
  </si>
  <si>
    <t>UCLy49N4J6qXcQMlKbVV6xhQ</t>
  </si>
  <si>
    <t>UC6QyJBzqB9z7CteW41otUxw</t>
  </si>
  <si>
    <t>UCW-h1rclP68A0RCNnVGSvvg</t>
  </si>
  <si>
    <t>UCwzrkYqV3yg9rG8MLBljlFg</t>
  </si>
  <si>
    <t>UC1o9hfvby_ns1sJIKEq9LFQ</t>
  </si>
  <si>
    <t>UCMsnv0DP3iD4cEYRSSh3T0Q</t>
  </si>
  <si>
    <t>UC-sY92cv3uD7uPqMAjfjCWQ</t>
  </si>
  <si>
    <t>UCamQeMJYQXc5Ly38A0FyA4w</t>
  </si>
  <si>
    <t>UCRp3bvRz8lNHoEBs3B_HQzA</t>
  </si>
  <si>
    <t>UCvohcKjA1kaUw3j9Id3HP1A</t>
  </si>
  <si>
    <t>UCIyStFkRX7RmdeEraDK2l3g</t>
  </si>
  <si>
    <t>UCXy56ynqKDTvFX7flPtbW4w</t>
  </si>
  <si>
    <t>UCRcT942ThAdpm4ZkZytccMg</t>
  </si>
  <si>
    <t>UC40yLyXk7doI_GG-0BvQ2kQ</t>
  </si>
  <si>
    <t>UCQ5edewE1yLW42YpRSpiVMA</t>
  </si>
  <si>
    <t>UC1vSkUkNZJu41SmywFy0yMA</t>
  </si>
  <si>
    <t>UCY8msY7MJB7Rw37dxs7jvgw</t>
  </si>
  <si>
    <t>UCcoJ3D2oxz2ewsgeauMaV6w</t>
  </si>
  <si>
    <t>UCkfdb6tUwVoGXPPzY7H6hUg</t>
  </si>
  <si>
    <t>UC4k_Ysx-8VP38EBMXtP-7fQ</t>
  </si>
  <si>
    <t>UCLKYZdjGK2FS6pRMuXC3ROQ</t>
  </si>
  <si>
    <t>UC-w9oWl8gW2Oy8gB3CSKfoA</t>
  </si>
  <si>
    <t>UCIBLogAPKTpgqo8VIVZCLHQ</t>
  </si>
  <si>
    <t>UC5cX0oov2mzvGPBqZrcNTlA</t>
  </si>
  <si>
    <t>UCSKwEDGN_sNsgd2_XZVn4Yg</t>
  </si>
  <si>
    <t>UC8Pqn8RWXMTCgw0VtCWEgRQ</t>
  </si>
  <si>
    <t>UCGkg-f6mtBHWtS7OIa0Kyrw</t>
  </si>
  <si>
    <t>UCzdqxIOV3iIRZQ4iiPeJGag</t>
  </si>
  <si>
    <t>UCFwhrXOTW6wj-j5qUYWbbOQ</t>
  </si>
  <si>
    <t>UCd2gxTx6Q9qL6cyAD5EZgEQ</t>
  </si>
  <si>
    <t>UCF9ss7sMU9naV5TYA1F6kDw</t>
  </si>
  <si>
    <t>UCpSYG5Z-40tuW5wq6XqUWtw</t>
  </si>
  <si>
    <t>UCzwUTp4OjMynFKxsofO5hlw</t>
  </si>
  <si>
    <t>UCqN6aBgPmVd2DQ35FOROGgA</t>
  </si>
  <si>
    <t>UCG_4T9HFxwqGZ5glNSQ39Fg</t>
  </si>
  <si>
    <t>UCAyqShHJvJyRr6GIZpw3n3Q</t>
  </si>
  <si>
    <t>UCpmqTsF7jBrRz8DWxhdEzWQ</t>
  </si>
  <si>
    <t>UCFzmh0CMIGWhBN_BMmzrLRA</t>
  </si>
  <si>
    <t>UCbP2HeYGC3kfHjHLMPplZuQ</t>
  </si>
  <si>
    <t>UC183URcd2uvgnonXXUFFc1A</t>
  </si>
  <si>
    <t>UC-PZL52Rr4V9G6sXqiFKvNA</t>
  </si>
  <si>
    <t>UCS6XB46diT24ASd_8886uFw</t>
  </si>
  <si>
    <t>UCrJOgw6aiIurQxfqriZ_-qQ</t>
  </si>
  <si>
    <t>UCOb24R2exqzx69YRtlk94ug</t>
  </si>
  <si>
    <t>UClisEWs-Byt8r9EjYY27wDw</t>
  </si>
  <si>
    <t>UCGacjbAwkakJDMvCGHvf6Wg</t>
  </si>
  <si>
    <t>UCEY2C6XmfPWhAN8DTV5Mq0g</t>
  </si>
  <si>
    <t>UCcyogDO_BD5HS7YlySkTELQ</t>
  </si>
  <si>
    <t>UC_RkcO0RuoersuSiCDGrTdw</t>
  </si>
  <si>
    <t>UC2Dx4ht7k7BU8_W_CFHY9Nw</t>
  </si>
  <si>
    <t>UCeScBQF-b-p0W4p-OyjEN1A</t>
  </si>
  <si>
    <t>UChTXM0X-2CYTo3u8BMFmeyw</t>
  </si>
  <si>
    <t>UCvzlnZbePin9kH-1JCKBt8Q</t>
  </si>
  <si>
    <t>UCNLhC5rFaFOvAvraOzY-V5Q</t>
  </si>
  <si>
    <t>UCNtRlv01a1qQGrQ8hEjN60A</t>
  </si>
  <si>
    <t>UC2xWwfUxK-9Q6NfgfmObF_A</t>
  </si>
  <si>
    <t>UCQ2A6LCgzkgS0rxO3q_2FQQ</t>
  </si>
  <si>
    <t>UCFxVBPy_scEnpKPUCud3iog</t>
  </si>
  <si>
    <t>UC4ob0b9Q9VZND4aZj6QQtJg</t>
  </si>
  <si>
    <t>UCILA46ilyvYvVa2KxK32-UA</t>
  </si>
  <si>
    <t>UC9mNxukTvZu7YNCwuvebFZA</t>
  </si>
  <si>
    <t>UCFTKEZMqKKxAUtuJ6dog04g</t>
  </si>
  <si>
    <t>UCKN9K4eNclA5hMRN12IjrrA</t>
  </si>
  <si>
    <t>UCY2505nuEP3anlsoEpfvzrw</t>
  </si>
  <si>
    <t>UCrC18Jr-wXQYWJW5HuHLmhA</t>
  </si>
  <si>
    <t>UCTaOl-lPhQxhfu2H23mm7RA</t>
  </si>
  <si>
    <t>UCL5fY4N6txaXQdW8TBLFTFQ</t>
  </si>
  <si>
    <t>UCWNylFF5xSiHkUgLBAkrg7Q</t>
  </si>
  <si>
    <t>UCqoSW-gOBQbYxAXxwc0StJg</t>
  </si>
  <si>
    <t>UCFVbOq9QM29ARYHYZ8W1c1g</t>
  </si>
  <si>
    <t>UCUpRwVkDlG22a1K1biTADpQ</t>
  </si>
  <si>
    <t>UCJbT9mCCVM6UudWRMBFKyNw</t>
  </si>
  <si>
    <t>UCm92NQYct8pbroR3UppaO5g</t>
  </si>
  <si>
    <t>UCuANNZg512Wvf-I_AMwZXnw</t>
  </si>
  <si>
    <t>UCVTf_5l6731E02VB6GkN9TQ</t>
  </si>
  <si>
    <t>UCHzhKoryN7fVP2ijGC-OgZw</t>
  </si>
  <si>
    <t>UCgYImB0onaBVHF_Ml_XnoDg</t>
  </si>
  <si>
    <t>UCgu0k23wapDBHoycACQGTzg</t>
  </si>
  <si>
    <t>UCsQmdJSyOxk7h0Ec9F7O8gA</t>
  </si>
  <si>
    <t>UC_oq9ZIQBBcVF4QXN6Pz0xg</t>
  </si>
  <si>
    <t>UC9Ks7rgMHDVGHPnpSjWO_3g</t>
  </si>
  <si>
    <t>UCI8lI9R9G_gm5od0UaDd9_w</t>
  </si>
  <si>
    <t>UCP6uQuc0gDzomZBrxGlgjLQ</t>
  </si>
  <si>
    <t>UCLWiTw5JEvxYJ9X9-6fK_4g</t>
  </si>
  <si>
    <t>UCrm2De89HWougYEEdXSDB1w</t>
  </si>
  <si>
    <t>UCzdV48SdvJpKEwqKxAAuyrA</t>
  </si>
  <si>
    <t>UCIFhEUxXV2usHgHwxg1HaSg</t>
  </si>
  <si>
    <t>UCzNAUOSsYlESnzHaV-V0EkQ</t>
  </si>
  <si>
    <t>UC7NUXSM5_xkx0SyM2DtQ08w</t>
  </si>
  <si>
    <t>UCZAc1jc4y25_vlp0ALZja2Q</t>
  </si>
  <si>
    <t>UCgFBFE4R-fMwvgxVpyzRRvw</t>
  </si>
  <si>
    <t>UCd51H1e_aTuPyp1j9f6VVrQ</t>
  </si>
  <si>
    <t>UCNTTrGU4a2qXAqdv6wJGsIw</t>
  </si>
  <si>
    <t>UCz6rW4u7i_g7GZp_u938bBA</t>
  </si>
  <si>
    <t>UCNhkdaC69U-OhmgNH4jbDmg</t>
  </si>
  <si>
    <t>UCP5RNesOH7HQwWU5bClf-Tw</t>
  </si>
  <si>
    <t>UCQhDM_1NFK6zL52N9R04hKQ</t>
  </si>
  <si>
    <t>UCnwemn3XFIEQqezlTIX63Dw</t>
  </si>
  <si>
    <t>UCMkqVX1new2fKXMqU1EQqqw</t>
  </si>
  <si>
    <t>UC9ik0sjnytZZx0tRZV7pFpg</t>
  </si>
  <si>
    <t>UCUuaCIyeKiKmphQa6NA9pjw</t>
  </si>
  <si>
    <t>UCxZSCDq3HJU0P_ozyOd4IFA</t>
  </si>
  <si>
    <t>UCNoZ5NEr7WHqLAEPaLgCw8w</t>
  </si>
  <si>
    <t>UCdru31-F6FvRis-SgWufnFA</t>
  </si>
  <si>
    <t>UC10fOxM1C1nmTl6jkZ8LrOA</t>
  </si>
  <si>
    <t>UCLlGxVFdpYEhNbhsr13Z-Cg</t>
  </si>
  <si>
    <t>UC7I-IWDnlH-F2owXuTysHpQ</t>
  </si>
  <si>
    <t>UCWaf5RVZaEeG55Y91CkT8OQ</t>
  </si>
  <si>
    <t>UC7kmyAdNsk6BB4RRYU__Akg</t>
  </si>
  <si>
    <t>UCwr16Of0Df0YvX131BnmHFw</t>
  </si>
  <si>
    <t>UCY_tzh5ft4JNCjES4-Ngvig</t>
  </si>
  <si>
    <t>UC-pBPpbeRmQXik-NEveTfbg</t>
  </si>
  <si>
    <t>UCBawc8nDu9SO_pzeBurOGuA</t>
  </si>
  <si>
    <t>UCFEuj2FtHfwdNeFGDC2LuTw</t>
  </si>
  <si>
    <t>UCe7V53TILmFdOCYI2TjHyLA</t>
  </si>
  <si>
    <t>UCQKMa9oEGX5QGcQgunBfqng</t>
  </si>
  <si>
    <t>UCAM4kZ3p2_zyiAOvkwmXBUg</t>
  </si>
  <si>
    <t>UCK-kUwdvvON8cb3dGPQjotQ</t>
  </si>
  <si>
    <t>UCkC9WpaFrcK5j-tjkPxWUDQ</t>
  </si>
  <si>
    <t>UCUJkdOq4FE3guXctEXBvQjA</t>
  </si>
  <si>
    <t>UCSmR76TED496O28f4dxLjBA</t>
  </si>
  <si>
    <t>UCm43o96rmDqT7ft8cXY6dpQ</t>
  </si>
  <si>
    <t>UCxuve0COiya5BjuASunSEuA</t>
  </si>
  <si>
    <t>UCbT_yS2JgIWczKuQ-5QsLAQ</t>
  </si>
  <si>
    <t>UCbVbLRcrA2b41aLjRElehyg</t>
  </si>
  <si>
    <t>UCT2vev3UPMKgNIvYVlvAcxg</t>
  </si>
  <si>
    <t>UCLqr-JuaX6DJw2ofJPw-uPA</t>
  </si>
  <si>
    <t>UCfPcrMPOiz12lw5UXDUuI7g</t>
  </si>
  <si>
    <t>UC-hUf-tZNjtV0BovxQna1qQ</t>
  </si>
  <si>
    <t>UCAY2VCHPwyYNELtn41yEmKw</t>
  </si>
  <si>
    <t>UC29OtXw4Tla8VWAo48Q8ofg</t>
  </si>
  <si>
    <t>UCQwNVOYxDuBC8wwWS7ngdog</t>
  </si>
  <si>
    <t>UC1E6qa8lH4ebf-x-SiuamCg</t>
  </si>
  <si>
    <t>UC-rukYm1IygBvbPKWnWxbVA</t>
  </si>
  <si>
    <t>UCsDOtEDbQSZqvdiMurjT51Q</t>
  </si>
  <si>
    <t>UCPoP0VzRh0g50ZqDMGqv7OQ</t>
  </si>
  <si>
    <t>UC81-DDUVk9AfNbaPQ-u3XIQ</t>
  </si>
  <si>
    <t>UCI8UyRj2Vuu-vCXi7V69MOA</t>
  </si>
  <si>
    <t>UCsDYpafr9Iqqg_xRvcOdPlQ</t>
  </si>
  <si>
    <t>UCfEisKog-Dr3a8-DlBSbrNQ</t>
  </si>
  <si>
    <t>UCU_otRwQp6V47jof7D1MJeg</t>
  </si>
  <si>
    <t>UCbp-f_xDAiKbXY0FH4Ik37A</t>
  </si>
  <si>
    <t>UCXp1P6GY6RyS_3WuZPTZi3A</t>
  </si>
  <si>
    <t>UCwh_qd5g7I88OVr8FM1PnjQ</t>
  </si>
  <si>
    <t>UCna8eZOQVNRXpvT_59AxRAA</t>
  </si>
  <si>
    <t>UCujLz80PKnVN4TdzNJS-jug</t>
  </si>
  <si>
    <t>UC5YqKHXASyCVWG35TqllziQ</t>
  </si>
  <si>
    <t>UCH0uh5-zRIn1cKddu066vjA</t>
  </si>
  <si>
    <t>UCpQnXF0ORYxda4HrprvLi7w</t>
  </si>
  <si>
    <t>UCrhdQqI4E6N-szDVwOBhrGw</t>
  </si>
  <si>
    <t>UCErnatAX14qoa5T4_jB1QWQ</t>
  </si>
  <si>
    <t>UC5gPCwQYzJBdCZlART6Q-Tg</t>
  </si>
  <si>
    <t>UCIMpvy0k0AN6tC7b8_XJZvg</t>
  </si>
  <si>
    <t>UCaNeJ6I6BFzAYEbPolhM8Fg</t>
  </si>
  <si>
    <t>UCWhDrhzJ16XO_zBeGmkFiew</t>
  </si>
  <si>
    <t>UCkPyIr-7bww20oIgSrB3PvA</t>
  </si>
  <si>
    <t>UCW4yo6_M7bDpYgtPxYYk23g</t>
  </si>
  <si>
    <t>UCSYGnhd0q0LmMSPtjzybs2w</t>
  </si>
  <si>
    <t>UCpIww5UNVfaErQ6sK0oWBqg</t>
  </si>
  <si>
    <t>UCSGjIKsQBTH4-WW364tY07Q</t>
  </si>
  <si>
    <t>UC96EQ7c5ytkz00WD6LBt7MA</t>
  </si>
  <si>
    <t>UCxMRMsAwd1hwgtcQ1pnDg8g</t>
  </si>
  <si>
    <t>UCj0jsLqHGc-LT61MF3ZHO4w</t>
  </si>
  <si>
    <t>UCO1vco1GTVtqfNBadb5ODGg</t>
  </si>
  <si>
    <t>UCsq1yX4jjchIzp_2fi0aqkA</t>
  </si>
  <si>
    <t>UCIbED-fQfA4tUkgj5S5wWxw</t>
  </si>
  <si>
    <t>UC3ujycUKUfqTjCRCqH0tUdQ</t>
  </si>
  <si>
    <t>UC0q3hyaooB0BKLh7hlJRdGQ</t>
  </si>
  <si>
    <t>UCqJ_Tcn7uSe-k-nwhWIGmHg</t>
  </si>
  <si>
    <t>UC1cRpuXMQH9KekabdsW1M_g</t>
  </si>
  <si>
    <t>UCGbAN9gmfXb530Y1RA8njyw</t>
  </si>
  <si>
    <t>UCDmh7Rt4kP3tvpMRpe0umLA</t>
  </si>
  <si>
    <t>UCgewh6ypdjZvk7hOjhcno1w</t>
  </si>
  <si>
    <t>UC7PR-EB6_v4nmMLnp-k_I0Q</t>
  </si>
  <si>
    <t>UCi73-p09as4fkn4HK_Xrywg</t>
  </si>
  <si>
    <t>UCINCWNMFrwyr8JE4hCCtw6w</t>
  </si>
  <si>
    <t>UCPvT74nBqWZ-q99tHH_90gg</t>
  </si>
  <si>
    <t>UCo7ZHCawMKxXsRCYgnzOvMg</t>
  </si>
  <si>
    <t>UC0RVGVWBZD9SK-pvufMklxA</t>
  </si>
  <si>
    <t>UCx9MOVywrKNxhxuiP-856IQ</t>
  </si>
  <si>
    <t>UC1Be9fnFTlcsUlejgfqag0g</t>
  </si>
  <si>
    <t>UCf6ptanPB6Bm7ZZDY0-JXrA</t>
  </si>
  <si>
    <t>UCPHAQAGukhje7ii0U_HnY5w</t>
  </si>
  <si>
    <t>UC86C6B7tjXBbpGqYaXv-DWA</t>
  </si>
  <si>
    <t>UCCh-qrYI2ho9-_3id-6qkuA</t>
  </si>
  <si>
    <t>UCogCUXRZtsJU5PiaVsvXKqg</t>
  </si>
  <si>
    <t>UC8LZYVde-9UIvOqbFJ9hJRg</t>
  </si>
  <si>
    <t>UCSg9t5YtAw1CgvA4JbMdfaA</t>
  </si>
  <si>
    <t>UC40htyARBYpi4gwDNaATUMA</t>
  </si>
  <si>
    <t>UC6r9_yadbaWP15vlyrL-T0w</t>
  </si>
  <si>
    <t>UCExh058w31k9oQ9TDmxwxpw</t>
  </si>
  <si>
    <t>UC-tX6dV9fEa-AagUsr-O2PA</t>
  </si>
  <si>
    <t>UC76TbffoX3vr1XpnHacmGnQ</t>
  </si>
  <si>
    <t>UCtTPunmzyKWFaX03M1sHrDQ</t>
  </si>
  <si>
    <t>UCCqXWg9SU0c0b0KvUkpvU4g</t>
  </si>
  <si>
    <t>UCravI4GmvahFmBPvwdq7neQ</t>
  </si>
  <si>
    <t>UCZWgl9UVG3a14lE2E9Q4jRg</t>
  </si>
  <si>
    <t>UCQM3e6arSELYW6ZTBtJPEgg</t>
  </si>
  <si>
    <t>UCFTM1FGjZSkoSPDZgtbp7hA</t>
  </si>
  <si>
    <t>UCVqpzMnKjgejx-ZC8YW2beQ</t>
  </si>
  <si>
    <t>UCq5fpn9Vtwd0YhNvgsozXCQ</t>
  </si>
  <si>
    <t>UCwQeFCz9XFaGBkTaR1XITFg</t>
  </si>
  <si>
    <t>UCuPMu7CuTBmGbJeooOr2E5g</t>
  </si>
  <si>
    <t>UCdQqBQ-nc25EDlsQi0GQnpg</t>
  </si>
  <si>
    <t>UCJcbH9xPAu10wrdod-W04WQ</t>
  </si>
  <si>
    <t>UCik-OVjX9i2eruUv1D-IbtA</t>
  </si>
  <si>
    <t>UCwksJ08ItYZMsVUSmQSAmTw</t>
  </si>
  <si>
    <t>UC4QxtTo9PSMIXxfgY8ZOeGg</t>
  </si>
  <si>
    <t>UC5tFWPKc2zZry3kANJpN_kA</t>
  </si>
  <si>
    <t>UCwZnyjD3oiPqRuu9i-tgAfg</t>
  </si>
  <si>
    <t>UC04eKCHxzFlMw16jsWfwErg</t>
  </si>
  <si>
    <t>UCuQ9zsTl1f6ZrnzGT8l6WHQ</t>
  </si>
  <si>
    <t>UCowvKthuTLl7F3LEvoaJHcg</t>
  </si>
  <si>
    <t>UCL_1aSGbMF-MAqImvLXl8Kg</t>
  </si>
  <si>
    <t>UCvtnc3lA8qMH0110jd7atfw</t>
  </si>
  <si>
    <t>UCGpBf6ZnPiAA8iJ8YFabCRQ</t>
  </si>
  <si>
    <t>UCZ7ZcPuiUmqc8SIlpTllkyg</t>
  </si>
  <si>
    <t>UCQuAGdTmaQ3mcguqmvOqNjg</t>
  </si>
  <si>
    <t>UC5OlcW6Ii9C0OVbWssNaeuQ</t>
  </si>
  <si>
    <t>UC0ORxjRa_tBFT1ls2y7X4VA</t>
  </si>
  <si>
    <t>UCPq0IxPMRY4z50EWRRah4Iw</t>
  </si>
  <si>
    <t>UCliTR9osj8WhFYv1wCT6kzA</t>
  </si>
  <si>
    <t>UCvdENuXInoTu04WHfsoa9Ig</t>
  </si>
  <si>
    <t>UCV0bMjKKAADomk1U7Py5bqA</t>
  </si>
  <si>
    <t>UCeTwhJyV5_fg37yMWloXi4Q</t>
  </si>
  <si>
    <t>UCf3dc-Y3k5vBTCVpPCAfG6g</t>
  </si>
  <si>
    <t>UCbCQJrjOJZ2p8umNe4DdhmQ</t>
  </si>
  <si>
    <t>UCVNoGh5F_Lp6yLtSCI1FWeg</t>
  </si>
  <si>
    <t>UCeUDlxPVQ3bric8V5BhoiAg</t>
  </si>
  <si>
    <t>UCYrqo9zqzbycDIR_3xPW4TQ</t>
  </si>
  <si>
    <t>UC5CQalEis9ATX-eAqFJ1Tmw</t>
  </si>
  <si>
    <t>UCLdxgXzdynsxdcWoTopfHbQ</t>
  </si>
  <si>
    <t>UCJHpcrckAk2jS5xxwUpwSrg</t>
  </si>
  <si>
    <t>UCqAI12plU1PETCNcZGLf8BA</t>
  </si>
  <si>
    <t>UCBPd-hwqKYZepqFlEhiaSpA</t>
  </si>
  <si>
    <t>UCQ8DHpYx3A54TLMQzmgW1xA</t>
  </si>
  <si>
    <t>UCI9cqO-Jm1gEMFX6LzWDC8w</t>
  </si>
  <si>
    <t>UC7pAB2d9aWkyCYsMaqu1CIQ</t>
  </si>
  <si>
    <t>UCs5RrH-pZi2SLmuhNJaDqcA</t>
  </si>
  <si>
    <t>UCyk857rkBO2iXydnLp9Bh3Q</t>
  </si>
  <si>
    <t>UCSAerSjaoz54uKb1ZqkQOow</t>
  </si>
  <si>
    <t>UCskBGNS_L1lFjowqBcbXq5w</t>
  </si>
  <si>
    <t>UChvL1yGRGKhdXwu1MadvKcQ</t>
  </si>
  <si>
    <t>UCaoFrq24qGMKsc0cCut1lNA</t>
  </si>
  <si>
    <t>UC6ZMDEo_WQTFs8vcO7oUeZg</t>
  </si>
  <si>
    <t>UCaH235DwibFdiV-8M2F4emQ</t>
  </si>
  <si>
    <t>UCQi8IKcwQp_XL-0ks9BMpDQ</t>
  </si>
  <si>
    <t>UCJZN5I3rfOQnTWRTwuE2W2g</t>
  </si>
  <si>
    <t>UCe7dT0Lln-b9930L4h7-bDQ</t>
  </si>
  <si>
    <t>UCagT8yKSIFior2bylZmiSBQ</t>
  </si>
  <si>
    <t>UCE6wlYZOldn_o25sXQzp0LA</t>
  </si>
  <si>
    <t>UCaa_mhQPPdddAkCpaFEiTcA</t>
  </si>
  <si>
    <t>UCmkNoDHBfKzPnXWTNoYQc7A</t>
  </si>
  <si>
    <t>UCm28pj3X__kXXeD7yq0WBsg</t>
  </si>
  <si>
    <t>UCR48l0EM04r_qVs7z-MVxyQ</t>
  </si>
  <si>
    <t>UCqnNQSr9_NVm756jpcnd7Hw</t>
  </si>
  <si>
    <t>UCKfejN_G655uGv4a1XCPYlw</t>
  </si>
  <si>
    <t>UCH_V41SFKuVT2R0pr67nkAg</t>
  </si>
  <si>
    <t>UClpdBL-6HiuWx2bgl1idViw</t>
  </si>
  <si>
    <t>UCHYydeIVoFHj_gWj8BZcn0Q</t>
  </si>
  <si>
    <t>UCP5fWMzthJwoonQcOnsqHWg</t>
  </si>
  <si>
    <t>UCweHCPfnPgFaR_Ir5Da6onA</t>
  </si>
  <si>
    <t>UCfsV0biWscjn0obrfTr-9KQ</t>
  </si>
  <si>
    <t>UCxcSvmchMRG22Vq49ma0Vmg</t>
  </si>
  <si>
    <t>UCk0rD4bhbSNnjYx09FPkXig</t>
  </si>
  <si>
    <t>UCV-iDbj5zWPDSn5eRh2FZfw</t>
  </si>
  <si>
    <t>UCeuJuRZ6njWmSd3fW2o5cMg</t>
  </si>
  <si>
    <t>UC1RIUWZZ2QCk-jRz3FGvhag</t>
  </si>
  <si>
    <t>UCoX8xraKAR_5P4Jwr0Dbc3Q</t>
  </si>
  <si>
    <t>UCDxNoaHOj2l2bFrHgCkg6Zw</t>
  </si>
  <si>
    <t>UCe1o2WGNYmH0HoosH2T6n-Q</t>
  </si>
  <si>
    <t>UCZOabCsJPv5YypnHSaALPyw</t>
  </si>
  <si>
    <t>UC1yHOGesWo99lSYOl1MqH0A</t>
  </si>
  <si>
    <t>UC_D5hKQBzPc2Ilx2gMfl1oA</t>
  </si>
  <si>
    <t>UCDyoch6mtkeC_5lNkI9W2OQ</t>
  </si>
  <si>
    <t>UCYv4upmG3Ex2Vz3ZHwSHipw</t>
  </si>
  <si>
    <t>UCTAiA-Th943Q23CZu8dm11A</t>
  </si>
  <si>
    <t>UCCmTSX19SklnNEM5kiSNYLQ</t>
  </si>
  <si>
    <t>UCgRzv1QIS8owqL4yt1T0Arg</t>
  </si>
  <si>
    <t>UCgrrJof9xu7dFczo7Y0Kk9A</t>
  </si>
  <si>
    <t>UCFypUKjQigfE8_cNzXQ1IxQ</t>
  </si>
  <si>
    <t>UC9g9IPdlT4BSdZA9WQ6O3-A</t>
  </si>
  <si>
    <t>UC_u85Uscn3o0osxOvnZq_PA</t>
  </si>
  <si>
    <t>UC030YhcxsiH86IA4ks9Cirg</t>
  </si>
  <si>
    <t>UCdWghuUa0qb1bgt0fdX6i0w</t>
  </si>
  <si>
    <t>UCYLSicYvcpLwWr0CVWE3xuA</t>
  </si>
  <si>
    <t>UC3NatFtMJFnE4mzSCL0Qkqw</t>
  </si>
  <si>
    <t>UCNCW8BZDqkxMLnrxdyGpwfA</t>
  </si>
  <si>
    <t>UCA1HQRY5r0xYhtwApr81pdg</t>
  </si>
  <si>
    <t>UCqPAi5jbvLqp3wOeW_IkkHg</t>
  </si>
  <si>
    <t>UC3KZ8z_wIz64lYP8rkADBsw</t>
  </si>
  <si>
    <t>UCotU5I29Ovp1FnNdsBECGLg</t>
  </si>
  <si>
    <t>UCHbzxPstXVVGe3KMj0-xZ7A</t>
  </si>
  <si>
    <t>UCrdck1of1PamzRyNNZoYVfQ</t>
  </si>
  <si>
    <t>UCCAkQJun-Px9HIOP1Xse60w</t>
  </si>
  <si>
    <t>UC_kevNVDBeoUFGIPQbZFavw</t>
  </si>
  <si>
    <t>UCyYFIBU9MuMeYCJcZGgRpWA</t>
  </si>
  <si>
    <t>UCrO0b6FMUNc8xAnD7BdLfcA</t>
  </si>
  <si>
    <t>UCwvFRbGrJ3kPAnS1iz_yALQ</t>
  </si>
  <si>
    <t>UCIDHnOhRwIRa-6CVOnZWRiw</t>
  </si>
  <si>
    <t>UC-JFCYHPWDWhTe2RzAwfgrQ</t>
  </si>
  <si>
    <t>UCRmBUxqF4mfMlc3KUU1hTGQ</t>
  </si>
  <si>
    <t>UCMyKAhfA_6UkRN5_hqVQedA</t>
  </si>
  <si>
    <t>UCSVrPZCQbKz2JdS-XoE5FzA</t>
  </si>
  <si>
    <t>UCMG8SSXuFS8o_V86QWQbeQQ</t>
  </si>
  <si>
    <t>UCYM6QJQ2889iUrBy8D3_aUA</t>
  </si>
  <si>
    <t>UCzENTM0hy1bK_vIdKfcE1aA</t>
  </si>
  <si>
    <t>UCtddlJrmNC5jIR4F4r3m5Yw</t>
  </si>
  <si>
    <t>UCwhb2W98W5XRw5RQtyN_VmA</t>
  </si>
  <si>
    <t>UC8kEPaYmpfHLCeR8Ivnqk_A</t>
  </si>
  <si>
    <t>UClRzRQxxOfWaXPpENft1qPA</t>
  </si>
  <si>
    <t>UC9vq5lJngilz6jEW6V_XrbA</t>
  </si>
  <si>
    <t>UCRZtlIhSePbOAlBbvT_aq1Q</t>
  </si>
  <si>
    <t>UCOn9E6VycblBGligrFUOsIg</t>
  </si>
  <si>
    <t>UCRY3RBsL7MqYH8ZH7OH2fOA</t>
  </si>
  <si>
    <t>UCPoqbuslUOB1aXEgeFycmpA</t>
  </si>
  <si>
    <t>UCb6x2VWQfY8ELiSup4xAEpw</t>
  </si>
  <si>
    <t>UCBe-mDvbhbUHZSSZk9I8UYw</t>
  </si>
  <si>
    <t>UCttAYAQpykQutDwqdlLbU8A</t>
  </si>
  <si>
    <t>UCQAdWg90dRr9e7FJ-HymVEg</t>
  </si>
  <si>
    <t>UCzojIVK9YrFhx594i31m6uw</t>
  </si>
  <si>
    <t>UCZ4TeP5KbO9Nex9E3sozMqA</t>
  </si>
  <si>
    <t>UCRUfdEhgPuvW-RRR4U6E-QA</t>
  </si>
  <si>
    <t>UC0e-mDWODto6r7eIOBVxdfw</t>
  </si>
  <si>
    <t>UC_K-_FXHFdh8pZgLkXq_OqA</t>
  </si>
  <si>
    <t>UCN83rA0uafgaB0lVtFAqSug</t>
  </si>
  <si>
    <t>UC4sw9AXN21Iaw3iMYINAvkQ</t>
  </si>
  <si>
    <t>UCJonHhxNiYZbkCRiw_RBVtw</t>
  </si>
  <si>
    <t>UCNhR5REsVSdwdhSBveJXWbA</t>
  </si>
  <si>
    <t>UCCuIPVnRDuPfmAlv4JQFa2w</t>
  </si>
  <si>
    <t>UCAqO9aZpv_ctG-DX4B1nc5w</t>
  </si>
  <si>
    <t>UCZ1IAE13PSeibGIIBKpJAWw</t>
  </si>
  <si>
    <t>UCcOCj9lruT2vEKWz6AX06Qw</t>
  </si>
  <si>
    <t>UC5XBccMPiEZTIamRHiH67aA</t>
  </si>
  <si>
    <t>UCGENmWnUotexWC_b4cX2wnw</t>
  </si>
  <si>
    <t>UCb-BJjPuVEZs8wSGIXQzC-A</t>
  </si>
  <si>
    <t>UCGnpnunQM-ETGq59v9TH-Xg</t>
  </si>
  <si>
    <t>UCqe7ivxu9A3Mmb3nDcKay8A</t>
  </si>
  <si>
    <t>UC3HlRu2RS1yss06c8IEKw8Q</t>
  </si>
  <si>
    <t>UCWgx2R2OEk79RUbOkKdtzCw</t>
  </si>
  <si>
    <t>UC-LpzUzkhlp2R7X9HFkmUMw</t>
  </si>
  <si>
    <t>UC0IF0gBh0MK63iA4zbzQmsg</t>
  </si>
  <si>
    <t>UC8R5DpsiuXLMb53WlNp1qeg</t>
  </si>
  <si>
    <t>UCqJte_TyE01aEv5Hvqysz3w</t>
  </si>
  <si>
    <t>UCDTth2ilnxyr4c9wfNiwqaA</t>
  </si>
  <si>
    <t>UCFMILFTlN4n6IWm7QzI-uhg</t>
  </si>
  <si>
    <t>UCMBEhla8h5CC5-_0xZnpGKw</t>
  </si>
  <si>
    <t>UCHQCy6xDBud7ijlwez6XSeg</t>
  </si>
  <si>
    <t>UCbNgY9-arRN6EEaYHpUO5Xw</t>
  </si>
  <si>
    <t>UCIDuc45phsEJ8ph0BF5r8ng</t>
  </si>
  <si>
    <t>UCN5KQ-e8cH3eTGR-e_avoYw</t>
  </si>
  <si>
    <t>UChAJW-EWEcKjxLXwviOKc5g</t>
  </si>
  <si>
    <t>UCvtVp3RXY1zNU3hMtQK5BWA</t>
  </si>
  <si>
    <t>UCPrt2F-Ff1Q2oJjYbXPoaEA</t>
  </si>
  <si>
    <t>UCIEXTLW54Og0o0kWvkUZXeA</t>
  </si>
  <si>
    <t>UCKUyo9glySkMb0EbYMX1GMQ</t>
  </si>
  <si>
    <t>UCweVm-of3ePvmv4uZDK_fYA</t>
  </si>
  <si>
    <t>UC0WYM3EEH5tJi8oSE4bnVGg</t>
  </si>
  <si>
    <t>UCR8-AYMMAWRc4ZkizQ4GF7w</t>
  </si>
  <si>
    <t>UCC_UDTs7bMeEKUpsdhRv_xw</t>
  </si>
  <si>
    <t>UC16oPdfnA_hrMUroVD5Ox5A</t>
  </si>
  <si>
    <t>UCswZzu9wDCTwGnnHfmoAGUg</t>
  </si>
  <si>
    <t>UCv7_8_HnXAadqvcMEaMiXRg</t>
  </si>
  <si>
    <t>UC205PRkhp0e9ENol37eNRFg</t>
  </si>
  <si>
    <t>UC6SkFdXp9cRNcCBUghb5PIA</t>
  </si>
  <si>
    <t>UCZjv6zieRSCn9kKj1Mi_mwA</t>
  </si>
  <si>
    <t>UCCCnCWybDGKm0NVPIMFbm1Q</t>
  </si>
  <si>
    <t>UCLUQA2u_2S7VJ7GvQiLHf4Q</t>
  </si>
  <si>
    <t>UCfi4W026NtwxmDq3BVlmnFw</t>
  </si>
  <si>
    <t>UC2IZqXjhHelMK09lIBF3CAw</t>
  </si>
  <si>
    <t>UCPLqLa9efJdhSYo3mZSCELQ</t>
  </si>
  <si>
    <t>UCY1pPGYkBq0uLu7-x6AHmcA</t>
  </si>
  <si>
    <t>UCu0cVyaC2Z4oqO5q3iZnbqw</t>
  </si>
  <si>
    <t>UCpAYS6qtw9XEjUcnOGR3Wkw</t>
  </si>
  <si>
    <t>UCEIaZ-bmX7AT8bBnHIU5BWw</t>
  </si>
  <si>
    <t>UCVAjgbB_EFVMv06e_lzcp7Q</t>
  </si>
  <si>
    <t>UCC13m5gHCPrN3rU5updSA3Q</t>
  </si>
  <si>
    <t>UClNgU_OB_xzo9NtnVeolnXQ</t>
  </si>
  <si>
    <t>UCjZi_N5iKgI0Vb5YAxAsWTg</t>
  </si>
  <si>
    <t>UCnlE5naj9ONYSjLX3wFvpMg</t>
  </si>
  <si>
    <t>UCSuP2VrHW3QpszrEZk1iOcw</t>
  </si>
  <si>
    <t>UCDIreO5gr67NVFGOhW-uUMw</t>
  </si>
  <si>
    <t>UCoIOW4qHdo6nJalShMotwZQ</t>
  </si>
  <si>
    <t>UCF2RLH1Esl2SlFpKvEIyH3g</t>
  </si>
  <si>
    <t>UC1T9Twfq85iwuFqWfO609pA</t>
  </si>
  <si>
    <t>UCI2yYeAVZiog_B8jwSwjYQw</t>
  </si>
  <si>
    <t>UCx0LDUAScKABemhu47xNIDQ</t>
  </si>
  <si>
    <t>UCyCG9F1fkTGRyIyi-Cpq6MQ</t>
  </si>
  <si>
    <t>UCtHuea-Iz1lvO9f2wEQytAg</t>
  </si>
  <si>
    <t>UCVQUcGWcp9jXgtfMTAD2nPw</t>
  </si>
  <si>
    <t>UCEWvoyZEPVL7sV4MzwuoGXA</t>
  </si>
  <si>
    <t>UCUn5FEIqt7ISdauD_wwmxYA</t>
  </si>
  <si>
    <t>UC3qUi5XjtegUzWFZfY4hkpw</t>
  </si>
  <si>
    <t>UC9b5fRBS-ixkZ-Woa4Mpkqw</t>
  </si>
  <si>
    <t>UCU_p7Ch8R1dKVOeQHYKIOFg</t>
  </si>
  <si>
    <t>UC0aQ6nbgMuMjSzm8vnt4zSw</t>
  </si>
  <si>
    <t>UCfZaTpCO46TIszBMkMzQ_YQ</t>
  </si>
  <si>
    <t>UCwD8C1JLRboaJVpIs5MwOCA</t>
  </si>
  <si>
    <t>UCFroR2mxprTcRZxxMxwoM0w</t>
  </si>
  <si>
    <t>UC6AoSktg5WGLME4mPqVc_bA</t>
  </si>
  <si>
    <t>UC2IZvh-9jYd0oyYVe7RKKKQ</t>
  </si>
  <si>
    <t>UCxEAK1vT1GCo0IjVg9n2lGw</t>
  </si>
  <si>
    <t>UCjh5qUbg0GLtVT-q9ZyEbLQ</t>
  </si>
  <si>
    <t>UCuwYNewF2hhT7lAXg1EDwXw</t>
  </si>
  <si>
    <t>UCt-5IXDxSkT5C2MK5V8A6ZA</t>
  </si>
  <si>
    <t>UCY9G05h0IBHAimoCQLmovuA</t>
  </si>
  <si>
    <t>UCeex8hXWbegjhnWBtiT6I9g</t>
  </si>
  <si>
    <t>UCLDEigzdUJONf1wivV6pC9Q</t>
  </si>
  <si>
    <t>UCjDq0dEKuSH9rirl22T7TjQ</t>
  </si>
  <si>
    <t>UCoBlg_TPtC3Oxfj_gRjRKrA</t>
  </si>
  <si>
    <t>UCxa5cG589NIsI82QDo6C40A</t>
  </si>
  <si>
    <t>UCQoDYu9zWVd-N6ehi2GbkLg</t>
  </si>
  <si>
    <t>UCfrlnvo943rpGr3-HcTVRHw</t>
  </si>
  <si>
    <t>UCDy5n4YEOg6daXPT-P-eESA</t>
  </si>
  <si>
    <t>UC_jojTCnd78Cfq_UC5pSOMg</t>
  </si>
  <si>
    <t>UCRem6VzhubgpM_YiJ9M3GpQ</t>
  </si>
  <si>
    <t>UCmUgrZo3e0yarJufGQHjlWw</t>
  </si>
  <si>
    <t>UCmDtiKKZBNSV45cGT8ssJ5g</t>
  </si>
  <si>
    <t>UC3WVla8a3joDjU6GxkGnhiA</t>
  </si>
  <si>
    <t>UCOg2DZDEh6GdQzWgo8hBm4g</t>
  </si>
  <si>
    <t>UCpUSmAMtG7FRuRC_H679ysg</t>
  </si>
  <si>
    <t>UCS3VEKQ3zcFdLhr-gieQ24g</t>
  </si>
  <si>
    <t>UCvKzzGO37oT83K0FwnUucxw</t>
  </si>
  <si>
    <t>UCuUzcAgS4QT3LE_au39lVRA</t>
  </si>
  <si>
    <t>UCM-u_-YWVuy0CsHnrMPRV6g</t>
  </si>
  <si>
    <t>UCAoYXsuNfEJyD7MuqI-EwUA</t>
  </si>
  <si>
    <t>UCbTK2RQ-kSdP2vf1WPRk26w</t>
  </si>
  <si>
    <t>UCBpB_rKriHZWIn1C6p36dyw</t>
  </si>
  <si>
    <t>UCblSO0ab_BMBe53BgiVXlig</t>
  </si>
  <si>
    <t>UCwYQ33hNCFtLYIB_blU4cmg</t>
  </si>
  <si>
    <t>UCVSZGK7hMMmHled90AijXyw</t>
  </si>
  <si>
    <t>UCCEqWptuHELsc3fXf4RG7iA</t>
  </si>
  <si>
    <t>UCiHR4bul453QkhqdNWUpHkg</t>
  </si>
  <si>
    <t>UCeIjzObEBzgySSUP2Vu_Ueg</t>
  </si>
  <si>
    <t>UCP0GR0mjnwR6XPCI7vaW-vA</t>
  </si>
  <si>
    <t>UCGt7Q8P3Hj8EfYWYpBpqBlw</t>
  </si>
  <si>
    <t>UCeicdzysLwCglf7W0I9y4kA</t>
  </si>
  <si>
    <t>UC7SuJ7R6oSftWO3v8qWc66Q</t>
  </si>
  <si>
    <t>UCfYdVkugQzaySto3xYq4Zlw</t>
  </si>
  <si>
    <t>UCnxfp2a9I_YnCXpbqvXD4Ww</t>
  </si>
  <si>
    <t>UCsS1XmmRRBGkHEMNx_Sa0tQ</t>
  </si>
  <si>
    <t>UCEt2xudI2EqHLUlvnYyN1Dg</t>
  </si>
  <si>
    <t>UCrycdDhOTghVOY60ltCOrHw</t>
  </si>
  <si>
    <t>UCPEMa6-4O-w8N6pnlmjCgmw</t>
  </si>
  <si>
    <t>UC2FHDS-7vy9-2o1CYTPnJZQ</t>
  </si>
  <si>
    <t>UCaUd_Ru3s21MaT05CQSnWsA</t>
  </si>
  <si>
    <t>UCcVGPH65pzy760UfIme29dw</t>
  </si>
  <si>
    <t>UCf6ki1JkyKPD8NtnWpU3rHA</t>
  </si>
  <si>
    <t>UC-dB2lbFkNLFd3WN7b6GVpQ</t>
  </si>
  <si>
    <t>UCTngumZeLr6bj7IJFOryd_A</t>
  </si>
  <si>
    <t>UC3zEavhmKSwXQxcLwEMRyLA</t>
  </si>
  <si>
    <t>UCpBtpc7YVdJ0VShNEZPxRHA</t>
  </si>
  <si>
    <t>UCnGy4uENJmddEbuHELUNI8g</t>
  </si>
  <si>
    <t>UC41DF-EVHcY98D6EE52jmbA</t>
  </si>
  <si>
    <t>UCkev6dx_P7p3uaPMgBQG6kQ</t>
  </si>
  <si>
    <t>UCNRJ_eSLsifGmtLI5XSANUg</t>
  </si>
  <si>
    <t>UCnzKeZxoLTopeKZCt7CEUUg</t>
  </si>
  <si>
    <t>UCfiaUWT8kYDzkqrA1hpTt6A</t>
  </si>
  <si>
    <t>UCwMlqjz83OVX9_4UXo6cAfA</t>
  </si>
  <si>
    <t>UCwpEsZCL2it-6xXgam6xdJA</t>
  </si>
  <si>
    <t>UC_poh7szMZvEoFxROWGfvVg</t>
  </si>
  <si>
    <t>UCR7BI_RCuOBqUduSvYqd94Q</t>
  </si>
  <si>
    <t>UCbgUUX7oeVOAhh6SmcjMR3A</t>
  </si>
  <si>
    <t>UCNKEYKaD4dv8Ys-907V4yVw</t>
  </si>
  <si>
    <t>UC0PA9wn-FAXk0HsiCmg9gSA</t>
  </si>
  <si>
    <t>UCZoERNzLDjVBuA2O4IxZi_Q</t>
  </si>
  <si>
    <t>UCGO-C4i-Elcrvo9V_aoShqw</t>
  </si>
  <si>
    <t>UCg1zOZjELgD6EB1gO7zcZAg</t>
  </si>
  <si>
    <t>UCSOOo5y-GsY4WCU7tnG5j2w</t>
  </si>
  <si>
    <t>UCe5sroO54ptsohogUAQ-R0w</t>
  </si>
  <si>
    <t>UC_s7AF8p_VB0JpBSocuS13Q</t>
  </si>
  <si>
    <t>UC0rb3twEKN03RGeOcg1OsPw</t>
  </si>
  <si>
    <t>UCGpRrBD7Yp3pzyRB1ogDz3w</t>
  </si>
  <si>
    <t>UCjDc3MSEXncXkt8fPJwgJzw</t>
  </si>
  <si>
    <t>UCzjlUwTXV3AiDEZyLTRF8xw</t>
  </si>
  <si>
    <t>UC0hxQsZ19PumeKr7xxFI-SA</t>
  </si>
  <si>
    <t>UCKr-aCwW9FJrAXT_Si7y4bQ</t>
  </si>
  <si>
    <t>UCsZCsYTEzRyMtWN2XFI81OA</t>
  </si>
  <si>
    <t>UCTbe1hTIflT180XimdGM3vQ</t>
  </si>
  <si>
    <t>UCagovnaxK2lHuYm6fDh6AEw</t>
  </si>
  <si>
    <t>UCdLitnQ5DQe7N-PytsJxN9w</t>
  </si>
  <si>
    <t>UCSPWh-0RDv57g0-TczphBkQ</t>
  </si>
  <si>
    <t>UCmo65VUkISSWMPWesVBUQGA</t>
  </si>
  <si>
    <t>UCan9zE-H0nj36LKz5hka9fQ</t>
  </si>
  <si>
    <t>UCVyPZd3t4LhxBP2y5neaQNw</t>
  </si>
  <si>
    <t>UCzpcBH-GXzCduviyDedIm5Q</t>
  </si>
  <si>
    <t>UCvukVzNnQA8qD-YklTFxpIA</t>
  </si>
  <si>
    <t>UC0uJgjy6PKu7_KyNjXfvvRQ</t>
  </si>
  <si>
    <t>UCzxVPosW4byr9XwKOzL9qKw</t>
  </si>
  <si>
    <t>UCGHns5iqu68XOgX_GHMR4-Q</t>
  </si>
  <si>
    <t>UCxvyz4VZnJkPcL5EGOfDIuQ</t>
  </si>
  <si>
    <t>UCrL6Mdf8-H8VZBd5DnPjNGw</t>
  </si>
  <si>
    <t>UCDSEcT2SUWE-SltfhoJtcVg</t>
  </si>
  <si>
    <t>UCW803AiYVJsaO1oxeVr8OeQ</t>
  </si>
  <si>
    <t>UCZY99Q7OhxYewcGxEj93FWA</t>
  </si>
  <si>
    <t>UCUQTl3_xaSpi3VdS0ynhFhA</t>
  </si>
  <si>
    <t>UCiUYXUgv78iWSuix_hA9T6w</t>
  </si>
  <si>
    <t>UCXyKCluTs-mGVe-oaBfbGGQ</t>
  </si>
  <si>
    <t>UCB12jjYsYv-eipCvBDcMbXw</t>
  </si>
  <si>
    <t>UCHzRdVrRQRMMinklYOcY1VA</t>
  </si>
  <si>
    <t>UCZfOdGzJ6DbaXAuvHPKOggA</t>
  </si>
  <si>
    <t>UCCUwzP5V6G0lPoTuH35kz_w</t>
  </si>
  <si>
    <t>UCpFygvlRTGTWkJLyXaAVUWw</t>
  </si>
  <si>
    <t>UCqTlyxwHQOoP-MrBRKxA9NQ</t>
  </si>
  <si>
    <t>UCBwb9RJowLRLI9qRWU5NqpQ</t>
  </si>
  <si>
    <t>UCqnuMsOnElcXBEvD5nk_VQg</t>
  </si>
  <si>
    <t>UCkIASmLZOXTzho8z24pssjA</t>
  </si>
  <si>
    <t>UC2LJK40k1VLYGcfpVd3LkQQ</t>
  </si>
  <si>
    <t>UCQOd6yNSS1fOVqDZNHHnxSg</t>
  </si>
  <si>
    <t>UCwFmjwiH7bTJRJOTJUVfYSQ</t>
  </si>
  <si>
    <t>UCuq7JARLE3Q12zW0XqsPvLg</t>
  </si>
  <si>
    <t>UCMDJPaiDdRPv2mrEJoLfklA</t>
  </si>
  <si>
    <t>UCsPWdbFZ0yd17pTcpkcqvhA</t>
  </si>
  <si>
    <t>UCyvB9BXy35GDxWcAD4oHS_A</t>
  </si>
  <si>
    <t>UC1qEgVf8dOuQJH0CtNdMASQ</t>
  </si>
  <si>
    <t>UCArESQXM-GVFas6baEZwOJg</t>
  </si>
  <si>
    <t>UC7Hpk-B91WHZ58axUnMB-lg</t>
  </si>
  <si>
    <t>UCCUz-Ma3BVdJE_8SmtUuqZw</t>
  </si>
  <si>
    <t>UC8fh8unjPYHYXlneHw-ZDyA</t>
  </si>
  <si>
    <t>UCoYrao7bUqM8v4nI6iUk_Xw</t>
  </si>
  <si>
    <t>UCQquFm5o8-udv4YkyVBquaA</t>
  </si>
  <si>
    <t>UCQN8ht4ZlxdPZHP-ALOE0MA</t>
  </si>
  <si>
    <t>UChA-V9BwffQ7KQaIbbqPOow</t>
  </si>
  <si>
    <t>UCMipXyV2c080yk-j8tNAi8Q</t>
  </si>
  <si>
    <t>UCo63yoT_MVy9CeJ1Un88FtA</t>
  </si>
  <si>
    <t>UCHmV1jXWHy8mKlic4j4rHmg</t>
  </si>
  <si>
    <t>UCBFG4LDTjnWqZWyrW4r-UNQ</t>
  </si>
  <si>
    <t>UCNvxs2UROjF5ZQh7RW18g6w</t>
  </si>
  <si>
    <t>UCceaqKV6k7XGtNXVXDxPu4A</t>
  </si>
  <si>
    <t>UCbhszNeLnmEauOZa08dE_Nw</t>
  </si>
  <si>
    <t>UCbhJPpqa92-t0kjtn3eI7tw</t>
  </si>
  <si>
    <t>UC7C_4m2S_lHukWXmlZ9_zBg</t>
  </si>
  <si>
    <t>UCtoBw4N5_kYcH5OHNgRldFw</t>
  </si>
  <si>
    <t>UCXz-NiqGt0sAIn_77IN-bGg</t>
  </si>
  <si>
    <t>UCTnAF0hhl1k4X_xo_oZSM9w</t>
  </si>
  <si>
    <t>UCnP3W7Wh4gUv-bl9NX7a6_Q</t>
  </si>
  <si>
    <t>UCKLXYxAaMXTpjCLudq1xq2A</t>
  </si>
  <si>
    <t>UCUfWNUeqXqZOHt46bWrniog</t>
  </si>
  <si>
    <t>UCR9oSctP1jWlR9w505qp2WQ</t>
  </si>
  <si>
    <t>UCh_WD2DxGoskrwgC6bA4Irg</t>
  </si>
  <si>
    <t>UC0L4r9ObbfbjmXlDXAlEDVg</t>
  </si>
  <si>
    <t>UC6i1mMJq2jYI7LGtcxWMUiw</t>
  </si>
  <si>
    <t>UCUvvrSjDsTzsOpPCsR1PXww</t>
  </si>
  <si>
    <t>UCV2H1qxX7WcWdn6fX1rrmww</t>
  </si>
  <si>
    <t>UCA2HkROQC_LBR-782Ummlww</t>
  </si>
  <si>
    <t>UCD3GN1FNGa2C2MlIzLwg8Vg</t>
  </si>
  <si>
    <t>UC8aYNHtHDHLakP7H-5RaxQA</t>
  </si>
  <si>
    <t>UCnZFLwu6nmBPlafb-_Cq1yg</t>
  </si>
  <si>
    <t>UCrBKXGjBX58iwNYtkIYUatw</t>
  </si>
  <si>
    <t>UCkdeLVZwe84ZlUEok17N0SA</t>
  </si>
  <si>
    <t>UCqOjZ38bROz6cyxQQg4FWWw</t>
  </si>
  <si>
    <t>UCtBbt5_-szH26CwsZZwh47g</t>
  </si>
  <si>
    <t>UCHtOsI4EJv3mi-Sa5yjNy5A</t>
  </si>
  <si>
    <t>UCF36ZzSGjEFv-OcjKNuwcug</t>
  </si>
  <si>
    <t>UCqaASO6KQZ7miVMHXPc-kpQ</t>
  </si>
  <si>
    <t>UC6w5uaSX94E1eez4Azcc0Zg</t>
  </si>
  <si>
    <t>UCtx3GJu0bQQJSJ2COIGJToQ</t>
  </si>
  <si>
    <t>UCY-rBfd9R847gA_xzS64zlA</t>
  </si>
  <si>
    <t>UCIuVC2j5mA8RN9t3SCsZ5Tw</t>
  </si>
  <si>
    <t>UC4WyNpChnK7vR0yxsI3nlHA</t>
  </si>
  <si>
    <t>UC-bSQgmOmTd3WAjE4lnJTxg</t>
  </si>
  <si>
    <t>UC2tS3pJ9tHmVig_DmAs8cSg</t>
  </si>
  <si>
    <t>UCozgWx2Z0FQsZLbwKZ_0KIw</t>
  </si>
  <si>
    <t>UCJ96j1FxEBC3PEDe5146BYw</t>
  </si>
  <si>
    <t>UCFcKlf9D_aJ3JwxnNsEqGzQ</t>
  </si>
  <si>
    <t>UCujruoQDh9gyUkVGg2LYNeg</t>
  </si>
  <si>
    <t>UCU4TiYGakdXOPwsR_a9rM1Q</t>
  </si>
  <si>
    <t>UC9FPNUs7pmhyJa8I0n4FAPA</t>
  </si>
  <si>
    <t>UCz701j0Z_hDFAywq1AEan2Q</t>
  </si>
  <si>
    <t>UCVsbBfSax_1bnJGwi_o6YKw</t>
  </si>
  <si>
    <t>UC_0lWsDQPbATkXWdZTS8sfQ</t>
  </si>
  <si>
    <t>UCRwUx2nXbL6ePnmA3YO8pUg</t>
  </si>
  <si>
    <t>UCT8WSUQeSjS3YXhMgi9XOLA</t>
  </si>
  <si>
    <t>UC9T5yTyzHxK_597yfC-GlDw</t>
  </si>
  <si>
    <t>UCxbKJmSfLVaooB4Z-CUvLvQ</t>
  </si>
  <si>
    <t>UC9C5oko5p_JBEzAnYBNmCbg</t>
  </si>
  <si>
    <t>UCUvX8v-BaHoiJjIon7WxOZA</t>
  </si>
  <si>
    <t>UCDegHOUpScIto8t4H5qOjnQ</t>
  </si>
  <si>
    <t>UCIuk-x-RwTOIbPenYaq3C_A</t>
  </si>
  <si>
    <t>UC_QRIodVwcbV4xgy9Mrso0Q</t>
  </si>
  <si>
    <t>UCiid3x3FH6AxCDwDA3jZO9g</t>
  </si>
  <si>
    <t>UCru35uCxJb0T5WiQHzNLAVg</t>
  </si>
  <si>
    <t>UCQztZZtwZj25-ntvWSoPyQw</t>
  </si>
  <si>
    <t>UCy0DKBrx9_oSksbATGQdCJw</t>
  </si>
  <si>
    <t>UCnGMAPMFCkT5L3f16F6yY_g</t>
  </si>
  <si>
    <t>UCJLx_2N3_BHn2ehMrLjlnrw</t>
  </si>
  <si>
    <t>UCbLDNpucPl4Vb_pakhRPtvA</t>
  </si>
  <si>
    <t>UCI_LQw4DG0O6GMVGZN3v-Zg</t>
  </si>
  <si>
    <t>UC4Kh0VSxZmLvHfRRF8wLqrA</t>
  </si>
  <si>
    <t>UCf9Jxoefkk5EkfOm-v_jACQ</t>
  </si>
  <si>
    <t>UCaMrQu1MSdPSGyLfmG2Trsw</t>
  </si>
  <si>
    <t>UCM7Trk3IetXHtqO7S1VluQQ</t>
  </si>
  <si>
    <t>UCRY6mnGa8pblzSt2JKcRlRg</t>
  </si>
  <si>
    <t>UClB1xP7WLivnQmVvbemIgEg</t>
  </si>
  <si>
    <t>UCpdhj3sKAMAA0kK9_Pgw6mg</t>
  </si>
  <si>
    <t>UCBNOuLdBz7x9XnRt_iIpVMw</t>
  </si>
  <si>
    <t>UCtOq3jQ4Vlf8hhwfvMcGtIQ</t>
  </si>
  <si>
    <t>UCUJYUmmPNw6Pr7qGVel6XhA</t>
  </si>
  <si>
    <t>UCVlZzQ3dhFtunbBhoQ8ru-Q</t>
  </si>
  <si>
    <t>UC7i6Yq3YJCWHX3PrGqsF4Gw</t>
  </si>
  <si>
    <t>UCbu1bWXGNpGbxPgyP-LMdxQ</t>
  </si>
  <si>
    <t>UCMx7ryu_3DpJpimWPVOTaSg</t>
  </si>
  <si>
    <t>UC5yOHO-T3wzqDFDT3caGrRA</t>
  </si>
  <si>
    <t>UC8SkwM7b8kw-njFEZODfdtg</t>
  </si>
  <si>
    <t>UCPpV1UAObCRhY51Ofqe0N6w</t>
  </si>
  <si>
    <t>UCm5sprpVhMLA1VPj1Poy0OA</t>
  </si>
  <si>
    <t>UCTgyz9rBg2oVkSeeCOjPu8A</t>
  </si>
  <si>
    <t>UCO_QYUKw1JltAAToNl0Kaog</t>
  </si>
  <si>
    <t>UCUXtBrP7KCS4ICJ2Yh4nPYg</t>
  </si>
  <si>
    <t>UCVHsIftZeta_dVUatYi9H5Q</t>
  </si>
  <si>
    <t>UCD9sjzPA93mxDmbL25qYLow</t>
  </si>
  <si>
    <t>UCwWz32We084dlhKPFHXkuqw</t>
  </si>
  <si>
    <t>UCMeZ7KtX7XtUv0v1nKkDnEw</t>
  </si>
  <si>
    <t>UCt8YJuMLCUutQFoGbuwNY7A</t>
  </si>
  <si>
    <t>UCoWTDrj-6D7PMtcTndG-owQ</t>
  </si>
  <si>
    <t>UC2hg6EJI4w3NFlA88fLOFHw</t>
  </si>
  <si>
    <t>UCK34YpSdXdCoCDSyffdIWNg</t>
  </si>
  <si>
    <t>UCDceZjMAVUZQlO60usQnUyg</t>
  </si>
  <si>
    <t>UCnW6DSKka7iAM3qrJJBRxaQ</t>
  </si>
  <si>
    <t>UCizXq8XeMs6N4kUC5jKBZiw</t>
  </si>
  <si>
    <t>UC57frBDG8M7DCsg5Q3H354g</t>
  </si>
  <si>
    <t>UCopLZK69EWgXUBviX8y9F-g</t>
  </si>
  <si>
    <t>UCCvGokEGyKbgAnqX8jRPAPA</t>
  </si>
  <si>
    <t>UC5CbB7rMn1GTYWssomu5Nuw</t>
  </si>
  <si>
    <t>UCZxy5pKBZEN_GByRlepmiUw</t>
  </si>
  <si>
    <t>UCHb7TlPpsES8HUB6SJhKtiw</t>
  </si>
  <si>
    <t>UCo79JKXfeorvO1zg6fKrnug</t>
  </si>
  <si>
    <t>UCk2EPDOXZDNMQSduDc7lyZA</t>
  </si>
  <si>
    <t>UCOrITwiiSQYVuAi7wTY2UPw</t>
  </si>
  <si>
    <t>UCYWU95J_nSOhp5YVtbTBOaw</t>
  </si>
  <si>
    <t>UCL2Ev_fyz0QoCB0j32ONeQg</t>
  </si>
  <si>
    <t>UC6BZzLc_TV6-1cnmy4vFurQ</t>
  </si>
  <si>
    <t>UCO1fKdEdQDfuK9OIuKlCyUA</t>
  </si>
  <si>
    <t>UCbVJeeUVOxgxUdxofkoHdQg</t>
  </si>
  <si>
    <t>UCsbzU-pSggRF03Tcjp-W7RA</t>
  </si>
  <si>
    <t>UCanTF3F7BDzrjaLG1WRb2Pw</t>
  </si>
  <si>
    <t>UChMnGam4beXtOesGxYMwsvw</t>
  </si>
  <si>
    <t>UCQlJNNzXZ2WyAxQIpm5aILw</t>
  </si>
  <si>
    <t>UCn_1CiNIfT7hjBKSNl1szGQ</t>
  </si>
  <si>
    <t>UCnEN8uD1X2JjlnyrRLOuWLw</t>
  </si>
  <si>
    <t>UCp9nQpt7yrn_pOikaR3cypw</t>
  </si>
  <si>
    <t>UC8d3kdFmb3gjZ_020YMa3lA</t>
  </si>
  <si>
    <t>UCrPTs__baXcAo_yR4VU0hTw</t>
  </si>
  <si>
    <t>UCdX0FzlFMeOIP8iS4v0vlfA</t>
  </si>
  <si>
    <t>UCVbNbVDDZReLcDzfUWGTDtg</t>
  </si>
  <si>
    <t>UCesKXX9aVek_fXV37EIZtZQ</t>
  </si>
  <si>
    <t>UCu5TkpMVY2oz69KnLVpdc-A</t>
  </si>
  <si>
    <t>UC5hKJAt__KO-8eR-JtoAB7Q</t>
  </si>
  <si>
    <t>UC1NqQjgZ2kwVzwdXUdX0rRA</t>
  </si>
  <si>
    <t>UCQmyfIfYBCzt3GlCznV8IxQ</t>
  </si>
  <si>
    <t>UC9tsrW3tSTGrdIRTC-emcPA</t>
  </si>
  <si>
    <t>UCVoVneLJ0pJZ5O1irMkzwyw</t>
  </si>
  <si>
    <t>UCezGQRvPh0WP0S9ZTamO-zw</t>
  </si>
  <si>
    <t>UCikNqT0_jog1IuDhSnpDTeQ</t>
  </si>
  <si>
    <t>UCUASQ8BrXPCjWDQMjE_INQQ</t>
  </si>
  <si>
    <t>UCOGT-H0mDOeuu_tLqpSOVDQ</t>
  </si>
  <si>
    <t>UCOgeV_4Gk4UhhG63CHNKefQ</t>
  </si>
  <si>
    <t>UCq7urBdrrBr8JAFmySYR04A</t>
  </si>
  <si>
    <t>UCyXvt2uyqY8Gfdd-I948MYA</t>
  </si>
  <si>
    <t>UCBSzgwcAV9pBcMPiXf2QE6g</t>
  </si>
  <si>
    <t>UC13Jl3UsXaAv-ndRDwGTQjQ</t>
  </si>
  <si>
    <t>UC109mTSOGYo6zbxc33WToBw</t>
  </si>
  <si>
    <t>UCJTpvZaIAYuYjDvN3i3QUiQ</t>
  </si>
  <si>
    <t>UCxcI823WTRw0eIeJU21Z49Q</t>
  </si>
  <si>
    <t>UCQH77kFpWPFK40TJVxPpM8w</t>
  </si>
  <si>
    <t>UC-n4k3K6l5J3vwbdvD8fp_g</t>
  </si>
  <si>
    <t>UCz6HVkdi1gQEYiFcg_EdeJQ</t>
  </si>
  <si>
    <t>UC7VMTWa3UzPHO1KgWQOjsOg</t>
  </si>
  <si>
    <t>UCp4IlxdnsB3vUNjsTxY-YBg</t>
  </si>
  <si>
    <t>UCj7bCYRx3baqVacATJuiN_Q</t>
  </si>
  <si>
    <t>UCHLWlNrOZVjqma1sscf3vIw</t>
  </si>
  <si>
    <t>UCsGma07G-_lx5qnpfpI8BOQ</t>
  </si>
  <si>
    <t>UCmyPr7TbvE9ycl9PL-UiA5A</t>
  </si>
  <si>
    <t>UCP4MLvr3U4fVeH9R_gBNnhA</t>
  </si>
  <si>
    <t>UCLTBd4O_ZB-K3A-Clit6OgA</t>
  </si>
  <si>
    <t>UCwHB5bHw6ktcwzFF3YNYd_Q</t>
  </si>
  <si>
    <t>UC1uodEbZ7TOIgT_XypeWP5Q</t>
  </si>
  <si>
    <t>UCzuasoydpucTsGWtF9ZaupA</t>
  </si>
  <si>
    <t>UCupAYiW_BhnaAVFpA3iB7ng</t>
  </si>
  <si>
    <t>UC1zF82a4tVe1SAJQrgrLvMw</t>
  </si>
  <si>
    <t>UCVnLR-qs-iU_3qdJV9Wju6A</t>
  </si>
  <si>
    <t>UCCCBB6UWdIexeSn4y73-KgQ</t>
  </si>
  <si>
    <t>UCH-L3ibmmOOYNGoNlSVqwhQ</t>
  </si>
  <si>
    <t>UCQv6q0lvV9a9cociDouYXaw</t>
  </si>
  <si>
    <t>UCT4kmNDSppEVbNcPgnjShPA</t>
  </si>
  <si>
    <t>UC_uR26BodKBZ4HVwxwd5isQ</t>
  </si>
  <si>
    <t>UC5ZXmKfBg0k3VDoVvx0s3lA</t>
  </si>
  <si>
    <t>UCj5uWBquxNykqgzSWFHW0Qg</t>
  </si>
  <si>
    <t>UCQemzRWOMazoaSuULUuSCpg</t>
  </si>
  <si>
    <t>UCGeV-3R502w6bllp2EQ8zzg</t>
  </si>
  <si>
    <t>UCj6-3fHx-aOY5U1T46ALrzQ</t>
  </si>
  <si>
    <t>UCZYt6vjPlgqaRp4MSWnzs8w</t>
  </si>
  <si>
    <t>UC7JdMmLxu89On7ZAyevBbhg</t>
  </si>
  <si>
    <t>UC5a2G6YpwcmsIkK3B0X-mhQ</t>
  </si>
  <si>
    <t>UCf6Jc77UVTl1eOh6Bb6vAlQ</t>
  </si>
  <si>
    <t>UCU8bg97Ce4GlB6H99zwtTwQ</t>
  </si>
  <si>
    <t>UCol-yY1m48ggs5ZS_P3BSng</t>
  </si>
  <si>
    <t>UCh4rI-uaFbZWliPoTX8fohA</t>
  </si>
  <si>
    <t>UCXJqCmjJ-r_CLcx2hMJ3lmA</t>
  </si>
  <si>
    <t>UCICWIYEx2mo4wYZzLwJ7wVw</t>
  </si>
  <si>
    <t>UCVWrJ5UJXeIY9iYpoASxIFg</t>
  </si>
  <si>
    <t>UC5C5u-7wuEnFFjdjNC2ANkA</t>
  </si>
  <si>
    <t>UCPKFCFpV3VO_SSTFZ-rMMTQ</t>
  </si>
  <si>
    <t>UCVwqij7jD0LsvMs2zo_-7cQ</t>
  </si>
  <si>
    <t>UCg6TgtnmY8cYMQ4rx8EtWWA</t>
  </si>
  <si>
    <t>UCJ2gA4eplKqO4xZmYJweuWQ</t>
  </si>
  <si>
    <t>UCeXGHpv7nJMv3KcJvPG-FSw</t>
  </si>
  <si>
    <t>UC_9ARu8-ZbQUopiPCtOkqew</t>
  </si>
  <si>
    <t>UCQkgAGeUcDkKVuiFkAzUNSg</t>
  </si>
  <si>
    <t>UCh_Df-UneDU4P1nku_tlZIA</t>
  </si>
  <si>
    <t>UCR1ILtZPSx0BJo6TH8WPogA</t>
  </si>
  <si>
    <t>UCZyySan2dnqglrzwtnYwt4Q</t>
  </si>
  <si>
    <t>UC7FvFpXV-9nbCBWS5pUKhZw</t>
  </si>
  <si>
    <t>UCWd04qRfvtq1t8yNgd_okEA</t>
  </si>
  <si>
    <t>UC37cKOhZha6iuoAp3EmazFg</t>
  </si>
  <si>
    <t>UChM7XCN4ts7myqwWmEggUDQ</t>
  </si>
  <si>
    <t>UCEzUQHUjaRS2iRShJKsMF6g</t>
  </si>
  <si>
    <t>UC5-Td7mw-76nfoa_AyS0xFA</t>
  </si>
  <si>
    <t>UCQ1DUK0UfqZjL0tO_x-UI7g</t>
  </si>
  <si>
    <t>UCrQhVHzh8e_vkBPOyhMWdoQ</t>
  </si>
  <si>
    <t>UCI-WWu1jr1-pk4iBMCUevBw</t>
  </si>
  <si>
    <t>UCEpe5DhhS0HYFBaCVsU2Iwg</t>
  </si>
  <si>
    <t>UCP9oYkhS0h35soQZtZyC9ZQ</t>
  </si>
  <si>
    <t>UCVEUcegvqdoNbyceTtDJffQ</t>
  </si>
  <si>
    <t>UCguUR7CobZWf3n6enaEGZqA</t>
  </si>
  <si>
    <t>UCD_hwsDMqpuaFH_Vpf5SZMA</t>
  </si>
  <si>
    <t>UCPicfXzzaSQ0S97WDSbNPcA</t>
  </si>
  <si>
    <t>UCEAxBxiTGJht1r6AzHZYn2A</t>
  </si>
  <si>
    <t>UCtuVG-cRWPosl_GuYLFtG5g</t>
  </si>
  <si>
    <t>UCbItMHbIn4kliYTQL966FTQ</t>
  </si>
  <si>
    <t>UC8xOhGVZAX53bmDAQVGzHnA</t>
  </si>
  <si>
    <t>UC963r3Mun0ieya7yYvmV6ig</t>
  </si>
  <si>
    <t>UCS7FDrLNDOJR9NOTi8q46IA</t>
  </si>
  <si>
    <t>UCyqopP-t4ZfYRKiluI5f_eg</t>
  </si>
  <si>
    <t>UCGz07_TgleGM4-fpOZOWkvQ</t>
  </si>
  <si>
    <t>UCdc4jmL6HRq0MBFxAiegpNg</t>
  </si>
  <si>
    <t>UCje3nLoy3OmnZhBLg7kFT3g</t>
  </si>
  <si>
    <t>UCHdKsVKYS3OmPuDvOJ6iI_Q</t>
  </si>
  <si>
    <t>UCGGyiPkFNm-poAMLa9w5Q6Q</t>
  </si>
  <si>
    <t>UCGTDDN7Vr0KBf5j264g5TZA</t>
  </si>
  <si>
    <t>UC2NnW30S2AFHWmEb2n5PWBA</t>
  </si>
  <si>
    <t>UCXLRYpwgR-LEIPlqbXfB2sA</t>
  </si>
  <si>
    <t>UCSIsj9Z2kwcgcxr8MWbS_8w</t>
  </si>
  <si>
    <t>UCFYRx4_tu-Rnrd85RUyKolg</t>
  </si>
  <si>
    <t>UCWADPeZQJYMKJqZLFdzan9Q</t>
  </si>
  <si>
    <t>UC08zyEX9amyrnW49lgpIjMA</t>
  </si>
  <si>
    <t>UCLu0X5WEcefIhlqA37lR7Rg</t>
  </si>
  <si>
    <t>UCNE5-tnBwTh3kioNgldihVA</t>
  </si>
  <si>
    <t>UCQKu1DyS72sHiYKFmZ-O5Qg</t>
  </si>
  <si>
    <t>UCFtG-eE-EKpRGeHC3gorOTg</t>
  </si>
  <si>
    <t>UChknL2ihNgn_9d_i12cuzKQ</t>
  </si>
  <si>
    <t>UChxu8kTOQ-BRKWse18iHRZg</t>
  </si>
  <si>
    <t>UC6msEPvOkNeFkVAGcS7H1jw</t>
  </si>
  <si>
    <t>UC0fv2UmsHbNzutaBWgBZmBQ</t>
  </si>
  <si>
    <t>UCh2T2tyKvRg5mwZYABhV8mg</t>
  </si>
  <si>
    <t>UCdqTN3trwqFNWUNQOHAnhgA</t>
  </si>
  <si>
    <t>UCUvvorWNWYFlFan5JNInrMA</t>
  </si>
  <si>
    <t>UCA_XhesaPYz_AnJFXuISCPg</t>
  </si>
  <si>
    <t>UCvKyQnhB5gvaMnEYf64BIYA</t>
  </si>
  <si>
    <t>UCVCxn9k2z86QsxczrQCxvUw</t>
  </si>
  <si>
    <t>UCunauRvuGMTUWkzIp20Goeg</t>
  </si>
  <si>
    <t>UCwhJ_VtIAeeiCC50yKMMcnA</t>
  </si>
  <si>
    <t>UCWGjJvI_6gX-RACsZ6KZyrw</t>
  </si>
  <si>
    <t>UCw3eyA3edUq3AJkh8HFLD2Q</t>
  </si>
  <si>
    <t>UC7raRsx4ojx3cyXT3x9-PuQ</t>
  </si>
  <si>
    <t>UCp1JNTBQjsxMhL2aj4mMMuw</t>
  </si>
  <si>
    <t>UCH1OFuIbtOhyKInJaFVqUPA</t>
  </si>
  <si>
    <t>UCx8-H_8V8o2BZQjpNIiLLEw</t>
  </si>
  <si>
    <t>UCRXiHXzBuKWb7ogtZHq9n4Q</t>
  </si>
  <si>
    <t>UC-T4JheeuNl2DVg-B-v7McA</t>
  </si>
  <si>
    <t>UCc92866RFTehbIh7upkuo7Q</t>
  </si>
  <si>
    <t>UCFrw_BQ1toyEHdvv8KYc0ow</t>
  </si>
  <si>
    <t>UCY73nofrqNLuGAaN2MlThZg</t>
  </si>
  <si>
    <t>UCAnZsrzzwqidu3wxbMl-GcQ</t>
  </si>
  <si>
    <t>UCC-Xp5Y5ZlJJ02B_rHnDm2A</t>
  </si>
  <si>
    <t>UC_nFNaWCHaBplNwLaczOK3w</t>
  </si>
  <si>
    <t>UChRDim3brXnwAj_YVrfzVkg</t>
  </si>
  <si>
    <t>UCuj28Zll58sztDqLiDhzgtQ</t>
  </si>
  <si>
    <t>UCpcAFSwaub8KgAcs3as11Kg</t>
  </si>
  <si>
    <t>UCz6V6FB-_oYVzdoWODci-vw</t>
  </si>
  <si>
    <t>UC5ui0E_RpUbjPdUPiVAop5w</t>
  </si>
  <si>
    <t>UCKRJ43s0mokC9obLoI1nTYw</t>
  </si>
  <si>
    <t>UCea4Re8yzqVnsXwQsUtGazQ</t>
  </si>
  <si>
    <t>UCi8SiHrogvhlngzJZ00Nq0g</t>
  </si>
  <si>
    <t>UC3_2vuSOhyw1DkzUPvdxPYQ</t>
  </si>
  <si>
    <t>UCP5dbh_DZ0NF8fxIF6Ct7tQ</t>
  </si>
  <si>
    <t>UCdfoFB89_k9FCB_xbe5wOpQ</t>
  </si>
  <si>
    <t>UCXKnb5zqzfAIQfGXdb1e-aA</t>
  </si>
  <si>
    <t>UCey8dJ_zcujU68c1q-I_bTA</t>
  </si>
  <si>
    <t>UCYOwK6sRK5gwm8HfTVJnSrg</t>
  </si>
  <si>
    <t>UCzWd8lsefYoh42OCrg6FzuQ</t>
  </si>
  <si>
    <t>UC3wis7qwuUKLfbDM0-giubQ</t>
  </si>
  <si>
    <t>UCzKAsoWcS7vNl070Z9ixOSA</t>
  </si>
  <si>
    <t>UCrWUolRMMtMMjpfQSwQbhhQ</t>
  </si>
  <si>
    <t>UCuL2Jl6EVhfKmUSL_H4ReXA</t>
  </si>
  <si>
    <t>UCmnZjkj98IwUHky1Ig9x19A</t>
  </si>
  <si>
    <t>UCrA7z49CFx3UCgsyAJPv28w</t>
  </si>
  <si>
    <t>UCUedCYdgJ66ve3_D1dY3-UA</t>
  </si>
  <si>
    <t>UCVHH7j0zpl_ykHyul6rVrtA</t>
  </si>
  <si>
    <t>UCFiG7qr7BJXuJDn6ZlXOp3g</t>
  </si>
  <si>
    <t>UC8lIGbogm1jbSnD4HyNbooA</t>
  </si>
  <si>
    <t>UC1O_C3sOoUaOpTuCuoUzN2Q</t>
  </si>
  <si>
    <t>UClMH_Fgdumy-3-XDNbAstTw</t>
  </si>
  <si>
    <t>UCyZCL31zz2VS_ZwLcOYizwQ</t>
  </si>
  <si>
    <t>UC1nWWXBE-EBVYcdn47wo2mw</t>
  </si>
  <si>
    <t>UCVB8DW5CGrFVktK6D-j_ZEg</t>
  </si>
  <si>
    <t>UC81H953Ffpj8MMjZSRyBTCg</t>
  </si>
  <si>
    <t>UC9IBizx-tQ_f94TIlC9cFTQ</t>
  </si>
  <si>
    <t>UCqYKt8r_NmQzyzadckN3TTA</t>
  </si>
  <si>
    <t>UCMAMi60f1cG4oTCZC1M2ajg</t>
  </si>
  <si>
    <t>UCEKSp4RZga1EDUHO3fSTCyQ</t>
  </si>
  <si>
    <t>UCGOumeX-R2dKfan6hYjGR_Q</t>
  </si>
  <si>
    <t>UCZ4gb6O-G8oFU6NMNe4BXBw</t>
  </si>
  <si>
    <t>UCbbyjqjqpvOR2rHqu1XqFdw</t>
  </si>
  <si>
    <t>UCldqYEvBA1y9v2aUjbvOYHQ</t>
  </si>
  <si>
    <t>UCYtA8JGTd5LqDoyUkTG8Vxw</t>
  </si>
  <si>
    <t>UCOZZbzNiwvj308Vt-ndesKA</t>
  </si>
  <si>
    <t>UCepAjFvCvyVHQgU4M61AKlA</t>
  </si>
  <si>
    <t>UCxtg2BPPbjNRY7-Phj60AkQ</t>
  </si>
  <si>
    <t>UCB8nXFT1i5aFxRbZubQaSFA</t>
  </si>
  <si>
    <t>UCx1kUsmHclWWfc4gHILipGg</t>
  </si>
  <si>
    <t>UC-IKhof34ezgSUTiAx8momA</t>
  </si>
  <si>
    <t>UC9ww5eix1OcNSGGQ4uK7HMw</t>
  </si>
  <si>
    <t>UC2l6npgo1b7U20-hmJtimnQ</t>
  </si>
  <si>
    <t>UCPoBADpliY8LUcfd6Olojrg</t>
  </si>
  <si>
    <t>UCcpjNosa5KkoNT-uaHENZKw</t>
  </si>
  <si>
    <t>UCMfFRek-6_VUTfC2PkRIBFg</t>
  </si>
  <si>
    <t>UCDeVK6Eb3r62PcRfdHS1Xdg</t>
  </si>
  <si>
    <t>UCrpYomKlq2tRLDjkvWp7UAQ</t>
  </si>
  <si>
    <t>UC9e1IGGejltTDpgl2XPAOhA</t>
  </si>
  <si>
    <t>UCHgZ5a6Ui3iz0g8ogCYimTg</t>
  </si>
  <si>
    <t>UCh10O-jW4kG3Y2T4Nmw3GTw</t>
  </si>
  <si>
    <t>UCUumaqF5t6ik7AWqBP6rweA</t>
  </si>
  <si>
    <t>UCfmqQWx5LFQECAZs4dvpsfQ</t>
  </si>
  <si>
    <t>UCmVQ6ncEm25DaLnnh0gZ0tQ</t>
  </si>
  <si>
    <t>UCyPRRNP7xGR-xCNkeoxXSJg</t>
  </si>
  <si>
    <t>UCKfHndvkTHWpUg1S12KOLqQ</t>
  </si>
  <si>
    <t>UCsZOOKtx1ukHm6DLEZ2hq7w</t>
  </si>
  <si>
    <t>UCpz5mTSO00BcmFwtN1z3GtQ</t>
  </si>
  <si>
    <t>UC7NraZAcrZYEFHfk9eI9T6A</t>
  </si>
  <si>
    <t>UCYSvmuqB8zax0hyPkzYd5aQ</t>
  </si>
  <si>
    <t>UCHqQFxtY-Iqym3lkoFZoiCA</t>
  </si>
  <si>
    <t>UCP6bXfIFGMgTrUCh25pIP2w</t>
  </si>
  <si>
    <t>UC59EuFkhzEkOxDinXxcoH9Q</t>
  </si>
  <si>
    <t>UCq9aUYGZTkrUh5lu6doz7OQ</t>
  </si>
  <si>
    <t>UCOVpjGnVv0U9qA5XA-JlF7w</t>
  </si>
  <si>
    <t>UCn_upXGoIPCOlYwqTQGO2dA</t>
  </si>
  <si>
    <t>UCWuT2VH4pAcW1jH3hEvzOOQ</t>
  </si>
  <si>
    <t>UCmalSJlhrEDmGqrO6fML7jQ</t>
  </si>
  <si>
    <t>UCF9Fu6X_pJKQq9bbK26qmZA</t>
  </si>
  <si>
    <t>UC1VT8SUJ7yvIkE4eCzXVSNA</t>
  </si>
  <si>
    <t>UC9MyrHVQmKJ3rtGrBY26qgA</t>
  </si>
  <si>
    <t>UCsXIWxq-wO7rKz3_hRqMJKg</t>
  </si>
  <si>
    <t>UClKhTWlC_759-MNjU5RN50Q</t>
  </si>
  <si>
    <t>UCvKhuGg8JEMCwlcLItFjGMg</t>
  </si>
  <si>
    <t>UCY_Xe5SSjG6tLU1RjnGKckQ</t>
  </si>
  <si>
    <t>UCBY3f7lGn0AU9TtWpmk7rEw</t>
  </si>
  <si>
    <t>UCGMgxuHB6ctPRQr_vjBD1CQ</t>
  </si>
  <si>
    <t>UCUvJKy-A_jUE-CB6xcg9a0A</t>
  </si>
  <si>
    <t>UCpi2S8wW4xLlUCVryhyBtsA</t>
  </si>
  <si>
    <t>UCV2tpTxfOZHYZ8KzUK7fcPg</t>
  </si>
  <si>
    <t>UCt2nNvAlisAMjr7XoTeBgNQ</t>
  </si>
  <si>
    <t>UCj-9sQF1cB7Q-QJFX-DMdSA</t>
  </si>
  <si>
    <t>UCc-tlpYLqmJGMoUzl_5amxg</t>
  </si>
  <si>
    <t>UCTAW7zIqDFZZbtsQQ0I7VPw</t>
  </si>
  <si>
    <t>UC0N-2V0n8v5WcL0bYzlLyzg</t>
  </si>
  <si>
    <t>UCUGzEVYyxe-KHzPBCwWAz9g</t>
  </si>
  <si>
    <t>UC5qkJxnFkk9wQNT0CF8gFnA</t>
  </si>
  <si>
    <t>UCw9XoBldT6zfKWbsdZD_STg</t>
  </si>
  <si>
    <t>UCjUjScNyJbPQwsYf4WzJyfA</t>
  </si>
  <si>
    <t>UCfmVXZXOk2bl9GEIz-2c2vg</t>
  </si>
  <si>
    <t>UC6FejMHmWEOSVq8DZuL3AoQ</t>
  </si>
  <si>
    <t>UC6aK0gdFsT7q2t1dWCQLG6g</t>
  </si>
  <si>
    <t>UC1Jo6UXxw-hh8atJdLYQthw</t>
  </si>
  <si>
    <t>UC0OPnM1WTYZO1BFLE017DFQ</t>
  </si>
  <si>
    <t>UCl3glnLgye7nbvCmXQwDV4A</t>
  </si>
  <si>
    <t>UCsGPQOmCm3iGhBxJJjOFrYw</t>
  </si>
  <si>
    <t>UCazFovsd7uw-68oTybwdIcw</t>
  </si>
  <si>
    <t>UCWO9O83O0bH_YDzSvUYMNPQ</t>
  </si>
  <si>
    <t>UC-DtbRiglRsaf6Xoe5PZcIw</t>
  </si>
  <si>
    <t>UCjwjo_jDjfsLhaZ-S-S-vrA</t>
  </si>
  <si>
    <t>UCxD_oNefakx0TloZ_dUcOHw</t>
  </si>
  <si>
    <t>UCEfGUvCw55erPx0Hl_4zJHQ</t>
  </si>
  <si>
    <t>UCDjnHLNIAQyJ63SANDAZMcA</t>
  </si>
  <si>
    <t>UCa5GFYMNAqTtDPd3C1eusMg</t>
  </si>
  <si>
    <t>UCasqQwxjxS93Ztj04mJQd9w</t>
  </si>
  <si>
    <t>UCEwi3-J8frU_Ksz9iULh9Og</t>
  </si>
  <si>
    <t>UCsWpELe0HH1bF5GIgpDP85w</t>
  </si>
  <si>
    <t>UC9uNpqgB0PfH1-hHQrUWXyw</t>
  </si>
  <si>
    <t>UCDQ3ModxYLThd9s5rJFLwfA</t>
  </si>
  <si>
    <t>UCsV_AubhtkEoMz8Pya4DuOA</t>
  </si>
  <si>
    <t>UC4nY2iZYi4bDt3C4DhjL9yA</t>
  </si>
  <si>
    <t>UCfyo6hPA20gqCM2wbGbj2eg</t>
  </si>
  <si>
    <t>UC08N4YEI_9snLf2QYDpxt0g</t>
  </si>
  <si>
    <t>UChBXjR9FPLRxASzXCd7i1pA</t>
  </si>
  <si>
    <t>UCEAx6O0cqWjLcGtdcKqpiIA</t>
  </si>
  <si>
    <t>UCZ--oeeD0QtBOe3pySYcOuw</t>
  </si>
  <si>
    <t>UCkb6UrUqyplN6z76ub0xXVg</t>
  </si>
  <si>
    <t>UC4qfjttpd6UP5_qTFUci1Fg</t>
  </si>
  <si>
    <t>UC1i7oAb4FnGE7cYXz68vGiQ</t>
  </si>
  <si>
    <t>UCCocTrMnq50-uIERQW7A2WA</t>
  </si>
  <si>
    <t>UCRYVp_4yPKC4Tywa1ORvP4g</t>
  </si>
  <si>
    <t>UCkqKzPtumm-OrJQfjCKa6tQ</t>
  </si>
  <si>
    <t>UCMgRILlxr2oQzOrkC_i0Bzg</t>
  </si>
  <si>
    <t>UCIoUXqqg6rBfG9e2qJN1qgw</t>
  </si>
  <si>
    <t>UCjVS_wIz8rJwt0ZJarqXYBA</t>
  </si>
  <si>
    <t>UCPKl-4XagyUFqutVVJlfWyA</t>
  </si>
  <si>
    <t>UCSqHaaSAvjhc9G0zUUR1VLQ</t>
  </si>
  <si>
    <t>UCWt7C7KnugGkm-lS2gycdhA</t>
  </si>
  <si>
    <t>UCHmLYR8blx6ZXV914mh7qpg</t>
  </si>
  <si>
    <t>UCouHa9uAFpMlZPKy0BEvKwQ</t>
  </si>
  <si>
    <t>UCfO2oAdLLl9hjtmjWu3t9sA</t>
  </si>
  <si>
    <t>UCOFCG8J8KDcWHmesYNBx_Uw</t>
  </si>
  <si>
    <t>UCcJg-G_tlHxgQZJGr0KZ3Pw</t>
  </si>
  <si>
    <t>UCzvNe-7kXLj2ZTAXJAQJIOg</t>
  </si>
  <si>
    <t>UCBXotngAFT-8USdGWv0E9DQ</t>
  </si>
  <si>
    <t>UC_JSsEJaYoOVf-xnzCq_LtA</t>
  </si>
  <si>
    <t>UCTYsA3eCyhfw6zd9U8L_r9g</t>
  </si>
  <si>
    <t>UCo6BTzM0BXygo_sOLazk6hA</t>
  </si>
  <si>
    <t>UCpCsZ_EFh-hzlrKK8ZKhW3A</t>
  </si>
  <si>
    <t>UCv6VjyUvQtXAU6IEJiMAHTg</t>
  </si>
  <si>
    <t>UCvcVKczRueLbgvVcGECrwSQ</t>
  </si>
  <si>
    <t>UC9G9dVamsElry0sbeKX1hjw</t>
  </si>
  <si>
    <t>UCJwhZJy9UhfZvlLS2Xy-1Qg</t>
  </si>
  <si>
    <t>UC3-4MtjwR6fSIa31KudmL0A</t>
  </si>
  <si>
    <t>UC7h3w17ciIbjjr84AaK4h1A</t>
  </si>
  <si>
    <t>UCzw35O6toJtjqEAAt4LTjKQ</t>
  </si>
  <si>
    <t>UCgEOYmQ08o18vSqEj_17Eaw</t>
  </si>
  <si>
    <t>UCuyd-GPDK2RP7qeLCe7A94w</t>
  </si>
  <si>
    <t>UCxB2skx9iZ8ZAm7mu4QC28Q</t>
  </si>
  <si>
    <t>UCMQ_EpT5AmKAgUMBYPASPiA</t>
  </si>
  <si>
    <t>UCVlmPeHJPOvE2zGIZ8RCUow</t>
  </si>
  <si>
    <t>UCJHULpAPVZZtdA4mm_gggeg</t>
  </si>
  <si>
    <t>UCRKdzM4CF31FK3k8keEb76Q</t>
  </si>
  <si>
    <t>UCBTj1tYhkwOJX0xJ0POG8yg</t>
  </si>
  <si>
    <t>UCu6oT-LaHX7CFztFKAI6aqg</t>
  </si>
  <si>
    <t>UCd2CBMSZfehum13I_SLM9AQ</t>
  </si>
  <si>
    <t>UCzlVB0ShqVAAGZ20ltvl4Xw</t>
  </si>
  <si>
    <t>UCeE1i5EtxDq_BE2xqeNyU4w</t>
  </si>
  <si>
    <t>UCyASJeOjsz623GE8pmrSJIg</t>
  </si>
  <si>
    <t>UC_tO4HnFycFEXozmUzmlBbA</t>
  </si>
  <si>
    <t>UCnDqw7new8iJpOidPZ6R3DQ</t>
  </si>
  <si>
    <t>UCPjF_ygkYcgvfl_-dg8ZqdQ</t>
  </si>
  <si>
    <t>UCkntUpls2zcowZL3nO9mw3A</t>
  </si>
  <si>
    <t>UCiVwphwkwQINIEhghW0BvAg</t>
  </si>
  <si>
    <t>UC_r97qKpSCev03bfqvSB_Lw</t>
  </si>
  <si>
    <t>UCRS2BahLemI8xAxiV-QZOoQ</t>
  </si>
  <si>
    <t>UCDozv1UqkRxY39u4CwHGbzw</t>
  </si>
  <si>
    <t>UCrYcRwqeTwjEgf9dgOtCoHw</t>
  </si>
  <si>
    <t>UC6-PqkyEfNkefHHjORW2jgA</t>
  </si>
  <si>
    <t>UCMaICWtgvwvd98Wp3vCjZ9g</t>
  </si>
  <si>
    <t>UCg964rdrzNxfTyyfTZFsirQ</t>
  </si>
  <si>
    <t>UCodefuC8pG8MkkW5dHitnqQ</t>
  </si>
  <si>
    <t>UCY0x_lcvIqPsNZossNoMt9Q</t>
  </si>
  <si>
    <t>UCga22T1lweq-TmfzzGkyITQ</t>
  </si>
  <si>
    <t>UCz5fxZjG0LZNMq6QcW5VqYw</t>
  </si>
  <si>
    <t>UC7ALdzkbQNRQKHwJxV2a5gQ</t>
  </si>
  <si>
    <t>UC9ek5qZ1resjh0FqSbw9JMg</t>
  </si>
  <si>
    <t>UCXg9VlZz5c3O6t17LPMitzA</t>
  </si>
  <si>
    <t>UC-n-RvfScuFgKy47pUOrvRQ</t>
  </si>
  <si>
    <t>UCjA3bY5YExTknjGrI7Ta0GQ</t>
  </si>
  <si>
    <t>UCHyQbvXJ_YgQxxFTnMOjPMw</t>
  </si>
  <si>
    <t>UCrjlBooVMDiDNnJBRKmCnTw</t>
  </si>
  <si>
    <t>UCrthViLN3AFsHhb_k4qZ28w</t>
  </si>
  <si>
    <t>UCmCOfHxrryLPtOlMfdayJmw</t>
  </si>
  <si>
    <t>UClXnmRtaoqVtU8zkNi3UYnA</t>
  </si>
  <si>
    <t>UC9A3kW89pTj9yVPbedY3WMg</t>
  </si>
  <si>
    <t>UCJfp6YCPhstW-4q9X7PNy7w</t>
  </si>
  <si>
    <t>UCynCiHFhe066Pvtpe_wqCHA</t>
  </si>
  <si>
    <t>UCiNsy67tYayVm0rCcKdrA6Q</t>
  </si>
  <si>
    <t>UCI0A2pogaQg0eoFPS0r6lzA</t>
  </si>
  <si>
    <t>UCV17MET_rZQYUQEwGyp0k0g</t>
  </si>
  <si>
    <t>UCdvRl7bTUfcWYYkJQuuDPLg</t>
  </si>
  <si>
    <t>UCahlLFC5FDxMUhfCBP2NY8A</t>
  </si>
  <si>
    <t>UCe3BqwRj_MONvyV2bCXKXbw</t>
  </si>
  <si>
    <t>UC4Bt7kAFyM-c2xesW3FaEqA</t>
  </si>
  <si>
    <t>UCemy3dAAaElWSJ7-00NrmRw</t>
  </si>
  <si>
    <t>UCjusT1x9bPDiqUUnFnQSCTg</t>
  </si>
  <si>
    <t>UCN4k3rQiExmOxEErcrY6cLQ</t>
  </si>
  <si>
    <t>UCn7xnblhmCmstAZ8_Yh3XOA</t>
  </si>
  <si>
    <t>UC9CNRJnZjYX4u8KFoCX-pLw</t>
  </si>
  <si>
    <t>UCZZhfDZvCFbd38LF3zNW3cw</t>
  </si>
  <si>
    <t>UCJUI77o9_VMx_AWxiMDtkjQ</t>
  </si>
  <si>
    <t>UC-yDhOUeGmKqX0aTVn-fAMw</t>
  </si>
  <si>
    <t>UCvXJsjQlOw5X3MUHJe1780A</t>
  </si>
  <si>
    <t>UC0eObQCW3jvotk4hERUfeew</t>
  </si>
  <si>
    <t>UC7YUrsXvsWdidfUNjDUOACg</t>
  </si>
  <si>
    <t>UCjagdique_a5HkaNhy8mAcg</t>
  </si>
  <si>
    <t>UCMhaltVYpOydK5UciK3xIXw</t>
  </si>
  <si>
    <t>UCpt3nYYT9tQw3M_fp25RrZw</t>
  </si>
  <si>
    <t>UCais_dHy20NRPGnUO5J75EQ</t>
  </si>
  <si>
    <t>UCrV75AUrGAzyFysMs2RUtUQ</t>
  </si>
  <si>
    <t>UCUkISod6tzaYaG6Z_vMDOuQ</t>
  </si>
  <si>
    <t>UCpH-ILyduTkw2Va6Hc7tvAw</t>
  </si>
  <si>
    <t>UCt5n1pHee5qHBuDDhDxzXoA</t>
  </si>
  <si>
    <t>UCKxFnLZHM3IbN7ndGEZMcyQ</t>
  </si>
  <si>
    <t>UCsncOB1FfcZkKd1KqDU2PLA</t>
  </si>
  <si>
    <t>UCR_g7cfpdyh_cEO2V3MKGYA</t>
  </si>
  <si>
    <t>UCBVWazXUuaH_UjzshktHWLw</t>
  </si>
  <si>
    <t>UCrgzE_KucRuZCKkQrfYActg</t>
  </si>
  <si>
    <t>UCpP27s8UqA9s0RYMW7mPjxQ</t>
  </si>
  <si>
    <t>UCx4QhF9CoOESVrPHP-NCUag</t>
  </si>
  <si>
    <t>UCUc_keR0M1WXez70Ur2gluw</t>
  </si>
  <si>
    <t>UCuSonTbArCftSfRD-xsEWOg</t>
  </si>
  <si>
    <t>UC8CSCA2zhQIXsJ15ixWm8QQ</t>
  </si>
  <si>
    <t>UC3tRLIiVt1HdFsfJQu-9rzA</t>
  </si>
  <si>
    <t>UClEV2WmLx-PwDiWGaub2Kmw</t>
  </si>
  <si>
    <t>UCf5BpzjGuojYdpNs9HM1VNA</t>
  </si>
  <si>
    <t>UCIBqs61ZzCJ4ggfNvFJS2ig</t>
  </si>
  <si>
    <t>UCnnEfFm4zRxfxsWrefHPsjQ</t>
  </si>
  <si>
    <t>UCB0yvSilXjLZ7ENtp9xiG0w</t>
  </si>
  <si>
    <t>UCyOFq3Tp48Uw7IBV8S7T9Ww</t>
  </si>
  <si>
    <t>UCcJIbBQj1-oLMk28LyGhpIQ</t>
  </si>
  <si>
    <t>UCBqVXri5tkyN9yrvoh5wFzw</t>
  </si>
  <si>
    <t>UCpxH8qcwTTyAQTBm8Z-Mneg</t>
  </si>
  <si>
    <t>UCOms6tTgMa7XTFZFvW763cQ</t>
  </si>
  <si>
    <t>UCRRWCF7EU9KofmgC9Wg4qBQ</t>
  </si>
  <si>
    <t>UCZ1AV7odeYSdlJ12hQMJ-aQ</t>
  </si>
  <si>
    <t>UCjDlpzWetSl0itxJlewq3sg</t>
  </si>
  <si>
    <t>UCqvHFSJIuOlBQw7LPUTPHaw</t>
  </si>
  <si>
    <t>UCBRReKiaDBTYszlLLH-PArQ</t>
  </si>
  <si>
    <t>UCNVuLKaKdDhJSbZzdRvgrxQ</t>
  </si>
  <si>
    <t>UCAqlE9ynxgCcynxbkSqCgVw</t>
  </si>
  <si>
    <t>UCwWulKRaMSsCHfrZtI4MHwQ</t>
  </si>
  <si>
    <t>UC1r3ylHAfLDocOkOuWIXCeA</t>
  </si>
  <si>
    <t>UCdDZWpYGr61kw3nRiTKLIMw</t>
  </si>
  <si>
    <t>UCb1iqYSU74A8lS_4sW0VqNQ</t>
  </si>
  <si>
    <t>UCzYbHm5Zy3ne66ZO3LK1b0g</t>
  </si>
  <si>
    <t>UCDblfXrCFHCjypoRMzVgSYg</t>
  </si>
  <si>
    <t>UCAg8WBou9jKrAudUJD51ZDg</t>
  </si>
  <si>
    <t>UCrMF6MeCt7wcb-UwMJiN6Cg</t>
  </si>
  <si>
    <t>UCN8IIIzLmsKsutgr-a7dyXw</t>
  </si>
  <si>
    <t>UCalh77UMP-7Va42ahoFHnZA</t>
  </si>
  <si>
    <t>UCAZD_s3_XGcRKm3wGNbpxSQ</t>
  </si>
  <si>
    <t>UCYvNQWoXtr5G9nO9WwyadNA</t>
  </si>
  <si>
    <t>UCGn9cTrxfHXjlQJJIch6vHQ</t>
  </si>
  <si>
    <t>UCGZ6UGw85wN55DfejQO2Lrw</t>
  </si>
  <si>
    <t>UCZglK0Bhcs6dKAu4C0uIEcA</t>
  </si>
  <si>
    <t>UCbP449RtHbxn2mG_GKuo4IA</t>
  </si>
  <si>
    <t>UCu0t2ivGZto6yHskTBkfUEg</t>
  </si>
  <si>
    <t>UCNDJJCDsJ2dxBZKcAKikKJw</t>
  </si>
  <si>
    <t>UC2svJeLsPyo9heb26GpBu6w</t>
  </si>
  <si>
    <t>UCylag9fHcX-spo_jLmZHpdw</t>
  </si>
  <si>
    <t>UCqpt3eXca0Y63BQ0go8WP3w</t>
  </si>
  <si>
    <t>UCpGBEbbsWctGAP59wXKuj-g</t>
  </si>
  <si>
    <t>UCDqBKe_pD1dMRCeo6TJXFlw</t>
  </si>
  <si>
    <t>UCSpmMMKzX6aESUld5YgbssQ</t>
  </si>
  <si>
    <t>UCJOSZDgVu_jr9TL4XABjPRw</t>
  </si>
  <si>
    <t>UCkp62NfpNRrZtpTZR7GnyVA</t>
  </si>
  <si>
    <t>UCk9FuP7t29sHuCVVi17I4Xg</t>
  </si>
  <si>
    <t>UCedJuLWe4xLTOuD_rLNdc6g</t>
  </si>
  <si>
    <t>UC5YKcUgGxBzudgsW5aC6ySA</t>
  </si>
  <si>
    <t>UCM_ldke0A2IINyde-gUMUcQ</t>
  </si>
  <si>
    <t>UCBMUQhzF311FusaMJFrgM8Q</t>
  </si>
  <si>
    <t>UCChmJrVa8kDg05JfCmxpLRw</t>
  </si>
  <si>
    <t>UCdNiWWwtjtZXQU88QIY-k1g</t>
  </si>
  <si>
    <t>UCQSnJ9pCScLTRG40n7l2oOQ</t>
  </si>
  <si>
    <t>UCCkXRf_LbxdAX5hBp018cIg</t>
  </si>
  <si>
    <t>UCh7x6d9ImAEc3uhVJPLp64Q</t>
  </si>
  <si>
    <t>UCI0c341HaQ9KPft_ZZZUULg</t>
  </si>
  <si>
    <t>UCE6olusNOY-YmBoT9ArfjGg</t>
  </si>
  <si>
    <t>UCr3TboR7Q7seWiGw2OJj4jg</t>
  </si>
  <si>
    <t>UCFQm18T_5d6Je4hVxgYNWvA</t>
  </si>
  <si>
    <t>UC0vBx62AswEBDYSKKS-uiEA</t>
  </si>
  <si>
    <t>UC32EuT-Yf37PUMy9KNitKqA</t>
  </si>
  <si>
    <t>UCC9T_3n1VzC-AIjLMmdg4Vg</t>
  </si>
  <si>
    <t>UCIlIhmZJI8xvwpYoeJI7y2Q</t>
  </si>
  <si>
    <t>UCT5KtvsZ0KIDax8ttzbSGHg</t>
  </si>
  <si>
    <t>UCroOaW8bUO6HT3JEaLLARzA</t>
  </si>
  <si>
    <t>UC_WobLRxDqdI8kO0gy0T6Rw</t>
  </si>
  <si>
    <t>UCj4EmsgR4hreQSscjPCbAOg</t>
  </si>
  <si>
    <t>UCHvOwgKMW_9Gj8Hz1zWKbFw</t>
  </si>
  <si>
    <t>UCcutVF5EuVy0H7boR07_aIA</t>
  </si>
  <si>
    <t>UCEkC1FiBDvknfth8AbrjwIA</t>
  </si>
  <si>
    <t>UCOzOLwulhQc9LLqSUTiebOA</t>
  </si>
  <si>
    <t>UCEWLP1vMpuXLbGjU0_sWLbw</t>
  </si>
  <si>
    <t>UCOscL_Oj7gn_JQ9Jx54Adrg</t>
  </si>
  <si>
    <t>UCcjKf634z6kU6pyLkVP6xYg</t>
  </si>
  <si>
    <t>UC-nI9z5MBOTbIsYMElGzkXg</t>
  </si>
  <si>
    <t>UCxHJuXSdSyNvuWpSHQpXr_Q</t>
  </si>
  <si>
    <t>UCJp5dW9c5PbaloVwaiOBydg</t>
  </si>
  <si>
    <t>UChEmN4yLCOqyaa-8-D-muYg</t>
  </si>
  <si>
    <t>UCWFWEBbTsPM84G7bPKSvYrA</t>
  </si>
  <si>
    <t>UCuyPO8QsIO1qlR9Np8qXY2w</t>
  </si>
  <si>
    <t>UCr57uNlkRtWt8IqMOvUSYKQ</t>
  </si>
  <si>
    <t>UC29BkgrcixDqhPRylMeeV3A</t>
  </si>
  <si>
    <t>UCzQNZabwV3L6mD6YLjSdBKA</t>
  </si>
  <si>
    <t>UCJlWfg-WnbLMl8-YvgpCE5A</t>
  </si>
  <si>
    <t>UCKTmQriO9OorGm-YfaRDNeg</t>
  </si>
  <si>
    <t>UCGIjNfvFhyUlb0OLTokXW0Q</t>
  </si>
  <si>
    <t>UCLptYRgaD1Ynj7omwyHCTzQ</t>
  </si>
  <si>
    <t>UClagDKaZSGz5YdHmAquJVjg</t>
  </si>
  <si>
    <t>UCOxae9H1Leuli_-4Ewt7WoA</t>
  </si>
  <si>
    <t>UCeG7XTfHT8SFNdPiqJntF7g</t>
  </si>
  <si>
    <t>UCqtLKDwnnznReFh29GSUylQ</t>
  </si>
  <si>
    <t>UCxlvgdN89Sub1GsROlpBhGg</t>
  </si>
  <si>
    <t>UCfaFFkQzaH0WkmQJdTlfxLQ</t>
  </si>
  <si>
    <t>UCCwt6PDivCeJ9dnQz5jtIqQ</t>
  </si>
  <si>
    <t>UCOUz7ePApCuqBx23qFyAqog</t>
  </si>
  <si>
    <t>UCh1WUiQDml4jWqBlvHBoGcQ</t>
  </si>
  <si>
    <t>UCVYRV6AOvR-NFPTkzcScxRg</t>
  </si>
  <si>
    <t>UCfuUqvwgCOhDKRRnxHVhBow</t>
  </si>
  <si>
    <t>UCy1AgAHcuV4sPaHvRYahWaw</t>
  </si>
  <si>
    <t>UCq-oIrCIna7w7pKb30mBmlA</t>
  </si>
  <si>
    <t>UCL6OmfZMdTxU5g_WC8kvqfQ</t>
  </si>
  <si>
    <t>UCUlwUXDeJgGL4hToJuw_jmQ</t>
  </si>
  <si>
    <t>UCoJdeLq-x4yGLLgvzv-GC1Q</t>
  </si>
  <si>
    <t>UCauukPEzF2ou6pEwqxUjLSA</t>
  </si>
  <si>
    <t>UCsQtUuShXmjxjoz-pTlknsg</t>
  </si>
  <si>
    <t>UCde-2tSxawPq4T05Nt773rQ</t>
  </si>
  <si>
    <t>UC8Z5RV0Hkr9go1GE-PevsEA</t>
  </si>
  <si>
    <t>UCuLYvuN02wTcf3VbpC6HEKQ</t>
  </si>
  <si>
    <t>UCbvf_c50z3jglQY0zApt-bw</t>
  </si>
  <si>
    <t>UC6kISSTgfIBIiSXmsNr3Epw</t>
  </si>
  <si>
    <t>UCXBM9Ddl98fKsXMkzlNdciw</t>
  </si>
  <si>
    <t>UCu0HI0THVGFWA6y12gb8G0g</t>
  </si>
  <si>
    <t>UCrp84jQYkyVCp4NmrI24dVQ</t>
  </si>
  <si>
    <t>UC_k9oNcxOyIww6Wfkywz-eg</t>
  </si>
  <si>
    <t>UCNxHAnlh3DBKJLjMxRdUQ8Q</t>
  </si>
  <si>
    <t>UCHg6JlboXvQbGnIs1Gk9Eow</t>
  </si>
  <si>
    <t>UCMuRS67FNmbdDtjCK497IwA</t>
  </si>
  <si>
    <t>UCaF-CptgKW8spHo8AjMb_cA</t>
  </si>
  <si>
    <t>UC92yaHPWPqQAbHKF7JlTVmw</t>
  </si>
  <si>
    <t>UCPR8WpGLNwNdXn6M9L9ZmlQ</t>
  </si>
  <si>
    <t>UCTMzJcvae3ZSMvcA19qL48A</t>
  </si>
  <si>
    <t>UCnU1L84KQPs_YRzwy74S5Zw</t>
  </si>
  <si>
    <t>UCxjISGNAqOVQcs7bKZnwtYg</t>
  </si>
  <si>
    <t>UCIM9BZfECnPzEmq1MZ-hkNA</t>
  </si>
  <si>
    <t>UCnVUsSyJETHr47qix98BLyw</t>
  </si>
  <si>
    <t>UC8MPsIdAKq8K4DkORZFgyIg</t>
  </si>
  <si>
    <t>UCbn0o14sHGlTuzE1LbD7bwg</t>
  </si>
  <si>
    <t>UCoFX7c_olUVwe9icHC3BoKg</t>
  </si>
  <si>
    <t>UCsBz1VoqYcEKtJYs8w4rAUw</t>
  </si>
  <si>
    <t>UC9vA08aYoklOWcjguh1641A</t>
  </si>
  <si>
    <t>UCf9StUUEcbRpbvpdKx5eS_g</t>
  </si>
  <si>
    <t>UC16uWNAJTKSm9_Tt7YJ5IKA</t>
  </si>
  <si>
    <t>UCPPiQEcnCszqZ-5wEb06BjQ</t>
  </si>
  <si>
    <t>UC4pWDw0ictSJ6GDbrlqvaEw</t>
  </si>
  <si>
    <t>UCwtxU9uvjBWFRXQoFthMBMQ</t>
  </si>
  <si>
    <t>UCjXpmh7lBKlgJAn1cx2CcwA</t>
  </si>
  <si>
    <t>UCYcTUKRTJsQ32h6mL8bSPzA</t>
  </si>
  <si>
    <t>UCPtEVCTHvPxE8i8cIirX94g</t>
  </si>
  <si>
    <t>UC_p5Y4QaX5JbEqaIQXBPGEA</t>
  </si>
  <si>
    <t>UC5RW2sy-lZDqXo1FP6N3zvg</t>
  </si>
  <si>
    <t>UCjVse9i1SD8vg5ycrKPFWSg</t>
  </si>
  <si>
    <t>UCqlhc3yKv6Zhwry8cZu019A</t>
  </si>
  <si>
    <t>UCwMt0LoYO3XTkdZmzFOS0qw</t>
  </si>
  <si>
    <t>UCvjj5eoI0TuZE6sr6BjIq4w</t>
  </si>
  <si>
    <t>UCXTt53t4H4g0Qw4heBhbAxg</t>
  </si>
  <si>
    <t>UC7rPccatXfcuLxiUPzm9AyQ</t>
  </si>
  <si>
    <t>UCMADTa2I09LMVKJhGgvfAlQ</t>
  </si>
  <si>
    <t>UC1Fc-8RLxmoi6Tw9cbNoxxQ</t>
  </si>
  <si>
    <t>UCTfiGc39Na9MC0uVGz_vSiA</t>
  </si>
  <si>
    <t>UCA2zX_BsZyxwKEbHQkmxFMw</t>
  </si>
  <si>
    <t>UCB0Nf7zhLXsAVgPwU4HIO-A</t>
  </si>
  <si>
    <t>UCUIS1iggyRjSrt0vyIUfKaw</t>
  </si>
  <si>
    <t>UCBvPQLjFXFxmG--X8PftWBQ</t>
  </si>
  <si>
    <t>UCBc95pEmmGpyseMo1ZNphCg</t>
  </si>
  <si>
    <t>UCZvlUoz1ajwES9Bhxz6hFRg</t>
  </si>
  <si>
    <t>UCHpyuZr94fqLTeLBGmEM0GA</t>
  </si>
  <si>
    <t>UCg_s_KTTPhQGYhzqrTUJatQ</t>
  </si>
  <si>
    <t>UCMT54iAjwSTEtDaNys0aqTA</t>
  </si>
  <si>
    <t>UCH3bOkIzCdFmKX6wk7AOBxw</t>
  </si>
  <si>
    <t>UCnbD79UM-eP4HjIDWlGuHtw</t>
  </si>
  <si>
    <t>UCEEzwrDdpMjHqBiyx2u5Ecg</t>
  </si>
  <si>
    <t>UCn9C9bieTyXcLh5mjXIfxdQ</t>
  </si>
  <si>
    <t>UCuijqghAS1tK6yWw8-1vrJQ</t>
  </si>
  <si>
    <t>UCI0csZlKsyJunqjtQ8wUx3A</t>
  </si>
  <si>
    <t>UCkuqglFoknU76TNpZXN5q-Q</t>
  </si>
  <si>
    <t>UCR-BKmDfgTZQ5wpYEJ3TMeQ</t>
  </si>
  <si>
    <t>UCObnYvlwpQke-H9X6clC9-g</t>
  </si>
  <si>
    <t>UCABmVi-7_WjIgKpTjhHeNCA</t>
  </si>
  <si>
    <t>UCUsoHKEYnqwTJl_mKmBf9Rw</t>
  </si>
  <si>
    <t>UCm6eKegXi49Orc15SeRbSww</t>
  </si>
  <si>
    <t>UC0yinjLu8vFP-F4nI6aOOuA</t>
  </si>
  <si>
    <t>UCEsuQdxKl5LkDJXYQqkniow</t>
  </si>
  <si>
    <t>UC9aI61j2OtICfHK7UX-L_6A</t>
  </si>
  <si>
    <t>UCga81_b1mgyDzBI-kqx9QiQ</t>
  </si>
  <si>
    <t>UCdvefeTvqpkylqCnNbksYxg</t>
  </si>
  <si>
    <t>UCYBGuI6-V6py9oTCAAmaYhw</t>
  </si>
  <si>
    <t>UCHV8r7zUOCnX3Mrf2rwPuhw</t>
  </si>
  <si>
    <t>UCR6YPyVyMgBE3lUsznemoLQ</t>
  </si>
  <si>
    <t>UCGVC65F9Je7bYNviR5YW9zQ</t>
  </si>
  <si>
    <t>UCrecfWERZb6mMnHxK3x_rWw</t>
  </si>
  <si>
    <t>UCUiM4hQNJoigEMWrfpU3FZg</t>
  </si>
  <si>
    <t>UCU7FaIrdYmD012X3qaDrm-A</t>
  </si>
  <si>
    <t>UCFwKAbKGtLj4AMfHGklWy8Q</t>
  </si>
  <si>
    <t>UC1MXSdwuLo5-rQffzlKX47g</t>
  </si>
  <si>
    <t>UCC2Wokt_vcpDUA_AsvznPoQ</t>
  </si>
  <si>
    <t>UCgrePp2L4VqrhgfhfXLJwTg</t>
  </si>
  <si>
    <t>UC_AJos-p18VTEkV4jif7iAw</t>
  </si>
  <si>
    <t>UCXBX0R2Qo6bypx0dj4SHDuQ</t>
  </si>
  <si>
    <t>UCdMQVFPaa2MCb7jPnGweS4w</t>
  </si>
  <si>
    <t>UCfimDg9vGDszVWgnjMUhAfA</t>
  </si>
  <si>
    <t>UCtNUkW7hMvTRDATKnSlc-rg</t>
  </si>
  <si>
    <t>UC06QJEB1HtLHOoOAjFazwug</t>
  </si>
  <si>
    <t>UCUTOoz69-1q_ufeMsYYef8A</t>
  </si>
  <si>
    <t>UCrR0R4cw2h0UbA9p6xtg0-g</t>
  </si>
  <si>
    <t>UCLlhVR0KgGbUwMXt3vMH1_A</t>
  </si>
  <si>
    <t>UC0aM9fwXR6J7pOIAZ-XgApA</t>
  </si>
  <si>
    <t>UCE43WLnnJlOaC45v3ZFPEDQ</t>
  </si>
  <si>
    <t>UCLmlXI2pNOKg6VMB19JawBA</t>
  </si>
  <si>
    <t>UCpMH0gwyPZw20r90Lv6zB-Q</t>
  </si>
  <si>
    <t>UCcsF8_zRfgaWu-Es7km-_3w</t>
  </si>
  <si>
    <t>UCTw6uOBFH_0BRnZTX-JPZug</t>
  </si>
  <si>
    <t>UCG9m7Ckfrl0gCVlIEtg-XFg</t>
  </si>
  <si>
    <t>UChxQC64ox3svsNl5ZuC_1_Q</t>
  </si>
  <si>
    <t>UCmvpm8VUt3Ap_m5DZ0SmLMA</t>
  </si>
  <si>
    <t>UCS4EkOySNCFV1-voB9D1DSQ</t>
  </si>
  <si>
    <t>UCsQgqiB9Z1acmLn0C6RZE0g</t>
  </si>
  <si>
    <t>UCKprxg2qfiF1fYQltZi8c_g</t>
  </si>
  <si>
    <t>UCFqKRQiwNzhSD4y9Ll63dVw</t>
  </si>
  <si>
    <t>UCBRiCdhKaBRg8g-hg3PYJmQ</t>
  </si>
  <si>
    <t>UCBE0dR3HZ-ZX1oLMcU9Gi2A</t>
  </si>
  <si>
    <t>UCSy3PdFPFvIj-1W__dllr7w</t>
  </si>
  <si>
    <t>UCECGLK59w2Zs1e-Uax0tFTw</t>
  </si>
  <si>
    <t>UCl4QoIuyQR49s34gNFv_f3w</t>
  </si>
  <si>
    <t>UCteovWj1E9FQffb-1sfk3mw</t>
  </si>
  <si>
    <t>UCmVZ59K2NuIAE-rYLU3Ge-g</t>
  </si>
  <si>
    <t>UCYCV7YVe3uSQQinilo94uKA</t>
  </si>
  <si>
    <t>UCyT7javQ80OHH64YgMF3oNQ</t>
  </si>
  <si>
    <t>UCcqkpR8RI44TQIyzVn-L3gw</t>
  </si>
  <si>
    <t>UCEogJO9k8gyo4PXisfJdm1Q</t>
  </si>
  <si>
    <t>UCt0zzjdburpnn56SUWl5iQQ</t>
  </si>
  <si>
    <t>UCUBep7htYfdiMAGMZ9JRDHA</t>
  </si>
  <si>
    <t>UCduvt26R3ba_RqugodBSDnw</t>
  </si>
  <si>
    <t>UCeei1L64lmQptmrlHFisw2Q</t>
  </si>
  <si>
    <t>UCHdMLBhB_jDtSxxwzWowhlg</t>
  </si>
  <si>
    <t>UCrddB8xGvtdbrXUw0frCokA</t>
  </si>
  <si>
    <t>UCY83L4ntOaUWxoE0Zhyh3bQ</t>
  </si>
  <si>
    <t>UCpSzMrVC36NictxkhZR1Kpw</t>
  </si>
  <si>
    <t>UCakdd02jzfgmsXVsKbsKXfw</t>
  </si>
  <si>
    <t>UCN8ZbPs-1KR4AcL5MiyvJwA</t>
  </si>
  <si>
    <t>UCNOXnvbV9jd-XYz8eYyQuUA</t>
  </si>
  <si>
    <t>UCn3OaQ46pHuXNoaMxMaGi7w</t>
  </si>
  <si>
    <t>UC8REArs1rWyEV6WaalYM8ag</t>
  </si>
  <si>
    <t>UCWk8q66nx_ehEd4v3q8497g</t>
  </si>
  <si>
    <t>UCkki2wtVlIS443UyedakhLA</t>
  </si>
  <si>
    <t>UCXkVshSFepeAapoypdXx2Mw</t>
  </si>
  <si>
    <t>UC9zMTDUuR_qZ_vOuC6f5O-A</t>
  </si>
  <si>
    <t>UCZysckbZJmTXJ0feCqUKrRg</t>
  </si>
  <si>
    <t>UCKtEEYVsJk8gOruyr92IhbQ</t>
  </si>
  <si>
    <t>UC25WvYlX5yfYlTkCU5TVI3w</t>
  </si>
  <si>
    <t>UCLc_5tql1N2qoamnwG9v_lA</t>
  </si>
  <si>
    <t>UC63N6RDraqJqKDL39dmlWcQ</t>
  </si>
  <si>
    <t>UCFldDMP8jS3XvM44eqvxjLQ</t>
  </si>
  <si>
    <t>UCg8gmNHIVXl86EY_U6lqbLw</t>
  </si>
  <si>
    <t>UC3PKj6TrcbEAuTfeUjFSeQw</t>
  </si>
  <si>
    <t>UCVouVYeLakGbFacfnA1c-Cw</t>
  </si>
  <si>
    <t>UC46_-jsLvYWlkJ-yYjpDZxg</t>
  </si>
  <si>
    <t>UCVMMfGWa4pUdGWqSDyx2eaQ</t>
  </si>
  <si>
    <t>UCaHIhhEabcrJRioNKYCFxpQ</t>
  </si>
  <si>
    <t>UCy_oIfkfDyoGpyObuiK9MZQ</t>
  </si>
  <si>
    <t>UCdPoL0JWA9Rdfjy8nn-tVyw</t>
  </si>
  <si>
    <t>UCd0746EM7f7USdWjdDFm0iw</t>
  </si>
  <si>
    <t>UCLBy3SGxGHxQy0P_LBG_7jw</t>
  </si>
  <si>
    <t>UC4O_nJaUbyRyYBRGO5GzHaw</t>
  </si>
  <si>
    <t>UCu4hdd30_lYnx4AD-kUyRAg</t>
  </si>
  <si>
    <t>UCg-2R1icN51wHm8oFKzsEWw</t>
  </si>
  <si>
    <t>UCk2SmYzV22BD7xiRyb0IXOA</t>
  </si>
  <si>
    <t>UCRpxYg4lBuCzsrE2ACFc8ZQ</t>
  </si>
  <si>
    <t>UCi9r5igvQblbI0PhJFj-IDg</t>
  </si>
  <si>
    <t>UCOqd54G4pLzigewdwGsdBdw</t>
  </si>
  <si>
    <t>UCg3LNMpW2sgZc3nthsbsfzQ</t>
  </si>
  <si>
    <t>UCqWr0wkWLW-s1coJddWaFIw</t>
  </si>
  <si>
    <t>UCogp7ZK90HTSplJxiEYyg0Q</t>
  </si>
  <si>
    <t>UCGy4jfe6myJyucRz_fWJbJQ</t>
  </si>
  <si>
    <t>UCXltj5A7xW_D2g0gmlJbs3A</t>
  </si>
  <si>
    <t>UCPIyb2_im4qMhI2hNm-AzHw</t>
  </si>
  <si>
    <t>UCwfRJ5abKSveqRkAMGKazLw</t>
  </si>
  <si>
    <t>UCEF31PMhb9XJmDg3Cecs9Ig</t>
  </si>
  <si>
    <t>UClCY_EjksrZlw1totn9dT7A</t>
  </si>
  <si>
    <t>UCk9P9FH37GNzqIcP_4WcUEg</t>
  </si>
  <si>
    <t>UCFX2I9nmxAfOkRHlCD3g0iQ</t>
  </si>
  <si>
    <t>UCz_1ZFdddzJaM14jE9lHF6Q</t>
  </si>
  <si>
    <t>UC4PBmgsnt4PuxwPfQ0NBxHA</t>
  </si>
  <si>
    <t>UCEq_f4q_3MQJlGOLrGfXKmQ</t>
  </si>
  <si>
    <t>UCLYeOQfyYjcho15H6-Uv9KA</t>
  </si>
  <si>
    <t>UCLgz497wS67kdNDhot6wT_Q</t>
  </si>
  <si>
    <t>UCHjx-SNdsXuU73yiWwHt6Zg</t>
  </si>
  <si>
    <t>UCdv48KenG3dqDLRxycBjn4A</t>
  </si>
  <si>
    <t>UC8FpigDu4zir3CX0swW79og</t>
  </si>
  <si>
    <t>UCVz2ij6Q36zLwKrahXi-PAg</t>
  </si>
  <si>
    <t>UCYNHtTzYyHi42GziGrjb02g</t>
  </si>
  <si>
    <t>UCK9eVqJG07tpuQEadDlnwJw</t>
  </si>
  <si>
    <t>UCzYHvcsLULgdNROmynQWzWA</t>
  </si>
  <si>
    <t>UCn3HpfVDb7rHXO9RO7yZQmg</t>
  </si>
  <si>
    <t>UCZpZMjPV_EijkMTEzCdG78Q</t>
  </si>
  <si>
    <t>UCIi0tFMfjTfAPwYRpkEIgNw</t>
  </si>
  <si>
    <t>UC7EswUEX6-CIhSz3pkCUOAw</t>
  </si>
  <si>
    <t>UCmWct-TPkAugX1FsBb2O2xA</t>
  </si>
  <si>
    <t>UCi6DO1OXZ7psQbUmanKFluQ</t>
  </si>
  <si>
    <t>UCh0RIqyy5l_0qnQVWEmMqTg</t>
  </si>
  <si>
    <t>UCw8_nfV52c102E8A93E6MmA</t>
  </si>
  <si>
    <t>UCTKhMMAFDXtY2gkQ0ezjNpg</t>
  </si>
  <si>
    <t>UCxGjNIWjjz85nBadgB7_tyw</t>
  </si>
  <si>
    <t>UChJRYLnIwsP4dLduaQcn1yQ</t>
  </si>
  <si>
    <t>UCSohzcKB8NU_V1ek8Jsj9cw</t>
  </si>
  <si>
    <t>UCbe2rmGKWeU26D7QP4V-uyw</t>
  </si>
  <si>
    <t>UCrxjXz5KnMxdLaLFkyBC-rQ</t>
  </si>
  <si>
    <t>UCA7sytNT0KxAa_e7MfP0qrQ</t>
  </si>
  <si>
    <t>UCWmIVMwMWGqZcWJBrSmlSOg</t>
  </si>
  <si>
    <t>UCDN81Dx69yis-_fGot4ZpFQ</t>
  </si>
  <si>
    <t>UCrg6pYvMMXBPD4VXuhqAzqw</t>
  </si>
  <si>
    <t>UCz-mi9wzT0LkIf0tIQvSl2w</t>
  </si>
  <si>
    <t>UCfnld0KI03bK1IbzC7eKTqw</t>
  </si>
  <si>
    <t>UC9yQU9ofeFYN7oZIRlEfjag</t>
  </si>
  <si>
    <t>UCIeMsDzpCrs83aVJNH-X8rA</t>
  </si>
  <si>
    <t>UCa1DrVdRPEvEQiaocQIe1uA</t>
  </si>
  <si>
    <t>UCXJ-9NYnfeGaqpQdY9H5Ljg</t>
  </si>
  <si>
    <t>UCEofXice02y_Nii2kd1dU_Q</t>
  </si>
  <si>
    <t>UCpeMVE7K3MqzAEErkgeBZTg</t>
  </si>
  <si>
    <t>UCu8jTlGUxRxBeNrgXm-U1sQ</t>
  </si>
  <si>
    <t>UCClE9GByQKHnzhrWl5nDfhQ</t>
  </si>
  <si>
    <t>UCDSWZh5ABlZa9Ntc1GYu3sA</t>
  </si>
  <si>
    <t>UCbT0G1ItC221ubKgvuXnwLQ</t>
  </si>
  <si>
    <t>UCAEnPXRbUUagDIqYLvPGJfg</t>
  </si>
  <si>
    <t>UCNfRcWCcinbVNiwEL5k6_PA</t>
  </si>
  <si>
    <t>UCHvfQh4PidbcbHmPihyitmg</t>
  </si>
  <si>
    <t>UC-LaI8__cEyl1UEcfydzl-Q</t>
  </si>
  <si>
    <t>UCX4vTaseP0gv9jzlCHTBWdg</t>
  </si>
  <si>
    <t>UCIIhk88KSu2Ds-0DCcWTu0Q</t>
  </si>
  <si>
    <t>UCL5PfkZB-RD8ucWbzIG_0CQ</t>
  </si>
  <si>
    <t>UCmg6Ota1RUT_8R2MuW1XFKw</t>
  </si>
  <si>
    <t>UC9_Omzm49dt39jGAApxwwYw</t>
  </si>
  <si>
    <t>UCtnXaGIIWaf9rL0cAdaqILQ</t>
  </si>
  <si>
    <t>UCty4CnkLoxjvYAKTZctqjgQ</t>
  </si>
  <si>
    <t>UCEJ3CK9JOlXgx1_ZM6I5Wcg</t>
  </si>
  <si>
    <t>UCOwDXeP68AyrzDK-XR8Hv8A</t>
  </si>
  <si>
    <t>UC1wBoSu3amXKx4KSqPxhmLw</t>
  </si>
  <si>
    <t>UCrtgmTGnuqNVgsgMzHbWrBw</t>
  </si>
  <si>
    <t>UCO2uGybS5P67weh9-sFlJiw</t>
  </si>
  <si>
    <t>UC1T94mSy0h8Dlema-YBSCzw</t>
  </si>
  <si>
    <t>UC37zhNfMgmTdyHc0L8oB4Bw</t>
  </si>
  <si>
    <t>UCrprNXMB5xtEt9QfizFa92Q</t>
  </si>
  <si>
    <t>UCLig0mTH2jvEpJsOtrZkvzA</t>
  </si>
  <si>
    <t>UC6DFXlpdyxiHMQug3_8_piw</t>
  </si>
  <si>
    <t>UCc6PH6WJs69N1dm9Y-40aag</t>
  </si>
  <si>
    <t>UCE3lfyj7ug1GXY9q_fxSfTA</t>
  </si>
  <si>
    <t>UC4gn-J39CCKIMoN_-Cy9IWA</t>
  </si>
  <si>
    <t>UCvolZArLy9GL6vIqX93wNaQ</t>
  </si>
  <si>
    <t>UCULjtLq35o3L8vvozY2v4Uw</t>
  </si>
  <si>
    <t>UCwHxZxlO4ku6L_Ht97ti-JQ</t>
  </si>
  <si>
    <t>UCqGn2BxEK4TreJrJmCWAE0Q</t>
  </si>
  <si>
    <t>UCSkgW3JNslqH2S6qHgr8j_g</t>
  </si>
  <si>
    <t>UCmY4iMGgEa49b7-NH94p1BQ</t>
  </si>
  <si>
    <t>UCTPvvmGrYsSWlAfwWQcbxdw</t>
  </si>
  <si>
    <t>UCH_6S6XPUFQDTT60N2zIzyg</t>
  </si>
  <si>
    <t>UCviR-fjnug9I9ZVBSKt2qRg</t>
  </si>
  <si>
    <t>UCN2DZwG-ATUaYGWXujT5z9Q</t>
  </si>
  <si>
    <t>UCLhuYaBT3qovSzVOn_jp88Q</t>
  </si>
  <si>
    <t>UCwRboznikLW0qAOQ1eIKBXg</t>
  </si>
  <si>
    <t>UC94h_93a_luyg6csZsF7Urg</t>
  </si>
  <si>
    <t>UCw5srg_GiplQUYk0_oLmL-Q</t>
  </si>
  <si>
    <t>UC7dz4uVtNi27lBKVHKv3T9w</t>
  </si>
  <si>
    <t>UC52-DAqpgd2GqzOyO4wu0ew</t>
  </si>
  <si>
    <t>UCNC650qtGLmhsrAK2lavRNA</t>
  </si>
  <si>
    <t>UCo_63CAJiLXtE9DYk5pirBQ</t>
  </si>
  <si>
    <t>UCOL_jnSeaZxOJUoNnDknIxw</t>
  </si>
  <si>
    <t>UCUCT33ZErQc4-K-gtTafqag</t>
  </si>
  <si>
    <t>UCOwsGhxDBdCyvDUFY41bxqQ</t>
  </si>
  <si>
    <t>UCBtyKx76fZiO0e325KHtfTQ</t>
  </si>
  <si>
    <t>UCi-EaBN2Jvgq-U2xi7RJo6A</t>
  </si>
  <si>
    <t>UC67EYmlVbMyypqMO4fckmIw</t>
  </si>
  <si>
    <t>UChxl5v0GkHuFvBaXC8Q7jEg</t>
  </si>
  <si>
    <t>UC8rh3jawAXu6y3zOKkzJyQw</t>
  </si>
  <si>
    <t>UCoMTBECkbtsSDsQV2OalyRA</t>
  </si>
  <si>
    <t>UC2U8Jmwgb7erTe0tgXSWYyA</t>
  </si>
  <si>
    <t>UC4r6nalq_1-9rc80qdVLatQ</t>
  </si>
  <si>
    <t>UCKQLhhXA05sgZwxCtaFKfDQ</t>
  </si>
  <si>
    <t>UCSvTYx8YfcRuGtl4rgsVOqQ</t>
  </si>
  <si>
    <t>UCBNibGNIqpCLm73_kfqf3Og</t>
  </si>
  <si>
    <t>UCW_EYCYchSyzVgOWpKLGQtg</t>
  </si>
  <si>
    <t>UCzCZcPQhueh60fi3aeAs0OA</t>
  </si>
  <si>
    <t>UC-qbOsmVpYAXM-BYqkf3XZQ</t>
  </si>
  <si>
    <t>UCAa5yldu-KBNBMwQDBC0gbw</t>
  </si>
  <si>
    <t>UCrTtUMgBrn-novhoylqnDOA</t>
  </si>
  <si>
    <t>UCEmXjrQp3yArPwI9q_K3ilw</t>
  </si>
  <si>
    <t>UC1c6bKWeVpntzNw6ucrq8Vw</t>
  </si>
  <si>
    <t>UCYIaIrvCnO1DliZGQSAoXfA</t>
  </si>
  <si>
    <t>UC8FQ8dbicT7iah1pDljwwsA</t>
  </si>
  <si>
    <t>UCbqgRc-WEGTgnrjdoRNrz3g</t>
  </si>
  <si>
    <t>UCWNNxDufK8VTQ9xQ-KpwWGg</t>
  </si>
  <si>
    <t>UCLjV2c4MiSpr_uMxJ11V8Pg</t>
  </si>
  <si>
    <t>UChJ9NlaOUtBxNnNMuRtO9qQ</t>
  </si>
  <si>
    <t>UCq5W70c6BkXxcUvo0tBtcZg</t>
  </si>
  <si>
    <t>UCONFO107WYKPzrzKlvyC8Jg</t>
  </si>
  <si>
    <t>UCd22y9s-f8XbLy8KD4XfjLg</t>
  </si>
  <si>
    <t>UCDSWb-hc5-jjL3M3GzZKCDg</t>
  </si>
  <si>
    <t>UCsXdhZj8R8rE8RTTyXr7q0g</t>
  </si>
  <si>
    <t>UCh-5M0r0SBgb5xNCFXG7aXQ</t>
  </si>
  <si>
    <t>UCB0ZUbuOEAeN64aUGO5My5Q</t>
  </si>
  <si>
    <t>UC7PqEK7y8pawZ1JlZS8eQSw</t>
  </si>
  <si>
    <t>UCUDc5epIDkpGLr9gm4r5gaw</t>
  </si>
  <si>
    <t>UCxVZeD2Q0-m9UZp35zWLe3g</t>
  </si>
  <si>
    <t>UCWE8GMv0qRy3MuzZvx9fYxg</t>
  </si>
  <si>
    <t>UCPRUVTO_aXIMDMRn-xL-92A</t>
  </si>
  <si>
    <t>UCseG6HoMJUIlUvDICcNAJWw</t>
  </si>
  <si>
    <t>UCgsH7MPhGoRSurk5Ly5SrOA</t>
  </si>
  <si>
    <t>UCqTkLcZF3h4nDYl_U9DLHTg</t>
  </si>
  <si>
    <t>UC7XOjeQMGho_tiXAruiuNrg</t>
  </si>
  <si>
    <t>UC5sAxbzXgEL1M5rnHqu6Ljg</t>
  </si>
  <si>
    <t>UCNX-ah8-YpnmqDtla1d5R-Q</t>
  </si>
  <si>
    <t>UCv3qk6cnOEAlnmC3gUoMSoQ</t>
  </si>
  <si>
    <t>UCgJDSReUYJbtktP5RuUA_qw</t>
  </si>
  <si>
    <t>UCMQ81etXH5p0TFN8YzCf8AQ</t>
  </si>
  <si>
    <t>UC7E7PEfqECo0yoVra6t0WPg</t>
  </si>
  <si>
    <t>UCHV5JrOwVaLeo9nwMIf1JtQ</t>
  </si>
  <si>
    <t>UCwN7aN5W0gWKghNBwMXUHBQ</t>
  </si>
  <si>
    <t>UCbC93juTDYqn9zOYsLf1mcA</t>
  </si>
  <si>
    <t>UChoBUwK6UPEGUa2MWdCKRxw</t>
  </si>
  <si>
    <t>UC8jERxZrKuL3iH6GmLSaBQg</t>
  </si>
  <si>
    <t>UCL1y2Y3FouN8y6DJGj12MHg</t>
  </si>
  <si>
    <t>UCZQoHVnf9iZ_SMGx-kxsfrQ</t>
  </si>
  <si>
    <t>UCKf2wG06libvM0Mg97dhwmQ</t>
  </si>
  <si>
    <t>UCuya80W2OLxeZebdDUghFEA</t>
  </si>
  <si>
    <t>UClzMwbHAFaksdw6KH_ErmCQ</t>
  </si>
  <si>
    <t>UCpYwk1tInR4ttoP5IoJ8OJQ</t>
  </si>
  <si>
    <t>UCxgwgZFb9Pg0_b7bjDiIMrA</t>
  </si>
  <si>
    <t>UCuy8xACQWLZXaT6YO1ElKmw</t>
  </si>
  <si>
    <t>UC4Y9EcsF69dXrSdKgamlwxQ</t>
  </si>
  <si>
    <t>UC_m-4-GyfoD4M5Iw8nolgpg</t>
  </si>
  <si>
    <t>UCpfWN7_YDjXG5GfnUh69dQw</t>
  </si>
  <si>
    <t>UCMrRRZxUAXRzjai0SSoFgdw</t>
  </si>
  <si>
    <t>UCqOOzdxL085yXa99ymIMrVg</t>
  </si>
  <si>
    <t>UC2smM2C_ot7EBcyuEldmb-A</t>
  </si>
  <si>
    <t>UCNi_vge0Wij6vJISgRuYvwg</t>
  </si>
  <si>
    <t>UCjawvXMbq5QRaZSNtjvCMTg</t>
  </si>
  <si>
    <t>UCssXsSzGPmUCrQo2NHx1b-A</t>
  </si>
  <si>
    <t>UCLcNciLKdI380VqdpDlIbxw</t>
  </si>
  <si>
    <t>UCbJtunjNap2FbB-j9alz5Eg</t>
  </si>
  <si>
    <t>UCUYb5dQhtZwrsRJ1tJ3zUxw</t>
  </si>
  <si>
    <t>UC3wNF0cJRPY7Rgr21Cfvapw</t>
  </si>
  <si>
    <t>UCdEOBaPRNGkARcipRPNBExA</t>
  </si>
  <si>
    <t>UCwftacfGuw1gHX6Li8RqPSA</t>
  </si>
  <si>
    <t>UCXB7TXzTGZqPPJ8UVMpVhVQ</t>
  </si>
  <si>
    <t>UC8yk1fl3u8KYcZLlCz4t16w</t>
  </si>
  <si>
    <t>UCld7oaxNvXzNd-qkOD67ULA</t>
  </si>
  <si>
    <t>UCnt7I4XqhG6FPv7zqy9W6eA</t>
  </si>
  <si>
    <t>UCHZHDFH7Bb7nktcKhvMIpmw</t>
  </si>
  <si>
    <t>UCtXed2a398YUEsIaNdNJ4xA</t>
  </si>
  <si>
    <t>UCEwmiCp1oyCv3SAmAyACTfQ</t>
  </si>
  <si>
    <t>UC0oNeXXaLQjdt95YPR-0ZJQ</t>
  </si>
  <si>
    <t>UCvylJslj6FikWDZtDDrS3Tg</t>
  </si>
  <si>
    <t>UCFJ6gIVlls65EVy-Vu-pwVg</t>
  </si>
  <si>
    <t>UCNBKHSc8glbQLrUkXUM1I1Q</t>
  </si>
  <si>
    <t>UCOYGVk9PROui911DkdhtvKQ</t>
  </si>
  <si>
    <t>UCmjXTiUkntH3Z5I0rA_WoDw</t>
  </si>
  <si>
    <t>UC6TF3Az8qnVIUzlOiPHBjEg</t>
  </si>
  <si>
    <t>UC7OJIb0TuOAXq_PYHik03fQ</t>
  </si>
  <si>
    <t>UCrtEMHzfor6BcqZnWmjqT1Q</t>
  </si>
  <si>
    <t>UCfsy8OA1OKy4PjlERsI56CA</t>
  </si>
  <si>
    <t>UCSvcehn0dZdGXB1Hbm5XEDQ</t>
  </si>
  <si>
    <t>UCXFIlJ-_bo7QFYQVREx1Rew</t>
  </si>
  <si>
    <t>UCgrnLFH_f1fkAatT5OAxtPQ</t>
  </si>
  <si>
    <t>UC79mLmxkIp_aFpsWXHj1CXg</t>
  </si>
  <si>
    <t>UCKMS62Hy-l0A5us3pAg8o1Q</t>
  </si>
  <si>
    <t>UC-EaB6pNOTB1jQDN5BpxKcg</t>
  </si>
  <si>
    <t>UCzxRFZIzbgmLiTB6u5ETvMQ</t>
  </si>
  <si>
    <t>UCKYhm-H1IXC14t3xTSYh2nw</t>
  </si>
  <si>
    <t>UCz3xeJ7v4ijGzOrVqNxW-WQ</t>
  </si>
  <si>
    <t>UCYuc9opLVj3wi3SoDvgDeoA</t>
  </si>
  <si>
    <t>UCijjR5AaiHSwtiCT5NGUidg</t>
  </si>
  <si>
    <t>UC3mK7Eh5A0D4JyvJIlTri1g</t>
  </si>
  <si>
    <t>UCwcOV0rz2WD9m5eXsf-Vk8g</t>
  </si>
  <si>
    <t>UCMwlPtMcvOp8SxZ0rD6R2Gg</t>
  </si>
  <si>
    <t>UC9e0-FhxkH-iL0t0xw5NeXg</t>
  </si>
  <si>
    <t>UCtORhLS00baS4N57obXg_pg</t>
  </si>
  <si>
    <t>UC0FF57jTMT_7313DG_eBcow</t>
  </si>
  <si>
    <t>UCmgF3IC5b7tSmG8G-0An3Jg</t>
  </si>
  <si>
    <t>UCVFCFqvbfYit1JtZLq8qlGQ</t>
  </si>
  <si>
    <t>UCED6-aRodKm-cNja8Lvsalw</t>
  </si>
  <si>
    <t>UCq9eJXkDqLFJ_6wAXTEZxmw</t>
  </si>
  <si>
    <t>UCnxqI9mS7n-Sb_FoKbjuxkA</t>
  </si>
  <si>
    <t>UCsG6bDTpiZ0yc12D8wf63Ag</t>
  </si>
  <si>
    <t>UCYIuZEUWuxGXPCV4eb2KVJw</t>
  </si>
  <si>
    <t>UCkEdIjVH67nKftoNEElj5mg</t>
  </si>
  <si>
    <t>UCPXHVCert6--m80A9ZSXjKw</t>
  </si>
  <si>
    <t>UCRNG4rt-74rREgw-yiheqDg</t>
  </si>
  <si>
    <t>UCNaDnPS-joRDiMO843EndNw</t>
  </si>
  <si>
    <t>UCJDetprk0nKSzaPjx8Ldpnw</t>
  </si>
  <si>
    <t>UC0vEITpjAWMaHmwD7Y8yexQ</t>
  </si>
  <si>
    <t>UC6e4O4lxpBaLYPbot2KEZGQ</t>
  </si>
  <si>
    <t>UCF715sBUzFJyHcjGo6UUeoA</t>
  </si>
  <si>
    <t>UCCO1WTlxp8JTS4GqjxpDhdw</t>
  </si>
  <si>
    <t>UCQjzv8RwVZpQmk7com22UNA</t>
  </si>
  <si>
    <t>UCIHryjDpIFSfirK2XsoVZ0g</t>
  </si>
  <si>
    <t>UCV85POUxD3_Vw4PCGt7uthA</t>
  </si>
  <si>
    <t>UChO7m7UKDjeXSx669-hQksg</t>
  </si>
  <si>
    <t>UC3nF2zvVJsPUn2P8v2PiJdw</t>
  </si>
  <si>
    <t>UCFiWWS89wU6ehT-LO4W3R9w</t>
  </si>
  <si>
    <t>UCjIaKSYY2-k7hlavQmnSzcA</t>
  </si>
  <si>
    <t>UCohgZVEOCVMk-uRbf6nwH2A</t>
  </si>
  <si>
    <t>UCKsMi--2Qmayd_5lxN4xXVw</t>
  </si>
  <si>
    <t>UC7t6bG2oCbKXBm2vyVwCdwQ</t>
  </si>
  <si>
    <t>UCrc23OtePtGaBWAh4nnjiSw</t>
  </si>
  <si>
    <t>UCNpepTzYz9mz4Q5Qk9d0XJw</t>
  </si>
  <si>
    <t>UC4bsdwc_rxr67DrKBOfZurg</t>
  </si>
  <si>
    <t>UC0CWlMWRpuLIrp39nelismg</t>
  </si>
  <si>
    <t>UCRS_1Xen_LTdvb7P6ph6KhQ</t>
  </si>
  <si>
    <t>UCW36Rwwyjc2C-96o-Btcglw</t>
  </si>
  <si>
    <t>UCsGsz0K3QwzF6V893QuMBAw</t>
  </si>
  <si>
    <t>UCcxGPamJyyWRK9b4q0LWfNQ</t>
  </si>
  <si>
    <t>UC97qxGRmPsyfV0Miz7AxU2A</t>
  </si>
  <si>
    <t>UChV1atcCrkVRMCQrYJz5f3g</t>
  </si>
  <si>
    <t>UCSgxujWKHvw7_t2r2smJpZg</t>
  </si>
  <si>
    <t>UCJp69mY5DESZH7nrVtCYGww</t>
  </si>
  <si>
    <t>UCtA-10mMIg_FU0QUBpYHC9g</t>
  </si>
  <si>
    <t>UCp0yDDnyu-C-0Bo_y1JbGtA</t>
  </si>
  <si>
    <t>UCFzm4kJcC_f1WWXZQO2_e3g</t>
  </si>
  <si>
    <t>UCkuD8jyHRrQR0-Oop0K5skw</t>
  </si>
  <si>
    <t>UCrs6J5y7Dc08BRg9RXx2QrQ</t>
  </si>
  <si>
    <t>UCVHduEmTvCOiZmsPN4oxYWQ</t>
  </si>
  <si>
    <t>UCY9lNd3X79J1yUzu5DUItyg</t>
  </si>
  <si>
    <t>UCreXS6fI1-2OVrUJ61PY_2g</t>
  </si>
  <si>
    <t>UC3cDLkZuer_q92s9vMzFUFA</t>
  </si>
  <si>
    <t>UCGQcBVkwC4x9HCGI6uHxbJA</t>
  </si>
  <si>
    <t>UCSbm8Gka5nJPDDE0YTJmqPQ</t>
  </si>
  <si>
    <t>UCy39DSRdsAi1CPLWJJqlK5w</t>
  </si>
  <si>
    <t>UCav09ZyF01jhQMBa1OgwCyg</t>
  </si>
  <si>
    <t>UC69H6wmCsVrYCZsnP8SB-2Q</t>
  </si>
  <si>
    <t>UCo-KVHWLYsUqQV3d48Cp8Tw</t>
  </si>
  <si>
    <t>UC56CoeCYdEZZcmFRTfCeTog</t>
  </si>
  <si>
    <t>UCjicpL45faQ8JBODw7lhc9w</t>
  </si>
  <si>
    <t>UCrw0kFvy84t514B9oHIRT5g</t>
  </si>
  <si>
    <t>UCKeJMa0J6dLsG1z1uwo_Agg</t>
  </si>
  <si>
    <t>UCW2GVjsWO-0nto2-ZGlGQvA</t>
  </si>
  <si>
    <t>UChmnNqIzmrkoSsFqkma83_w</t>
  </si>
  <si>
    <t>UC4qU6cw83YmJnDyMkR5nDkg</t>
  </si>
  <si>
    <t>UC8RlfIKR63QnmNambn_3plg</t>
  </si>
  <si>
    <t>UCKSeCf8bzv8YUZ6okwZfWKQ</t>
  </si>
  <si>
    <t>UCBi5WafwgQOGsrb1zNDR1CA</t>
  </si>
  <si>
    <t>UCZgtZXpd9WvTqk4rtqQijUQ</t>
  </si>
  <si>
    <t>UC--MSNrR_zO4Zb5OvwjWF4A</t>
  </si>
  <si>
    <t>UCl38g1hOryM7AJLG8IQpepw</t>
  </si>
  <si>
    <t>UCH_mIbPwp45BMltwxWhUYfg</t>
  </si>
  <si>
    <t>UCLUNXrPoHrKIj0eBR5FoXNA</t>
  </si>
  <si>
    <t>UCBQkl-NzfkP8uOrlQ3LEwzg</t>
  </si>
  <si>
    <t>UCFswLcNsh36T0VqPa_A4SuA</t>
  </si>
  <si>
    <t>UCBv4ZitU_xfSAC-_-FHPkbQ</t>
  </si>
  <si>
    <t>UCM45TiZyKYwX51p6XDe5sUw</t>
  </si>
  <si>
    <t>UCvThd-aSSS55cF_dUeQWyFg</t>
  </si>
  <si>
    <t>UCoMpeRFz303vKNB3EAnhZPw</t>
  </si>
  <si>
    <t>UCnwKLesJR7SCPdxqiM-0lYA</t>
  </si>
  <si>
    <t>UC3-cDH-P3BXFaZsDbswsLrQ</t>
  </si>
  <si>
    <t>UC4d7YkQU_IV5Bb8MDD_liqA</t>
  </si>
  <si>
    <t>UCbNzWUnEPLhyUh_kqR5GKIQ</t>
  </si>
  <si>
    <t>UCe1IUfF7P6BM6bLxp4SIm-A</t>
  </si>
  <si>
    <t>UC6YWt15wSenbz9x6elU8XCQ</t>
  </si>
  <si>
    <t>UCg3nbLTQVeEB7r8gNeRjzLg</t>
  </si>
  <si>
    <t>UCncL_KAKZU86ToIco7y3uYw</t>
  </si>
  <si>
    <t>UCcNQQEvWA9BJG_yBQ9JkhnA</t>
  </si>
  <si>
    <t>UC-ooJUsWVsDaQ9oSFTW9JvA</t>
  </si>
  <si>
    <t>UCxkJs6xfxn8VydgK4SxtOcQ</t>
  </si>
  <si>
    <t>UC7sE5Q_x9nTZYzfDyCV8z1w</t>
  </si>
  <si>
    <t>UCZOoMPpSd1OLOMeeYBwC3xQ</t>
  </si>
  <si>
    <t>UCiMOecenYiNLew2GsxDsRoQ</t>
  </si>
  <si>
    <t>UCSIUNV-FQPqxrW2uHy8U4Qw</t>
  </si>
  <si>
    <t>UCh49DGOpC_xvQEEHtZlaZbQ</t>
  </si>
  <si>
    <t>UCCQKJF_oPS4uMv_dW6ACpfg</t>
  </si>
  <si>
    <t>UCQZ80IqI4TSvu9EiZpGxTcw</t>
  </si>
  <si>
    <t>UCOylFpY1hvTFr7rpVTbJdog</t>
  </si>
  <si>
    <t>UCEj6SZKfFlXQ5q3tvnUUnug</t>
  </si>
  <si>
    <t>UCNTkkbzVbUo_B7iE79b5HyA</t>
  </si>
  <si>
    <t>UCdrNdGQ8f9dXNsdawvFg3Aw</t>
  </si>
  <si>
    <t>UCJgkN05RC8tmzUrgwl8VGWQ</t>
  </si>
  <si>
    <t>UCY4iKGdIkQ4oNRz-cXY133Q</t>
  </si>
  <si>
    <t>UCeNMZKYZnpYtGRyxI_9q39g</t>
  </si>
  <si>
    <t>UCExt5NS2olk5LebcJaQqpBg</t>
  </si>
  <si>
    <t>UC1_BrnBkaGMgsAcAPC4uE4w</t>
  </si>
  <si>
    <t>UCcnLQ-Pk3Y5tiwuUam8IW7A</t>
  </si>
  <si>
    <t>UCJJjgLhvlmP85tZUyW3CDKg</t>
  </si>
  <si>
    <t>UCa4G8rQS-dwsX_c1h1h43Ww</t>
  </si>
  <si>
    <t>UCpcEmGvsCgl1A4oA3n55-dg</t>
  </si>
  <si>
    <t>UCCqidPHF5oO7GlWly_YDmxA</t>
  </si>
  <si>
    <t>UCV6liMoe2StF3OAyuEoHSxw</t>
  </si>
  <si>
    <t>UCAQjmY2DJqwU3Eqz0oN83aw</t>
  </si>
  <si>
    <t>UC3uDbJrPwK1X5jog7PT4gMw</t>
  </si>
  <si>
    <t>UCzfWb7OpaAzbtTv3abv_koA</t>
  </si>
  <si>
    <t>UC5uX_fDn5H-L84j579f29ug</t>
  </si>
  <si>
    <t>UCR6V7hVJOEs-5I2ovKZ613Q</t>
  </si>
  <si>
    <t>UCHkjKxyrftk3Db16y1X8xGg</t>
  </si>
  <si>
    <t>UChHsehmRfUIE9CY0W4TBTlg</t>
  </si>
  <si>
    <t>UCbMn17XcNcOTg6QslPKP8aw</t>
  </si>
  <si>
    <t>UCbFDzdU0Rqq7sk6kPShwMkA</t>
  </si>
  <si>
    <t>UCtMsK12pzp5tO4NX1H8E8HQ</t>
  </si>
  <si>
    <t>UClTRc14Vu37R__HJptd2Fgw</t>
  </si>
  <si>
    <t>UCS21y_F4hJr5BdrPTB5nwbQ</t>
  </si>
  <si>
    <t>UCLnXillsQnpU8pkh-LGXIrQ</t>
  </si>
  <si>
    <t>UCr-h3VORUAv-q0R8dmBszlg</t>
  </si>
  <si>
    <t>UCMwRCIy86meXysplb3eG1dA</t>
  </si>
  <si>
    <t>UCGWNWDAa05j3eo-6cwlC_Jw</t>
  </si>
  <si>
    <t>UCGqJlVzYBBuOdpFcTpUg7UA</t>
  </si>
  <si>
    <t>UC7rYHxzODsGrvJ0BysNjC_g</t>
  </si>
  <si>
    <t>UC-nhrJo1nq0WNZ2N9TruWJg</t>
  </si>
  <si>
    <t>UCkx_XTujc42f-8UTfYq7D_A</t>
  </si>
  <si>
    <t>UCCgcWV0hJmOikJqFMk4RtzQ</t>
  </si>
  <si>
    <t>UCYAkqdMSTvKGIZmiUYaYC-Q</t>
  </si>
  <si>
    <t>UCOencwY-Q6NlIx_V6Rns-UA</t>
  </si>
  <si>
    <t>UCxA6H9Xpwa0lRisl03D_yMA</t>
  </si>
  <si>
    <t>UCo00O-ImOleI3RbS21MwDqQ</t>
  </si>
  <si>
    <t>UC6XbACcYUHCzxqgync4_31g</t>
  </si>
  <si>
    <t>UC8KwJSUilOiKrlWL7rzMrnA</t>
  </si>
  <si>
    <t>UCll5P8D8eVSHxPjkK5U78LQ</t>
  </si>
  <si>
    <t>UCXIdSaQ2Khi19rlKy3i-ZYA</t>
  </si>
  <si>
    <t>UCBGnyMnjFkYrsKhBkgIGx1g</t>
  </si>
  <si>
    <t>UC5WNmHnTMj8EvVGCwWtBfUQ</t>
  </si>
  <si>
    <t>UC4L5ZNAKVGIkrNxrevH6U4w</t>
  </si>
  <si>
    <t>UCORKpwPcddNIMMChfECW_ow</t>
  </si>
  <si>
    <t>UCAt34roFlm4c9wsg6492YDQ</t>
  </si>
  <si>
    <t>UCLE9xzpJp7XElDs2Bxw8nLQ</t>
  </si>
  <si>
    <t>UCcFE3Y0fp4LGjZ48QY01TYQ</t>
  </si>
  <si>
    <t>UCD7Zb3c1aoooohZSARn720g</t>
  </si>
  <si>
    <t>UCWkrHLGq4kDEEHdCnBo07JQ</t>
  </si>
  <si>
    <t>UCwtn8BNdyXDas8izCgBKTlA</t>
  </si>
  <si>
    <t>UCdYu5nPHYMeS30zyaweyziQ</t>
  </si>
  <si>
    <t>UCGRBPtqOHodL6VThTqEtKlw</t>
  </si>
  <si>
    <t>UCY9Ly5urNMZIvgiYWISqqNw</t>
  </si>
  <si>
    <t>UCFWIVtXpn_GqWivkUWqaqWg</t>
  </si>
  <si>
    <t>UCQ5aXYup48fqfirIdvECeAw</t>
  </si>
  <si>
    <t>UCVSkwgjNufta2cUG9Mc66eA</t>
  </si>
  <si>
    <t>UCNPh82AdDtmwkJxP4gtREJw</t>
  </si>
  <si>
    <t>UCrgbcgr8YCwHPM9xwedPJYg</t>
  </si>
  <si>
    <t>UCdI2Up33y8tEosSAT-5Wzsw</t>
  </si>
  <si>
    <t>UCYc1NpW-GMw9qI-o4IGqnxg</t>
  </si>
  <si>
    <t>UCJFYG8rKSO-ZoM9awuwZU2A</t>
  </si>
  <si>
    <t>UCAP9YboPas3vvmI7ZFTdMHg</t>
  </si>
  <si>
    <t>UCkwbtQDuhXaQJ4CcmezK0AQ</t>
  </si>
  <si>
    <t>UC7uzuZJIYzcxV9JJ1yAtHHg</t>
  </si>
  <si>
    <t>UCQPHKGx27lcxqOzwqdOGCnw</t>
  </si>
  <si>
    <t>UCbUOp8q9RC9xwX_ACdF3sLg</t>
  </si>
  <si>
    <t>UC_93EcBGveUt9SuwXMdKmVA</t>
  </si>
  <si>
    <t>UCWlq4kJSgHOy_Ha5ebkr8sw</t>
  </si>
  <si>
    <t>UCGNkOwzqlCwbYXvvo7xtsPA</t>
  </si>
  <si>
    <t>UCCn_sMT2AliFdlXKlvTrwdQ</t>
  </si>
  <si>
    <t>UC2lJVQCh9ajz6XB5zOMGFbA</t>
  </si>
  <si>
    <t>UCtPvXB4ZnUf2e768OG1TEJQ</t>
  </si>
  <si>
    <t>UCcrcU_NMbLIcCqLoj4oC0MA</t>
  </si>
  <si>
    <t>UCEfVbFjKMPdtGeNzp4Aar5w</t>
  </si>
  <si>
    <t>UC7QYVtRIgPV4N8A8pa-1sfw</t>
  </si>
  <si>
    <t>UCFqYI_5ksnEuDYtkKQHmrUg</t>
  </si>
  <si>
    <t>UC4gHe4ylUuNINJvnVfXW5Fw</t>
  </si>
  <si>
    <t>UCXycJOeJ1yDxgpeHB99PnBA</t>
  </si>
  <si>
    <t>UCtx8n1KTu4aC8TMm5ROBB7Q</t>
  </si>
  <si>
    <t>UC2meLC_qNZHfGV8GqrNIL5Q</t>
  </si>
  <si>
    <t>UCYxnfuZ1Y3z6ke3_V9gx13w</t>
  </si>
  <si>
    <t>UCPyg1bziA6iTfjjX-IwGlhQ</t>
  </si>
  <si>
    <t>UC85BVst8i9MypL_BC1-f29A</t>
  </si>
  <si>
    <t>UCc-5CARuiQdsdY0AF_wJ7SQ</t>
  </si>
  <si>
    <t>UCUT87w4Pv5UzoOalbGYG3Ow</t>
  </si>
  <si>
    <t>UCfXoodvwgOHSwLMoyExQVqg</t>
  </si>
  <si>
    <t>UCHR7MUUM2b52pSMqM0J2AWA</t>
  </si>
  <si>
    <t>UCWym7jRAGu9RUhu3CG4dKbQ</t>
  </si>
  <si>
    <t>UCwFdG4dB9rJMHSgAGjOWMPA</t>
  </si>
  <si>
    <t>UCAtkVHXLx0lXUA-ORidavlA</t>
  </si>
  <si>
    <t>UCW5_UGhE2i4nNSDEkHdwBig</t>
  </si>
  <si>
    <t>UC69okeeWUm18IeAG9s9mygw</t>
  </si>
  <si>
    <t>UC2ox9waBL68x5KEjXtcLTZA</t>
  </si>
  <si>
    <t>UCONr9LnH0M3PA_VjchLNp1w</t>
  </si>
  <si>
    <t>UCeAW-Z_Y-M5UQmPSy0lwIRg</t>
  </si>
  <si>
    <t>UC9CQ2b92C4PoluscRZiSN8Q</t>
  </si>
  <si>
    <t>UCGYKS7rPl7l4SC9nYf2Ofzg</t>
  </si>
  <si>
    <t>UCQYO2p7JMcCp-9xIZxGP2Sg</t>
  </si>
  <si>
    <t>UC3kIy9kdcoZ93XdMZdipSYA</t>
  </si>
  <si>
    <t>UCF1-Lp1C_oqHLrPx2qI3WKQ</t>
  </si>
  <si>
    <t>UCzP960u6bsPPj7hi9SFlC3Q</t>
  </si>
  <si>
    <t>UCKplh2an9UvgdHhVgMPpODQ</t>
  </si>
  <si>
    <t>UCV9qVFbmioyTgd1d2bW702w</t>
  </si>
  <si>
    <t>UCIucgvMfbPycCVoOthUJKUw</t>
  </si>
  <si>
    <t>UCRYuFJE-uILDzWthdB4ZowA</t>
  </si>
  <si>
    <t>UCaWb4UL3ERRTw3M5kvl8Snw</t>
  </si>
  <si>
    <t>UCIJRzbnk8l-4o1YJgYl0e4Q</t>
  </si>
  <si>
    <t>UCXB_yEZ2xVY4veNXtVTo8Aw</t>
  </si>
  <si>
    <t>UCl0qZwRZEI68jRmT65-_BIA</t>
  </si>
  <si>
    <t>UCpcdPloTijprixyP0as7sDg</t>
  </si>
  <si>
    <t>UCfZ8GwZk1uEkRhVTeNRpSOA</t>
  </si>
  <si>
    <t>UCXpwkTNUUEfx5dpkO-KjEGg</t>
  </si>
  <si>
    <t>UCSD8HYFTAJHilD6PXvJ9CCg</t>
  </si>
  <si>
    <t>UCM30f7-pUr_lrb9sXa4ah1A</t>
  </si>
  <si>
    <t>UCNS0MhZYvIqAlblytvpmFXA</t>
  </si>
  <si>
    <t>UCvM9jT9D1uBWXw6nPJtlSQw</t>
  </si>
  <si>
    <t>UCcCQjkMaQ4WT-2roV8xYtLQ</t>
  </si>
  <si>
    <t>UCNYQ0V5rDebD3DG1caNE7xQ</t>
  </si>
  <si>
    <t>UCUllfi8CiGlDC39QflceELA</t>
  </si>
  <si>
    <t>UCWMcLi3A0aB6YUmc8HYut_Q</t>
  </si>
  <si>
    <t>UCfAG6KhCqBhbm-LackLq-gQ</t>
  </si>
  <si>
    <t>UC8XmEMiIsECpIiSWQOg1OGg</t>
  </si>
  <si>
    <t>UC8ofcOdHNINiPrBA9D59Vaw</t>
  </si>
  <si>
    <t>UCafIZFEbANNTTb9AwA9f-zw</t>
  </si>
  <si>
    <t>UCot2IbQK-re3-hCcMPG9zgQ</t>
  </si>
  <si>
    <t>UCTUJiZITUg3oIpQqHNfovrw</t>
  </si>
  <si>
    <t>UC3l3bFL0SgJBhwFhSxvxczw</t>
  </si>
  <si>
    <t>UCZaqBFnWWFplBOt85cuiZVQ</t>
  </si>
  <si>
    <t>UCLZd0rWXW0RUbjAdxX38pZA</t>
  </si>
  <si>
    <t>UC_VWPuBAVcm-kPR5aIiNj4A</t>
  </si>
  <si>
    <t>UCsbSSZQ5gBbz0XYtIRoRIHA</t>
  </si>
  <si>
    <t>UCD-zodYZX201IkkJrOzki6Q</t>
  </si>
  <si>
    <t>UCRoyzQ5u0oS4l85W7DHm57w</t>
  </si>
  <si>
    <t>UCLlHgusuRTH6H4QQdYNwzoQ</t>
  </si>
  <si>
    <t>UCGOgaSBk-OxPNF25tiL3HPw</t>
  </si>
  <si>
    <t>UCaID5r7RiKU2gFlPHDCjNoA</t>
  </si>
  <si>
    <t>UCgt1ehzCTD8PFyfOomUoWyQ</t>
  </si>
  <si>
    <t>UCi9Ca_PL0ckz11Sy94aIgig</t>
  </si>
  <si>
    <t>UC3x7MBeEzKRPT8BKbnK-xpw</t>
  </si>
  <si>
    <t>UCoj9VSurXdwfAwoz6eRJfGw</t>
  </si>
  <si>
    <t>UCdayFqal1XXF3phLh1ane5g</t>
  </si>
  <si>
    <t>UCKxsNFCdCoX8vdOH-Riq0Tw</t>
  </si>
  <si>
    <t>UCEtUt8cPprjRFDuOgectkFQ</t>
  </si>
  <si>
    <t>UCion26SJ49OrkrQjmMTgY_Q</t>
  </si>
  <si>
    <t>UCwVpJz8C8S-c5CSB5vSdXaw</t>
  </si>
  <si>
    <t>UCjfpualfdN16io6VXdh03aA</t>
  </si>
  <si>
    <t>UCBUCAqr1rzMDkY1qzegsr2w</t>
  </si>
  <si>
    <t>UCm95E1cd0i6C1tEOXx_d_Xg</t>
  </si>
  <si>
    <t>UCvKxP66yTnbEJLEeEoaoxOQ</t>
  </si>
  <si>
    <t>UCG04dVOTmbRYPY1wvshBVDQ</t>
  </si>
  <si>
    <t>UCYFGWGYenxqOxGBjPFhxHow</t>
  </si>
  <si>
    <t>UCvND2AHFJyV2NJ0p5uTG9LA</t>
  </si>
  <si>
    <t>UCAqCYMDy1H1pCtESKVwxM0g</t>
  </si>
  <si>
    <t>UCCqIwM_FY5JAhfsJYU6EPaQ</t>
  </si>
  <si>
    <t>UCswYHxzkhRrMQDN75JB0u5A</t>
  </si>
  <si>
    <t>UChVq-nSz6ZaQjE3goEowUYQ</t>
  </si>
  <si>
    <t>UCQTRa6gG11udoEP6femvptQ</t>
  </si>
  <si>
    <t>UCiafvXUz0fqJVNT9PvHy-4g</t>
  </si>
  <si>
    <t>UC_M1UxjONAucRQP6hp-uCZg</t>
  </si>
  <si>
    <t>UC5fCatIeN1X-_j3VXSe558w</t>
  </si>
  <si>
    <t>UCA90WrZXBXwA9yAwbZXUWZQ</t>
  </si>
  <si>
    <t>UCtktNRrG-Yqiq2n9ZBI-gNw</t>
  </si>
  <si>
    <t>UC1nHMzSXh8ycC4FRK90Xe4g</t>
  </si>
  <si>
    <t>UC3mWxx7vM1UPj0sj5-P6f_w</t>
  </si>
  <si>
    <t>UC_wKvOPtk0DZIUumcqJKZ5Q</t>
  </si>
  <si>
    <t>UC9k4Y2MoO93pouW_MYGr_mw</t>
  </si>
  <si>
    <t>UC4XIxMYzZ6iCm-iP8ZMn-2g</t>
  </si>
  <si>
    <t>UCRs8QpafcjBs1SVCcb7bUwQ</t>
  </si>
  <si>
    <t>UCMp2kZQHUJNxO2VA2Tg2t6Q</t>
  </si>
  <si>
    <t>UCW6Qqob-SkK6Y7qCq_TQJ7g</t>
  </si>
  <si>
    <t>UCs4cdaJGGtQVWh67CT2ytYA</t>
  </si>
  <si>
    <t>UCm75USr-yHNDIc8jZjT9ZhQ</t>
  </si>
  <si>
    <t>UCivB7VrtSERfR5GDrJ4ylMQ</t>
  </si>
  <si>
    <t>UCPFice7KR_gD5OtJhbIOgtQ</t>
  </si>
  <si>
    <t>UCeQaS4eO_gmVY9a7dn534kQ</t>
  </si>
  <si>
    <t>UCoHztc5u7oUnMJiguYdQq6g</t>
  </si>
  <si>
    <t>UCVc-UgSHbw8Yc6RM7dnW_Og</t>
  </si>
  <si>
    <t>UCQ0KQYpXOzslu5t0D3TzTHw</t>
  </si>
  <si>
    <t>UCCSIOVSdRD_UH9vz5GrsUNQ</t>
  </si>
  <si>
    <t>UCU3DRwhbKLseYk7GydpzZTA</t>
  </si>
  <si>
    <t>UC3hf4CyyPhvDAGPLNe0y3rg</t>
  </si>
  <si>
    <t>UCZurmPTojOgmUrhe3O6GJAA</t>
  </si>
  <si>
    <t>UCVwOrs7Y3-SVMdgxa-KFM3A</t>
  </si>
  <si>
    <t>UCtr-2xMTsti78StH6YgHa9g</t>
  </si>
  <si>
    <t>UCQ-HwmhXRrIVF9xatBnv4RA</t>
  </si>
  <si>
    <t>UCUYAsvrT6BXWbXIS6djIqdA</t>
  </si>
  <si>
    <t>UCd2Us39_YnfAfE13nOSk2rQ</t>
  </si>
  <si>
    <t>UCq8LRfAjjnXR61cxhmx7RFQ</t>
  </si>
  <si>
    <t>UCbA980Hyk85ixsysmnW05Jw</t>
  </si>
  <si>
    <t>UCeQDg2F4tg3w35d2CkUCpqw</t>
  </si>
  <si>
    <t>UCieiXJdKN9vIFhwQy-upIaA</t>
  </si>
  <si>
    <t>UC4sGD824gvBseFCMOfqK5mA</t>
  </si>
  <si>
    <t>UCKY2FOz176Cgkrm3kEExmnA</t>
  </si>
  <si>
    <t>UCTJLa3sPsQKKEj-vNYwmnqQ</t>
  </si>
  <si>
    <t>UCA5uJh7gj3XOvaBlybTBzAA</t>
  </si>
  <si>
    <t>UCyrvWgGziWy8ONAfADrfAQw</t>
  </si>
  <si>
    <t>UCBOs6624oqScw8PaU-Jzw9A</t>
  </si>
  <si>
    <t>UCRC25UW34xBDU2mDFZ71_tQ</t>
  </si>
  <si>
    <t>UCEDJgZlZOFgol72BvtrHb8w</t>
  </si>
  <si>
    <t>UC_wn1yawtXgBjzaybvcQDvA</t>
  </si>
  <si>
    <t>UCuD72MttMh8o4wO8aoO81kA</t>
  </si>
  <si>
    <t>UC_evcfxhjjui5hChhLE08tQ</t>
  </si>
  <si>
    <t>UCKO5S6Gm4a37a9Z7b8_S4JA</t>
  </si>
  <si>
    <t>UCLKqyda5pqTYB7Ib0nqRjOA</t>
  </si>
  <si>
    <t>UCQeu3lsFIWx1TAz4Q-pjvnQ</t>
  </si>
  <si>
    <t>UCCKlKmeN_pYF0M3r2QeHLHA</t>
  </si>
  <si>
    <t>UCtwuuXEuXt7Nl1eBUeiul1A</t>
  </si>
  <si>
    <t>UCnB3yK9nwcp9zr5FlIMNEPg</t>
  </si>
  <si>
    <t>UC4bdR9_9vBeDNPBEU4qreig</t>
  </si>
  <si>
    <t>UCpf52RGvK4ESyw3vtee5wDQ</t>
  </si>
  <si>
    <t>UCLGqErtddwfZfRItwOxQ3tg</t>
  </si>
  <si>
    <t>UCYU13THY-CVhKo-C5HDsxdQ</t>
  </si>
  <si>
    <t>UChoQqdZ3yE6IQLJHuTkVEiQ</t>
  </si>
  <si>
    <t>UCUcJLCOjCR4_Tkt0XzRoQEQ</t>
  </si>
  <si>
    <t>UCWqLAWHkGS2JtZfZRxa_ifQ</t>
  </si>
  <si>
    <t>UCndiT_eTxb_ehKI1834L_hA</t>
  </si>
  <si>
    <t>UC8HxLqNBByrIUBHcwwdi0FA</t>
  </si>
  <si>
    <t>UCxmSA11SbI_3yBcHu6pKi_Q</t>
  </si>
  <si>
    <t>UCc_ntc0DCa6ZU1CMwyeI55g</t>
  </si>
  <si>
    <t>UCdtO1wTCNj0IO8NCRF8TY2w</t>
  </si>
  <si>
    <t>UCB8T9mjdJHahaRhtDqajg0g</t>
  </si>
  <si>
    <t>UC3yea2ePcVxvwCl1EoVroMQ</t>
  </si>
  <si>
    <t>UCCBCb-aMFevB5FmKpLiXdzw</t>
  </si>
  <si>
    <t>UCuN_WZW0khSbkzgUKmrnl8A</t>
  </si>
  <si>
    <t>UC03wDU_a5-VDYuenyupXjIQ</t>
  </si>
  <si>
    <t>UChF_sXx89oVo_M2BEPRFYMw</t>
  </si>
  <si>
    <t>UCXxwvevU8ApbPL9daT_eT8g</t>
  </si>
  <si>
    <t>UCTTQ9EBEG9LwQdgRKq_vBMw</t>
  </si>
  <si>
    <t>UCtsSQuSqNdhE-YrijRqQACg</t>
  </si>
  <si>
    <t>UCURmi-Gqs4wEyq5OAqFaDgw</t>
  </si>
  <si>
    <t>UCRm6IjHoMkObHrBsnUZNpBQ</t>
  </si>
  <si>
    <t>UCLri_X2za8lXzmEltfffo3A</t>
  </si>
  <si>
    <t>UCqtfc-btBTki3cTx92LsPqw</t>
  </si>
  <si>
    <t>UCHarYroI0BtcnBSgy5PVXvw</t>
  </si>
  <si>
    <t>UCkzxUuB96SsG5LyC-SnpELA</t>
  </si>
  <si>
    <t>UCN6W5Z374tLcM-D2xEod6xA</t>
  </si>
  <si>
    <t>UCnZA1nSA4vX4oHThNtCeMyw</t>
  </si>
  <si>
    <t>UCr2den0LYe2BiszucdC8F_w</t>
  </si>
  <si>
    <t>UC70qvIT-VejO5DrUz7kmwyQ</t>
  </si>
  <si>
    <t>UCBhCqWaMfZRbKAXx_14ZOdQ</t>
  </si>
  <si>
    <t>UCrVi13aI6deP5j54dAh8DoQ</t>
  </si>
  <si>
    <t>UCXDCEbmjq6ynXKTf-EaocOg</t>
  </si>
  <si>
    <t>UCjUJ0bTJhYgaHL6V3nXAyQg</t>
  </si>
  <si>
    <t>UC1vVuJbug82Iz9qUyJE-UxQ</t>
  </si>
  <si>
    <t>UC2f5HsJRRduz--KO6F08TJA</t>
  </si>
  <si>
    <t>UC6939J_bcBk63mQoH-jp3dg</t>
  </si>
  <si>
    <t>UC0rRfKcWo6rnLtSWnPdccBQ</t>
  </si>
  <si>
    <t>UCc8Chy-n3YCG6Os58au-ZNQ</t>
  </si>
  <si>
    <t>UCxLI_UluGSESWVHCvYkZ5Bg</t>
  </si>
  <si>
    <t>UCrRRss9TjPn2UletAlEFZbQ</t>
  </si>
  <si>
    <t>UCwJMdb3Raiea_nMGjuc4p7A</t>
  </si>
  <si>
    <t>UCPgDMEYAFLaZdScnUQRBffw</t>
  </si>
  <si>
    <t>UCy6_XLgowOLf_8CHdjJNMGQ</t>
  </si>
  <si>
    <t>UCnwcEa9319a-2Hehdm0jBsA</t>
  </si>
  <si>
    <t>UCBY9J_yofi3Z72B68-66gIA</t>
  </si>
  <si>
    <t>UC-oJ5_TMqq-C6LXV_bePquA</t>
  </si>
  <si>
    <t>UCNcIOookEnXOM_2FSK_sE1Q</t>
  </si>
  <si>
    <t>UCkSfUTwJHoXPPLfhg3yU_rg</t>
  </si>
  <si>
    <t>UCAzdps2tJzn1whZE-PmgNiA</t>
  </si>
  <si>
    <t>UCO874TsGBuovKDKlifudE-A</t>
  </si>
  <si>
    <t>UCFNGyTuFd_9Q_MClmOyM5DA</t>
  </si>
  <si>
    <t>UCuunCqd6RsldM8Jna-zsvVg</t>
  </si>
  <si>
    <t>UCNM0RBOxB6glTPYKJT2Ksng</t>
  </si>
  <si>
    <t>UCVARAwkFGd11wim5LTpO2iQ</t>
  </si>
  <si>
    <t>UCHxB8irmMoRQ5PdLV3aM8VQ</t>
  </si>
  <si>
    <t>UCjDnt2b8-I7bu4MRF9Uwf-A</t>
  </si>
  <si>
    <t>UClFVoicbb4021y22E1YzsdA</t>
  </si>
  <si>
    <t>UCThV1UD7cpRFKXlZJa8rNJw</t>
  </si>
  <si>
    <t>UCV7XiN_H4Vf375SPIGfoxMw</t>
  </si>
  <si>
    <t>UCfZ41FrgmE4k75W91JJZbVQ</t>
  </si>
  <si>
    <t>UC_7EGvXRIP2FkAjaefpT_vw</t>
  </si>
  <si>
    <t>UCgz5dDB51XiHnKIdepGksyQ</t>
  </si>
  <si>
    <t>UCZAO2qJQbJmOZXT4KU-NXsg</t>
  </si>
  <si>
    <t>UCFSBIHW0pby3v5TR6kb-H7A</t>
  </si>
  <si>
    <t>UCLvkOSHPDOsRxuXHDYfa7Uw</t>
  </si>
  <si>
    <t>UCXF1dopgbAX4gMMqjdwhLkw</t>
  </si>
  <si>
    <t>UCSjP7dTsq55kDlTz-A0vjSw</t>
  </si>
  <si>
    <t>UCtbc3BuAV408RN94w3EYHyw</t>
  </si>
  <si>
    <t>UCSWW0FqSmKWsY2h8CWTYFXw</t>
  </si>
  <si>
    <t>UCX_h0WRbmDLjtQd3RKZw83Q</t>
  </si>
  <si>
    <t>UCxYecck1XkOmBKazq5IVu6g</t>
  </si>
  <si>
    <t>UCx5SW3nA3QZOL9bj9O2fHzA</t>
  </si>
  <si>
    <t>UC5E-jjQPjyO70ZfZib0Si0Q</t>
  </si>
  <si>
    <t>UCN-R5t427yJjzcCa6K7p2zA</t>
  </si>
  <si>
    <t>UCZhHm3M3OK1LQPvZCPi7Vug</t>
  </si>
  <si>
    <t>UC7HDnkuoT65Bv5FYZY3O9Zw</t>
  </si>
  <si>
    <t>UCQbUlYFhjEkt8CnbwDhpcow</t>
  </si>
  <si>
    <t>UCByHEY3AT9PhColTO4ISs4A</t>
  </si>
  <si>
    <t>UCVTQgo7JKh5It-AYp5_RaSg</t>
  </si>
  <si>
    <t>UCIg1fGP1uK63IFgHEOcYk0g</t>
  </si>
  <si>
    <t>UCFnqFwxNS2kEKgbPVC3xcHg</t>
  </si>
  <si>
    <t>UCO3rXui4nEniw4hvoYc_N8g</t>
  </si>
  <si>
    <t>UChQcTr5Xwe8tu-6tDP8nFSg</t>
  </si>
  <si>
    <t>UChE86yb4gbR4X2YF_ju3unA</t>
  </si>
  <si>
    <t>UCmFcc_FIZkXO1ip-Qsg-KrA</t>
  </si>
  <si>
    <t>UCJJP9CUVzO5IGFVvdg2WQKw</t>
  </si>
  <si>
    <t>UCN8Y4EoXcpWLTkJKlpxh8nw</t>
  </si>
  <si>
    <t>UCSU_wHMH-Jtqvz5NDcPMOtQ</t>
  </si>
  <si>
    <t>UCPvkJ8lGnllkjkmcwt5A3Yg</t>
  </si>
  <si>
    <t>UC0l0U7GnQGkAofdkS_c38Bw</t>
  </si>
  <si>
    <t>UCBmkYglsIsK7oC3U6yaNUEw</t>
  </si>
  <si>
    <t>UC13eeUsfNS-BfFgLLZzPHJw</t>
  </si>
  <si>
    <t>UCMmnFwze0RltCLdz56UAfvA</t>
  </si>
  <si>
    <t>UC-F3fJqjXhxi_qAot3rb8Ng</t>
  </si>
  <si>
    <t>UCaBpNrEtSah1mrup3yz4Lhw</t>
  </si>
  <si>
    <t>UCLETwGfftH0wuNqU6bW1XCA</t>
  </si>
  <si>
    <t>UCgqfPyAgRp7_KXzIZw1K1ig</t>
  </si>
  <si>
    <t>UCY9vPxAHc90UDcVcgFxJJEQ</t>
  </si>
  <si>
    <t>UCZcMmt2oSbV01aUvcVUrSaw</t>
  </si>
  <si>
    <t>UCFxTEPZ5lXXm02DLPSRF3NQ</t>
  </si>
  <si>
    <t>UCtebriAn8MCv0o1JAAgMZPg</t>
  </si>
  <si>
    <t>UCnRCUB8utEFY0xqm7L92yZg</t>
  </si>
  <si>
    <t>UCf-ngYLSv08HOPpzCKhzqeQ</t>
  </si>
  <si>
    <t>UCX9Kim7qja2qlch0AO2aerQ</t>
  </si>
  <si>
    <t>UCHYVOFd3E5WfP5infRbuVtw</t>
  </si>
  <si>
    <t>UCgdCCj8WyA2rhX4kCbK7NbQ</t>
  </si>
  <si>
    <t>UCCW6WdKJfqFUfoio0Lr0iHw</t>
  </si>
  <si>
    <t>UCVoReXuiBzSY6HbtZaxf6pQ</t>
  </si>
  <si>
    <t>UCXaaKQdMfqHO0mMXV3odawg</t>
  </si>
  <si>
    <t>UCw4xDZyBK0TlJTjbTGtAuEw</t>
  </si>
  <si>
    <t>UCUzCgFZGocBFTCRQacv5V9A</t>
  </si>
  <si>
    <t>UCugh3d3oNYRVzUVkFtgOJng</t>
  </si>
  <si>
    <t>UCd4B2Mjcs8_fVSyDTxVT_tA</t>
  </si>
  <si>
    <t>UCdZizb0fP4Yn0xXTnSXbemA</t>
  </si>
  <si>
    <t>UCF2w4uZqwWrcdlWk2JuHzsg</t>
  </si>
  <si>
    <t>UCrbaMf7Qn4jmi8Mpu-EerVQ</t>
  </si>
  <si>
    <t>UC9uNszDksWNnAyQycrcye8Q</t>
  </si>
  <si>
    <t>UC-veYoWcF6geQYNFDLq221w</t>
  </si>
  <si>
    <t>UCA2UxUNJWBK5lMe3e0p7w4w</t>
  </si>
  <si>
    <t>UCHMwyEtasfFID9MjkRn3r_A</t>
  </si>
  <si>
    <t>UCfVQnVmeBrK0YbAnNuxTrLA</t>
  </si>
  <si>
    <t>UCZ9CW_OWg7mXE8vdp6zYceA</t>
  </si>
  <si>
    <t>UCsyqWt5rqHHhBovHyrEUPCQ</t>
  </si>
  <si>
    <t>UCWLrOXP2GadWaiOiCX2FH3Q</t>
  </si>
  <si>
    <t>UCC184ncihJzZze2CmfAQGOQ</t>
  </si>
  <si>
    <t>UCuDmQ2Y-OHqiFA_3jpSnS4Q</t>
  </si>
  <si>
    <t>UCZXO_W8cIEfXktkTvrQJYOQ</t>
  </si>
  <si>
    <t>UC2ZhCMCEJ1NJYew4VlnbYZg</t>
  </si>
  <si>
    <t>UCIvSvgrEcTgDZPmZNDLRHQA</t>
  </si>
  <si>
    <t>UCPTxiyWXeGz7YeA--VdX2kg</t>
  </si>
  <si>
    <t>UC-ErSGqjKhmZL7BLUeNqHWA</t>
  </si>
  <si>
    <t>UCUgxf8AptYm5goprnHFhQug</t>
  </si>
  <si>
    <t>UCBc_QTRQXmhL8SgzNmtU1SA</t>
  </si>
  <si>
    <t>UCWADitF_6_0h0JwFYzGvwWg</t>
  </si>
  <si>
    <t>UCJFiG_LzzsNmYLyJbD3kXGA</t>
  </si>
  <si>
    <t>UC5AoCOpMrosY7sWc7JcwECw</t>
  </si>
  <si>
    <t>UCEp4Y_KpJ8Ogeyl07w4rg7Q</t>
  </si>
  <si>
    <t>UC_Ei0bbEgFeyoRYtiX5E4Hw</t>
  </si>
  <si>
    <t>UC2eUr931D22tjqHXMwkK5QA</t>
  </si>
  <si>
    <t>UCL53g8LyPow_19ojzApU6xw</t>
  </si>
  <si>
    <t>UCiU0DwnFdPN4hhnq2jKlEyw</t>
  </si>
  <si>
    <t>UCQTBUAlsZnlV15q1ZBfjDxQ</t>
  </si>
  <si>
    <t>UCDVxQdgOI7aIFI9VNCPSfDg</t>
  </si>
  <si>
    <t>UCPXM1s5WGdX_mFJzxzuw7eQ</t>
  </si>
  <si>
    <t>UCgOfmtKgJqQ2y_l2RJUhY-w</t>
  </si>
  <si>
    <t>UCTkrcivGBkMY4Vij-prQCfA</t>
  </si>
  <si>
    <t>UCQrlXdo7pZtgzusPA8KrShw</t>
  </si>
  <si>
    <t>UCTAyetm6MEKIR4Vu_j7K-ig</t>
  </si>
  <si>
    <t>UCqQBDs_f3v3h-UFFld9PcKQ</t>
  </si>
  <si>
    <t>UCyduSIVpv1r64d4l_Y-_dvw</t>
  </si>
  <si>
    <t>UCX_sFk4N2C7dFvjCLUoPvQg</t>
  </si>
  <si>
    <t>UCiWsgUNiND0za5YWQQ2akrw</t>
  </si>
  <si>
    <t>UCbrXZ-szsm3fN7aGSJcX4Og</t>
  </si>
  <si>
    <t>UCpVjkh4yJzPBcJNLnW1yT8A</t>
  </si>
  <si>
    <t>UC_Gsl_v4RPiU7E2LPxO41CQ</t>
  </si>
  <si>
    <t>UCzeu1G2TkyyWo7CLQS08itA</t>
  </si>
  <si>
    <t>UCt4OiktFWITfMMSSUBD2nLQ</t>
  </si>
  <si>
    <t>UClFdOQBzNzPEo5I0E7rXbcQ</t>
  </si>
  <si>
    <t>UC4-Bk3Aw5QKFpn9gw_vFJDw</t>
  </si>
  <si>
    <t>UCIiBx4r_OCAaHlGMlZQ7OrA</t>
  </si>
  <si>
    <t>UC1bP2CSl2eSNOCGU05dJHfg</t>
  </si>
  <si>
    <t>UCh7KuMrL6iSDnB4mwBPpHEA</t>
  </si>
  <si>
    <t>UCuvxfdasfGw6cEeseKwMe6g</t>
  </si>
  <si>
    <t>UCAE4gzskHRe8TeTl6eVneyA</t>
  </si>
  <si>
    <t>UCyqVnOGQO7v71Fm318SfVyg</t>
  </si>
  <si>
    <t>UCgwU7rXHj60-NCQRR8tcr3g</t>
  </si>
  <si>
    <t>UCKdfzlcm9GctB-76NozkSAA</t>
  </si>
  <si>
    <t>UC8m3r_w66USOVZUY36aB6wA</t>
  </si>
  <si>
    <t>UCrj6ws9M7PVCcBqKDz3Bucg</t>
  </si>
  <si>
    <t>UCAsjyUoHRgCA5oHVfwvcGhg</t>
  </si>
  <si>
    <t>UCwJMT9O5z5zsJTQO3H4C4_w</t>
  </si>
  <si>
    <t>UCo0iTcQ7092kEjKLYup9AMA</t>
  </si>
  <si>
    <t>UCjXE9bKtPpwww8Kacx9McNA</t>
  </si>
  <si>
    <t>UC7V94FS77mp9kmpddUpFsZA</t>
  </si>
  <si>
    <t>UCySWTmRjReU7WrD6LclL0wQ</t>
  </si>
  <si>
    <t>UCwDxpxo7NJGXYxm_4qQZoyA</t>
  </si>
  <si>
    <t>UCt6PSLl5Xzz5afnojedEH4g</t>
  </si>
  <si>
    <t>UCydk9wZnrXlzKdk7u9BNDtA</t>
  </si>
  <si>
    <t>UCbTggJVf0NDTfWX-C_gUGSg</t>
  </si>
  <si>
    <t>UCUS3ZC6c38zSZp7jn6t-bVg</t>
  </si>
  <si>
    <t>UCSJs-V4MKWaCDFs85i5rQNA</t>
  </si>
  <si>
    <t>UCYvFqT7MVqoUVIxBhnSbzjQ</t>
  </si>
  <si>
    <t>UCyaVYSpj0c3e0E4VmKSrc9g</t>
  </si>
  <si>
    <t>UCnTX7YVTsmgyyZ06iETRgsw</t>
  </si>
  <si>
    <t>UC8vG3GdOqWdoLlTGNjjIbPg</t>
  </si>
  <si>
    <t>UCUGVlDXR8f-sGtMK0ksfs1g</t>
  </si>
  <si>
    <t>UCxzNPaToGSLpTKBYxOscZqQ</t>
  </si>
  <si>
    <t>UC2SztvKJ-WFt8rlJ_V_8dIQ</t>
  </si>
  <si>
    <t>UCHPtcyVNdgtF1uK-K-6ooQw</t>
  </si>
  <si>
    <t>UCoN3YCkZQgRFBHkM72UuGeA</t>
  </si>
  <si>
    <t>UC2CAMbn5av4qqRRX4r1I_8g</t>
  </si>
  <si>
    <t>UChvim8KPe0whMoHjJhFZdww</t>
  </si>
  <si>
    <t>UCqi3ewl5uz_QElUUboPuOoA</t>
  </si>
  <si>
    <t>UCX4TLeSPNLKqaNZ0z7vWPSQ</t>
  </si>
  <si>
    <t>UCBryxYkuBwLWCv9Yuws-0Dw</t>
  </si>
  <si>
    <t>UCy3CUAIYgZdAOG9k3IPdLmw</t>
  </si>
  <si>
    <t>UCz6D-pXhywmdCOayYsx5WGQ</t>
  </si>
  <si>
    <t>UCSghPzRjaLn-gVHbq9bJG7g</t>
  </si>
  <si>
    <t>UCfRyE9uyQuiWZTiR59gN0qQ</t>
  </si>
  <si>
    <t>UCrYlCLzCPGgUMI-JVJ7UZ6A</t>
  </si>
  <si>
    <t>UCQOyoW2DJX6R8eWzMSLfZ1Q</t>
  </si>
  <si>
    <t>UCOMG0iHHi27owoyxGvURxiQ</t>
  </si>
  <si>
    <t>UCo-4YZHIB5F41n2YVBPA9Dg</t>
  </si>
  <si>
    <t>UC9paJ4hkGEvsxcPzk-1KtsA</t>
  </si>
  <si>
    <t>UChGko6FotOyQCG-cPbZsXwA</t>
  </si>
  <si>
    <t>UCHsdfdC07E9yISYSYd9oe8w</t>
  </si>
  <si>
    <t>UCvwyJFqRmqc3mbSB_SDEQGg</t>
  </si>
  <si>
    <t>UCkHl3fPy-ljjkNNBQwoYFew</t>
  </si>
  <si>
    <t>UCQ83z90H5XL-WtZBc6PsrQg</t>
  </si>
  <si>
    <t>UCy7deXby63slAVDNSrTmOZQ</t>
  </si>
  <si>
    <t>UC8G0lizBEEg_iIr48HM_igw</t>
  </si>
  <si>
    <t>UCFdrgI4RTRrZ6orEeEQJy3A</t>
  </si>
  <si>
    <t>UCl_NQqvVu5pEpdMOMRTwqIA</t>
  </si>
  <si>
    <t>UC9Wky0j6WFWMP0-DRXG5X_A</t>
  </si>
  <si>
    <t>UCzciyhKgQO2l4RC6fdLrZIg</t>
  </si>
  <si>
    <t>UCcdS7zCL5enE9J72ufzI5PA</t>
  </si>
  <si>
    <t>UC8d0MGrsCPCR8PoachcNHBQ</t>
  </si>
  <si>
    <t>UCom-wwz1havQ5hOqvKQqf5A</t>
  </si>
  <si>
    <t>UCuTVBTUD21DmU-mseaX7JkA</t>
  </si>
  <si>
    <t>UC65WTuS2BTJRgkwS1z4jUmQ</t>
  </si>
  <si>
    <t>UCX17FcGWwXRCQR00k-fSGhg</t>
  </si>
  <si>
    <t>UC3peb43RaA_CobmztuCPdDA</t>
  </si>
  <si>
    <t>UCpUYkSDJpHug-vfC5S-NXRA</t>
  </si>
  <si>
    <t>UC3ADz_R1cmrKBp5Aza3k2Mw</t>
  </si>
  <si>
    <t>UCZIKV-r7gvvSIq2ABYQStKA</t>
  </si>
  <si>
    <t>UCqtf7wBsQoCwH1PJ2grAAsQ</t>
  </si>
  <si>
    <t>UCUImAI50qUPNf2CdUsPF36A</t>
  </si>
  <si>
    <t>UCQmh4QzwBMnPSQhUXiR2ZgA</t>
  </si>
  <si>
    <t>UCTt0gabUyUH4tIqM5d6eK_w</t>
  </si>
  <si>
    <t>UC0605TGJuUV8dimhLEn0qHQ</t>
  </si>
  <si>
    <t>UCeB0R1Mjyj11bYyldX4vQiQ</t>
  </si>
  <si>
    <t>UCKOakaW3T4pHyIM6efxMYmQ</t>
  </si>
  <si>
    <t>UC91WgeaAsNDhywF7_zinAlg</t>
  </si>
  <si>
    <t>UC94S02dN90hIo7F2xLyoI3A</t>
  </si>
  <si>
    <t>UCyND4xBeUM9ybDnYoPg3WPg</t>
  </si>
  <si>
    <t>UC-KBBqNUClvEmiypIhUoaWw</t>
  </si>
  <si>
    <t>UCciiqJbc9Xli4oTFqUJhdZQ</t>
  </si>
  <si>
    <t>UC4eTN3IM43ArfUoUSLetZYw</t>
  </si>
  <si>
    <t>UCHuWoIPWIsDpdAqPn48LsNQ</t>
  </si>
  <si>
    <t>UC0i2DYJKDkaSdlwehlN6-Lw</t>
  </si>
  <si>
    <t>UCxBOdHvL0uAYTPwaxtXVbww</t>
  </si>
  <si>
    <t>UCW64nTVTzu_8yqninTGawpA</t>
  </si>
  <si>
    <t>UCMartS7qv4RjXBO-JeVMfEQ</t>
  </si>
  <si>
    <t>UCOtpCsZxYQNtUtQi6NVRIFg</t>
  </si>
  <si>
    <t>UCH2Xsy59ouDWqvJC6M5op9g</t>
  </si>
  <si>
    <t>UCSDZQfGPsPiHkcyyx6tT4_A</t>
  </si>
  <si>
    <t>UChsC8dNphphM_5nfTizklKw</t>
  </si>
  <si>
    <t>UCLBFLDPVWopeW0TaxcVOhkg</t>
  </si>
  <si>
    <t>UCt-lqwnK8aodAzsKuepsdFw</t>
  </si>
  <si>
    <t>UCt0L4zh1nkUKz36L8PsgCGw</t>
  </si>
  <si>
    <t>UCWuaaekWkD48dpjsMQsPskA</t>
  </si>
  <si>
    <t>UCcmKy_Sh0mneSu6q7aaK7sQ</t>
  </si>
  <si>
    <t>UCvR3SPVZtGvNiCoceBx5mCw</t>
  </si>
  <si>
    <t>UCw5LtE-P30NFQKk1cYZ4Qug</t>
  </si>
  <si>
    <t>UCbJ9ancSMqQZi2suK8T9V9w</t>
  </si>
  <si>
    <t>UC1jzOzpbEoqf-x_tbYWvkAw</t>
  </si>
  <si>
    <t>UCWp0caP4zQ20KtZWe41UXDQ</t>
  </si>
  <si>
    <t>UCmZ6MG-8QpT4SHqtMcK3Ruw</t>
  </si>
  <si>
    <t>UCKfUuP7dbt5_dDk0RLkrJag</t>
  </si>
  <si>
    <t>UC0AALJ9SyFy_zocizxmfKSg</t>
  </si>
  <si>
    <t>UCBJwAmWMqetWPAJCDvzG96Q</t>
  </si>
  <si>
    <t>UC7TTYIYHGWYEqpi2wYPO25w</t>
  </si>
  <si>
    <t>UCi9mn-c0K-3aCs6kpr9DfGw</t>
  </si>
  <si>
    <t>UCilmFvrrRKEPvbWA778e2oA</t>
  </si>
  <si>
    <t>UC7LW32eyYR-w0HauAepyqng</t>
  </si>
  <si>
    <t>UCDEbrTWOUTeMMChQPWAzupw</t>
  </si>
  <si>
    <t>UCCuHYj-aXodeomaU1fber3A</t>
  </si>
  <si>
    <t>UCS2VUwmL5aEla12ihmx-Hrg</t>
  </si>
  <si>
    <t>UCZHXp2Y--jAuBrQZM3dHvdw</t>
  </si>
  <si>
    <t>UCL9m_tnAVA3fbNNLdDWTc9w</t>
  </si>
  <si>
    <t>UCDuW9RYegDssURnVqZ2Ujyg</t>
  </si>
  <si>
    <t>UCx0UTtV15gHc0OqEtQ8Gkpw</t>
  </si>
  <si>
    <t>UCDsu9PvgCQqNDaMZzL1tcSQ</t>
  </si>
  <si>
    <t>UCrB8j1YCbuYhIcImwNkJgCg</t>
  </si>
  <si>
    <t>UC_ZlSKo7iJpkD0lsx77OjlA</t>
  </si>
  <si>
    <t>UC5VX1ckWpFMhVgyP56eOhBQ</t>
  </si>
  <si>
    <t>UCYo6_DZHw9_FZSYYLURa9lQ</t>
  </si>
  <si>
    <t>UCTmteCsaE-pPUgCdinqgh4A</t>
  </si>
  <si>
    <t>UCF3pkvyyercYqBq275B8VLQ</t>
  </si>
  <si>
    <t>UCxKCKnccuNO15wPEBVdhzaw</t>
  </si>
  <si>
    <t>UCf9T51_FmMlfhiGpoes0yFA</t>
  </si>
  <si>
    <t>UCRgLwzUAgzROSAdIVszu7Ng</t>
  </si>
  <si>
    <t>UCIqpI10br1LYVaN3zsZlrHQ</t>
  </si>
  <si>
    <t>UCjaduboRYgUIqkvBDJ4GbPw</t>
  </si>
  <si>
    <t>UCR8wiJUtuR74whxDdYK9-gA</t>
  </si>
  <si>
    <t>UCKQtHhBInrD4uPIu1a3xfuw</t>
  </si>
  <si>
    <t>UC3aJUKR9vS5CGJ7JdsmUGQQ</t>
  </si>
  <si>
    <t>UCnYLzkF8hEteih7COtPXmmQ</t>
  </si>
  <si>
    <t>UCHnrUPk8-iz6VbTic-w8h1g</t>
  </si>
  <si>
    <t>UC5HY9BXOEG11GkhB80oADFA</t>
  </si>
  <si>
    <t>UCzGlkZAe_iOrrYIG3q35Esw</t>
  </si>
  <si>
    <t>UCMs2LxbnlV2MfPMQ1S0nR1Q</t>
  </si>
  <si>
    <t>UC_84k0Yd9q70ru3J-VClheA</t>
  </si>
  <si>
    <t>UCLnVkiQsBO6JJ30i5NRsgGw</t>
  </si>
  <si>
    <t>UCDbtQ55dbyxytVHH0rijJxQ</t>
  </si>
  <si>
    <t>UCrtd2zM4Hq_q6zw9wYiE_IA</t>
  </si>
  <si>
    <t>UCW6GYgScRLrWh4IbMywasJA</t>
  </si>
  <si>
    <t>UCF4piUI3U7RZNHoszeeu8ZQ</t>
  </si>
  <si>
    <t>UCoKXRxb8YXBUO3aFZrcwt8g</t>
  </si>
  <si>
    <t>UCjGC9zWjHHF6CG1j8YfJK9g</t>
  </si>
  <si>
    <t>UCKSVKGZE9QgQcDt-f_ofl9A</t>
  </si>
  <si>
    <t>UC36oFzsurlTCn6DNJk7gx4Q</t>
  </si>
  <si>
    <t>UCGqCm_J15IOkidcdXxQ-MAg</t>
  </si>
  <si>
    <t>UCPn-w9paG7hw4aHaXdEZ1Kw</t>
  </si>
  <si>
    <t>UCB4X9NB9FEl8c0qfKSYWWCQ</t>
  </si>
  <si>
    <t>UCWJoxaiGioreCa8K-AiCRtA</t>
  </si>
  <si>
    <t>UCVrSbAO-97K11v3EeFQPojw</t>
  </si>
  <si>
    <t>UCKH244kkPLXoDCsEShgOwYA</t>
  </si>
  <si>
    <t>UCAPsmMmgG6B6zzVdR4TMa7w</t>
  </si>
  <si>
    <t>UCK_4QQUt2C8QS1dk5nxGqJw</t>
  </si>
  <si>
    <t>UCQ8DKQ-WS7NGWzy3iiAPjQg</t>
  </si>
  <si>
    <t>UC3--K-h857r2WOUejAGgk8g</t>
  </si>
  <si>
    <t>UCTg1PHqZ00p6SwlQ5R2e9kA</t>
  </si>
  <si>
    <t>UCfdRf8JhyPnAh6u5RX7_QNA</t>
  </si>
  <si>
    <t>UCJAm9RR4GGmePiEnOR2aK3Q</t>
  </si>
  <si>
    <t>UCmehuBRitBEfDEk0YwlhUtA</t>
  </si>
  <si>
    <t>UC2wQZsCvTlldiKkP1rAA7VQ</t>
  </si>
  <si>
    <t>UCJac92f_YjF_EiVr_Cp0kzQ</t>
  </si>
  <si>
    <t>UCbAMLctQ6w8lwt44s4SQD7g</t>
  </si>
  <si>
    <t>UCZlvgyM9J3QQEM5NaAJoOrw</t>
  </si>
  <si>
    <t>UCIFW2blDOTgMo4sbZvy5q3w</t>
  </si>
  <si>
    <t>UCrMp6pcG-mtZ6hxOTLwEmPg</t>
  </si>
  <si>
    <t>UCjin_JMnoRCBgC9R0rzw-MQ</t>
  </si>
  <si>
    <t>UC9Y5UGz-ZL1lWvWFoSp2wTA</t>
  </si>
  <si>
    <t>UCMctbCpIK2a4_HOYP-rt7eg</t>
  </si>
  <si>
    <t>UC7SByCjrPo17Ohcup3YQ6CA</t>
  </si>
  <si>
    <t>UCut059-41de7fgIT4TsSc0w</t>
  </si>
  <si>
    <t>UCCs4Q8hP2oSijopA0Oua72w</t>
  </si>
  <si>
    <t>UCschDYcHV2A6m-qi5fwCNDw</t>
  </si>
  <si>
    <t>UCik6TMhUKxZlunX4n3KURdQ</t>
  </si>
  <si>
    <t>UCdpaOp-ZCZbbky9IslAow3w</t>
  </si>
  <si>
    <t>UCeqrq_qZvLz5ZARUC3tAC3Q</t>
  </si>
  <si>
    <t>UCPFtZBcUYuxnm5sic2FSNuQ</t>
  </si>
  <si>
    <t>UCDfy2RuMjMq4DZjAI1y85Ng</t>
  </si>
  <si>
    <t>UC4vR7FNGExmDyWtzLIP2Fsw</t>
  </si>
  <si>
    <t>UClotW43rAwv0_KRCzscEgDQ</t>
  </si>
  <si>
    <t>UCLJsj-n7l-qj_8Oy2KHFj5w</t>
  </si>
  <si>
    <t>UCOnXXPKclBAMoVyQiQ_cxpg</t>
  </si>
  <si>
    <t>UCrOSaEIhxyDkh5QQDf4m2pQ</t>
  </si>
  <si>
    <t>UC8GI7ZeEvYtUZIMQxDOJ8Og</t>
  </si>
  <si>
    <t>UCW7WugaHVra-5NaONjZmwGQ</t>
  </si>
  <si>
    <t>UCuoFNm8UH-EfIFmG-9vL4aA</t>
  </si>
  <si>
    <t>UCJAjJ1LkP3pjOhjlQf2dsng</t>
  </si>
  <si>
    <t>UCPAHF7Dpd4usax9_DHxNCtg</t>
  </si>
  <si>
    <t>UC3BvTp9Z2l3BXeJof1sqjEw</t>
  </si>
  <si>
    <t>UCKHxFawjQo7XO_66uroOxzQ</t>
  </si>
  <si>
    <t>UCjOBq97vcsaiv_fYJ5OoRjQ</t>
  </si>
  <si>
    <t>UCQg9Dn8iIhS6a_22eAMEjCQ</t>
  </si>
  <si>
    <t>UC8Nbgc4vUi27HgBv2ffEiHw</t>
  </si>
  <si>
    <t>UCRzEzje2WXWuYbU56RC7hfg</t>
  </si>
  <si>
    <t>UCgSzVsuviPQDrie2-LkCIzA</t>
  </si>
  <si>
    <t>UCrTs2N3qPqvxS-EW-VdsDlA</t>
  </si>
  <si>
    <t>UCaaIJ9AgUqjRka74gWBsZwA</t>
  </si>
  <si>
    <t>UCXp-cY0drk8Ve7BQb8iyf8A</t>
  </si>
  <si>
    <t>UC7iuDjCnEFf6pAskdZsvQ3w</t>
  </si>
  <si>
    <t>UCa7xo_7e5TwV1L7HjqoHlqg</t>
  </si>
  <si>
    <t>UCrSiB6KdWs87LPFQga_aZfA</t>
  </si>
  <si>
    <t>UCB7-B0LHqE6sMK6JwWs_hKw</t>
  </si>
  <si>
    <t>UCqXx4YaMy_edSqHtuAzaN3g</t>
  </si>
  <si>
    <t>UCgZIFtUJQjNHiB22qCdSCYg</t>
  </si>
  <si>
    <t>UCp4W8zw8TQJp75c9NG0_79Q</t>
  </si>
  <si>
    <t>UCg1Id2qMmc22nQFHyLEzogw</t>
  </si>
  <si>
    <t>UCmXFHDJ_oNiUXFvHOAxJ45g</t>
  </si>
  <si>
    <t>UCilOAUEQ90kmtMpnFrE-UDA</t>
  </si>
  <si>
    <t>UCwxlgYFD2LRxmTtB4lph6Dg</t>
  </si>
  <si>
    <t>UCQHEPyUiNuKXgZviphObFbg</t>
  </si>
  <si>
    <t>UCXyTXC3tPRiR41cN5YMu4Tg</t>
  </si>
  <si>
    <t>UC8l0zRmIKAiuzt1W41rX8ww</t>
  </si>
  <si>
    <t>UCY1pEz1D2sLDRY8Pp9cbf_w</t>
  </si>
  <si>
    <t>UCN0754-kHLVg8T3c9Ptl2tQ</t>
  </si>
  <si>
    <t>UCYg-lp55SoEHtor0Z_wXhvQ</t>
  </si>
  <si>
    <t>UCcNFqmKvjYJ4uT7m73m9Gzw</t>
  </si>
  <si>
    <t>UCRhTp51B-OmjGb9pmor1izA</t>
  </si>
  <si>
    <t>UChmS05I9nqlewC7o6Le01PA</t>
  </si>
  <si>
    <t>UCYfmecSpbA9eKScENck0SxQ</t>
  </si>
  <si>
    <t>UCLTsmsnxVXZ5s1l-wBA-DJw</t>
  </si>
  <si>
    <t>UCVr4XPfmenahjX-V3E7W5tw</t>
  </si>
  <si>
    <t>UCXzbaxQDm_J8tde9xKEalkg</t>
  </si>
  <si>
    <t>UC0yTzhyCOykbC8LLDBDheGA</t>
  </si>
  <si>
    <t>UCBYzDJTo_0pcQ9CBV8Ozslw</t>
  </si>
  <si>
    <t>UCaO-uRH2PbEP2fl-tWqR1VQ</t>
  </si>
  <si>
    <t>UCVDk3W25v4OiVi8XwKdaJBw</t>
  </si>
  <si>
    <t>UCSbw4liXeVeEZym1GyNZbrQ</t>
  </si>
  <si>
    <t>UCI8nXcFNNOFrTMjW0fWnSUw</t>
  </si>
  <si>
    <t>UCyOqhXLqyl212EorlasUfYg</t>
  </si>
  <si>
    <t>UC5FgOlJzKhlSZXOmFN5ub1Q</t>
  </si>
  <si>
    <t>UCXxUayhQHz_NC6lUCoAmJjg</t>
  </si>
  <si>
    <t>UCo01FgqzojD0f_WEtCNRaSQ</t>
  </si>
  <si>
    <t>UCg2BLUv5gHLmqjSjkzveOPg</t>
  </si>
  <si>
    <t>UC6cOwMfjCJJ39OKMX3GCsSA</t>
  </si>
  <si>
    <t>UC3r_UJx0MYRhmPZP7_A0xGA</t>
  </si>
  <si>
    <t>UCpCsZNpgNr3U0uamY3f821A</t>
  </si>
  <si>
    <t>UCt3kzvhrvlfDd1AaP1-o4ww</t>
  </si>
  <si>
    <t>UCcq6HyUzitcCiZlGg2HtRIQ</t>
  </si>
  <si>
    <t>UCRpDcBWWkic9-kQ6SHXu4VA</t>
  </si>
  <si>
    <t>UC0hrPVmlFxeRvLNJMdNX4Kg</t>
  </si>
  <si>
    <t>UCy-m7wtx7d3uDiGRzODmi7g</t>
  </si>
  <si>
    <t>UCzsR3ghNLC6qCQrHlAKlGVQ</t>
  </si>
  <si>
    <t>UCDxxNnhtCG38wvuCjiyzOaA</t>
  </si>
  <si>
    <t>UCl-ozj1Gzs3NjT7y0qElaTw</t>
  </si>
  <si>
    <t>UCpgnoCflV9Yrj5bAb247wcw</t>
  </si>
  <si>
    <t>UChiJI6aZx9XflzWBg98p6TA</t>
  </si>
  <si>
    <t>UC3hMRd0hcCWRV1vFjezuefA</t>
  </si>
  <si>
    <t>UCnNn4VPADdndeRqDNTGugaA</t>
  </si>
  <si>
    <t>UCDrRojKeA8WsvwL5_HBHokw</t>
  </si>
  <si>
    <t>UCCbnSjx2zdsWIV5wKOslG2g</t>
  </si>
  <si>
    <t>UCZeBJ0ETZlagrv92Dn323oA</t>
  </si>
  <si>
    <t>UC-eWMObGAUIFLsu6reunQ3A</t>
  </si>
  <si>
    <t>UCPpjhEtx0M6T3H-4GV4SKeg</t>
  </si>
  <si>
    <t>UC8Jd5CYl4zQa_kBNdkPrP0w</t>
  </si>
  <si>
    <t>UCrdOvtBDvpLltap7ptCcKxg</t>
  </si>
  <si>
    <t>UCcR6gvEw__ugwQaS27McIUA</t>
  </si>
  <si>
    <t>UCvKIpNI7l-XweJYo5a-RCdw</t>
  </si>
  <si>
    <t>UCmVd4i6b9lJ5pH0wYbwbMGw</t>
  </si>
  <si>
    <t>UCsjsp8pH5ksLeSQiQDPZO0g</t>
  </si>
  <si>
    <t>UCo5DUW5DLKvCO-M1xEwXH5w</t>
  </si>
  <si>
    <t>UCO3R6yASfocLaLTDyZHDuAw</t>
  </si>
  <si>
    <t>UCRjSeIVCLmDHZ2dNssT7xvg</t>
  </si>
  <si>
    <t>UCVb8RTHoMD8CoHb8ZmTsGcw</t>
  </si>
  <si>
    <t>UCdpHYrNDvXqreUGPsqfX6jg</t>
  </si>
  <si>
    <t>UC8hJdmvM1kUA2J9KlU07nQw</t>
  </si>
  <si>
    <t>UCFZFYFIzdogd7nQfsIJ6bCw</t>
  </si>
  <si>
    <t>UCer2Liv7ASwieHZk76QYz_g</t>
  </si>
  <si>
    <t>UCj9CywGjtcdW_rCa1uWJiGQ</t>
  </si>
  <si>
    <t>UCItE14v-1HEQbFkGXCaqhCg</t>
  </si>
  <si>
    <t>UCcd9jhJHg-JWuEz861i2saQ</t>
  </si>
  <si>
    <t>UC0Fxs5vOGxWQqcuNjB6JZNw</t>
  </si>
  <si>
    <t>UCR_2U6Ckk2iffJdxfWWQmcg</t>
  </si>
  <si>
    <t>UChjApHrYdDgxVKGOgMQ1KnA</t>
  </si>
  <si>
    <t>UC4Jwz33QLMSOQEJkGPanGpg</t>
  </si>
  <si>
    <t>UCBQTOqpeA28XHf_aLD9sGfA</t>
  </si>
  <si>
    <t>UCO9z-7kc8CDTFY5s7Ullz7w</t>
  </si>
  <si>
    <t>UCsmxILcBOJwU2d5WZi8ulgQ</t>
  </si>
  <si>
    <t>UCcNKR03knYmJZx2TA3x-4lw</t>
  </si>
  <si>
    <t>UCWp3dCCc13gr6lxe_3dsIXw</t>
  </si>
  <si>
    <t>UCwXoila4MIHneo5Pl2EDqrg</t>
  </si>
  <si>
    <t>UCWtG2h1I4hyUudSsIBw1cwA</t>
  </si>
  <si>
    <t>UCdhu9-K6DZIfIBdKzedpSzw</t>
  </si>
  <si>
    <t>UCwoozj1lyIbfQY4Sp4Gls1g</t>
  </si>
  <si>
    <t>UCGFJLPfbyYhOP5FfX7_rWFw</t>
  </si>
  <si>
    <t>UCiCr-43tTDRmH4RV42hmTmQ</t>
  </si>
  <si>
    <t>UCCuMPdZI3dCLUPGD6TsmDkw</t>
  </si>
  <si>
    <t>UCsK1PjBpTvz4qAOwtjor15g</t>
  </si>
  <si>
    <t>UCZwXDSdyhxLk7W_sFQsANCA</t>
  </si>
  <si>
    <t>UCKhaZGk_YMxHFqUIUo4CxVg</t>
  </si>
  <si>
    <t>UCIFQgj1Rhx-FFgyo0zzPSfw</t>
  </si>
  <si>
    <t>UCCmWU5-oK7MR4RQt0SdYWbQ</t>
  </si>
  <si>
    <t>UCiLfeVOBJoAPUbiKxrHBcuw</t>
  </si>
  <si>
    <t>UCtzK1Q-jw4aOgzLXqQpmybg</t>
  </si>
  <si>
    <t>UCfV-cq1ikCK8Xj_s2jPeQ3g</t>
  </si>
  <si>
    <t>UC1jdqRaeWzUKt19WbbEgwGQ</t>
  </si>
  <si>
    <t>UCSNyGhBhJomk2IBlrGjt0jA</t>
  </si>
  <si>
    <t>UCMJoOmW5Zpk3ep6XwKivlmQ</t>
  </si>
  <si>
    <t>UCky03MonS3REdCXCvOfua2g</t>
  </si>
  <si>
    <t>UCa-eSrRfQHLX-OL4G2NxS2Q</t>
  </si>
  <si>
    <t>UCNJJswo_gpUyEF4nrvYP9rA</t>
  </si>
  <si>
    <t>UCuS13t8PD-6boP_B-pd7u5A</t>
  </si>
  <si>
    <t>UCb8PSfcsgFqkztYoTMP7Exg</t>
  </si>
  <si>
    <t>UCuVmzw46bPl2MStXvMyCGfA</t>
  </si>
  <si>
    <t>UCesjpe5FQgZG6-esS5Adsfw</t>
  </si>
  <si>
    <t>UCRVTA2bxxIt42y5V0n1zWdQ</t>
  </si>
  <si>
    <t>UCBntDaPELzNdC_PgQRYxuAg</t>
  </si>
  <si>
    <t>UC5YdAtWv_T7IPQzZDvSt71A</t>
  </si>
  <si>
    <t>UCauyfx8BvXrdX6D_S3Erh6w</t>
  </si>
  <si>
    <t>UCKaVfd9D2EH7P-U7O9Lh0Xw</t>
  </si>
  <si>
    <t>UC8bmtIx3qQyHTnafF0uoUBA</t>
  </si>
  <si>
    <t>UCG7C9WD8OIDZbh_vFB356VQ</t>
  </si>
  <si>
    <t>UCiYDV0gtH1ljNlJN42S8eGQ</t>
  </si>
  <si>
    <t>UCYnwqPiYdXkBZqng3lE5u2w</t>
  </si>
  <si>
    <t>UCl0k6_11cll8OhoqffXfknQ</t>
  </si>
  <si>
    <t>UCY29sVNHP1cugF_CPDwp36A</t>
  </si>
  <si>
    <t>UCBbsl_ejeP5uroPshLSbPkw</t>
  </si>
  <si>
    <t>UC8m_TmXKJYjdbCcboix2rvg</t>
  </si>
  <si>
    <t>UC-zcxbOmTsRzSlydELA8Bag</t>
  </si>
  <si>
    <t>UCLKDqkmygqYMCVfH9FITtpg</t>
  </si>
  <si>
    <t>UCHBmRwbadi_zs5Q1odn4Fzw</t>
  </si>
  <si>
    <t>UCHxcflr9gOTr0dA2ujps5PQ</t>
  </si>
  <si>
    <t>UCM_0tZIZxMlB5pbYjRT4a0w</t>
  </si>
  <si>
    <t>UCujo_ZlMoGpTyC0BEsiGUFg</t>
  </si>
  <si>
    <t>UC5K207XdVJQ2JGaPTMHHUgw</t>
  </si>
  <si>
    <t>UCsnDgWtZdAZfUervHtX-U8A</t>
  </si>
  <si>
    <t>UCWemA5UlffM28L6CSKkerFw</t>
  </si>
  <si>
    <t>UCgD2acGw8hAHJrmMaR-i2Zg</t>
  </si>
  <si>
    <t>UCUif-kPeMTxR17qsBljk_4g</t>
  </si>
  <si>
    <t>UCNe1hPu1ezRpkO41VID90Qg</t>
  </si>
  <si>
    <t>UC5O9xXewPfevK7Dd3n1DXsA</t>
  </si>
  <si>
    <t>UC4ne8eWv9oN6a7RgmCgMP3g</t>
  </si>
  <si>
    <t>UCoVcxJl0W0prfKyVMK_rxrQ</t>
  </si>
  <si>
    <t>UCTOnLTM22UgQ7JAezSOdOSQ</t>
  </si>
  <si>
    <t>UCu_e5nCElMwEsbtNQn0IYOQ</t>
  </si>
  <si>
    <t>UCzkM7ccvLMbqTW-YiZmUCEg</t>
  </si>
  <si>
    <t>UCGmquqsCaGpHze9N0KwkmTQ</t>
  </si>
  <si>
    <t>UCOaSOMiIEBi5OMCFzY9lSIw</t>
  </si>
  <si>
    <t>UCE7qCkNkOm_kppJDWQzNnVA</t>
  </si>
  <si>
    <t>UC8uTFxKu3UhPbbbzQbDWHow</t>
  </si>
  <si>
    <t>UCQr_M4rulCCLJrvrmEKPZ9A</t>
  </si>
  <si>
    <t>UCDPnsKDVArX0Ooqdcj25CEA</t>
  </si>
  <si>
    <t>UCNFVJvBzMFaWPcNxZzurddw</t>
  </si>
  <si>
    <t>UCV1BuCRR9oyvkcPOMmCKNMg</t>
  </si>
  <si>
    <t>UCQUF7BK9w7iNXgAJtbpE5Ww</t>
  </si>
  <si>
    <t>UC9LFVFomQEpHyApyhlJoJIg</t>
  </si>
  <si>
    <t>UCKTBYOQAHJxzgiLP48B8Apg</t>
  </si>
  <si>
    <t>UCOrpbn5s6GAvJz8fDt5mOyA</t>
  </si>
  <si>
    <t>UCO1S62Yfk1S8XRYjksIf9kg</t>
  </si>
  <si>
    <t>UCZnfsz3Wgf6V_Hu1d7m7GTA</t>
  </si>
  <si>
    <t>UCshyM08-MXmCTAq74i3aIkg</t>
  </si>
  <si>
    <t>UCCu0CzaATLOUGHINGfxZwrA</t>
  </si>
  <si>
    <t>UC2dFrGKOrBaQrlC3DqWJ9vA</t>
  </si>
  <si>
    <t>UChhYUjvA-4vH4ixRko4RZRw</t>
  </si>
  <si>
    <t>UCv0isN7jDXrAWJGjxrouMpg</t>
  </si>
  <si>
    <t>UCITq952Isyv7MbWNusSAFDA</t>
  </si>
  <si>
    <t>UC0pn4J1gb2q4e98T-BX-Sng</t>
  </si>
  <si>
    <t>UCq3mOOGWKHQ_FZj8aj7uWOw</t>
  </si>
  <si>
    <t>UCFRS4oVcRZBdZ0ID4LTiAeg</t>
  </si>
  <si>
    <t>UCKxwEXrlXQYnXLw-L5ojmmw</t>
  </si>
  <si>
    <t>UCEyaHLYVG0WIAABOLbCb27A</t>
  </si>
  <si>
    <t>UCJeOXhoLoDQeRaZT9ApJAXQ</t>
  </si>
  <si>
    <t>UCNcCrZ5DVh6j1Ya0uD1_uzw</t>
  </si>
  <si>
    <t>UChvLzY9MIzTfx0831VkY5bQ</t>
  </si>
  <si>
    <t>UC2YFKfvra80gb6nNEZ3NsXQ</t>
  </si>
  <si>
    <t>UCpYduClvjfEFO71CNN0o1aQ</t>
  </si>
  <si>
    <t>UC8b5ecQZKt9a1jDTuzudhwA</t>
  </si>
  <si>
    <t>UC7vuXkt4OA1JXj_3DT6WJoA</t>
  </si>
  <si>
    <t>UCyarrOOOHzUNETRDYerahmA</t>
  </si>
  <si>
    <t>UCJUegbxqq84RTADsPyPmj4w</t>
  </si>
  <si>
    <t>UCOsV75fSUr8gnMbhx-Qh3Lg</t>
  </si>
  <si>
    <t>UCDiD6lDqK4TMGXWgD4sPapQ</t>
  </si>
  <si>
    <t>UCI8m-3oHyPuGTgXfuNaAbeQ</t>
  </si>
  <si>
    <t>UCBO2MfelOTyAyf7m5Atg_xg</t>
  </si>
  <si>
    <t>UCcIbadbS1wvdAUaB6ANPDJQ</t>
  </si>
  <si>
    <t>UCpNGDeOgH14QdiYvWzOVTVQ</t>
  </si>
  <si>
    <t>UC3ingNbF2mWgFdiXpBahhUA</t>
  </si>
  <si>
    <t>UCCnz3J2VuO2j3B4ihtn00tQ</t>
  </si>
  <si>
    <t>UChENy2b530TSEyRFV_FnkUg</t>
  </si>
  <si>
    <t>UC94FeYOIBSBZRPc-0bFIlpQ</t>
  </si>
  <si>
    <t>UCDj1jLUeLXGFppgWZNcx5UQ</t>
  </si>
  <si>
    <t>UCxZH0aZnRfxs-HVjm6fEWZQ</t>
  </si>
  <si>
    <t>UCgCNFoWWPXcoVr5xNesnVbQ</t>
  </si>
  <si>
    <t>UCqId1zcX3NJ819EQHX7gvSw</t>
  </si>
  <si>
    <t>UCY-X_R2mw_-MOX7WVL1aBog</t>
  </si>
  <si>
    <t>UC1L2Z59HKNb1RvzS0w1P9Bw</t>
  </si>
  <si>
    <t>UC2niR7kf9LyCEecicFuFbKg</t>
  </si>
  <si>
    <t>UCLegWjd1F5mA5b25SEI_Wdg</t>
  </si>
  <si>
    <t>UCJyRBj5vM6bxEUHZDmwO5ww</t>
  </si>
  <si>
    <t>UCb7IH7B4NbgW-DkHV38LLLA</t>
  </si>
  <si>
    <t>UCQIb53CNJAxYxryjeW7wIJA</t>
  </si>
  <si>
    <t>UCbY06EnieXZfq6IB5bz0E4A</t>
  </si>
  <si>
    <t>UCx29pmyVOjk7ZinBNUDVgnQ</t>
  </si>
  <si>
    <t>UCN4HxkZ3priKiigBjBC-L2Q</t>
  </si>
  <si>
    <t>UC2vH9rqGh-fJELF8acGfBdw</t>
  </si>
  <si>
    <t>UCpxPvuuXYQm4EAKAs7cyfig</t>
  </si>
  <si>
    <t>UCFxTs2cVT344R19fzKAhM3Q</t>
  </si>
  <si>
    <t>UC1h756hc8ziZ0TbasarHs2g</t>
  </si>
  <si>
    <t>UCo9xTRmg1SqQ5JSsA2fAgJw</t>
  </si>
  <si>
    <t>UC3uAZPfkZIyqA0Uc0ZCwTPg</t>
  </si>
  <si>
    <t>UCdepwa6Qc4UZqMB3LYEjnGg</t>
  </si>
  <si>
    <t>UCXo-Z_2ZZwxbnkHS1ozZaBg</t>
  </si>
  <si>
    <t>UCo87Nn7vbifSYSbq98Z5ZYQ</t>
  </si>
  <si>
    <t>UCiyC_wMdLliHsEz-dpThZdQ</t>
  </si>
  <si>
    <t>UCmX5LWjzVEt48n9zi51e7fQ</t>
  </si>
  <si>
    <t>UCRl0MzDJgOon_vQXNiXx00Q</t>
  </si>
  <si>
    <t>UCWNo3RECWv-1askkneKe2gQ</t>
  </si>
  <si>
    <t>UCqmR71aNswGjC3cKkMsJNEA</t>
  </si>
  <si>
    <t>UCQzWmG2yWly41GBYzeuIqbg</t>
  </si>
  <si>
    <t>UCfCw00iCADpJODDPouGCxEw</t>
  </si>
  <si>
    <t>UCcLQJOfR-MCcI5RtIHFl6Ww</t>
  </si>
  <si>
    <t>UCIONSVXaD5JBj4B3N7PKFjg</t>
  </si>
  <si>
    <t>UCTmj6f6nQv6DKONt-vBeSZQ</t>
  </si>
  <si>
    <t>UChJT7Cp5L3NECfIaYCZRWSA</t>
  </si>
  <si>
    <t>UC2SvDrQlk26DNSsfXyb3Fpg</t>
  </si>
  <si>
    <t>UCvLTkug5QunlzhyYPslHm-w</t>
  </si>
  <si>
    <t>UClP0BpyXiaYwBAx3Yc75LmA</t>
  </si>
  <si>
    <t>UCVSjGPj-4suXOrW42dMkrrQ</t>
  </si>
  <si>
    <t>UCebUEw_1sgkQxQU01dohoHg</t>
  </si>
  <si>
    <t>UCmPJb3ic5InQDxgh92C_98w</t>
  </si>
  <si>
    <t>UC6VTRoVrCX4knTTZS3L4PKw</t>
  </si>
  <si>
    <t>UCmfIOFX7Mr0oDO1vEMxK9eA</t>
  </si>
  <si>
    <t>UCCI37YB3l21oq_sLoc92YfA</t>
  </si>
  <si>
    <t>UC00CZ9XdZmZRmLr6KsiX9Og</t>
  </si>
  <si>
    <t>UCVJTkP56VARluj61X5v0exw</t>
  </si>
  <si>
    <t>UClQe7H1LXdsz_iEmhw5LKXg</t>
  </si>
  <si>
    <t>UCaHyiyvJp4hhPNhIU7r9uqg</t>
  </si>
  <si>
    <t>UCzHUnoYmawteZGQaxjhB3RA</t>
  </si>
  <si>
    <t>UCV4L5OOjZiEqHExIl9gDhAg</t>
  </si>
  <si>
    <t>UCN19GEbe9_9KPAYIPZrgDBA</t>
  </si>
  <si>
    <t>UCuOEJKsxQkkfj_NRUT8rX-g</t>
  </si>
  <si>
    <t>UCRRG9eijSFyFwRlHDe_eWDQ</t>
  </si>
  <si>
    <t>UCaxTAACJccK8w8XHpaEhJKg</t>
  </si>
  <si>
    <t>UCYjHibSNH3MovM8jnPK9xhg</t>
  </si>
  <si>
    <t>UCoKftT070h0_jDxPMazy6-w</t>
  </si>
  <si>
    <t>UCh8wCtEbxVF2jZmC_SlYfng</t>
  </si>
  <si>
    <t>UCMgRVume4Kqw-ASXYWDyREw</t>
  </si>
  <si>
    <t>UC0HRiu6tTcgIKDD9kiHSqsg</t>
  </si>
  <si>
    <t>UC0GG7VONFgTx9Uthd6Ntbng</t>
  </si>
  <si>
    <t>UC4R7cEcdHEitfETstIy2BYg</t>
  </si>
  <si>
    <t>UCQFCtCbaNz5HYyXQd4eUNAg</t>
  </si>
  <si>
    <t>UCldCnzQZTcb2Idb3gEMm8Iw</t>
  </si>
  <si>
    <t>UCOhCD4zQBz-FfnVVZgL5D7Q</t>
  </si>
  <si>
    <t>UC2Ebjnp7RI430DPRptnYD4A</t>
  </si>
  <si>
    <t>UCtKudOHYuYPPowwMg5MNjgA</t>
  </si>
  <si>
    <t>UC683B9WyeYf6wIptKscnhuA</t>
  </si>
  <si>
    <t>UCqaMvDr7DmdzkmBqcLUuIag</t>
  </si>
  <si>
    <t>UCLvCUXIYOT0M8xv1nVfbieQ</t>
  </si>
  <si>
    <t>UCFH-wKdpu3zoSqVNue0XbcQ</t>
  </si>
  <si>
    <t>UCK6rnkkXusFuO06QID5X8jw</t>
  </si>
  <si>
    <t>UCGo8xAyKOd4sA4Maz4M0euw</t>
  </si>
  <si>
    <t>UC3IkaHROpCBxkeii2zI7XjA</t>
  </si>
  <si>
    <t>UCxmH3D2LWL9wpUOBQ1-x70g</t>
  </si>
  <si>
    <t>UCyM3Lk0cPN8tHl7XWxdcN_g</t>
  </si>
  <si>
    <t>UCMya0xLX-QQXCJ3OCoz2mjg</t>
  </si>
  <si>
    <t>UCONVcfduH4lQAUdywsbHpqQ</t>
  </si>
  <si>
    <t>UCI5-YicBniz3C82XxzbzErg</t>
  </si>
  <si>
    <t>UCz3Sm3PlqKH2t_gd4i4gIdw</t>
  </si>
  <si>
    <t>UCEnj9o5ymTj3Zi7qRRDXsew</t>
  </si>
  <si>
    <t>UCFcvarNltLl7NcfoewXQ04g</t>
  </si>
  <si>
    <t>UCuMlrQ5YxnM9vr0k4jJBH3Q</t>
  </si>
  <si>
    <t>UCGfdY4Z1w7nF9oFYd3M1zEA</t>
  </si>
  <si>
    <t>UCBBwsD4xq9ZwkIWDkBT_xQQ</t>
  </si>
  <si>
    <t>UCqG6OTR1Q5MKD64ynYwXbtw</t>
  </si>
  <si>
    <t>UCdDtF2bmMVT6pjScqg_Un-g</t>
  </si>
  <si>
    <t>UCV9biQWxC1RIHAtHxO5AxEg</t>
  </si>
  <si>
    <t>UCr4VuLW6YV_XcKIDIMrG6eQ</t>
  </si>
  <si>
    <t>UCJ4g2FdUM000onbYDrnAX3g</t>
  </si>
  <si>
    <t>UCEQkD16-sqvIvTmaJYgvP3A</t>
  </si>
  <si>
    <t>UCL8TIcG1mJbI2sFBaI-S1rA</t>
  </si>
  <si>
    <t>UCGsjkRKf0Jh2eimML3Pj6wA</t>
  </si>
  <si>
    <t>UC-vF3vifY_J4EU2GZ8NGoaA</t>
  </si>
  <si>
    <t>UCFLbb6vHAe_-mT1sIe7oxfA</t>
  </si>
  <si>
    <t>UCAMDn1zjnCXJnG3piUL7VPQ</t>
  </si>
  <si>
    <t>UCEzHCpvFWoF85UabbzKTkOQ</t>
  </si>
  <si>
    <t>UC_aJgo46VBbxjB9XG1gclsw</t>
  </si>
  <si>
    <t>UC20uyV2RWrFIO0u8c0ZT7cQ</t>
  </si>
  <si>
    <t>UCV35bD4dyeiQWItPQPIgepw</t>
  </si>
  <si>
    <t>UCJW3oUy5NZHSOexmp-aVwUg</t>
  </si>
  <si>
    <t>UCOi8BUOki0oEgU1U5Mmm7zg</t>
  </si>
  <si>
    <t>UCLXFzuRQtBMTPYgOpVCf1ng</t>
  </si>
  <si>
    <t>UCrrdl-ap0_9Tu7XW6py4EWg</t>
  </si>
  <si>
    <t>UCcsRvgrRLJfaeRcksxtMeYg</t>
  </si>
  <si>
    <t>UC8xH8rJMo9rpTHGSp5ESQHQ</t>
  </si>
  <si>
    <t>UCEJ_nncDU4wInCyVg2pl_Lw</t>
  </si>
  <si>
    <t>UCkUy37Vupivc9Mf4pK1B3xw</t>
  </si>
  <si>
    <t>UCRzdYjloQI7VJYax6GsX8ZQ</t>
  </si>
  <si>
    <t>UC_ObivYy7jKwy6uYtLmB8sQ</t>
  </si>
  <si>
    <t>UCXBCtrHr6vCGUupTEJCt9FA</t>
  </si>
  <si>
    <t>UCc--qJXOYwF35-7YpM80x0w</t>
  </si>
  <si>
    <t>UC90LjqWJwUcMNcsYW1VjfCA</t>
  </si>
  <si>
    <t>UCtgO4le0A5L2c_R-R2DGO0g</t>
  </si>
  <si>
    <t>UC96VylzEbnuns7I06qSXIkw</t>
  </si>
  <si>
    <t>UCkjS-vBpEVdHI32M58xUXUQ</t>
  </si>
  <si>
    <t>UC4sPBkl1-mXveLvyitUDigA</t>
  </si>
  <si>
    <t>UC2EuY-mpHUuGvatKB9ALo5Q</t>
  </si>
  <si>
    <t>UCX3_LZqWIEQIK22w2Wkkqcw</t>
  </si>
  <si>
    <t>UCmT0Y-jN6pugSaDn_CPFODA</t>
  </si>
  <si>
    <t>UCNpdeh2Sy0bzU8MZpg5EwTg</t>
  </si>
  <si>
    <t>UCgVuhUfVhvnhpyAWVUM7wGw</t>
  </si>
  <si>
    <t>UC3OTX8bdPmhlM7ux-BMH0RA</t>
  </si>
  <si>
    <t>UC8TFwTdZHZrczwKxiVDY2mg</t>
  </si>
  <si>
    <t>UC0GN6VYjrrqXfyRKGBIScnw</t>
  </si>
  <si>
    <t>UCHYPM-aPz7sL-MDHugYXWrA</t>
  </si>
  <si>
    <t>UCJkBWlfovIVSyKQgQF3fD6Q</t>
  </si>
  <si>
    <t>UCba2bZfQGWDZy0ElltBhhEQ</t>
  </si>
  <si>
    <t>UCpSpJTzSlHf7QxVykN6IA4Q</t>
  </si>
  <si>
    <t>UCYeDZo8jtoqGoJgwRT113gg</t>
  </si>
  <si>
    <t>UC5dqYplOUGD15QXGeAQwYAA</t>
  </si>
  <si>
    <t>UCQG6RzWJW020EVsh5I0mP2g</t>
  </si>
  <si>
    <t>UCsGBDQo6oMY80AWlAPf-pYA</t>
  </si>
  <si>
    <t>UCNo2btNwS4tIlMLvCj6L8xQ</t>
  </si>
  <si>
    <t>UCglTJ6-k8OoPnTu7Pa8nkHw</t>
  </si>
  <si>
    <t>UCQkL5_Nibf6tXi0grVCCiZg</t>
  </si>
  <si>
    <t>UCSctkDmHBQidpPR1t4a0IJg</t>
  </si>
  <si>
    <t>UCIPZVAwDGa-A4ZJxCBvXRuQ</t>
  </si>
  <si>
    <t>UCAz5L_P21zh_QEO1NOX4xyw</t>
  </si>
  <si>
    <t>UC4gON4eBraggD3DiO3ttlIg</t>
  </si>
  <si>
    <t>UC7jgT2oi0WHOJwdepc2b7sw</t>
  </si>
  <si>
    <t>UCYQpUNgt_vqIGS73GP8Jf9A</t>
  </si>
  <si>
    <t>UCC3kHYtu2QeTfWuPXvleR6A</t>
  </si>
  <si>
    <t>UC4kbR1HgD9apGxQ-VKfgAJQ</t>
  </si>
  <si>
    <t>UCvNR_63v1FUep_GaNBGfVFg</t>
  </si>
  <si>
    <t>UCUz1Q9nrHuCLgtTPAILjiig</t>
  </si>
  <si>
    <t>UC9uGCJeSKSr0jZVqAhs0feA</t>
  </si>
  <si>
    <t>UC_bwifMp-nvzWH11Cq42M5w</t>
  </si>
  <si>
    <t>UCZsij4PpVHI-b8l5j9g7erA</t>
  </si>
  <si>
    <t>UCmoYHdc9k7WZGMqrmoLIH0A</t>
  </si>
  <si>
    <t>UC2WKsYBxMwx7E7ENkND-fkg</t>
  </si>
  <si>
    <t>UCHMXQSLdXL7q1SntZBjhW3Q</t>
  </si>
  <si>
    <t>UCQFOgpRI4PaWQmW5lHfb1_g</t>
  </si>
  <si>
    <t>UCmXFdsJtTAbbYrH7zz-lkkw</t>
  </si>
  <si>
    <t>UCf9KtkSS0L9guds8mSh_Wzw</t>
  </si>
  <si>
    <t>UC-IC430ZsGtGFqKT7Aj_sxQ</t>
  </si>
  <si>
    <t>UC13Q8NEFAFDkgPL9E-Pu9QA</t>
  </si>
  <si>
    <t>UCL7cW5OJQLPnT2P9lLm6SaA</t>
  </si>
  <si>
    <t>UCon5cg49Zf6karoGOPkCNug</t>
  </si>
  <si>
    <t>UCmnqAqzci6BTETm58Njxt6Q</t>
  </si>
  <si>
    <t>UCHiX8E_gCGnwfChS8_tp5ow</t>
  </si>
  <si>
    <t>UCdKPm5KM99O75NtArFkMDDA</t>
  </si>
  <si>
    <t>UCPSSI7gxXdPw8NcTbl9wByw</t>
  </si>
  <si>
    <t>UCtAoItAnNOJYf8XqnERy50w</t>
  </si>
  <si>
    <t>UC1pHKw5WmAynZJoKw9tU9Sw</t>
  </si>
  <si>
    <t>UCfjozJV7z9c7lo5OjNvT_BQ</t>
  </si>
  <si>
    <t>UCHB_UxB7_MNEemgpW5ciODQ</t>
  </si>
  <si>
    <t>UCEHGp8mXq7CCBAECu3xLl-w</t>
  </si>
  <si>
    <t>UCWg_k7MR35ID6_rHdbSwYmQ</t>
  </si>
  <si>
    <t>UC99t-uHkRXSsj6UtzCnrMwg</t>
  </si>
  <si>
    <t>UCErR0-CDZioDSUu45Aroxnw</t>
  </si>
  <si>
    <t>UCF9half7__L_fiDqOAXVv4g</t>
  </si>
  <si>
    <t>UCEw_YKybZRqi2RwJzljk-Ew</t>
  </si>
  <si>
    <t>UCORp0YF0Wgr6phtYSwpf6BA</t>
  </si>
  <si>
    <t>UCIqoWksBbMp1A21x2Fz6puQ</t>
  </si>
  <si>
    <t>UC2lnBs1z3rTMZrUpkYtJsqA</t>
  </si>
  <si>
    <t>UCi03-vtkKibxULyrvsuNC8Q</t>
  </si>
  <si>
    <t>UCO4nRWhL9Uuvc4NIJoLElHA</t>
  </si>
  <si>
    <t>UCKgEQgpuavX9Rwr2knqvunQ</t>
  </si>
  <si>
    <t>UCXvopCfQZU3kY6xl2OISxXw</t>
  </si>
  <si>
    <t>UCO1aucBAJgFR8odzfXOZ5uw</t>
  </si>
  <si>
    <t>UC9fp7HFY9cmZUOzpT2FJUqA</t>
  </si>
  <si>
    <t>UCS4O3la_Zxh1pfVQRN61BpQ</t>
  </si>
  <si>
    <t>UCu2holHldnaop5-BjpLPHNA</t>
  </si>
  <si>
    <t>UCESrIawvJuaIyRqHUFlt3kg</t>
  </si>
  <si>
    <t>UC7uaBY99e2BTOp5HTYaFtTw</t>
  </si>
  <si>
    <t>UCp-PZmO3McLRP74au5qIViw</t>
  </si>
  <si>
    <t>UCPSeGG--Ua0GRAJywse3UAg</t>
  </si>
  <si>
    <t>UC2imVpV-FqJAh6hgoEbgo_Q</t>
  </si>
  <si>
    <t>UCQe8FO0t4qGTiXWusUdKmwQ</t>
  </si>
  <si>
    <t>UCm9NxAPjzJIwYiiEfAebNdw</t>
  </si>
  <si>
    <t>UCB482vG7KOwZwOGckoN4ukg</t>
  </si>
  <si>
    <t>UCKPtkVw8Iquze_Jjld8dalQ</t>
  </si>
  <si>
    <t>UCd8wf-mQCO-zl0_UKwwUS1w</t>
  </si>
  <si>
    <t>UCD-tDqFDvhe-J-tusenjSdg</t>
  </si>
  <si>
    <t>UCEItOFf7-Bdjnknbm6Gn80g</t>
  </si>
  <si>
    <t>UCnvm-ySHUG9tHnrSGmnr9ow</t>
  </si>
  <si>
    <t>UCEA5jY3LqL8vl1fqXpfUrfQ</t>
  </si>
  <si>
    <t>UC662drcjIRviVFl5Beh7nNg</t>
  </si>
  <si>
    <t>UCVMIaShu0v-DkHkE3uBF-pg</t>
  </si>
  <si>
    <t>UCFbeHQInG2idjxbs2sE3peg</t>
  </si>
  <si>
    <t>UCdG1Z0WlDE1V27xua2NHYKg</t>
  </si>
  <si>
    <t>UC_IVHWeYdc7ANp5uyNdQrlA</t>
  </si>
  <si>
    <t>UCwE8wclwaXHc3FS1l2wchBg</t>
  </si>
  <si>
    <t>UCb8jhPQAei2r3K-UjYpF0XA</t>
  </si>
  <si>
    <t>UCX9dSXnt89pY9el_mS3TmfA</t>
  </si>
  <si>
    <t>UCLKfEa5JCktRKqhE6mx5sQw</t>
  </si>
  <si>
    <t>UCRymPeSgUFT3uPGKB-GljbQ</t>
  </si>
  <si>
    <t>UCakcBNEp0r8cqbxKacnC2zQ</t>
  </si>
  <si>
    <t>UC2z4BtulCUXlr0mObKGvdqQ</t>
  </si>
  <si>
    <t>UChX5wIxBZ3kK6cUJxiOeILg</t>
  </si>
  <si>
    <t>UC0HcfF11ZSyOYKADIFQKq7A</t>
  </si>
  <si>
    <t>UCCwBpv_kdVcrvxMiJ-AHmAg</t>
  </si>
  <si>
    <t>UCDEWVCa2RbQuFWB4kuk1CoA</t>
  </si>
  <si>
    <t>UCg1GsUI_IHih-oQxh542KKg</t>
  </si>
  <si>
    <t>UCKkjXjle0a0uH02Gzso7iIw</t>
  </si>
  <si>
    <t>UCBbYxIYlIveTk2UqHgeo9DQ</t>
  </si>
  <si>
    <t>UCNvlBdhGPEzpK65umzYo2ew</t>
  </si>
  <si>
    <t>UCds2czcAqwlsBCxxpVkarww</t>
  </si>
  <si>
    <t>UCAxvSl-IXU0HcYhiL8YfBvg</t>
  </si>
  <si>
    <t>UCSuF0k_DZxvAB3UOSFN3fmA</t>
  </si>
  <si>
    <t>UCXFGPZ0udeL_TnLNECoaDUQ</t>
  </si>
  <si>
    <t>UCvG-AXBLPVWtFKzeQv68QqA</t>
  </si>
  <si>
    <t>UCLI5I1QwKqQn0Cf4nzdGKeQ</t>
  </si>
  <si>
    <t>UCC_4QjDj50XzbLe8F31-vkQ</t>
  </si>
  <si>
    <t>UCOblCTCUL0DQYzYYxuUtoqQ</t>
  </si>
  <si>
    <t>UCabOV6NTF7Y5GeVOk2WGqLw</t>
  </si>
  <si>
    <t>UC52R90IdroVqlUtIe-8B0mw</t>
  </si>
  <si>
    <t>UCV01cEjT9EGakHXILA_uZOQ</t>
  </si>
  <si>
    <t>UCEGAltRg_F4kLi8Wejj8d4Q</t>
  </si>
  <si>
    <t>UCq-Fj5jknLsUf-MWSy4_brA</t>
  </si>
  <si>
    <t>UCFFbwnve3yF62-tVXkTyHqg</t>
  </si>
  <si>
    <t>UC_vcKmg67vjMP7ciLnSxSHQ</t>
  </si>
  <si>
    <t>UCiGyWN6DEbnj2alu7iapuKQ</t>
  </si>
  <si>
    <t>UCVOTBwF0vnSxMRIbfSE_K_g</t>
  </si>
  <si>
    <t>UCBqFKDipsnzvJdt6UT0lMIg</t>
  </si>
  <si>
    <t>UCsNxHPbaCWL1tKw2hxGQD6g</t>
  </si>
  <si>
    <t>UCvpfclapgcuJo0M_x65pfRw</t>
  </si>
  <si>
    <t>UCl5dXugC3XZeDVsDkTaWJ4g</t>
  </si>
  <si>
    <t>UCOsyDsO5tIt-VZ1iwjdQmew</t>
  </si>
  <si>
    <t>UCtgGOdTlM-NdJ9rPKIYN8UQ</t>
  </si>
  <si>
    <t>UCeVMnSShP_Iviwkknt83cww</t>
  </si>
  <si>
    <t>Market Sizing — TAM / SAM / SOM</t>
  </si>
  <si>
    <t>Indian influencer-marketing opportunity · top-down + bottoms-up cross-check · Source: market_sizing.md (EY/Kofluence/Goat-Kantar 2025)</t>
  </si>
  <si>
    <t>Layer</t>
  </si>
  <si>
    <t>Definition</t>
  </si>
  <si>
    <t>Figure (₹ cr)</t>
  </si>
  <si>
    <t>TAM</t>
  </si>
  <si>
    <t>Total Indian influencer-marketing spend (2025, ~25% YoY)</t>
  </si>
  <si>
    <t>SAM</t>
  </si>
  <si>
    <t>Mid-market D2C + independent-agency segment (~15% of TAM)</t>
  </si>
  <si>
    <t>Tooling-SAM</t>
  </si>
  <si>
    <t>Software/tooling spend within SAM (4% of campaign spend)</t>
  </si>
  <si>
    <t>SOM</t>
  </si>
  <si>
    <t>CreatorPulse achievable Year-5 ARR (from Financials)</t>
  </si>
  <si>
    <t>Assumptions</t>
  </si>
  <si>
    <t>SAM as % of TAM</t>
  </si>
  <si>
    <t>Tooling as % of SAM</t>
  </si>
  <si>
    <t>Bottoms-up TAM cross-check</t>
  </si>
  <si>
    <t>Active brands running paid campaigns</t>
  </si>
  <si>
    <t>Avg annual influencer budget (₹)</t>
  </si>
  <si>
    <t>Implied TAM (₹ cr)</t>
  </si>
  <si>
    <t>5-Year DCF — Revenue / EBITDA / NPV / IRR</t>
  </si>
  <si>
    <t>Freemium B2B SaaS · SOM build from market_sizing.md (Year-5: 1,200 brands × ₹50k + 150 agencies × ₹1.5L)</t>
  </si>
  <si>
    <t>Assumptions (blue = input)</t>
  </si>
  <si>
    <t>Brand accounts (Yr5)</t>
  </si>
  <si>
    <t>Brand price/yr (₹)</t>
  </si>
  <si>
    <t>Agency accounts (Yr5)</t>
  </si>
  <si>
    <t>Agency price/yr (₹)</t>
  </si>
  <si>
    <t>Gross margin</t>
  </si>
  <si>
    <t>OpEx % of revenue</t>
  </si>
  <si>
    <t>Tax rate</t>
  </si>
  <si>
    <t>WACC</t>
  </si>
  <si>
    <t>Terminal growth</t>
  </si>
  <si>
    <t>Initial investment (₹)</t>
  </si>
  <si>
    <t>Adoption ramp (% of Yr5)</t>
  </si>
  <si>
    <t>Y1</t>
  </si>
  <si>
    <t>Y2</t>
  </si>
  <si>
    <t>Y3</t>
  </si>
  <si>
    <t>Y4</t>
  </si>
  <si>
    <t>Y5</t>
  </si>
  <si>
    <t>P&amp;L build (₹)</t>
  </si>
  <si>
    <t>Year</t>
  </si>
  <si>
    <t>Brand accounts</t>
  </si>
  <si>
    <t>Agency accounts</t>
  </si>
  <si>
    <t>Revenue</t>
  </si>
  <si>
    <t>Gross profit</t>
  </si>
  <si>
    <t>OpEx</t>
  </si>
  <si>
    <t>EBITDA</t>
  </si>
  <si>
    <t>Tax</t>
  </si>
  <si>
    <t>FCF</t>
  </si>
  <si>
    <t>Valuation</t>
  </si>
  <si>
    <t>Year-5 ARR (₹)</t>
  </si>
  <si>
    <t>Terminal value (₹)</t>
  </si>
  <si>
    <t>NPV of FCF (₹)</t>
  </si>
  <si>
    <t>PV of terminal (₹)</t>
  </si>
  <si>
    <t>Enterprise NPV (₹)</t>
  </si>
  <si>
    <t>IRR</t>
  </si>
  <si>
    <t>XNPV (dated)</t>
  </si>
  <si>
    <t>Cashflow (incl. Y0)</t>
  </si>
  <si>
    <t>Cashflow dates</t>
  </si>
  <si>
    <t>NPV sensitivity to WACC</t>
  </si>
  <si>
    <t>Scenarios — Year-5 ARR sensitivity</t>
  </si>
  <si>
    <t>Two-variable grid: paid-conversion (adoption) × take-rate (price). Live formulas (base / bull / bear).</t>
  </si>
  <si>
    <t>Adoption ↓  /  Take-rate →</t>
  </si>
  <si>
    <t>Base = adoption 100%, take-rate 100%  (centre cell).  Bull = 140%/120%.  Bear = 60%/80%.</t>
  </si>
  <si>
    <t>Niche Analytics</t>
  </si>
  <si>
    <t>Per-niche aggregates over the live corpus (AVERAGEIF/COUNTIF on Data) · demand slope from Prophet niche_forecast_v1 · est. CPM via VLOOKUP</t>
  </si>
  <si>
    <t>Niche</t>
  </si>
  <si>
    <t>Channels</t>
  </si>
  <si>
    <t>Mean subs</t>
  </si>
  <si>
    <t>Mean views</t>
  </si>
  <si>
    <t>Avg engagement</t>
  </si>
  <si>
    <t>Avg fraud risk</t>
  </si>
  <si>
    <t>Avg est. cost (₹)</t>
  </si>
  <si>
    <t>CPM (₹)</t>
  </si>
  <si>
    <t>Demand slope</t>
  </si>
  <si>
    <t>Fastest-growing niche (INDEX/MATCH on slope):</t>
  </si>
  <si>
    <t>Highest avg fraud risk (INDEX/MATCH):</t>
  </si>
  <si>
    <t>Engagement-Risk Distribution &amp; False-Positive Cost</t>
  </si>
  <si>
    <t>fraud_risk = XGBoost fraud_classifier_v1 P(suspicious) over 12,547 live channels (model validated on a simulated cohort).</t>
  </si>
  <si>
    <t>Risk band</t>
  </si>
  <si>
    <t>Lower</t>
  </si>
  <si>
    <t>Upper</t>
  </si>
  <si>
    <t>% of corpus</t>
  </si>
  <si>
    <t>Very low</t>
  </si>
  <si>
    <t>Low</t>
  </si>
  <si>
    <t>Moderate</t>
  </si>
  <si>
    <t>Elevated</t>
  </si>
  <si>
    <t>High</t>
  </si>
  <si>
    <t>Severe</t>
  </si>
  <si>
    <t>Total</t>
  </si>
  <si>
    <t>False-positive cost analysis</t>
  </si>
  <si>
    <t>Est. true-fraud prevalence</t>
  </si>
  <si>
    <t>Cost per false flag (lost deal, ₹)</t>
  </si>
  <si>
    <t>Flag threshold</t>
  </si>
  <si>
    <t>Flagged channels</t>
  </si>
  <si>
    <t>Est. false positives</t>
  </si>
  <si>
    <t>FP cost (₹)</t>
  </si>
  <si>
    <t>Retention Cohorts (PostHog)</t>
  </si>
  <si>
    <t>Weekly-returning cohorts + persona power users. SIMULATED cohort — pre-launch, no organic traffic (per §18 taxonomy).</t>
  </si>
  <si>
    <t>Weekly cohort</t>
  </si>
  <si>
    <t>Week 0</t>
  </si>
  <si>
    <t>W1</t>
  </si>
  <si>
    <t>W2</t>
  </si>
  <si>
    <t>W4</t>
  </si>
  <si>
    <t>W1 retention</t>
  </si>
  <si>
    <t>W4 retention</t>
  </si>
  <si>
    <t>2025-W01</t>
  </si>
  <si>
    <t>2025-W02</t>
  </si>
  <si>
    <t>2025-W03</t>
  </si>
  <si>
    <t>2025-W04</t>
  </si>
  <si>
    <t>Behavioural cohorts (30d)</t>
  </si>
  <si>
    <t>Cohort</t>
  </si>
  <si>
    <t>Users</t>
  </si>
  <si>
    <t>Share of active</t>
  </si>
  <si>
    <t>Brand power users (5+ briefs)</t>
  </si>
  <si>
    <t>Creator power users (3+ chart views)</t>
  </si>
  <si>
    <t>Multi-persona users</t>
  </si>
  <si>
    <t>Single-session</t>
  </si>
  <si>
    <t>Conversion Funnels (dual persona)</t>
  </si>
  <si>
    <t>North Star = weekly matched campaigns (brand sessions with ≥1 shortlist). SIMULATED — pre-launch (per §18 funnels).</t>
  </si>
  <si>
    <t>Brand funnel step</t>
  </si>
  <si>
    <t>Step conv.</t>
  </si>
  <si>
    <t>Cum. conv.</t>
  </si>
  <si>
    <t>persona_selected (brand)</t>
  </si>
  <si>
    <t>brief_composed</t>
  </si>
  <si>
    <t>match_requested</t>
  </si>
  <si>
    <t>creator_shortlisted</t>
  </si>
  <si>
    <t>comparison_viewed</t>
  </si>
  <si>
    <t>Creator funnel step</t>
  </si>
  <si>
    <t>persona_selected (creator)</t>
  </si>
  <si>
    <t>creator_searched</t>
  </si>
  <si>
    <t>creator_profile_viewed</t>
  </si>
  <si>
    <t>niche_demand_chart_viewed</t>
  </si>
  <si>
    <t>North Star — weekly matched campaigns</t>
  </si>
  <si>
    <t>Competitive Teardown — weighted scoring</t>
  </si>
  <si>
    <t>CreatorPulse vs incumbents. Weighted score = SUMPRODUCT(weights, scores). Scores 1–5; see docs/business/competitive_analysis.md.</t>
  </si>
  <si>
    <t>Criterion</t>
  </si>
  <si>
    <t>Weight</t>
  </si>
  <si>
    <t>CreatorPulse</t>
  </si>
  <si>
    <t>HypeAuditor</t>
  </si>
  <si>
    <t>AnyTag</t>
  </si>
  <si>
    <t>BizFluence</t>
  </si>
  <si>
    <t>IndianInfluencer</t>
  </si>
  <si>
    <t>Mid-market pricing</t>
  </si>
  <si>
    <t>Fraud / engagement screening</t>
  </si>
  <si>
    <t>Creator-side product</t>
  </si>
  <si>
    <t>India-specific data</t>
  </si>
  <si>
    <t>Discovery + match quality</t>
  </si>
  <si>
    <t>Ease of use</t>
  </si>
  <si>
    <t>Weighted score</t>
  </si>
  <si>
    <t>Q1 OKRs</t>
  </si>
  <si>
    <t>Objective → key results with completion % and traffic-light status.</t>
  </si>
  <si>
    <t>Objective</t>
  </si>
  <si>
    <t>Key result</t>
  </si>
  <si>
    <t>Target</t>
  </si>
  <si>
    <t>Actual</t>
  </si>
  <si>
    <t>Completion</t>
  </si>
  <si>
    <t>Status</t>
  </si>
  <si>
    <t>Ship dual-persona product</t>
  </si>
  <si>
    <t>Creator + brand flows live</t>
  </si>
  <si>
    <t>Index the Indian creator graph</t>
  </si>
  <si>
    <t>Channels indexed</t>
  </si>
  <si>
    <t>Trustworthy matching</t>
  </si>
  <si>
    <t>Match-ranking A/B lift (%)</t>
  </si>
  <si>
    <t>Model quality</t>
  </si>
  <si>
    <t>Forecast coverage</t>
  </si>
  <si>
    <t>Niches with 12-wk forecast</t>
  </si>
  <si>
    <t>Analytics instrumentation</t>
  </si>
  <si>
    <t>PostHog events live</t>
  </si>
  <si>
    <t>Row Labels</t>
  </si>
  <si>
    <t>Grand Total</t>
  </si>
  <si>
    <t>Average of Demand slope</t>
  </si>
  <si>
    <t>Sum of Channels</t>
  </si>
  <si>
    <t>Sum of Users</t>
  </si>
  <si>
    <t>Sum of W1</t>
  </si>
  <si>
    <t>Sum of W4</t>
  </si>
  <si>
    <t>Sum of W2</t>
  </si>
  <si>
    <t>Sum of Week 0</t>
  </si>
  <si>
    <t>Average of Step conv.</t>
  </si>
  <si>
    <t>Average of Cum. conv.</t>
  </si>
  <si>
    <t>Average of % of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</si>
</sst>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#,##0;\(#,##0\);\-"/>
    <numFmt numFmtId="168" formatCode="yyyy\-mm\-dd"/>
  </numFmts>
  <fonts count="10" x14ac:knownFonts="1">
    <font>
      <sz val="11"/>
      <color theme="1"/>
      <name val="Calibri"/>
      <family val="2"/>
      <charset val="1"/>
    </font>
    <font>
      <b/>
      <sz val="16"/>
      <color rgb="FF1F3B4D"/>
      <name val="Calibri"/>
      <charset val="1"/>
    </font>
    <font>
      <i/>
      <sz val="9"/>
      <color rgb="FF666666"/>
      <name val="Calibri"/>
      <charset val="1"/>
    </font>
    <font>
      <sz val="9"/>
      <color rgb="FF666666"/>
      <name val="Calibri"/>
      <charset val="1"/>
    </font>
    <font>
      <b/>
      <sz val="18"/>
      <color rgb="FF1F3B4D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sz val="11"/>
      <color rgb="FF008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166" fontId="7" fillId="3" borderId="0" xfId="0" applyNumberFormat="1" applyFont="1" applyFill="1"/>
    <xf numFmtId="167" fontId="7" fillId="0" borderId="0" xfId="0" applyNumberFormat="1" applyFont="1"/>
    <xf numFmtId="3" fontId="7" fillId="3" borderId="0" xfId="0" applyNumberFormat="1" applyFont="1" applyFill="1"/>
    <xf numFmtId="167" fontId="7" fillId="3" borderId="0" xfId="0" applyNumberFormat="1" applyFont="1" applyFill="1"/>
    <xf numFmtId="166" fontId="7" fillId="0" borderId="0" xfId="0" applyNumberFormat="1" applyFont="1"/>
    <xf numFmtId="0" fontId="5" fillId="0" borderId="0" xfId="0" applyFont="1" applyAlignment="1">
      <alignment horizontal="center"/>
    </xf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166" fontId="7" fillId="0" borderId="0" xfId="0" applyNumberFormat="1" applyFont="1" applyAlignment="1">
      <alignment horizontal="center"/>
    </xf>
    <xf numFmtId="165" fontId="0" fillId="0" borderId="0" xfId="0" applyNumberFormat="1"/>
    <xf numFmtId="0" fontId="8" fillId="0" borderId="0" xfId="0" applyFont="1"/>
    <xf numFmtId="2" fontId="0" fillId="0" borderId="0" xfId="0" applyNumberFormat="1"/>
    <xf numFmtId="3" fontId="5" fillId="0" borderId="0" xfId="0" applyNumberFormat="1" applyFont="1"/>
    <xf numFmtId="2" fontId="7" fillId="0" borderId="0" xfId="0" applyNumberFormat="1" applyFont="1"/>
    <xf numFmtId="0" fontId="6" fillId="2" borderId="1" xfId="0" applyFont="1" applyFill="1" applyBorder="1"/>
    <xf numFmtId="0" fontId="7" fillId="0" borderId="0" xfId="0" applyFont="1" applyAlignment="1">
      <alignment horizontal="center"/>
    </xf>
    <xf numFmtId="2" fontId="5" fillId="0" borderId="0" xfId="0" applyNumberFormat="1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5.950897569448" createdVersion="8" refreshedVersion="8" minRefreshableVersion="3" recordCount="20" xr:uid="{CFD02312-4A03-4038-8AF1-C62BE8A52345}">
  <cacheSource type="worksheet">
    <worksheetSource ref="A4:I24" sheet="Niches"/>
  </cacheSource>
  <cacheFields count="9">
    <cacheField name="Niche" numFmtId="0">
      <sharedItems count="20">
        <s v="Auto"/>
        <s v="Beauty"/>
        <s v="Comedy"/>
        <s v="DIY"/>
        <s v="Devotional"/>
        <s v="Education"/>
        <s v="Fashion"/>
        <s v="Finance"/>
        <s v="Fitness"/>
        <s v="Food"/>
        <s v="Gaming"/>
        <s v="Lifestyle"/>
        <s v="Music"/>
        <s v="News"/>
        <s v="Parenting"/>
        <s v="Reactions"/>
        <s v="Sports"/>
        <s v="Tech"/>
        <s v="Travel"/>
        <s v="Vlogs"/>
      </sharedItems>
    </cacheField>
    <cacheField name="Channels" numFmtId="3">
      <sharedItems containsSemiMixedTypes="0" containsString="0" containsNumber="1" containsInteger="1" minValue="101" maxValue="3459"/>
    </cacheField>
    <cacheField name="Mean subs" numFmtId="3">
      <sharedItems containsSemiMixedTypes="0" containsString="0" containsNumber="1" minValue="624439.75308641978" maxValue="4757696.202531646"/>
    </cacheField>
    <cacheField name="Mean views" numFmtId="3">
      <sharedItems containsSemiMixedTypes="0" containsString="0" containsNumber="1" minValue="43523.68639218418" maxValue="1680177.2900000003"/>
    </cacheField>
    <cacheField name="Avg engagement" numFmtId="166">
      <sharedItems containsSemiMixedTypes="0" containsString="0" containsNumber="1" minValue="1.4364646464646464E-2" maxValue="4.2335852090032183E-2"/>
    </cacheField>
    <cacheField name="Avg fraud risk" numFmtId="165">
      <sharedItems containsSemiMixedTypes="0" containsString="0" containsNumber="1" minValue="7.7318691588785071E-2" maxValue="0.11652377777777835"/>
    </cacheField>
    <cacheField name="Avg est. cost (₹)" numFmtId="167">
      <sharedItems containsSemiMixedTypes="0" containsString="0" containsNumber="1" minValue="27678.210000000006" maxValue="840088.64500000014"/>
    </cacheField>
    <cacheField name="CPM (₹)" numFmtId="3">
      <sharedItems containsSemiMixedTypes="0" containsString="0" containsNumber="1" containsInteger="1" minValue="20" maxValue="80"/>
    </cacheField>
    <cacheField name="Demand slope" numFmtId="3">
      <sharedItems containsSemiMixedTypes="0" containsString="0" containsNumber="1" minValue="-111872.088642977" maxValue="6593.672035754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5.955249537037" createdVersion="8" refreshedVersion="8" minRefreshableVersion="3" recordCount="4" xr:uid="{F771C60D-C2CE-4198-B082-D5AAD523DF59}">
  <cacheSource type="worksheet">
    <worksheetSource ref="A4:G8" sheet="Cohorts"/>
  </cacheSource>
  <cacheFields count="7">
    <cacheField name="Weekly cohort" numFmtId="0">
      <sharedItems count="4">
        <s v="2025-W01"/>
        <s v="2025-W02"/>
        <s v="2025-W03"/>
        <s v="2025-W04"/>
      </sharedItems>
    </cacheField>
    <cacheField name="Week 0" numFmtId="3">
      <sharedItems containsSemiMixedTypes="0" containsString="0" containsNumber="1" containsInteger="1" minValue="520" maxValue="640" count="4">
        <n v="520"/>
        <n v="610"/>
        <n v="565"/>
        <n v="640"/>
      </sharedItems>
    </cacheField>
    <cacheField name="W1" numFmtId="3">
      <sharedItems containsSemiMixedTypes="0" containsString="0" containsNumber="1" containsInteger="1" minValue="198" maxValue="256" count="4">
        <n v="198"/>
        <n v="232"/>
        <n v="221"/>
        <n v="256"/>
      </sharedItems>
    </cacheField>
    <cacheField name="W2" numFmtId="3">
      <sharedItems containsSemiMixedTypes="0" containsString="0" containsNumber="1" containsInteger="1" minValue="150" maxValue="189" count="4">
        <n v="150"/>
        <n v="171"/>
        <n v="160"/>
        <n v="189"/>
      </sharedItems>
    </cacheField>
    <cacheField name="W4" numFmtId="3">
      <sharedItems containsSemiMixedTypes="0" containsString="0" containsNumber="1" containsInteger="1" minValue="96" maxValue="121" count="4">
        <n v="96"/>
        <n v="108"/>
        <n v="101"/>
        <n v="121"/>
      </sharedItems>
    </cacheField>
    <cacheField name="W1 retention" numFmtId="166">
      <sharedItems containsSemiMixedTypes="0" containsString="0" containsNumber="1" minValue="0.38032786885245901" maxValue="0.4"/>
    </cacheField>
    <cacheField name="W4 retention" numFmtId="166">
      <sharedItems containsSemiMixedTypes="0" containsString="0" containsNumber="1" minValue="0.17704918032786884" maxValue="0.189062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5.958502546295" createdVersion="8" refreshedVersion="8" minRefreshableVersion="3" recordCount="5" xr:uid="{2ADEACA6-8BE7-4D93-9E9F-358DB13B6AAD}">
  <cacheSource type="worksheet">
    <worksheetSource ref="A4:D9" sheet="Funnel"/>
  </cacheSource>
  <cacheFields count="4">
    <cacheField name="Brand funnel step" numFmtId="0">
      <sharedItems count="5">
        <s v="persona_selected (brand)"/>
        <s v="brief_composed"/>
        <s v="match_requested"/>
        <s v="creator_shortlisted"/>
        <s v="comparison_viewed"/>
      </sharedItems>
    </cacheField>
    <cacheField name="Users" numFmtId="3">
      <sharedItems containsSemiMixedTypes="0" containsString="0" containsNumber="1" containsInteger="1" minValue="190" maxValue="1000"/>
    </cacheField>
    <cacheField name="Step conv." numFmtId="166">
      <sharedItems containsSemiMixedTypes="0" containsString="0" containsNumber="1" minValue="0.5757575757575758" maxValue="1" count="5">
        <n v="1"/>
        <n v="0.64"/>
        <n v="0.8125"/>
        <n v="0.63461538461538458"/>
        <n v="0.5757575757575758"/>
      </sharedItems>
    </cacheField>
    <cacheField name="Cum. conv." numFmtId="166">
      <sharedItems containsSemiMixedTypes="0" containsString="0" containsNumber="1" minValue="0.19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5.967498032405" createdVersion="8" refreshedVersion="8" minRefreshableVersion="3" recordCount="7" xr:uid="{3717F240-FB50-4C33-B22E-F4543A58E3C4}">
  <cacheSource type="worksheet">
    <worksheetSource ref="A4:E11" sheet="Fraud_Stats"/>
  </cacheSource>
  <cacheFields count="5">
    <cacheField name="Risk band" numFmtId="0">
      <sharedItems count="7">
        <s v="Very low"/>
        <s v="Low"/>
        <s v="Moderate"/>
        <s v="Elevated"/>
        <s v="High"/>
        <s v="Severe"/>
        <s v="Total"/>
      </sharedItems>
    </cacheField>
    <cacheField name="Lower" numFmtId="0">
      <sharedItems containsString="0" containsBlank="1" containsNumber="1" minValue="0" maxValue="0.5"/>
    </cacheField>
    <cacheField name="Upper" numFmtId="0">
      <sharedItems containsString="0" containsBlank="1" containsNumber="1" minValue="0.05" maxValue="1.01"/>
    </cacheField>
    <cacheField name="Channels" numFmtId="3">
      <sharedItems containsSemiMixedTypes="0" containsString="0" containsNumber="1" containsInteger="1" minValue="60" maxValue="12547"/>
    </cacheField>
    <cacheField name="% of corpus" numFmtId="0">
      <sharedItems containsString="0" containsBlank="1" containsNumber="1" minValue="4.7820196062803855E-3" maxValue="0.73627161871363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405"/>
    <n v="624439.75308641978"/>
    <n v="274826.77209876513"/>
    <n v="3.13520202020202E-2"/>
    <n v="8.7922962962962897E-2"/>
    <n v="137413.38604938256"/>
    <n v="25"/>
    <n v="9.01170232769236"/>
  </r>
  <r>
    <x v="1"/>
    <n v="239"/>
    <n v="959042.25941422593"/>
    <n v="210792.64411764708"/>
    <n v="2.6629824561403521E-2"/>
    <n v="8.7108368200836866E-2"/>
    <n v="105396.32205882354"/>
    <n v="25"/>
    <n v="267.374535052726"/>
  </r>
  <r>
    <x v="2"/>
    <n v="271"/>
    <n v="3648357.5645756456"/>
    <n v="1680177.2900000003"/>
    <n v="2.6183333333333336E-2"/>
    <n v="8.0670479704797113E-2"/>
    <n v="840088.64500000014"/>
    <n v="25"/>
    <n v="-111872.088642977"/>
  </r>
  <r>
    <x v="3"/>
    <n v="608"/>
    <n v="863902.79605263157"/>
    <n v="124468.7105436573"/>
    <n v="2.5718867924528283E-2"/>
    <n v="8.7609868421052464E-2"/>
    <n v="62234.355271828652"/>
    <n v="25"/>
    <n v="473.97033586571001"/>
  </r>
  <r>
    <x v="4"/>
    <n v="787"/>
    <n v="1858022.7445997458"/>
    <n v="380090.68360863981"/>
    <n v="3.5539531859557896E-2"/>
    <n v="9.3812960609911247E-2"/>
    <n v="190045.34180431991"/>
    <n v="25"/>
    <n v="-349.23324878019503"/>
  </r>
  <r>
    <x v="5"/>
    <n v="1438"/>
    <n v="815621.27955493738"/>
    <n v="43523.68639218418"/>
    <n v="4.1914469914040089E-2"/>
    <n v="9.8524200278164442E-2"/>
    <n v="30466.580474528928"/>
    <n v="35"/>
    <n v="2.4033114150677402"/>
  </r>
  <r>
    <x v="6"/>
    <n v="107"/>
    <n v="679602.8037383178"/>
    <n v="72724.790654205601"/>
    <n v="2.2504901960784311E-2"/>
    <n v="7.7318691588785071E-2"/>
    <n v="36362.3953271028"/>
    <n v="25"/>
    <n v="331.05797875210698"/>
  </r>
  <r>
    <x v="7"/>
    <n v="652"/>
    <n v="847528.22085889569"/>
    <n v="75220.035147744857"/>
    <n v="4.2335852090032183E-2"/>
    <n v="9.4463957055214542E-2"/>
    <n v="120352.05623639179"/>
    <n v="80"/>
    <n v="234.76110276349101"/>
  </r>
  <r>
    <x v="8"/>
    <n v="470"/>
    <n v="1075687.8723404256"/>
    <n v="122947.81897654585"/>
    <n v="3.3546696035242282E-2"/>
    <n v="8.3788085106382859E-2"/>
    <n v="61473.909488272926"/>
    <n v="25"/>
    <n v="-498.616548896263"/>
  </r>
  <r>
    <x v="9"/>
    <n v="812"/>
    <n v="1176582.881773399"/>
    <n v="116547.07832512328"/>
    <n v="2.4780384615384593E-2"/>
    <n v="8.5919088669950822E-2"/>
    <n v="58273.539162561639"/>
    <n v="25"/>
    <n v="6593.67203575438"/>
  </r>
  <r>
    <x v="10"/>
    <n v="534"/>
    <n v="1939370.7865168538"/>
    <n v="272397.59207547212"/>
    <n v="4.2268800000000037E-2"/>
    <n v="8.9179588014981367E-2"/>
    <n v="108959.03683018885"/>
    <n v="20"/>
    <n v="-12701.6522983791"/>
  </r>
  <r>
    <x v="11"/>
    <n v="236"/>
    <n v="868858.47457627114"/>
    <n v="55356.42000000002"/>
    <n v="2.649555555555556E-2"/>
    <n v="9.2983050847457671E-2"/>
    <n v="27678.210000000006"/>
    <n v="25"/>
    <n v="-4.6850206860997501"/>
  </r>
  <r>
    <x v="12"/>
    <n v="316"/>
    <n v="4757696.202531646"/>
    <n v="569334.67523809522"/>
    <n v="2.2588216560509546E-2"/>
    <n v="9.5289240506329073E-2"/>
    <n v="284667.33761904767"/>
    <n v="25"/>
    <n v="46.261778431131901"/>
  </r>
  <r>
    <x v="13"/>
    <n v="900"/>
    <n v="2465483.3333333335"/>
    <n v="67767.132513966571"/>
    <n v="3.1843749999999955E-2"/>
    <n v="0.11652377777777835"/>
    <n v="33883.566256983286"/>
    <n v="25"/>
    <n v="28.268647920540801"/>
  </r>
  <r>
    <x v="14"/>
    <n v="101"/>
    <n v="4531440.5940594058"/>
    <n v="226739.29207920789"/>
    <n v="1.4364646464646464E-2"/>
    <n v="8.5649504950495114E-2"/>
    <n v="113369.64603960395"/>
    <n v="25"/>
    <n v="-413.51294650026398"/>
  </r>
  <r>
    <x v="15"/>
    <n v="372"/>
    <n v="1835919.0860215053"/>
    <n v="340396.08780487801"/>
    <n v="3.3573521126760569E-2"/>
    <n v="8.5827688172043018E-2"/>
    <n v="170198.04390243901"/>
    <n v="25"/>
    <n v="1421.6089169478801"/>
  </r>
  <r>
    <x v="16"/>
    <n v="371"/>
    <n v="4733611.5902964957"/>
    <n v="351448.10708446882"/>
    <n v="2.8970704225352105E-2"/>
    <n v="8.872641509433965E-2"/>
    <n v="175724.05354223441"/>
    <n v="25"/>
    <n v="-401.08418008433398"/>
  </r>
  <r>
    <x v="17"/>
    <n v="348"/>
    <n v="1206883.9080459771"/>
    <n v="145846.23890489907"/>
    <n v="3.1395588235294127E-2"/>
    <n v="9.4066091954023032E-2"/>
    <n v="116676.99112391926"/>
    <n v="40"/>
    <n v="187.459654199733"/>
  </r>
  <r>
    <x v="18"/>
    <n v="121"/>
    <n v="1804706.6115702479"/>
    <n v="116829.21652892567"/>
    <n v="2.7056302521008407E-2"/>
    <n v="8.4290082644628173E-2"/>
    <n v="58414.608264462833"/>
    <n v="25"/>
    <n v="25.874450871726701"/>
  </r>
  <r>
    <x v="19"/>
    <n v="3459"/>
    <n v="1559683.7525296328"/>
    <n v="301926.56029668433"/>
    <n v="3.4419079548918097E-2"/>
    <n v="8.4060653368023999E-2"/>
    <n v="150963.28014834216"/>
    <n v="25"/>
    <n v="283.575843968424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n v="0.38076923076923075"/>
    <n v="0.18461538461538463"/>
  </r>
  <r>
    <x v="1"/>
    <x v="1"/>
    <x v="1"/>
    <x v="1"/>
    <x v="1"/>
    <n v="0.38032786885245901"/>
    <n v="0.17704918032786884"/>
  </r>
  <r>
    <x v="2"/>
    <x v="2"/>
    <x v="2"/>
    <x v="2"/>
    <x v="2"/>
    <n v="0.39115044247787611"/>
    <n v="0.17876106194690267"/>
  </r>
  <r>
    <x v="3"/>
    <x v="3"/>
    <x v="3"/>
    <x v="3"/>
    <x v="3"/>
    <n v="0.4"/>
    <n v="0.1890624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00"/>
    <x v="0"/>
    <n v="1"/>
  </r>
  <r>
    <x v="1"/>
    <n v="640"/>
    <x v="1"/>
    <n v="0.64"/>
  </r>
  <r>
    <x v="2"/>
    <n v="520"/>
    <x v="2"/>
    <n v="0.52"/>
  </r>
  <r>
    <x v="3"/>
    <n v="330"/>
    <x v="3"/>
    <n v="0.33"/>
  </r>
  <r>
    <x v="4"/>
    <n v="190"/>
    <x v="4"/>
    <n v="0.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0"/>
    <n v="0.05"/>
    <n v="1161"/>
    <n v="9.2532079381525467E-2"/>
  </r>
  <r>
    <x v="1"/>
    <n v="0.05"/>
    <n v="0.1"/>
    <n v="9238"/>
    <n v="0.73627161871363678"/>
  </r>
  <r>
    <x v="2"/>
    <n v="0.1"/>
    <n v="0.2"/>
    <n v="1751"/>
    <n v="0.13955527217661592"/>
  </r>
  <r>
    <x v="3"/>
    <n v="0.2"/>
    <n v="0.3"/>
    <n v="189"/>
    <n v="1.5063361759783215E-2"/>
  </r>
  <r>
    <x v="4"/>
    <n v="0.3"/>
    <n v="0.5"/>
    <n v="148"/>
    <n v="1.1795648362158285E-2"/>
  </r>
  <r>
    <x v="5"/>
    <n v="0.5"/>
    <n v="1.01"/>
    <n v="60"/>
    <n v="4.7820196062803855E-3"/>
  </r>
  <r>
    <x v="6"/>
    <m/>
    <m/>
    <n v="125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441AA-C021-41E5-B01E-072658506C8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25" firstHeaderRow="0" firstDataRow="1" firstDataCol="1"/>
  <pivotFields count="9">
    <pivotField axis="axisRow" showAll="0">
      <items count="21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3" showAll="0"/>
    <pivotField numFmtId="3" showAll="0"/>
    <pivotField numFmtId="3" showAll="0"/>
    <pivotField numFmtId="166" showAll="0"/>
    <pivotField numFmtId="165" showAll="0"/>
    <pivotField numFmtId="167" showAll="0"/>
    <pivotField numFmtId="3" showAll="0"/>
    <pivotField dataField="1" numFmtId="3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mand slope" fld="8" subtotal="average" baseField="0" baseItem="0" numFmtId="3"/>
    <dataField name="Sum of Channels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3FCBC-8747-4CF4-8390-0E086F3D26F4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I12" firstHeaderRow="0" firstDataRow="1" firstDataCol="1"/>
  <pivotFields count="5">
    <pivotField axis="axisRow" showAll="0">
      <items count="8">
        <item x="3"/>
        <item x="4"/>
        <item x="1"/>
        <item x="2"/>
        <item x="5"/>
        <item x="6"/>
        <item x="0"/>
        <item t="default"/>
      </items>
    </pivotField>
    <pivotField showAll="0"/>
    <pivotField showAll="0"/>
    <pivotField dataField="1" numFmtId="3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annels" fld="3" baseField="0" baseItem="0" numFmtId="3"/>
    <dataField name="Average of % of corpu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5CE06-FD4B-40FD-AA91-787ACD85275D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N9" firstHeaderRow="0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dataField="1" numFmtId="3" showAll="0">
      <items count="5">
        <item x="0"/>
        <item x="2"/>
        <item x="1"/>
        <item x="3"/>
        <item t="default"/>
      </items>
    </pivotField>
    <pivotField dataField="1" numFmtId="3" showAll="0">
      <items count="5">
        <item x="0"/>
        <item x="2"/>
        <item x="1"/>
        <item x="3"/>
        <item t="default"/>
      </items>
    </pivotField>
    <pivotField dataField="1" numFmtId="3" showAll="0">
      <items count="5">
        <item x="0"/>
        <item x="2"/>
        <item x="1"/>
        <item x="3"/>
        <item t="default"/>
      </items>
    </pivotField>
    <pivotField dataField="1" numFmtId="3" showAll="0">
      <items count="5">
        <item x="0"/>
        <item x="2"/>
        <item x="1"/>
        <item x="3"/>
        <item t="default"/>
      </items>
    </pivotField>
    <pivotField numFmtId="166" showAll="0"/>
    <pivotField numFmtId="16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W1" fld="2" baseField="0" baseItem="0" numFmtId="3"/>
    <dataField name="Sum of W4" fld="4" baseField="0" baseItem="0" numFmtId="3"/>
    <dataField name="Sum of Week 0" fld="1" baseField="0" baseItem="0" numFmtId="3"/>
    <dataField name="Sum of W2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A1C0C-7CC4-4B70-BC03-4741DCC959FC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10" firstHeaderRow="0" firstDataRow="1" firstDataCol="1"/>
  <pivotFields count="4">
    <pivotField axis="axisRow" showAll="0">
      <items count="6">
        <item x="1"/>
        <item x="4"/>
        <item x="3"/>
        <item x="2"/>
        <item x="0"/>
        <item t="default"/>
      </items>
    </pivotField>
    <pivotField dataField="1" numFmtId="3" showAll="0"/>
    <pivotField dataField="1" numFmtId="166" showAll="0">
      <items count="6">
        <item x="4"/>
        <item x="3"/>
        <item x="1"/>
        <item x="2"/>
        <item x="0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sers" fld="1" baseField="0" baseItem="0" numFmtId="3"/>
    <dataField name="Average of Step conv." fld="2" subtotal="average" baseField="0" baseItem="1" numFmtId="166"/>
    <dataField name="Average of Cum. conv." fld="3" subtotal="average" baseField="0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reators" displayName="tblCreators" ref="A4:F12551" totalsRowShown="0">
  <autoFilter ref="A4:F12551" xr:uid="{00000000-0009-0000-0100-000001000000}"/>
  <tableColumns count="6">
    <tableColumn id="1" xr3:uid="{00000000-0010-0000-0000-000001000000}" name="channel_id"/>
    <tableColumn id="2" xr3:uid="{00000000-0010-0000-0000-000002000000}" name="niche"/>
    <tableColumn id="3" xr3:uid="{00000000-0010-0000-0000-000003000000}" name="subscriber_count"/>
    <tableColumn id="4" xr3:uid="{00000000-0010-0000-0000-000004000000}" name="mean_views"/>
    <tableColumn id="5" xr3:uid="{00000000-0010-0000-0000-000005000000}" name="mean_engagement_rate"/>
    <tableColumn id="6" xr3:uid="{00000000-0010-0000-0000-000006000000}" name="fraud_ris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selection activeCell="C1" sqref="C1"/>
    </sheetView>
  </sheetViews>
  <sheetFormatPr defaultColWidth="8.6640625" defaultRowHeight="14.4" x14ac:dyDescent="0.3"/>
  <cols>
    <col min="1" max="1" width="20" customWidth="1"/>
    <col min="2" max="2" width="8" customWidth="1"/>
    <col min="3" max="3" width="20" customWidth="1"/>
    <col min="4" max="4" width="8" customWidth="1"/>
    <col min="5" max="5" width="20" customWidth="1"/>
    <col min="6" max="6" width="8" customWidth="1"/>
    <col min="7" max="7" width="20" customWidth="1"/>
    <col min="8" max="8" width="8" customWidth="1"/>
  </cols>
  <sheetData>
    <row r="1" spans="1:8" ht="21" x14ac:dyDescent="0.4">
      <c r="A1" s="2" t="s">
        <v>0</v>
      </c>
    </row>
    <row r="2" spans="1:8" x14ac:dyDescent="0.3">
      <c r="A2" s="3" t="s">
        <v>1</v>
      </c>
    </row>
    <row r="4" spans="1:8" x14ac:dyDescent="0.3">
      <c r="A4" s="4" t="s">
        <v>2</v>
      </c>
      <c r="C4" s="4" t="s">
        <v>3</v>
      </c>
      <c r="E4" s="4" t="s">
        <v>4</v>
      </c>
      <c r="G4" s="4" t="s">
        <v>5</v>
      </c>
    </row>
    <row r="5" spans="1:8" ht="23.4" x14ac:dyDescent="0.45">
      <c r="A5" s="5">
        <f>COUNTA(Data!A5:A12551)-0</f>
        <v>12547</v>
      </c>
      <c r="C5" s="5">
        <f>COUNTA(Niches!A5:A24)</f>
        <v>20</v>
      </c>
      <c r="E5" s="5">
        <f>Market_Sizing!C5</f>
        <v>3400</v>
      </c>
      <c r="G5" s="6">
        <f>Financials!$B$31/10000000</f>
        <v>8.25</v>
      </c>
    </row>
    <row r="7" spans="1:8" x14ac:dyDescent="0.3">
      <c r="A7" s="4" t="s">
        <v>6</v>
      </c>
      <c r="C7" s="4" t="s">
        <v>7</v>
      </c>
      <c r="E7" s="4" t="s">
        <v>8</v>
      </c>
      <c r="G7" s="4" t="s">
        <v>9</v>
      </c>
    </row>
    <row r="8" spans="1:8" ht="23.4" x14ac:dyDescent="0.45">
      <c r="A8" s="6">
        <f>Financials!$B$35/10000000</f>
        <v>7.1110477748030902</v>
      </c>
      <c r="C8" s="7">
        <f>MEDIAN(Data!F5:F12551)</f>
        <v>8.2199999999999995E-2</v>
      </c>
      <c r="E8" s="8">
        <f>OKRs!D8</f>
        <v>0.83</v>
      </c>
      <c r="G8" s="9">
        <f>OKRs!D7/100</f>
        <v>0.23</v>
      </c>
    </row>
    <row r="11" spans="1:8" x14ac:dyDescent="0.3">
      <c r="A11" s="10" t="s">
        <v>10</v>
      </c>
    </row>
    <row r="12" spans="1:8" ht="15" customHeight="1" x14ac:dyDescent="0.3">
      <c r="A12" s="1" t="s">
        <v>11</v>
      </c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</sheetData>
  <mergeCells count="1">
    <mergeCell ref="A12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51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4" customWidth="1"/>
    <col min="3" max="3" width="16" customWidth="1"/>
    <col min="4" max="4" width="14" customWidth="1"/>
    <col min="5" max="5" width="16" customWidth="1"/>
    <col min="6" max="6" width="12" customWidth="1"/>
  </cols>
  <sheetData>
    <row r="1" spans="1:6" ht="21" x14ac:dyDescent="0.4">
      <c r="A1" s="2" t="s">
        <v>12</v>
      </c>
    </row>
    <row r="2" spans="1:6" x14ac:dyDescent="0.3">
      <c r="A2" s="3" t="s">
        <v>13</v>
      </c>
    </row>
    <row r="4" spans="1:6" ht="28.8" x14ac:dyDescent="0.3">
      <c r="A4" s="11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19</v>
      </c>
    </row>
    <row r="5" spans="1:6" x14ac:dyDescent="0.3">
      <c r="A5" t="s">
        <v>20</v>
      </c>
      <c r="B5" t="s">
        <v>21</v>
      </c>
      <c r="C5">
        <v>52800000</v>
      </c>
      <c r="D5">
        <v>5522.1</v>
      </c>
      <c r="E5">
        <v>1.8499999999999999E-2</v>
      </c>
      <c r="F5">
        <v>0.1053</v>
      </c>
    </row>
    <row r="6" spans="1:6" x14ac:dyDescent="0.3">
      <c r="A6" t="s">
        <v>22</v>
      </c>
      <c r="B6" t="s">
        <v>21</v>
      </c>
      <c r="C6">
        <v>41200000</v>
      </c>
      <c r="D6">
        <v>24342.6</v>
      </c>
      <c r="E6">
        <v>7.4000000000000003E-3</v>
      </c>
      <c r="F6">
        <v>8.1100000000000005E-2</v>
      </c>
    </row>
    <row r="7" spans="1:6" x14ac:dyDescent="0.3">
      <c r="A7" t="s">
        <v>23</v>
      </c>
      <c r="B7" t="s">
        <v>24</v>
      </c>
      <c r="C7">
        <v>105000000</v>
      </c>
      <c r="D7">
        <v>19921.400000000001</v>
      </c>
      <c r="E7">
        <v>5.0799999999999998E-2</v>
      </c>
      <c r="F7">
        <v>9.3799999999999994E-2</v>
      </c>
    </row>
    <row r="8" spans="1:6" x14ac:dyDescent="0.3">
      <c r="A8" t="s">
        <v>25</v>
      </c>
      <c r="B8" t="s">
        <v>26</v>
      </c>
      <c r="C8">
        <v>56600000</v>
      </c>
      <c r="D8">
        <v>4326.7</v>
      </c>
      <c r="E8">
        <v>7.3800000000000004E-2</v>
      </c>
      <c r="F8">
        <v>0.23810000000000001</v>
      </c>
    </row>
    <row r="9" spans="1:6" x14ac:dyDescent="0.3">
      <c r="A9" t="s">
        <v>27</v>
      </c>
      <c r="B9" t="s">
        <v>28</v>
      </c>
      <c r="C9">
        <v>39700000</v>
      </c>
      <c r="D9">
        <v>929957.5</v>
      </c>
      <c r="E9">
        <v>2.8500000000000001E-2</v>
      </c>
      <c r="F9">
        <v>4.0899999999999999E-2</v>
      </c>
    </row>
    <row r="10" spans="1:6" x14ac:dyDescent="0.3">
      <c r="A10" t="s">
        <v>29</v>
      </c>
      <c r="B10" t="s">
        <v>30</v>
      </c>
      <c r="C10">
        <v>34400000</v>
      </c>
      <c r="D10">
        <v>782083.7</v>
      </c>
      <c r="E10">
        <v>5.3E-3</v>
      </c>
      <c r="F10">
        <v>8.2199999999999995E-2</v>
      </c>
    </row>
    <row r="11" spans="1:6" x14ac:dyDescent="0.3">
      <c r="A11" t="s">
        <v>31</v>
      </c>
      <c r="B11" t="s">
        <v>32</v>
      </c>
      <c r="C11">
        <v>34100000</v>
      </c>
      <c r="D11">
        <v>23398.1</v>
      </c>
      <c r="E11">
        <v>1.15E-2</v>
      </c>
      <c r="F11">
        <v>8.2199999999999995E-2</v>
      </c>
    </row>
    <row r="12" spans="1:6" x14ac:dyDescent="0.3">
      <c r="A12" t="s">
        <v>33</v>
      </c>
      <c r="B12" t="s">
        <v>30</v>
      </c>
      <c r="C12">
        <v>41400000</v>
      </c>
      <c r="D12">
        <v>29241.599999999999</v>
      </c>
      <c r="E12">
        <v>7.3000000000000001E-3</v>
      </c>
      <c r="F12">
        <v>8.1100000000000005E-2</v>
      </c>
    </row>
    <row r="13" spans="1:6" x14ac:dyDescent="0.3">
      <c r="A13" t="s">
        <v>34</v>
      </c>
      <c r="B13" t="s">
        <v>35</v>
      </c>
      <c r="C13">
        <v>61800000</v>
      </c>
      <c r="D13">
        <v>46907.9</v>
      </c>
      <c r="E13">
        <v>1.0500000000000001E-2</v>
      </c>
      <c r="F13">
        <v>8.1100000000000005E-2</v>
      </c>
    </row>
    <row r="14" spans="1:6" x14ac:dyDescent="0.3">
      <c r="A14" t="s">
        <v>36</v>
      </c>
      <c r="B14" t="s">
        <v>21</v>
      </c>
      <c r="C14">
        <v>39400000</v>
      </c>
      <c r="D14">
        <v>18054.099999999999</v>
      </c>
      <c r="E14">
        <v>1.0699999999999999E-2</v>
      </c>
      <c r="F14">
        <v>8.1100000000000005E-2</v>
      </c>
    </row>
    <row r="15" spans="1:6" x14ac:dyDescent="0.3">
      <c r="A15" t="s">
        <v>37</v>
      </c>
      <c r="B15" t="s">
        <v>21</v>
      </c>
      <c r="C15">
        <v>82100000</v>
      </c>
      <c r="D15">
        <v>92</v>
      </c>
      <c r="E15">
        <v>0.1195</v>
      </c>
      <c r="F15">
        <v>0.2059</v>
      </c>
    </row>
    <row r="16" spans="1:6" x14ac:dyDescent="0.3">
      <c r="A16" t="s">
        <v>38</v>
      </c>
      <c r="B16" t="s">
        <v>26</v>
      </c>
      <c r="C16">
        <v>3530000</v>
      </c>
      <c r="D16">
        <v>264218.90000000002</v>
      </c>
      <c r="E16">
        <v>3.8699999999999998E-2</v>
      </c>
      <c r="F16">
        <v>4.0899999999999999E-2</v>
      </c>
    </row>
    <row r="17" spans="1:6" x14ac:dyDescent="0.3">
      <c r="A17" t="s">
        <v>39</v>
      </c>
      <c r="B17" t="s">
        <v>21</v>
      </c>
      <c r="C17">
        <v>70300000</v>
      </c>
      <c r="D17">
        <v>110748.8</v>
      </c>
      <c r="E17">
        <v>7.6E-3</v>
      </c>
      <c r="F17">
        <v>8.1100000000000005E-2</v>
      </c>
    </row>
    <row r="18" spans="1:6" x14ac:dyDescent="0.3">
      <c r="A18" t="s">
        <v>40</v>
      </c>
      <c r="B18" t="s">
        <v>41</v>
      </c>
      <c r="C18">
        <v>31000000</v>
      </c>
      <c r="D18">
        <v>1650</v>
      </c>
      <c r="E18">
        <v>1.23E-2</v>
      </c>
      <c r="F18">
        <v>0.18659999999999999</v>
      </c>
    </row>
    <row r="19" spans="1:6" x14ac:dyDescent="0.3">
      <c r="A19" t="s">
        <v>42</v>
      </c>
      <c r="B19" t="s">
        <v>32</v>
      </c>
      <c r="C19">
        <v>53400000</v>
      </c>
      <c r="D19">
        <v>32362.400000000001</v>
      </c>
      <c r="E19">
        <v>8.8999999999999999E-3</v>
      </c>
      <c r="F19">
        <v>8.1100000000000005E-2</v>
      </c>
    </row>
    <row r="20" spans="1:6" x14ac:dyDescent="0.3">
      <c r="A20" t="s">
        <v>43</v>
      </c>
      <c r="B20" t="s">
        <v>26</v>
      </c>
      <c r="C20">
        <v>38700000</v>
      </c>
      <c r="D20">
        <v>266854.40000000002</v>
      </c>
      <c r="E20">
        <v>5.4000000000000003E-3</v>
      </c>
      <c r="F20">
        <v>7.2999999999999995E-2</v>
      </c>
    </row>
    <row r="21" spans="1:6" x14ac:dyDescent="0.3">
      <c r="A21" t="s">
        <v>44</v>
      </c>
      <c r="B21" t="s">
        <v>26</v>
      </c>
      <c r="C21">
        <v>50100000</v>
      </c>
      <c r="D21">
        <v>2062843.6</v>
      </c>
      <c r="E21">
        <v>1.4800000000000001E-2</v>
      </c>
      <c r="F21">
        <v>8.1100000000000005E-2</v>
      </c>
    </row>
    <row r="22" spans="1:6" x14ac:dyDescent="0.3">
      <c r="A22" t="s">
        <v>45</v>
      </c>
      <c r="B22" t="s">
        <v>26</v>
      </c>
      <c r="C22">
        <v>17000000</v>
      </c>
      <c r="D22">
        <v>405131.2</v>
      </c>
      <c r="E22">
        <v>1.89E-2</v>
      </c>
      <c r="F22">
        <v>5.7599999999999998E-2</v>
      </c>
    </row>
    <row r="23" spans="1:6" x14ac:dyDescent="0.3">
      <c r="A23" t="s">
        <v>46</v>
      </c>
      <c r="B23" t="s">
        <v>32</v>
      </c>
      <c r="C23">
        <v>81600000</v>
      </c>
      <c r="D23">
        <v>221530.8</v>
      </c>
      <c r="E23">
        <v>1.04E-2</v>
      </c>
      <c r="F23">
        <v>0.1004</v>
      </c>
    </row>
    <row r="24" spans="1:6" x14ac:dyDescent="0.3">
      <c r="A24" t="s">
        <v>47</v>
      </c>
      <c r="B24" t="s">
        <v>41</v>
      </c>
      <c r="C24">
        <v>39000000</v>
      </c>
      <c r="D24">
        <v>289439.5</v>
      </c>
      <c r="E24">
        <v>1.3299999999999999E-2</v>
      </c>
      <c r="F24">
        <v>5.7599999999999998E-2</v>
      </c>
    </row>
    <row r="25" spans="1:6" x14ac:dyDescent="0.3">
      <c r="A25" t="s">
        <v>48</v>
      </c>
      <c r="B25" t="s">
        <v>41</v>
      </c>
      <c r="C25">
        <v>50700000</v>
      </c>
      <c r="D25">
        <v>8159.6</v>
      </c>
      <c r="E25">
        <v>1.77E-2</v>
      </c>
      <c r="F25">
        <v>9.3700000000000006E-2</v>
      </c>
    </row>
    <row r="26" spans="1:6" x14ac:dyDescent="0.3">
      <c r="A26" t="s">
        <v>49</v>
      </c>
      <c r="B26" t="s">
        <v>50</v>
      </c>
      <c r="C26">
        <v>72400000</v>
      </c>
      <c r="D26">
        <v>1129784.8999999999</v>
      </c>
      <c r="E26">
        <v>8.0999999999999996E-3</v>
      </c>
      <c r="F26">
        <v>5.8400000000000001E-2</v>
      </c>
    </row>
    <row r="27" spans="1:6" x14ac:dyDescent="0.3">
      <c r="A27" t="s">
        <v>51</v>
      </c>
      <c r="B27" t="s">
        <v>32</v>
      </c>
      <c r="C27">
        <v>11600000</v>
      </c>
      <c r="D27">
        <v>10415937.699999999</v>
      </c>
      <c r="E27">
        <v>0.04</v>
      </c>
      <c r="F27">
        <v>9.5100000000000004E-2</v>
      </c>
    </row>
    <row r="28" spans="1:6" x14ac:dyDescent="0.3">
      <c r="A28" t="s">
        <v>52</v>
      </c>
      <c r="B28" t="s">
        <v>53</v>
      </c>
      <c r="C28">
        <v>45700000</v>
      </c>
      <c r="D28">
        <v>1240391.8999999999</v>
      </c>
      <c r="E28">
        <v>7.6499999999999999E-2</v>
      </c>
      <c r="F28">
        <v>7.5899999999999995E-2</v>
      </c>
    </row>
    <row r="29" spans="1:6" x14ac:dyDescent="0.3">
      <c r="A29" t="s">
        <v>54</v>
      </c>
      <c r="B29" t="s">
        <v>30</v>
      </c>
      <c r="C29">
        <v>48700000</v>
      </c>
      <c r="D29">
        <v>4920773.3</v>
      </c>
      <c r="E29">
        <v>2.9000000000000001E-2</v>
      </c>
      <c r="F29">
        <v>4.0899999999999999E-2</v>
      </c>
    </row>
    <row r="30" spans="1:6" x14ac:dyDescent="0.3">
      <c r="A30" t="s">
        <v>55</v>
      </c>
      <c r="B30" t="s">
        <v>21</v>
      </c>
      <c r="C30">
        <v>32800000</v>
      </c>
      <c r="D30">
        <v>4498904.5</v>
      </c>
      <c r="E30">
        <v>4.6699999999999998E-2</v>
      </c>
      <c r="F30">
        <v>5.1799999999999999E-2</v>
      </c>
    </row>
    <row r="31" spans="1:6" x14ac:dyDescent="0.3">
      <c r="A31" t="s">
        <v>56</v>
      </c>
      <c r="B31" t="s">
        <v>26</v>
      </c>
      <c r="C31">
        <v>40400000</v>
      </c>
      <c r="D31">
        <v>380285.3</v>
      </c>
      <c r="E31">
        <v>1.55E-2</v>
      </c>
      <c r="F31">
        <v>5.8500000000000003E-2</v>
      </c>
    </row>
    <row r="32" spans="1:6" x14ac:dyDescent="0.3">
      <c r="A32" t="s">
        <v>57</v>
      </c>
      <c r="B32" t="s">
        <v>28</v>
      </c>
      <c r="C32">
        <v>98100000</v>
      </c>
      <c r="D32">
        <v>309047.2</v>
      </c>
      <c r="E32">
        <v>1.1000000000000001E-3</v>
      </c>
      <c r="F32">
        <v>6.54E-2</v>
      </c>
    </row>
    <row r="33" spans="1:6" x14ac:dyDescent="0.3">
      <c r="A33" t="s">
        <v>58</v>
      </c>
      <c r="B33" t="s">
        <v>30</v>
      </c>
      <c r="C33">
        <v>52700000</v>
      </c>
      <c r="D33">
        <v>5993441.9000000004</v>
      </c>
      <c r="E33">
        <v>3.3700000000000001E-2</v>
      </c>
      <c r="F33">
        <v>4.0899999999999999E-2</v>
      </c>
    </row>
    <row r="34" spans="1:6" x14ac:dyDescent="0.3">
      <c r="A34" t="s">
        <v>59</v>
      </c>
      <c r="B34" t="s">
        <v>53</v>
      </c>
      <c r="C34">
        <v>63100000</v>
      </c>
      <c r="D34">
        <v>921475.8</v>
      </c>
      <c r="E34">
        <v>2.47E-2</v>
      </c>
      <c r="F34">
        <v>5.0999999999999997E-2</v>
      </c>
    </row>
    <row r="35" spans="1:6" x14ac:dyDescent="0.3">
      <c r="A35" t="s">
        <v>60</v>
      </c>
      <c r="B35" t="s">
        <v>50</v>
      </c>
      <c r="C35">
        <v>72000000</v>
      </c>
      <c r="D35">
        <v>160501.4</v>
      </c>
      <c r="E35">
        <v>1.2200000000000001E-2</v>
      </c>
      <c r="F35">
        <v>7.2599999999999998E-2</v>
      </c>
    </row>
    <row r="36" spans="1:6" x14ac:dyDescent="0.3">
      <c r="A36" t="s">
        <v>61</v>
      </c>
      <c r="B36" t="s">
        <v>62</v>
      </c>
      <c r="C36">
        <v>5210000</v>
      </c>
      <c r="D36">
        <v>145317.1</v>
      </c>
      <c r="E36">
        <v>3.5499999999999997E-2</v>
      </c>
      <c r="F36">
        <v>9.5100000000000004E-2</v>
      </c>
    </row>
    <row r="37" spans="1:6" x14ac:dyDescent="0.3">
      <c r="A37" t="s">
        <v>63</v>
      </c>
      <c r="B37" t="s">
        <v>32</v>
      </c>
      <c r="C37">
        <v>36600000</v>
      </c>
      <c r="D37">
        <v>2907.1</v>
      </c>
      <c r="E37">
        <v>1.83E-2</v>
      </c>
      <c r="F37">
        <v>6.08E-2</v>
      </c>
    </row>
    <row r="38" spans="1:6" x14ac:dyDescent="0.3">
      <c r="A38" t="s">
        <v>64</v>
      </c>
      <c r="B38" t="s">
        <v>32</v>
      </c>
      <c r="C38">
        <v>35700000</v>
      </c>
      <c r="D38">
        <v>2703.1</v>
      </c>
      <c r="E38">
        <v>1.2500000000000001E-2</v>
      </c>
      <c r="F38">
        <v>8.1100000000000005E-2</v>
      </c>
    </row>
    <row r="39" spans="1:6" x14ac:dyDescent="0.3">
      <c r="A39" t="s">
        <v>65</v>
      </c>
      <c r="B39" t="s">
        <v>26</v>
      </c>
      <c r="C39">
        <v>51700000</v>
      </c>
      <c r="D39">
        <v>3907393.5</v>
      </c>
      <c r="E39">
        <v>6.2700000000000006E-2</v>
      </c>
      <c r="F39">
        <v>7.5899999999999995E-2</v>
      </c>
    </row>
    <row r="40" spans="1:6" x14ac:dyDescent="0.3">
      <c r="A40" t="s">
        <v>66</v>
      </c>
      <c r="B40" t="s">
        <v>21</v>
      </c>
      <c r="C40">
        <v>189000000</v>
      </c>
      <c r="D40">
        <v>518.5</v>
      </c>
      <c r="E40">
        <v>7.1000000000000004E-3</v>
      </c>
      <c r="F40">
        <v>0.1013</v>
      </c>
    </row>
    <row r="41" spans="1:6" x14ac:dyDescent="0.3">
      <c r="A41" t="s">
        <v>67</v>
      </c>
      <c r="B41" t="s">
        <v>41</v>
      </c>
      <c r="C41">
        <v>37400000</v>
      </c>
      <c r="D41">
        <v>387573.2</v>
      </c>
      <c r="E41">
        <v>3.1699999999999999E-2</v>
      </c>
      <c r="F41">
        <v>5.0999999999999997E-2</v>
      </c>
    </row>
    <row r="42" spans="1:6" x14ac:dyDescent="0.3">
      <c r="A42" t="s">
        <v>68</v>
      </c>
      <c r="B42" t="s">
        <v>32</v>
      </c>
      <c r="C42">
        <v>63600000</v>
      </c>
      <c r="D42">
        <v>113090.2</v>
      </c>
      <c r="E42">
        <v>0.1288</v>
      </c>
      <c r="F42">
        <v>0.65790000000000004</v>
      </c>
    </row>
    <row r="43" spans="1:6" x14ac:dyDescent="0.3">
      <c r="A43" t="s">
        <v>69</v>
      </c>
      <c r="B43" t="s">
        <v>53</v>
      </c>
      <c r="C43">
        <v>17300000</v>
      </c>
      <c r="D43">
        <v>4999919.0999999996</v>
      </c>
      <c r="E43">
        <v>2.7799999999999998E-2</v>
      </c>
      <c r="F43">
        <v>9.5100000000000004E-2</v>
      </c>
    </row>
    <row r="44" spans="1:6" x14ac:dyDescent="0.3">
      <c r="A44" t="s">
        <v>70</v>
      </c>
      <c r="B44" t="s">
        <v>71</v>
      </c>
      <c r="C44">
        <v>47300000</v>
      </c>
      <c r="D44">
        <v>384563.1</v>
      </c>
      <c r="E44">
        <v>8.2000000000000007E-3</v>
      </c>
      <c r="F44">
        <v>8.1100000000000005E-2</v>
      </c>
    </row>
    <row r="45" spans="1:6" x14ac:dyDescent="0.3">
      <c r="A45" t="s">
        <v>72</v>
      </c>
      <c r="B45" t="s">
        <v>21</v>
      </c>
      <c r="C45">
        <v>38500000</v>
      </c>
      <c r="D45">
        <v>5585.9</v>
      </c>
      <c r="E45">
        <v>1.4800000000000001E-2</v>
      </c>
      <c r="F45">
        <v>5.7599999999999998E-2</v>
      </c>
    </row>
    <row r="46" spans="1:6" x14ac:dyDescent="0.3">
      <c r="A46" t="s">
        <v>73</v>
      </c>
      <c r="B46" t="s">
        <v>74</v>
      </c>
      <c r="C46">
        <v>46700000</v>
      </c>
      <c r="D46">
        <v>5728890.2000000002</v>
      </c>
      <c r="E46">
        <v>1.01E-2</v>
      </c>
      <c r="F46">
        <v>6.54E-2</v>
      </c>
    </row>
    <row r="47" spans="1:6" x14ac:dyDescent="0.3">
      <c r="A47" t="s">
        <v>75</v>
      </c>
      <c r="B47" t="s">
        <v>28</v>
      </c>
      <c r="C47">
        <v>58300000</v>
      </c>
      <c r="D47">
        <v>10886.2</v>
      </c>
      <c r="E47">
        <v>8.3999999999999995E-3</v>
      </c>
      <c r="F47">
        <v>8.1100000000000005E-2</v>
      </c>
    </row>
    <row r="48" spans="1:6" x14ac:dyDescent="0.3">
      <c r="A48" t="s">
        <v>76</v>
      </c>
      <c r="B48" t="s">
        <v>28</v>
      </c>
      <c r="C48">
        <v>42600000</v>
      </c>
      <c r="D48">
        <v>373074.9</v>
      </c>
      <c r="E48">
        <v>9.4999999999999998E-3</v>
      </c>
      <c r="F48">
        <v>5.7599999999999998E-2</v>
      </c>
    </row>
    <row r="49" spans="1:6" x14ac:dyDescent="0.3">
      <c r="A49" t="s">
        <v>77</v>
      </c>
      <c r="B49" t="s">
        <v>53</v>
      </c>
      <c r="C49">
        <v>41100000</v>
      </c>
      <c r="D49">
        <v>4503.7</v>
      </c>
      <c r="E49">
        <v>1.7399999999999999E-2</v>
      </c>
      <c r="F49">
        <v>5.7599999999999998E-2</v>
      </c>
    </row>
    <row r="50" spans="1:6" x14ac:dyDescent="0.3">
      <c r="A50" t="s">
        <v>78</v>
      </c>
      <c r="B50" t="s">
        <v>50</v>
      </c>
      <c r="C50">
        <v>36000000</v>
      </c>
      <c r="D50">
        <v>844865.7</v>
      </c>
      <c r="E50">
        <v>6.4999999999999997E-3</v>
      </c>
      <c r="F50">
        <v>6.54E-2</v>
      </c>
    </row>
    <row r="51" spans="1:6" x14ac:dyDescent="0.3">
      <c r="A51" t="s">
        <v>79</v>
      </c>
      <c r="B51" t="s">
        <v>74</v>
      </c>
      <c r="C51">
        <v>14400000</v>
      </c>
      <c r="D51">
        <v>85673.9</v>
      </c>
      <c r="E51">
        <v>7.7000000000000002E-3</v>
      </c>
      <c r="F51">
        <v>6.54E-2</v>
      </c>
    </row>
    <row r="52" spans="1:6" x14ac:dyDescent="0.3">
      <c r="A52" t="s">
        <v>80</v>
      </c>
      <c r="B52" t="s">
        <v>81</v>
      </c>
      <c r="C52">
        <v>1310000</v>
      </c>
      <c r="D52">
        <v>82071.199999999997</v>
      </c>
      <c r="E52">
        <v>5.7599999999999998E-2</v>
      </c>
      <c r="F52">
        <v>7.5899999999999995E-2</v>
      </c>
    </row>
    <row r="53" spans="1:6" x14ac:dyDescent="0.3">
      <c r="A53" t="s">
        <v>82</v>
      </c>
      <c r="B53" t="s">
        <v>41</v>
      </c>
      <c r="C53">
        <v>50800000</v>
      </c>
      <c r="D53">
        <v>27725.4</v>
      </c>
      <c r="E53">
        <v>5.4000000000000003E-3</v>
      </c>
      <c r="F53">
        <v>8.1100000000000005E-2</v>
      </c>
    </row>
    <row r="54" spans="1:6" x14ac:dyDescent="0.3">
      <c r="A54" t="s">
        <v>83</v>
      </c>
      <c r="B54" t="s">
        <v>21</v>
      </c>
      <c r="C54">
        <v>98100000</v>
      </c>
      <c r="D54">
        <v>1344.4</v>
      </c>
      <c r="E54">
        <v>1.7399999999999999E-2</v>
      </c>
      <c r="F54">
        <v>9.3700000000000006E-2</v>
      </c>
    </row>
    <row r="55" spans="1:6" x14ac:dyDescent="0.3">
      <c r="A55" t="s">
        <v>84</v>
      </c>
      <c r="B55" t="s">
        <v>53</v>
      </c>
      <c r="C55">
        <v>28400000</v>
      </c>
      <c r="D55">
        <v>68562.5</v>
      </c>
      <c r="E55">
        <v>2.98E-2</v>
      </c>
      <c r="F55">
        <v>5.0999999999999997E-2</v>
      </c>
    </row>
    <row r="56" spans="1:6" x14ac:dyDescent="0.3">
      <c r="A56" t="s">
        <v>85</v>
      </c>
      <c r="B56" t="s">
        <v>26</v>
      </c>
      <c r="C56">
        <v>18700000</v>
      </c>
      <c r="D56">
        <v>86112.3</v>
      </c>
      <c r="E56">
        <v>2.18E-2</v>
      </c>
      <c r="F56">
        <v>5.0999999999999997E-2</v>
      </c>
    </row>
    <row r="57" spans="1:6" x14ac:dyDescent="0.3">
      <c r="A57" t="s">
        <v>86</v>
      </c>
      <c r="B57" t="s">
        <v>21</v>
      </c>
      <c r="C57">
        <v>29100000</v>
      </c>
      <c r="D57">
        <v>42682.8</v>
      </c>
      <c r="E57">
        <v>1.7999999999999999E-2</v>
      </c>
      <c r="F57">
        <v>5.7599999999999998E-2</v>
      </c>
    </row>
    <row r="58" spans="1:6" x14ac:dyDescent="0.3">
      <c r="A58" t="s">
        <v>87</v>
      </c>
      <c r="B58" t="s">
        <v>88</v>
      </c>
      <c r="C58">
        <v>25900000</v>
      </c>
      <c r="D58">
        <v>7682820.4000000004</v>
      </c>
      <c r="E58">
        <v>3.8300000000000001E-2</v>
      </c>
      <c r="F58">
        <v>9.5100000000000004E-2</v>
      </c>
    </row>
    <row r="59" spans="1:6" x14ac:dyDescent="0.3">
      <c r="A59" t="s">
        <v>89</v>
      </c>
      <c r="B59" t="s">
        <v>41</v>
      </c>
      <c r="C59">
        <v>17600000</v>
      </c>
      <c r="D59">
        <v>2110.6999999999998</v>
      </c>
      <c r="E59">
        <v>4.5100000000000001E-2</v>
      </c>
      <c r="F59">
        <v>9.3799999999999994E-2</v>
      </c>
    </row>
    <row r="60" spans="1:6" x14ac:dyDescent="0.3">
      <c r="A60" t="s">
        <v>90</v>
      </c>
      <c r="B60" t="s">
        <v>26</v>
      </c>
      <c r="C60">
        <v>25300000</v>
      </c>
      <c r="D60">
        <v>693422.7</v>
      </c>
      <c r="E60">
        <v>0.01</v>
      </c>
      <c r="F60">
        <v>4.6199999999999998E-2</v>
      </c>
    </row>
    <row r="61" spans="1:6" x14ac:dyDescent="0.3">
      <c r="A61" t="s">
        <v>91</v>
      </c>
      <c r="B61" t="s">
        <v>92</v>
      </c>
      <c r="C61">
        <v>3040000</v>
      </c>
      <c r="D61">
        <v>2273.3000000000002</v>
      </c>
      <c r="E61">
        <v>2.98E-2</v>
      </c>
      <c r="F61">
        <v>9.3799999999999994E-2</v>
      </c>
    </row>
    <row r="62" spans="1:6" x14ac:dyDescent="0.3">
      <c r="A62" t="s">
        <v>93</v>
      </c>
      <c r="B62" t="s">
        <v>32</v>
      </c>
      <c r="C62">
        <v>71400000</v>
      </c>
      <c r="D62">
        <v>99295.3</v>
      </c>
      <c r="E62">
        <v>1.7000000000000001E-2</v>
      </c>
      <c r="F62">
        <v>5.7599999999999998E-2</v>
      </c>
    </row>
    <row r="63" spans="1:6" x14ac:dyDescent="0.3">
      <c r="A63" t="s">
        <v>94</v>
      </c>
      <c r="B63" t="s">
        <v>50</v>
      </c>
      <c r="C63">
        <v>30000000</v>
      </c>
      <c r="D63">
        <v>2519978.2999999998</v>
      </c>
      <c r="E63">
        <v>5.3E-3</v>
      </c>
      <c r="F63">
        <v>8.1100000000000005E-2</v>
      </c>
    </row>
    <row r="64" spans="1:6" x14ac:dyDescent="0.3">
      <c r="A64" t="s">
        <v>95</v>
      </c>
      <c r="B64" t="s">
        <v>32</v>
      </c>
      <c r="C64">
        <v>27600000</v>
      </c>
      <c r="D64">
        <v>5799.9</v>
      </c>
      <c r="E64">
        <v>1.01E-2</v>
      </c>
      <c r="F64">
        <v>8.1100000000000005E-2</v>
      </c>
    </row>
    <row r="65" spans="1:6" x14ac:dyDescent="0.3">
      <c r="A65" t="s">
        <v>96</v>
      </c>
      <c r="B65" t="s">
        <v>50</v>
      </c>
      <c r="C65">
        <v>26200000</v>
      </c>
      <c r="D65">
        <v>12011475.5</v>
      </c>
      <c r="E65">
        <v>3.2599999999999997E-2</v>
      </c>
      <c r="F65">
        <v>9.5100000000000004E-2</v>
      </c>
    </row>
    <row r="66" spans="1:6" x14ac:dyDescent="0.3">
      <c r="A66" t="s">
        <v>97</v>
      </c>
      <c r="B66" t="s">
        <v>26</v>
      </c>
      <c r="C66">
        <v>9440000</v>
      </c>
      <c r="D66">
        <v>119698.5</v>
      </c>
      <c r="E66">
        <v>6.7000000000000002E-3</v>
      </c>
      <c r="F66">
        <v>0.10150000000000001</v>
      </c>
    </row>
    <row r="67" spans="1:6" x14ac:dyDescent="0.3">
      <c r="A67" t="s">
        <v>98</v>
      </c>
      <c r="B67" t="s">
        <v>41</v>
      </c>
      <c r="C67">
        <v>42100000</v>
      </c>
      <c r="D67">
        <v>619.6</v>
      </c>
      <c r="E67">
        <v>2.5899999999999999E-2</v>
      </c>
      <c r="F67">
        <v>7.2499999999999995E-2</v>
      </c>
    </row>
    <row r="68" spans="1:6" x14ac:dyDescent="0.3">
      <c r="A68" t="s">
        <v>99</v>
      </c>
      <c r="B68" t="s">
        <v>24</v>
      </c>
      <c r="C68">
        <v>20900000</v>
      </c>
      <c r="D68">
        <v>65635.399999999994</v>
      </c>
      <c r="E68">
        <v>1.11E-2</v>
      </c>
      <c r="F68">
        <v>8.1100000000000005E-2</v>
      </c>
    </row>
    <row r="69" spans="1:6" x14ac:dyDescent="0.3">
      <c r="A69" t="s">
        <v>100</v>
      </c>
      <c r="B69" t="s">
        <v>41</v>
      </c>
      <c r="C69">
        <v>30700000</v>
      </c>
      <c r="D69">
        <v>99048.5</v>
      </c>
      <c r="E69">
        <v>6.8400000000000002E-2</v>
      </c>
      <c r="F69">
        <v>9.3799999999999994E-2</v>
      </c>
    </row>
    <row r="70" spans="1:6" x14ac:dyDescent="0.3">
      <c r="A70" t="s">
        <v>101</v>
      </c>
      <c r="B70" t="s">
        <v>30</v>
      </c>
      <c r="C70">
        <v>26500000</v>
      </c>
      <c r="D70">
        <v>20986687.899999999</v>
      </c>
      <c r="E70">
        <v>6.2600000000000003E-2</v>
      </c>
      <c r="F70">
        <v>9.5100000000000004E-2</v>
      </c>
    </row>
    <row r="71" spans="1:6" x14ac:dyDescent="0.3">
      <c r="A71" t="s">
        <v>102</v>
      </c>
      <c r="B71" t="s">
        <v>24</v>
      </c>
      <c r="C71">
        <v>19200000</v>
      </c>
      <c r="D71">
        <v>11756</v>
      </c>
      <c r="E71">
        <v>1.61E-2</v>
      </c>
      <c r="F71">
        <v>0.19289999999999999</v>
      </c>
    </row>
    <row r="72" spans="1:6" x14ac:dyDescent="0.3">
      <c r="A72" t="s">
        <v>103</v>
      </c>
      <c r="B72" t="s">
        <v>30</v>
      </c>
      <c r="C72">
        <v>45600000</v>
      </c>
      <c r="D72">
        <v>14018274.9</v>
      </c>
      <c r="E72">
        <v>6.4899999999999999E-2</v>
      </c>
      <c r="F72">
        <v>7.5899999999999995E-2</v>
      </c>
    </row>
    <row r="73" spans="1:6" x14ac:dyDescent="0.3">
      <c r="A73" t="s">
        <v>104</v>
      </c>
      <c r="B73" t="s">
        <v>53</v>
      </c>
      <c r="C73">
        <v>51900000</v>
      </c>
      <c r="D73">
        <v>14652127.699999999</v>
      </c>
      <c r="E73">
        <v>4.6300000000000001E-2</v>
      </c>
      <c r="F73">
        <v>9.5100000000000004E-2</v>
      </c>
    </row>
    <row r="74" spans="1:6" x14ac:dyDescent="0.3">
      <c r="A74" t="s">
        <v>105</v>
      </c>
      <c r="B74" t="s">
        <v>24</v>
      </c>
      <c r="C74">
        <v>21300000</v>
      </c>
      <c r="D74">
        <v>37998.1</v>
      </c>
      <c r="E74">
        <v>2.5499999999999998E-2</v>
      </c>
      <c r="F74">
        <v>4.0899999999999999E-2</v>
      </c>
    </row>
    <row r="75" spans="1:6" x14ac:dyDescent="0.3">
      <c r="A75" t="s">
        <v>106</v>
      </c>
      <c r="B75" t="s">
        <v>24</v>
      </c>
      <c r="C75">
        <v>24000000</v>
      </c>
      <c r="D75">
        <v>366011.2</v>
      </c>
      <c r="E75">
        <v>2.7900000000000001E-2</v>
      </c>
      <c r="F75">
        <v>0.1226</v>
      </c>
    </row>
    <row r="76" spans="1:6" x14ac:dyDescent="0.3">
      <c r="A76" t="s">
        <v>107</v>
      </c>
      <c r="B76" t="s">
        <v>30</v>
      </c>
      <c r="C76">
        <v>36400000</v>
      </c>
      <c r="D76">
        <v>83392043.5</v>
      </c>
      <c r="E76">
        <v>5.04E-2</v>
      </c>
      <c r="F76">
        <v>9.5100000000000004E-2</v>
      </c>
    </row>
    <row r="77" spans="1:6" x14ac:dyDescent="0.3">
      <c r="A77" t="s">
        <v>108</v>
      </c>
      <c r="B77" t="s">
        <v>41</v>
      </c>
      <c r="C77">
        <v>34800000</v>
      </c>
      <c r="D77">
        <v>6646.4</v>
      </c>
      <c r="E77">
        <v>3.2000000000000001E-2</v>
      </c>
      <c r="F77">
        <v>9.3799999999999994E-2</v>
      </c>
    </row>
    <row r="78" spans="1:6" x14ac:dyDescent="0.3">
      <c r="A78" t="s">
        <v>109</v>
      </c>
      <c r="B78" t="s">
        <v>21</v>
      </c>
      <c r="C78">
        <v>21000000</v>
      </c>
      <c r="D78">
        <v>125403.2</v>
      </c>
      <c r="E78">
        <v>2.8E-3</v>
      </c>
      <c r="F78">
        <v>6.54E-2</v>
      </c>
    </row>
    <row r="79" spans="1:6" x14ac:dyDescent="0.3">
      <c r="A79" t="s">
        <v>110</v>
      </c>
      <c r="B79" t="s">
        <v>41</v>
      </c>
      <c r="C79">
        <v>23400000</v>
      </c>
      <c r="D79">
        <v>11745.9</v>
      </c>
      <c r="E79">
        <v>2.0400000000000001E-2</v>
      </c>
      <c r="F79">
        <v>5.7599999999999998E-2</v>
      </c>
    </row>
    <row r="80" spans="1:6" x14ac:dyDescent="0.3">
      <c r="A80" t="s">
        <v>111</v>
      </c>
      <c r="B80" t="s">
        <v>26</v>
      </c>
      <c r="C80">
        <v>32400000</v>
      </c>
      <c r="D80">
        <v>379.9</v>
      </c>
      <c r="E80">
        <v>1.1236999999999999</v>
      </c>
      <c r="F80">
        <v>0.2828</v>
      </c>
    </row>
    <row r="81" spans="1:6" x14ac:dyDescent="0.3">
      <c r="A81" t="s">
        <v>112</v>
      </c>
      <c r="B81" t="s">
        <v>26</v>
      </c>
      <c r="C81">
        <v>26100000</v>
      </c>
      <c r="D81">
        <v>33840.699999999997</v>
      </c>
      <c r="E81">
        <v>2.2200000000000001E-2</v>
      </c>
      <c r="F81">
        <v>5.7599999999999998E-2</v>
      </c>
    </row>
    <row r="82" spans="1:6" x14ac:dyDescent="0.3">
      <c r="A82" t="s">
        <v>113</v>
      </c>
      <c r="B82" t="s">
        <v>92</v>
      </c>
      <c r="C82">
        <v>15200000</v>
      </c>
      <c r="D82">
        <v>138822.9</v>
      </c>
      <c r="E82">
        <v>2.01E-2</v>
      </c>
      <c r="F82">
        <v>0.1053</v>
      </c>
    </row>
    <row r="83" spans="1:6" x14ac:dyDescent="0.3">
      <c r="A83" t="s">
        <v>114</v>
      </c>
      <c r="B83" t="s">
        <v>28</v>
      </c>
      <c r="C83">
        <v>20600000</v>
      </c>
      <c r="D83">
        <v>3665409.7</v>
      </c>
      <c r="E83">
        <v>1.6500000000000001E-2</v>
      </c>
      <c r="F83">
        <v>8.5400000000000004E-2</v>
      </c>
    </row>
    <row r="84" spans="1:6" x14ac:dyDescent="0.3">
      <c r="A84" t="s">
        <v>115</v>
      </c>
      <c r="B84" t="s">
        <v>41</v>
      </c>
      <c r="C84">
        <v>27000000</v>
      </c>
      <c r="D84">
        <v>5665.7</v>
      </c>
      <c r="E84">
        <v>4.4299999999999999E-2</v>
      </c>
      <c r="F84">
        <v>0.1767</v>
      </c>
    </row>
    <row r="85" spans="1:6" x14ac:dyDescent="0.3">
      <c r="A85" t="s">
        <v>116</v>
      </c>
      <c r="B85" t="s">
        <v>62</v>
      </c>
      <c r="C85">
        <v>22300000</v>
      </c>
      <c r="D85">
        <v>142460.9</v>
      </c>
      <c r="E85">
        <v>0.1376</v>
      </c>
      <c r="F85">
        <v>7.5899999999999995E-2</v>
      </c>
    </row>
    <row r="86" spans="1:6" x14ac:dyDescent="0.3">
      <c r="A86" t="s">
        <v>117</v>
      </c>
      <c r="B86" t="s">
        <v>24</v>
      </c>
      <c r="C86">
        <v>19900000</v>
      </c>
      <c r="D86">
        <v>808582.2</v>
      </c>
      <c r="E86">
        <v>4.2599999999999999E-2</v>
      </c>
      <c r="F86">
        <v>6.7199999999999996E-2</v>
      </c>
    </row>
    <row r="87" spans="1:6" x14ac:dyDescent="0.3">
      <c r="A87" t="s">
        <v>118</v>
      </c>
      <c r="B87" t="s">
        <v>21</v>
      </c>
      <c r="C87">
        <v>27500000</v>
      </c>
      <c r="D87">
        <v>67418.8</v>
      </c>
      <c r="E87">
        <v>1.2800000000000001E-2</v>
      </c>
      <c r="F87">
        <v>5.8400000000000001E-2</v>
      </c>
    </row>
    <row r="88" spans="1:6" x14ac:dyDescent="0.3">
      <c r="A88" t="s">
        <v>119</v>
      </c>
      <c r="B88" t="s">
        <v>50</v>
      </c>
      <c r="C88">
        <v>13200000</v>
      </c>
      <c r="D88">
        <v>6216807.4000000004</v>
      </c>
      <c r="E88">
        <v>3.8199999999999998E-2</v>
      </c>
      <c r="F88">
        <v>9.5100000000000004E-2</v>
      </c>
    </row>
    <row r="89" spans="1:6" x14ac:dyDescent="0.3">
      <c r="A89" t="s">
        <v>120</v>
      </c>
      <c r="B89" t="s">
        <v>41</v>
      </c>
      <c r="C89">
        <v>75200000</v>
      </c>
      <c r="D89">
        <v>12731.1</v>
      </c>
      <c r="E89">
        <v>1.14E-2</v>
      </c>
      <c r="F89">
        <v>8.5400000000000004E-2</v>
      </c>
    </row>
    <row r="90" spans="1:6" x14ac:dyDescent="0.3">
      <c r="A90" t="s">
        <v>121</v>
      </c>
      <c r="B90" t="s">
        <v>26</v>
      </c>
      <c r="C90">
        <v>21000000</v>
      </c>
      <c r="D90">
        <v>15642.8</v>
      </c>
      <c r="E90">
        <v>4.4299999999999999E-2</v>
      </c>
      <c r="F90">
        <v>5.0999999999999997E-2</v>
      </c>
    </row>
    <row r="91" spans="1:6" x14ac:dyDescent="0.3">
      <c r="A91" t="s">
        <v>122</v>
      </c>
      <c r="B91" t="s">
        <v>26</v>
      </c>
      <c r="C91">
        <v>20700000</v>
      </c>
      <c r="D91">
        <v>257643.6</v>
      </c>
      <c r="E91">
        <v>5.1400000000000001E-2</v>
      </c>
      <c r="F91">
        <v>9.3799999999999994E-2</v>
      </c>
    </row>
    <row r="92" spans="1:6" x14ac:dyDescent="0.3">
      <c r="A92" t="s">
        <v>123</v>
      </c>
      <c r="B92" t="s">
        <v>21</v>
      </c>
      <c r="C92">
        <v>25600000</v>
      </c>
      <c r="D92">
        <v>2102.6999999999998</v>
      </c>
      <c r="E92">
        <v>8.3999999999999995E-3</v>
      </c>
      <c r="F92">
        <v>8.1100000000000005E-2</v>
      </c>
    </row>
    <row r="93" spans="1:6" x14ac:dyDescent="0.3">
      <c r="A93" t="s">
        <v>124</v>
      </c>
      <c r="B93" t="s">
        <v>26</v>
      </c>
      <c r="C93">
        <v>21400000</v>
      </c>
      <c r="D93">
        <v>1860079.7</v>
      </c>
      <c r="E93">
        <v>5.8999999999999997E-2</v>
      </c>
      <c r="F93">
        <v>5.0999999999999997E-2</v>
      </c>
    </row>
    <row r="94" spans="1:6" x14ac:dyDescent="0.3">
      <c r="A94" t="s">
        <v>125</v>
      </c>
      <c r="B94" t="s">
        <v>24</v>
      </c>
      <c r="C94">
        <v>29900000</v>
      </c>
      <c r="D94">
        <v>2553712.2999999998</v>
      </c>
      <c r="E94">
        <v>6.1000000000000004E-3</v>
      </c>
      <c r="F94">
        <v>6.54E-2</v>
      </c>
    </row>
    <row r="95" spans="1:6" x14ac:dyDescent="0.3">
      <c r="A95" t="s">
        <v>126</v>
      </c>
      <c r="B95" t="s">
        <v>26</v>
      </c>
      <c r="C95">
        <v>23800000</v>
      </c>
      <c r="D95">
        <v>5109951</v>
      </c>
      <c r="E95">
        <v>1.9699999999999999E-2</v>
      </c>
      <c r="F95">
        <v>4.6199999999999998E-2</v>
      </c>
    </row>
    <row r="96" spans="1:6" x14ac:dyDescent="0.3">
      <c r="A96" t="s">
        <v>127</v>
      </c>
      <c r="B96" t="s">
        <v>26</v>
      </c>
      <c r="C96">
        <v>27600000</v>
      </c>
      <c r="D96">
        <v>321902.5</v>
      </c>
      <c r="E96">
        <v>5.3400000000000003E-2</v>
      </c>
      <c r="F96">
        <v>9.3799999999999994E-2</v>
      </c>
    </row>
    <row r="97" spans="1:6" x14ac:dyDescent="0.3">
      <c r="A97" t="s">
        <v>128</v>
      </c>
      <c r="B97" t="s">
        <v>53</v>
      </c>
      <c r="C97">
        <v>27100000</v>
      </c>
      <c r="D97">
        <v>26071.4</v>
      </c>
      <c r="E97">
        <v>7.6E-3</v>
      </c>
      <c r="F97">
        <v>0.1013</v>
      </c>
    </row>
    <row r="98" spans="1:6" x14ac:dyDescent="0.3">
      <c r="A98" t="s">
        <v>129</v>
      </c>
      <c r="B98" t="s">
        <v>26</v>
      </c>
      <c r="C98">
        <v>42300000</v>
      </c>
      <c r="D98">
        <v>375250.1</v>
      </c>
      <c r="E98">
        <v>7.1999999999999998E-3</v>
      </c>
      <c r="F98">
        <v>8.1100000000000005E-2</v>
      </c>
    </row>
    <row r="99" spans="1:6" x14ac:dyDescent="0.3">
      <c r="A99" t="s">
        <v>130</v>
      </c>
      <c r="B99" t="s">
        <v>71</v>
      </c>
      <c r="C99">
        <v>23700000</v>
      </c>
      <c r="D99">
        <v>41038.5</v>
      </c>
      <c r="E99">
        <v>5.1200000000000002E-2</v>
      </c>
      <c r="F99">
        <v>9.3799999999999994E-2</v>
      </c>
    </row>
    <row r="100" spans="1:6" x14ac:dyDescent="0.3">
      <c r="A100" t="s">
        <v>131</v>
      </c>
      <c r="B100" t="s">
        <v>26</v>
      </c>
      <c r="C100">
        <v>23300000</v>
      </c>
      <c r="D100">
        <v>1562096.1</v>
      </c>
      <c r="E100">
        <v>1.1599999999999999E-2</v>
      </c>
      <c r="F100">
        <v>5.8400000000000001E-2</v>
      </c>
    </row>
    <row r="101" spans="1:6" x14ac:dyDescent="0.3">
      <c r="A101" t="s">
        <v>132</v>
      </c>
      <c r="B101" t="s">
        <v>41</v>
      </c>
      <c r="C101">
        <v>40200000</v>
      </c>
      <c r="D101">
        <v>35743</v>
      </c>
      <c r="E101">
        <v>9.1000000000000004E-3</v>
      </c>
      <c r="F101">
        <v>8.1100000000000005E-2</v>
      </c>
    </row>
    <row r="102" spans="1:6" x14ac:dyDescent="0.3">
      <c r="A102" t="s">
        <v>133</v>
      </c>
      <c r="B102" t="s">
        <v>53</v>
      </c>
      <c r="C102">
        <v>20800000</v>
      </c>
      <c r="D102">
        <v>261833.1</v>
      </c>
      <c r="E102">
        <v>3.6600000000000001E-2</v>
      </c>
      <c r="F102">
        <v>7.5899999999999995E-2</v>
      </c>
    </row>
    <row r="103" spans="1:6" x14ac:dyDescent="0.3">
      <c r="A103" t="s">
        <v>134</v>
      </c>
      <c r="B103" t="s">
        <v>30</v>
      </c>
      <c r="C103">
        <v>19800000</v>
      </c>
      <c r="D103">
        <v>520701.8</v>
      </c>
      <c r="E103">
        <v>2.3999999999999998E-3</v>
      </c>
      <c r="F103">
        <v>6.54E-2</v>
      </c>
    </row>
    <row r="104" spans="1:6" x14ac:dyDescent="0.3">
      <c r="A104" t="s">
        <v>135</v>
      </c>
      <c r="B104" t="s">
        <v>30</v>
      </c>
      <c r="C104">
        <v>22200000</v>
      </c>
      <c r="D104">
        <v>19069</v>
      </c>
      <c r="E104">
        <v>1.01E-2</v>
      </c>
      <c r="F104">
        <v>8.1100000000000005E-2</v>
      </c>
    </row>
    <row r="105" spans="1:6" x14ac:dyDescent="0.3">
      <c r="A105" t="s">
        <v>136</v>
      </c>
      <c r="B105" t="s">
        <v>92</v>
      </c>
      <c r="C105">
        <v>30600000</v>
      </c>
      <c r="D105">
        <v>10769579.9</v>
      </c>
      <c r="E105">
        <v>1.4800000000000001E-2</v>
      </c>
      <c r="F105">
        <v>5.8500000000000003E-2</v>
      </c>
    </row>
    <row r="106" spans="1:6" x14ac:dyDescent="0.3">
      <c r="A106" t="s">
        <v>137</v>
      </c>
      <c r="B106" t="s">
        <v>30</v>
      </c>
      <c r="C106">
        <v>28300000</v>
      </c>
      <c r="D106">
        <v>4715184.2</v>
      </c>
      <c r="E106">
        <v>1.6000000000000001E-3</v>
      </c>
      <c r="F106">
        <v>6.54E-2</v>
      </c>
    </row>
    <row r="107" spans="1:6" x14ac:dyDescent="0.3">
      <c r="A107" t="s">
        <v>138</v>
      </c>
      <c r="B107" t="s">
        <v>32</v>
      </c>
      <c r="C107">
        <v>21400000</v>
      </c>
      <c r="D107">
        <v>11750.4</v>
      </c>
      <c r="E107">
        <v>3.15E-2</v>
      </c>
      <c r="F107">
        <v>5.3800000000000001E-2</v>
      </c>
    </row>
    <row r="108" spans="1:6" x14ac:dyDescent="0.3">
      <c r="A108" t="s">
        <v>139</v>
      </c>
      <c r="B108" t="s">
        <v>41</v>
      </c>
      <c r="C108">
        <v>25600000</v>
      </c>
      <c r="D108">
        <v>12873.8</v>
      </c>
      <c r="E108">
        <v>1.43E-2</v>
      </c>
      <c r="F108">
        <v>0.1053</v>
      </c>
    </row>
    <row r="109" spans="1:6" x14ac:dyDescent="0.3">
      <c r="A109" t="s">
        <v>140</v>
      </c>
      <c r="B109" t="s">
        <v>21</v>
      </c>
      <c r="C109">
        <v>38700000</v>
      </c>
      <c r="D109">
        <v>3772640.1</v>
      </c>
      <c r="E109">
        <v>1.3899999999999999E-2</v>
      </c>
      <c r="F109">
        <v>4.6199999999999998E-2</v>
      </c>
    </row>
    <row r="110" spans="1:6" x14ac:dyDescent="0.3">
      <c r="A110" t="s">
        <v>141</v>
      </c>
      <c r="B110" t="s">
        <v>41</v>
      </c>
      <c r="C110">
        <v>23300000</v>
      </c>
      <c r="D110">
        <v>322103.09999999998</v>
      </c>
      <c r="E110">
        <v>4.7100000000000003E-2</v>
      </c>
      <c r="F110">
        <v>9.3799999999999994E-2</v>
      </c>
    </row>
    <row r="111" spans="1:6" x14ac:dyDescent="0.3">
      <c r="A111" t="s">
        <v>142</v>
      </c>
      <c r="B111" t="s">
        <v>26</v>
      </c>
      <c r="C111">
        <v>23000000</v>
      </c>
      <c r="D111">
        <v>8444.2000000000007</v>
      </c>
      <c r="E111">
        <v>1.78E-2</v>
      </c>
      <c r="F111">
        <v>0.1013</v>
      </c>
    </row>
    <row r="112" spans="1:6" x14ac:dyDescent="0.3">
      <c r="A112" t="s">
        <v>143</v>
      </c>
      <c r="B112" t="s">
        <v>71</v>
      </c>
      <c r="C112">
        <v>32000000</v>
      </c>
      <c r="D112">
        <v>79568.2</v>
      </c>
      <c r="E112">
        <v>1.09E-2</v>
      </c>
      <c r="F112">
        <v>8.1100000000000005E-2</v>
      </c>
    </row>
    <row r="113" spans="1:6" x14ac:dyDescent="0.3">
      <c r="A113" t="s">
        <v>144</v>
      </c>
      <c r="B113" t="s">
        <v>24</v>
      </c>
      <c r="C113">
        <v>22400000</v>
      </c>
      <c r="D113">
        <v>240719.9</v>
      </c>
      <c r="E113">
        <v>6.2700000000000006E-2</v>
      </c>
      <c r="F113">
        <v>7.5899999999999995E-2</v>
      </c>
    </row>
    <row r="114" spans="1:6" x14ac:dyDescent="0.3">
      <c r="A114" t="s">
        <v>145</v>
      </c>
      <c r="B114" t="s">
        <v>26</v>
      </c>
      <c r="C114">
        <v>10700000</v>
      </c>
      <c r="D114">
        <v>12175427.4</v>
      </c>
      <c r="E114">
        <v>2.0799999999999999E-2</v>
      </c>
      <c r="F114">
        <v>5.1799999999999999E-2</v>
      </c>
    </row>
    <row r="115" spans="1:6" x14ac:dyDescent="0.3">
      <c r="A115" t="s">
        <v>146</v>
      </c>
      <c r="B115" t="s">
        <v>21</v>
      </c>
      <c r="C115">
        <v>36100000</v>
      </c>
      <c r="D115">
        <v>102390.8</v>
      </c>
      <c r="E115">
        <v>2.6499999999999999E-2</v>
      </c>
      <c r="F115">
        <v>5.0999999999999997E-2</v>
      </c>
    </row>
    <row r="116" spans="1:6" x14ac:dyDescent="0.3">
      <c r="A116" t="s">
        <v>147</v>
      </c>
      <c r="B116" t="s">
        <v>30</v>
      </c>
      <c r="C116">
        <v>18400000</v>
      </c>
      <c r="D116">
        <v>37951.199999999997</v>
      </c>
      <c r="E116">
        <v>8.5000000000000006E-3</v>
      </c>
      <c r="F116">
        <v>8.1100000000000005E-2</v>
      </c>
    </row>
    <row r="117" spans="1:6" x14ac:dyDescent="0.3">
      <c r="A117" t="s">
        <v>148</v>
      </c>
      <c r="B117" t="s">
        <v>71</v>
      </c>
      <c r="C117">
        <v>16000000</v>
      </c>
      <c r="D117">
        <v>258375.8</v>
      </c>
      <c r="E117">
        <v>5.7700000000000001E-2</v>
      </c>
      <c r="F117">
        <v>7.5899999999999995E-2</v>
      </c>
    </row>
    <row r="118" spans="1:6" x14ac:dyDescent="0.3">
      <c r="A118" t="s">
        <v>149</v>
      </c>
      <c r="B118" t="s">
        <v>24</v>
      </c>
      <c r="C118">
        <v>19500000</v>
      </c>
      <c r="D118">
        <v>81602.899999999994</v>
      </c>
      <c r="E118">
        <v>1.8200000000000001E-2</v>
      </c>
      <c r="F118">
        <v>0.2064</v>
      </c>
    </row>
    <row r="119" spans="1:6" x14ac:dyDescent="0.3">
      <c r="A119" t="s">
        <v>150</v>
      </c>
      <c r="B119" t="s">
        <v>88</v>
      </c>
      <c r="C119">
        <v>20400000</v>
      </c>
      <c r="D119">
        <v>6144.1</v>
      </c>
      <c r="E119">
        <v>5.1700000000000003E-2</v>
      </c>
      <c r="F119">
        <v>9.3799999999999994E-2</v>
      </c>
    </row>
    <row r="120" spans="1:6" x14ac:dyDescent="0.3">
      <c r="A120" t="s">
        <v>151</v>
      </c>
      <c r="B120" t="s">
        <v>41</v>
      </c>
      <c r="C120">
        <v>22400000</v>
      </c>
      <c r="D120">
        <v>1107.9000000000001</v>
      </c>
      <c r="E120">
        <v>2.92E-2</v>
      </c>
      <c r="F120">
        <v>9.3799999999999994E-2</v>
      </c>
    </row>
    <row r="121" spans="1:6" x14ac:dyDescent="0.3">
      <c r="A121" t="s">
        <v>152</v>
      </c>
      <c r="B121" t="s">
        <v>41</v>
      </c>
      <c r="C121">
        <v>15600000</v>
      </c>
      <c r="D121">
        <v>164802.4</v>
      </c>
      <c r="E121">
        <v>1.17E-2</v>
      </c>
      <c r="F121">
        <v>7.2599999999999998E-2</v>
      </c>
    </row>
    <row r="122" spans="1:6" x14ac:dyDescent="0.3">
      <c r="A122" t="s">
        <v>153</v>
      </c>
      <c r="B122" t="s">
        <v>26</v>
      </c>
      <c r="C122">
        <v>16800000</v>
      </c>
      <c r="D122">
        <v>1228932.5</v>
      </c>
      <c r="E122">
        <v>3.1E-2</v>
      </c>
      <c r="F122">
        <v>4.0899999999999999E-2</v>
      </c>
    </row>
    <row r="123" spans="1:6" x14ac:dyDescent="0.3">
      <c r="A123" t="s">
        <v>154</v>
      </c>
      <c r="B123" t="s">
        <v>26</v>
      </c>
      <c r="C123">
        <v>16900000</v>
      </c>
      <c r="D123">
        <v>58832.9</v>
      </c>
      <c r="E123">
        <v>3.15E-2</v>
      </c>
      <c r="F123">
        <v>9.3799999999999994E-2</v>
      </c>
    </row>
    <row r="124" spans="1:6" x14ac:dyDescent="0.3">
      <c r="A124" t="s">
        <v>155</v>
      </c>
      <c r="B124" t="s">
        <v>21</v>
      </c>
      <c r="C124">
        <v>14700000</v>
      </c>
      <c r="D124">
        <v>73956.100000000006</v>
      </c>
      <c r="E124">
        <v>1.1599999999999999E-2</v>
      </c>
      <c r="F124">
        <v>5.8400000000000001E-2</v>
      </c>
    </row>
    <row r="125" spans="1:6" x14ac:dyDescent="0.3">
      <c r="A125" t="s">
        <v>156</v>
      </c>
      <c r="B125" t="s">
        <v>26</v>
      </c>
      <c r="C125">
        <v>14300000</v>
      </c>
      <c r="D125">
        <v>8137.2</v>
      </c>
      <c r="E125">
        <v>8.0000000000000004E-4</v>
      </c>
      <c r="F125">
        <v>6.54E-2</v>
      </c>
    </row>
    <row r="126" spans="1:6" x14ac:dyDescent="0.3">
      <c r="A126" t="s">
        <v>157</v>
      </c>
      <c r="B126" t="s">
        <v>26</v>
      </c>
      <c r="C126">
        <v>14900000</v>
      </c>
      <c r="D126">
        <v>11139921</v>
      </c>
      <c r="F126">
        <v>5.1799999999999999E-2</v>
      </c>
    </row>
    <row r="127" spans="1:6" x14ac:dyDescent="0.3">
      <c r="A127" t="s">
        <v>158</v>
      </c>
      <c r="B127" t="s">
        <v>26</v>
      </c>
      <c r="C127">
        <v>17200000</v>
      </c>
      <c r="D127">
        <v>1694784.5</v>
      </c>
      <c r="E127">
        <v>2.1000000000000001E-2</v>
      </c>
      <c r="F127">
        <v>0.1053</v>
      </c>
    </row>
    <row r="128" spans="1:6" x14ac:dyDescent="0.3">
      <c r="A128" t="s">
        <v>159</v>
      </c>
      <c r="B128" t="s">
        <v>92</v>
      </c>
      <c r="C128">
        <v>13500000</v>
      </c>
      <c r="D128">
        <v>186503.8</v>
      </c>
      <c r="E128">
        <v>3.1099999999999999E-2</v>
      </c>
      <c r="F128">
        <v>7.5899999999999995E-2</v>
      </c>
    </row>
    <row r="129" spans="1:6" x14ac:dyDescent="0.3">
      <c r="A129" t="s">
        <v>160</v>
      </c>
      <c r="B129" t="s">
        <v>28</v>
      </c>
      <c r="C129">
        <v>16500000</v>
      </c>
      <c r="D129">
        <v>1972.1</v>
      </c>
      <c r="E129">
        <v>5.1000000000000004E-3</v>
      </c>
      <c r="F129">
        <v>8.1100000000000005E-2</v>
      </c>
    </row>
    <row r="130" spans="1:6" x14ac:dyDescent="0.3">
      <c r="A130" t="s">
        <v>161</v>
      </c>
      <c r="B130" t="s">
        <v>28</v>
      </c>
      <c r="C130">
        <v>17500000</v>
      </c>
      <c r="D130">
        <v>192615.8</v>
      </c>
      <c r="E130">
        <v>6.1999999999999998E-3</v>
      </c>
      <c r="F130">
        <v>8.1100000000000005E-2</v>
      </c>
    </row>
    <row r="131" spans="1:6" x14ac:dyDescent="0.3">
      <c r="A131" t="s">
        <v>162</v>
      </c>
      <c r="B131" t="s">
        <v>41</v>
      </c>
      <c r="C131">
        <v>25800000</v>
      </c>
      <c r="D131">
        <v>5969.9</v>
      </c>
      <c r="E131">
        <v>1.2800000000000001E-2</v>
      </c>
      <c r="F131">
        <v>7.2599999999999998E-2</v>
      </c>
    </row>
    <row r="132" spans="1:6" x14ac:dyDescent="0.3">
      <c r="A132" t="s">
        <v>163</v>
      </c>
      <c r="B132" t="s">
        <v>24</v>
      </c>
      <c r="C132">
        <v>15900000</v>
      </c>
      <c r="D132">
        <v>2076.6999999999998</v>
      </c>
      <c r="E132">
        <v>3.4700000000000002E-2</v>
      </c>
      <c r="F132">
        <v>9.3799999999999994E-2</v>
      </c>
    </row>
    <row r="133" spans="1:6" x14ac:dyDescent="0.3">
      <c r="A133" t="s">
        <v>164</v>
      </c>
      <c r="B133" t="s">
        <v>32</v>
      </c>
      <c r="C133">
        <v>20500000</v>
      </c>
      <c r="D133">
        <v>93616.3</v>
      </c>
      <c r="E133">
        <v>7.1999999999999998E-3</v>
      </c>
      <c r="F133">
        <v>0.10150000000000001</v>
      </c>
    </row>
    <row r="134" spans="1:6" x14ac:dyDescent="0.3">
      <c r="A134" t="s">
        <v>165</v>
      </c>
      <c r="B134" t="s">
        <v>26</v>
      </c>
      <c r="C134">
        <v>16600000</v>
      </c>
      <c r="D134">
        <v>7019176.5999999996</v>
      </c>
      <c r="E134">
        <v>4.1000000000000002E-2</v>
      </c>
      <c r="F134">
        <v>5.1799999999999999E-2</v>
      </c>
    </row>
    <row r="135" spans="1:6" x14ac:dyDescent="0.3">
      <c r="A135" t="s">
        <v>166</v>
      </c>
      <c r="B135" t="s">
        <v>21</v>
      </c>
      <c r="C135">
        <v>21800000</v>
      </c>
      <c r="D135">
        <v>98.7</v>
      </c>
      <c r="E135">
        <v>1.5599999999999999E-2</v>
      </c>
      <c r="F135">
        <v>0.1948</v>
      </c>
    </row>
    <row r="136" spans="1:6" x14ac:dyDescent="0.3">
      <c r="A136" t="s">
        <v>167</v>
      </c>
      <c r="B136" t="s">
        <v>71</v>
      </c>
      <c r="C136">
        <v>15500000</v>
      </c>
      <c r="D136">
        <v>332799.7</v>
      </c>
      <c r="E136">
        <v>4.2299999999999997E-2</v>
      </c>
      <c r="F136">
        <v>9.3799999999999994E-2</v>
      </c>
    </row>
    <row r="137" spans="1:6" x14ac:dyDescent="0.3">
      <c r="A137" t="s">
        <v>168</v>
      </c>
      <c r="B137" t="s">
        <v>26</v>
      </c>
      <c r="C137">
        <v>17900000</v>
      </c>
      <c r="D137">
        <v>1378523.3</v>
      </c>
      <c r="E137">
        <v>4.24E-2</v>
      </c>
      <c r="F137">
        <v>4.0899999999999999E-2</v>
      </c>
    </row>
    <row r="138" spans="1:6" x14ac:dyDescent="0.3">
      <c r="A138" t="s">
        <v>169</v>
      </c>
      <c r="B138" t="s">
        <v>21</v>
      </c>
      <c r="C138">
        <v>17800000</v>
      </c>
      <c r="D138">
        <v>1291.8</v>
      </c>
      <c r="E138">
        <v>0.02</v>
      </c>
      <c r="F138">
        <v>5.0999999999999997E-2</v>
      </c>
    </row>
    <row r="139" spans="1:6" x14ac:dyDescent="0.3">
      <c r="A139" t="s">
        <v>170</v>
      </c>
      <c r="B139" t="s">
        <v>30</v>
      </c>
      <c r="C139">
        <v>15900000</v>
      </c>
      <c r="D139">
        <v>4371466.2</v>
      </c>
      <c r="E139">
        <v>9.1300000000000006E-2</v>
      </c>
      <c r="F139">
        <v>9.5100000000000004E-2</v>
      </c>
    </row>
    <row r="140" spans="1:6" x14ac:dyDescent="0.3">
      <c r="A140" t="s">
        <v>171</v>
      </c>
      <c r="B140" t="s">
        <v>21</v>
      </c>
      <c r="C140">
        <v>17000000</v>
      </c>
      <c r="D140">
        <v>30003.1</v>
      </c>
      <c r="E140">
        <v>6.5500000000000003E-2</v>
      </c>
      <c r="F140">
        <v>9.3799999999999994E-2</v>
      </c>
    </row>
    <row r="141" spans="1:6" x14ac:dyDescent="0.3">
      <c r="A141" t="s">
        <v>172</v>
      </c>
      <c r="B141" t="s">
        <v>92</v>
      </c>
      <c r="C141">
        <v>14600000</v>
      </c>
      <c r="D141">
        <v>130808.3</v>
      </c>
      <c r="E141">
        <v>3.5000000000000003E-2</v>
      </c>
      <c r="F141">
        <v>9.3799999999999994E-2</v>
      </c>
    </row>
    <row r="142" spans="1:6" x14ac:dyDescent="0.3">
      <c r="A142" t="s">
        <v>173</v>
      </c>
      <c r="B142" t="s">
        <v>21</v>
      </c>
      <c r="C142">
        <v>18000000</v>
      </c>
      <c r="D142">
        <v>901.8</v>
      </c>
      <c r="E142">
        <v>5.5999999999999999E-3</v>
      </c>
      <c r="F142">
        <v>8.1100000000000005E-2</v>
      </c>
    </row>
    <row r="143" spans="1:6" x14ac:dyDescent="0.3">
      <c r="A143" t="s">
        <v>174</v>
      </c>
      <c r="B143" t="s">
        <v>32</v>
      </c>
      <c r="C143">
        <v>19800000</v>
      </c>
      <c r="D143">
        <v>62527.8</v>
      </c>
      <c r="E143">
        <v>1.34E-2</v>
      </c>
      <c r="F143">
        <v>5.7599999999999998E-2</v>
      </c>
    </row>
    <row r="144" spans="1:6" x14ac:dyDescent="0.3">
      <c r="A144" t="s">
        <v>175</v>
      </c>
      <c r="B144" t="s">
        <v>41</v>
      </c>
      <c r="C144">
        <v>20500000</v>
      </c>
      <c r="D144">
        <v>7295.6</v>
      </c>
      <c r="E144">
        <v>4.1700000000000001E-2</v>
      </c>
      <c r="F144">
        <v>6.4299999999999996E-2</v>
      </c>
    </row>
    <row r="145" spans="1:6" x14ac:dyDescent="0.3">
      <c r="A145" t="s">
        <v>176</v>
      </c>
      <c r="B145" t="s">
        <v>88</v>
      </c>
      <c r="C145">
        <v>17700000</v>
      </c>
      <c r="D145">
        <v>256402.4</v>
      </c>
      <c r="E145">
        <v>5.7000000000000002E-3</v>
      </c>
      <c r="F145">
        <v>6.54E-2</v>
      </c>
    </row>
    <row r="146" spans="1:6" x14ac:dyDescent="0.3">
      <c r="A146" t="s">
        <v>177</v>
      </c>
      <c r="B146" t="s">
        <v>53</v>
      </c>
      <c r="C146">
        <v>18400000</v>
      </c>
      <c r="D146">
        <v>67556.800000000003</v>
      </c>
      <c r="E146">
        <v>0.1021</v>
      </c>
      <c r="F146">
        <v>9.3799999999999994E-2</v>
      </c>
    </row>
    <row r="147" spans="1:6" x14ac:dyDescent="0.3">
      <c r="A147" t="s">
        <v>178</v>
      </c>
      <c r="B147" t="s">
        <v>26</v>
      </c>
      <c r="C147">
        <v>21400000</v>
      </c>
      <c r="D147">
        <v>2069</v>
      </c>
      <c r="E147">
        <v>1.7299999999999999E-2</v>
      </c>
      <c r="F147">
        <v>5.7599999999999998E-2</v>
      </c>
    </row>
    <row r="148" spans="1:6" x14ac:dyDescent="0.3">
      <c r="A148" t="s">
        <v>179</v>
      </c>
      <c r="B148" t="s">
        <v>26</v>
      </c>
      <c r="C148">
        <v>21600000</v>
      </c>
      <c r="D148">
        <v>2515932.7999999998</v>
      </c>
      <c r="E148">
        <v>3.8899999999999997E-2</v>
      </c>
      <c r="F148">
        <v>4.0899999999999999E-2</v>
      </c>
    </row>
    <row r="149" spans="1:6" x14ac:dyDescent="0.3">
      <c r="A149" t="s">
        <v>180</v>
      </c>
      <c r="B149" t="s">
        <v>26</v>
      </c>
      <c r="C149">
        <v>15700000</v>
      </c>
      <c r="D149">
        <v>211949.4</v>
      </c>
      <c r="E149">
        <v>3.7600000000000001E-2</v>
      </c>
      <c r="F149">
        <v>9.3799999999999994E-2</v>
      </c>
    </row>
    <row r="150" spans="1:6" x14ac:dyDescent="0.3">
      <c r="A150" t="s">
        <v>181</v>
      </c>
      <c r="B150" t="s">
        <v>26</v>
      </c>
      <c r="C150">
        <v>13900000</v>
      </c>
      <c r="D150">
        <v>708687.2</v>
      </c>
      <c r="E150">
        <v>1.0800000000000001E-2</v>
      </c>
      <c r="F150">
        <v>6.54E-2</v>
      </c>
    </row>
    <row r="151" spans="1:6" x14ac:dyDescent="0.3">
      <c r="A151" t="s">
        <v>182</v>
      </c>
      <c r="B151" t="s">
        <v>26</v>
      </c>
      <c r="C151">
        <v>22500000</v>
      </c>
      <c r="D151">
        <v>1167615.8999999999</v>
      </c>
      <c r="E151">
        <v>1.9599999999999999E-2</v>
      </c>
      <c r="F151">
        <v>5.7599999999999998E-2</v>
      </c>
    </row>
    <row r="152" spans="1:6" x14ac:dyDescent="0.3">
      <c r="A152" t="s">
        <v>183</v>
      </c>
      <c r="B152" t="s">
        <v>26</v>
      </c>
      <c r="C152">
        <v>17600000</v>
      </c>
      <c r="D152">
        <v>1013708.5</v>
      </c>
      <c r="E152">
        <v>5.5300000000000002E-2</v>
      </c>
      <c r="F152">
        <v>7.5899999999999995E-2</v>
      </c>
    </row>
    <row r="153" spans="1:6" x14ac:dyDescent="0.3">
      <c r="A153" t="s">
        <v>184</v>
      </c>
      <c r="B153" t="s">
        <v>62</v>
      </c>
      <c r="C153">
        <v>2250000</v>
      </c>
      <c r="D153">
        <v>38442.199999999997</v>
      </c>
      <c r="E153">
        <v>2.9899999999999999E-2</v>
      </c>
      <c r="F153">
        <v>7.5899999999999995E-2</v>
      </c>
    </row>
    <row r="154" spans="1:6" x14ac:dyDescent="0.3">
      <c r="A154" t="s">
        <v>185</v>
      </c>
      <c r="B154" t="s">
        <v>24</v>
      </c>
      <c r="C154">
        <v>16400000</v>
      </c>
      <c r="D154">
        <v>60362.400000000001</v>
      </c>
      <c r="E154">
        <v>4.2599999999999999E-2</v>
      </c>
      <c r="F154">
        <v>9.3799999999999994E-2</v>
      </c>
    </row>
    <row r="155" spans="1:6" x14ac:dyDescent="0.3">
      <c r="A155" t="s">
        <v>186</v>
      </c>
      <c r="B155" t="s">
        <v>88</v>
      </c>
      <c r="C155">
        <v>14500000</v>
      </c>
      <c r="D155">
        <v>2127116.4</v>
      </c>
      <c r="E155">
        <v>6.1800000000000001E-2</v>
      </c>
      <c r="F155">
        <v>4.0899999999999999E-2</v>
      </c>
    </row>
    <row r="156" spans="1:6" x14ac:dyDescent="0.3">
      <c r="A156" t="s">
        <v>187</v>
      </c>
      <c r="B156" t="s">
        <v>74</v>
      </c>
      <c r="C156">
        <v>20900000</v>
      </c>
      <c r="D156">
        <v>2995.4</v>
      </c>
      <c r="E156">
        <v>8.3000000000000001E-3</v>
      </c>
      <c r="F156">
        <v>8.1100000000000005E-2</v>
      </c>
    </row>
    <row r="157" spans="1:6" x14ac:dyDescent="0.3">
      <c r="A157" t="s">
        <v>188</v>
      </c>
      <c r="B157" t="s">
        <v>53</v>
      </c>
      <c r="C157">
        <v>16600000</v>
      </c>
      <c r="D157">
        <v>54468.4</v>
      </c>
      <c r="E157">
        <v>6.9400000000000003E-2</v>
      </c>
      <c r="F157">
        <v>9.3799999999999994E-2</v>
      </c>
    </row>
    <row r="158" spans="1:6" x14ac:dyDescent="0.3">
      <c r="A158" t="s">
        <v>189</v>
      </c>
      <c r="B158" t="s">
        <v>26</v>
      </c>
      <c r="C158">
        <v>29100000</v>
      </c>
      <c r="D158">
        <v>329717.59999999998</v>
      </c>
      <c r="E158">
        <v>8.8999999999999999E-3</v>
      </c>
      <c r="F158">
        <v>8.1100000000000005E-2</v>
      </c>
    </row>
    <row r="159" spans="1:6" x14ac:dyDescent="0.3">
      <c r="A159" t="s">
        <v>190</v>
      </c>
      <c r="B159" t="s">
        <v>26</v>
      </c>
      <c r="C159">
        <v>19400000</v>
      </c>
      <c r="D159">
        <v>1539276.5</v>
      </c>
      <c r="E159">
        <v>3.44E-2</v>
      </c>
      <c r="F159">
        <v>5.0999999999999997E-2</v>
      </c>
    </row>
    <row r="160" spans="1:6" x14ac:dyDescent="0.3">
      <c r="A160" t="s">
        <v>191</v>
      </c>
      <c r="B160" t="s">
        <v>26</v>
      </c>
      <c r="C160">
        <v>18500000</v>
      </c>
      <c r="D160">
        <v>10754356</v>
      </c>
      <c r="E160">
        <v>1.26E-2</v>
      </c>
      <c r="F160">
        <v>8.2199999999999995E-2</v>
      </c>
    </row>
    <row r="161" spans="1:6" x14ac:dyDescent="0.3">
      <c r="A161" t="s">
        <v>192</v>
      </c>
      <c r="B161" t="s">
        <v>53</v>
      </c>
      <c r="C161">
        <v>19500000</v>
      </c>
      <c r="D161">
        <v>246295.8</v>
      </c>
      <c r="E161">
        <v>5.8200000000000002E-2</v>
      </c>
      <c r="F161">
        <v>4.3200000000000002E-2</v>
      </c>
    </row>
    <row r="162" spans="1:6" x14ac:dyDescent="0.3">
      <c r="A162" t="s">
        <v>193</v>
      </c>
      <c r="B162" t="s">
        <v>32</v>
      </c>
      <c r="C162">
        <v>14600000</v>
      </c>
      <c r="D162">
        <v>54920.800000000003</v>
      </c>
      <c r="E162">
        <v>1.7600000000000001E-2</v>
      </c>
      <c r="F162">
        <v>5.7599999999999998E-2</v>
      </c>
    </row>
    <row r="163" spans="1:6" x14ac:dyDescent="0.3">
      <c r="A163" t="s">
        <v>194</v>
      </c>
      <c r="B163" t="s">
        <v>195</v>
      </c>
      <c r="C163">
        <v>12300000</v>
      </c>
      <c r="D163">
        <v>1367.1</v>
      </c>
      <c r="E163">
        <v>2.0199999999999999E-2</v>
      </c>
      <c r="F163">
        <v>6.7199999999999996E-2</v>
      </c>
    </row>
    <row r="164" spans="1:6" x14ac:dyDescent="0.3">
      <c r="A164" t="s">
        <v>196</v>
      </c>
      <c r="B164" t="s">
        <v>71</v>
      </c>
      <c r="C164">
        <v>12500000</v>
      </c>
      <c r="D164">
        <v>514516.5</v>
      </c>
      <c r="E164">
        <v>3.4700000000000002E-2</v>
      </c>
      <c r="F164">
        <v>7.5899999999999995E-2</v>
      </c>
    </row>
    <row r="165" spans="1:6" x14ac:dyDescent="0.3">
      <c r="A165" t="s">
        <v>197</v>
      </c>
      <c r="B165" t="s">
        <v>26</v>
      </c>
      <c r="C165">
        <v>5520000</v>
      </c>
      <c r="D165">
        <v>115894.1</v>
      </c>
      <c r="E165">
        <v>1.8100000000000002E-2</v>
      </c>
      <c r="F165">
        <v>4.6199999999999998E-2</v>
      </c>
    </row>
    <row r="166" spans="1:6" x14ac:dyDescent="0.3">
      <c r="A166" t="s">
        <v>198</v>
      </c>
      <c r="B166" t="s">
        <v>41</v>
      </c>
      <c r="C166">
        <v>18000000</v>
      </c>
      <c r="D166">
        <v>631.1</v>
      </c>
      <c r="E166">
        <v>9.1999999999999998E-3</v>
      </c>
      <c r="F166">
        <v>8.1100000000000005E-2</v>
      </c>
    </row>
    <row r="167" spans="1:6" x14ac:dyDescent="0.3">
      <c r="A167" t="s">
        <v>199</v>
      </c>
      <c r="B167" t="s">
        <v>32</v>
      </c>
      <c r="C167">
        <v>14500000</v>
      </c>
      <c r="D167">
        <v>8368.1</v>
      </c>
      <c r="E167">
        <v>1.8599999999999998E-2</v>
      </c>
      <c r="F167">
        <v>6.08E-2</v>
      </c>
    </row>
    <row r="168" spans="1:6" x14ac:dyDescent="0.3">
      <c r="A168" t="s">
        <v>200</v>
      </c>
      <c r="B168" t="s">
        <v>92</v>
      </c>
      <c r="C168">
        <v>14600000</v>
      </c>
      <c r="D168">
        <v>385586.6</v>
      </c>
      <c r="E168">
        <v>2.3800000000000002E-2</v>
      </c>
      <c r="F168">
        <v>4.0899999999999999E-2</v>
      </c>
    </row>
    <row r="169" spans="1:6" x14ac:dyDescent="0.3">
      <c r="A169" t="s">
        <v>201</v>
      </c>
      <c r="B169" t="s">
        <v>24</v>
      </c>
      <c r="C169">
        <v>14500000</v>
      </c>
      <c r="D169">
        <v>2989824.9</v>
      </c>
      <c r="E169">
        <v>2.9600000000000001E-2</v>
      </c>
      <c r="F169">
        <v>0.12429999999999999</v>
      </c>
    </row>
    <row r="170" spans="1:6" x14ac:dyDescent="0.3">
      <c r="A170" t="s">
        <v>202</v>
      </c>
      <c r="B170" t="s">
        <v>26</v>
      </c>
      <c r="C170">
        <v>14500000</v>
      </c>
      <c r="D170">
        <v>827797.5</v>
      </c>
      <c r="E170">
        <v>4.07E-2</v>
      </c>
      <c r="F170">
        <v>5.0999999999999997E-2</v>
      </c>
    </row>
    <row r="171" spans="1:6" x14ac:dyDescent="0.3">
      <c r="A171" t="s">
        <v>203</v>
      </c>
      <c r="B171" t="s">
        <v>24</v>
      </c>
      <c r="C171">
        <v>12800000</v>
      </c>
      <c r="D171">
        <v>8352</v>
      </c>
      <c r="E171">
        <v>8.7099999999999997E-2</v>
      </c>
      <c r="F171">
        <v>9.3799999999999994E-2</v>
      </c>
    </row>
    <row r="172" spans="1:6" x14ac:dyDescent="0.3">
      <c r="A172" t="s">
        <v>204</v>
      </c>
      <c r="B172" t="s">
        <v>26</v>
      </c>
      <c r="C172">
        <v>14900000</v>
      </c>
      <c r="D172">
        <v>1400124.2</v>
      </c>
      <c r="E172">
        <v>1.54E-2</v>
      </c>
      <c r="F172">
        <v>4.6199999999999998E-2</v>
      </c>
    </row>
    <row r="173" spans="1:6" x14ac:dyDescent="0.3">
      <c r="A173" t="s">
        <v>205</v>
      </c>
      <c r="B173" t="s">
        <v>21</v>
      </c>
      <c r="C173">
        <v>16700000</v>
      </c>
      <c r="D173">
        <v>14294.3</v>
      </c>
      <c r="E173">
        <v>1.17E-2</v>
      </c>
      <c r="F173">
        <v>7.2599999999999998E-2</v>
      </c>
    </row>
    <row r="174" spans="1:6" x14ac:dyDescent="0.3">
      <c r="A174" t="s">
        <v>206</v>
      </c>
      <c r="B174" t="s">
        <v>71</v>
      </c>
      <c r="C174">
        <v>13900000</v>
      </c>
      <c r="D174">
        <v>999876.8</v>
      </c>
      <c r="E174">
        <v>2.6100000000000002E-2</v>
      </c>
      <c r="F174">
        <v>4.3200000000000002E-2</v>
      </c>
    </row>
    <row r="175" spans="1:6" x14ac:dyDescent="0.3">
      <c r="A175" t="s">
        <v>207</v>
      </c>
      <c r="B175" t="s">
        <v>88</v>
      </c>
      <c r="C175">
        <v>14300000</v>
      </c>
      <c r="D175">
        <v>30953.200000000001</v>
      </c>
      <c r="E175">
        <v>0.1593</v>
      </c>
      <c r="F175">
        <v>9.3799999999999994E-2</v>
      </c>
    </row>
    <row r="176" spans="1:6" x14ac:dyDescent="0.3">
      <c r="A176" t="s">
        <v>208</v>
      </c>
      <c r="B176" t="s">
        <v>21</v>
      </c>
      <c r="C176">
        <v>8340000</v>
      </c>
      <c r="D176">
        <v>6556.7</v>
      </c>
      <c r="E176">
        <v>2.18E-2</v>
      </c>
      <c r="F176">
        <v>6.08E-2</v>
      </c>
    </row>
    <row r="177" spans="1:6" x14ac:dyDescent="0.3">
      <c r="A177" t="s">
        <v>209</v>
      </c>
      <c r="B177" t="s">
        <v>41</v>
      </c>
      <c r="C177">
        <v>15800000</v>
      </c>
      <c r="D177">
        <v>1171.4000000000001</v>
      </c>
      <c r="E177">
        <v>1.72E-2</v>
      </c>
      <c r="F177">
        <v>0.22670000000000001</v>
      </c>
    </row>
    <row r="178" spans="1:6" x14ac:dyDescent="0.3">
      <c r="A178" t="s">
        <v>210</v>
      </c>
      <c r="B178" t="s">
        <v>53</v>
      </c>
      <c r="C178">
        <v>13000000</v>
      </c>
      <c r="D178">
        <v>188916</v>
      </c>
      <c r="E178">
        <v>6.5799999999999997E-2</v>
      </c>
      <c r="F178">
        <v>9.3799999999999994E-2</v>
      </c>
    </row>
    <row r="179" spans="1:6" x14ac:dyDescent="0.3">
      <c r="A179" t="s">
        <v>211</v>
      </c>
      <c r="B179" t="s">
        <v>41</v>
      </c>
      <c r="C179">
        <v>16900000</v>
      </c>
      <c r="D179">
        <v>195591</v>
      </c>
      <c r="E179">
        <v>1.9599999999999999E-2</v>
      </c>
      <c r="F179">
        <v>6.7199999999999996E-2</v>
      </c>
    </row>
    <row r="180" spans="1:6" x14ac:dyDescent="0.3">
      <c r="A180" t="s">
        <v>212</v>
      </c>
      <c r="B180" t="s">
        <v>30</v>
      </c>
      <c r="C180">
        <v>15000000</v>
      </c>
      <c r="D180">
        <v>44218.2</v>
      </c>
      <c r="E180">
        <v>2.64E-2</v>
      </c>
      <c r="F180">
        <v>0.1226</v>
      </c>
    </row>
    <row r="181" spans="1:6" x14ac:dyDescent="0.3">
      <c r="A181" t="s">
        <v>213</v>
      </c>
      <c r="B181" t="s">
        <v>214</v>
      </c>
      <c r="C181">
        <v>13800000</v>
      </c>
      <c r="D181">
        <v>30466.9</v>
      </c>
      <c r="E181">
        <v>7.1999999999999998E-3</v>
      </c>
      <c r="F181">
        <v>8.1100000000000005E-2</v>
      </c>
    </row>
    <row r="182" spans="1:6" x14ac:dyDescent="0.3">
      <c r="A182" t="s">
        <v>215</v>
      </c>
      <c r="B182" t="s">
        <v>26</v>
      </c>
      <c r="C182">
        <v>16200000</v>
      </c>
      <c r="D182">
        <v>159924.6</v>
      </c>
      <c r="E182">
        <v>2.1600000000000001E-2</v>
      </c>
      <c r="F182">
        <v>6.7199999999999996E-2</v>
      </c>
    </row>
    <row r="183" spans="1:6" x14ac:dyDescent="0.3">
      <c r="A183" t="s">
        <v>216</v>
      </c>
      <c r="B183" t="s">
        <v>81</v>
      </c>
      <c r="C183">
        <v>13500000</v>
      </c>
      <c r="D183">
        <v>125096.7</v>
      </c>
      <c r="E183">
        <v>5.8900000000000001E-2</v>
      </c>
      <c r="F183">
        <v>5.1799999999999999E-2</v>
      </c>
    </row>
    <row r="184" spans="1:6" x14ac:dyDescent="0.3">
      <c r="A184" t="s">
        <v>217</v>
      </c>
      <c r="B184" t="s">
        <v>26</v>
      </c>
      <c r="C184">
        <v>15000000</v>
      </c>
      <c r="D184">
        <v>1900275.6</v>
      </c>
      <c r="E184">
        <v>3.6999999999999998E-2</v>
      </c>
      <c r="F184">
        <v>7.5899999999999995E-2</v>
      </c>
    </row>
    <row r="185" spans="1:6" x14ac:dyDescent="0.3">
      <c r="A185" t="s">
        <v>218</v>
      </c>
      <c r="B185" t="s">
        <v>26</v>
      </c>
      <c r="C185">
        <v>23200000</v>
      </c>
      <c r="D185">
        <v>174795</v>
      </c>
      <c r="E185">
        <v>8.8999999999999999E-3</v>
      </c>
      <c r="F185">
        <v>6.54E-2</v>
      </c>
    </row>
    <row r="186" spans="1:6" x14ac:dyDescent="0.3">
      <c r="A186" t="s">
        <v>219</v>
      </c>
      <c r="B186" t="s">
        <v>21</v>
      </c>
      <c r="C186">
        <v>16900000</v>
      </c>
      <c r="D186">
        <v>607673.30000000005</v>
      </c>
      <c r="E186">
        <v>7.1000000000000004E-3</v>
      </c>
      <c r="F186">
        <v>8.2199999999999995E-2</v>
      </c>
    </row>
    <row r="187" spans="1:6" x14ac:dyDescent="0.3">
      <c r="A187" t="s">
        <v>220</v>
      </c>
      <c r="B187" t="s">
        <v>214</v>
      </c>
      <c r="C187">
        <v>15000000</v>
      </c>
      <c r="D187">
        <v>235101.8</v>
      </c>
      <c r="E187">
        <v>1.2999999999999999E-2</v>
      </c>
      <c r="F187">
        <v>5.8500000000000003E-2</v>
      </c>
    </row>
    <row r="188" spans="1:6" x14ac:dyDescent="0.3">
      <c r="A188" t="s">
        <v>221</v>
      </c>
      <c r="B188" t="s">
        <v>32</v>
      </c>
      <c r="C188">
        <v>13200000</v>
      </c>
      <c r="D188">
        <v>428940</v>
      </c>
      <c r="E188">
        <v>5.1000000000000004E-3</v>
      </c>
      <c r="F188">
        <v>0.10150000000000001</v>
      </c>
    </row>
    <row r="189" spans="1:6" x14ac:dyDescent="0.3">
      <c r="A189" t="s">
        <v>222</v>
      </c>
      <c r="B189" t="s">
        <v>41</v>
      </c>
      <c r="C189">
        <v>16200000</v>
      </c>
      <c r="D189">
        <v>1231.9000000000001</v>
      </c>
      <c r="E189">
        <v>1.0500000000000001E-2</v>
      </c>
      <c r="F189">
        <v>0.20469999999999999</v>
      </c>
    </row>
    <row r="190" spans="1:6" x14ac:dyDescent="0.3">
      <c r="A190" t="s">
        <v>223</v>
      </c>
      <c r="B190" t="s">
        <v>21</v>
      </c>
      <c r="C190">
        <v>12600000</v>
      </c>
      <c r="D190">
        <v>57613.1</v>
      </c>
      <c r="E190">
        <v>1.24E-2</v>
      </c>
      <c r="F190">
        <v>7.3499999999999996E-2</v>
      </c>
    </row>
    <row r="191" spans="1:6" x14ac:dyDescent="0.3">
      <c r="A191" t="s">
        <v>224</v>
      </c>
      <c r="B191" t="s">
        <v>32</v>
      </c>
      <c r="C191">
        <v>13800000</v>
      </c>
      <c r="D191">
        <v>250007.9</v>
      </c>
      <c r="E191">
        <v>1.9E-2</v>
      </c>
      <c r="F191">
        <v>6.08E-2</v>
      </c>
    </row>
    <row r="192" spans="1:6" x14ac:dyDescent="0.3">
      <c r="A192" t="s">
        <v>225</v>
      </c>
      <c r="B192" t="s">
        <v>41</v>
      </c>
      <c r="C192">
        <v>11700000</v>
      </c>
      <c r="D192">
        <v>36554</v>
      </c>
      <c r="E192">
        <v>3.1699999999999999E-2</v>
      </c>
      <c r="F192">
        <v>9.5100000000000004E-2</v>
      </c>
    </row>
    <row r="193" spans="1:6" x14ac:dyDescent="0.3">
      <c r="A193" t="s">
        <v>226</v>
      </c>
      <c r="B193" t="s">
        <v>41</v>
      </c>
      <c r="C193">
        <v>14300000</v>
      </c>
      <c r="D193">
        <v>2653.7</v>
      </c>
      <c r="E193">
        <v>1.7100000000000001E-2</v>
      </c>
      <c r="F193">
        <v>6.4699999999999994E-2</v>
      </c>
    </row>
    <row r="194" spans="1:6" x14ac:dyDescent="0.3">
      <c r="A194" t="s">
        <v>227</v>
      </c>
      <c r="B194" t="s">
        <v>28</v>
      </c>
      <c r="C194">
        <v>13500000</v>
      </c>
      <c r="D194">
        <v>32087.8</v>
      </c>
      <c r="E194">
        <v>4.7000000000000002E-3</v>
      </c>
      <c r="F194">
        <v>6.54E-2</v>
      </c>
    </row>
    <row r="195" spans="1:6" x14ac:dyDescent="0.3">
      <c r="A195" t="s">
        <v>228</v>
      </c>
      <c r="B195" t="s">
        <v>32</v>
      </c>
      <c r="C195">
        <v>13800000</v>
      </c>
      <c r="D195">
        <v>3018392.2</v>
      </c>
      <c r="E195">
        <v>5.4999999999999997E-3</v>
      </c>
      <c r="F195">
        <v>6.54E-2</v>
      </c>
    </row>
    <row r="196" spans="1:6" x14ac:dyDescent="0.3">
      <c r="A196" t="s">
        <v>229</v>
      </c>
      <c r="B196" t="s">
        <v>53</v>
      </c>
      <c r="C196">
        <v>12500000</v>
      </c>
      <c r="D196">
        <v>773532.6</v>
      </c>
      <c r="E196">
        <v>4.1399999999999999E-2</v>
      </c>
      <c r="F196">
        <v>4.0899999999999999E-2</v>
      </c>
    </row>
    <row r="197" spans="1:6" x14ac:dyDescent="0.3">
      <c r="A197" t="s">
        <v>230</v>
      </c>
      <c r="B197" t="s">
        <v>50</v>
      </c>
      <c r="C197">
        <v>208000</v>
      </c>
      <c r="D197">
        <v>34947.4</v>
      </c>
      <c r="E197">
        <v>2.4500000000000001E-2</v>
      </c>
      <c r="F197">
        <v>0.13900000000000001</v>
      </c>
    </row>
    <row r="198" spans="1:6" x14ac:dyDescent="0.3">
      <c r="A198" t="s">
        <v>231</v>
      </c>
      <c r="B198" t="s">
        <v>24</v>
      </c>
      <c r="C198">
        <v>19000000</v>
      </c>
      <c r="D198">
        <v>145160.5</v>
      </c>
      <c r="E198">
        <v>9.7100000000000006E-2</v>
      </c>
      <c r="F198">
        <v>9.3799999999999994E-2</v>
      </c>
    </row>
    <row r="199" spans="1:6" x14ac:dyDescent="0.3">
      <c r="A199" t="s">
        <v>232</v>
      </c>
      <c r="B199" t="s">
        <v>214</v>
      </c>
      <c r="C199">
        <v>12800000</v>
      </c>
      <c r="D199">
        <v>39918</v>
      </c>
      <c r="E199">
        <v>1.9900000000000001E-2</v>
      </c>
      <c r="F199">
        <v>0.1053</v>
      </c>
    </row>
    <row r="200" spans="1:6" x14ac:dyDescent="0.3">
      <c r="A200" t="s">
        <v>233</v>
      </c>
      <c r="B200" t="s">
        <v>26</v>
      </c>
      <c r="C200">
        <v>13500000</v>
      </c>
      <c r="D200">
        <v>1183702.1000000001</v>
      </c>
      <c r="E200">
        <v>3.8899999999999997E-2</v>
      </c>
      <c r="F200">
        <v>4.0899999999999999E-2</v>
      </c>
    </row>
    <row r="201" spans="1:6" x14ac:dyDescent="0.3">
      <c r="A201" t="s">
        <v>234</v>
      </c>
      <c r="B201" t="s">
        <v>21</v>
      </c>
      <c r="C201">
        <v>13300000</v>
      </c>
      <c r="D201">
        <v>5421.3</v>
      </c>
      <c r="E201">
        <v>1.9199999999999998E-2</v>
      </c>
      <c r="F201">
        <v>5.7599999999999998E-2</v>
      </c>
    </row>
    <row r="202" spans="1:6" x14ac:dyDescent="0.3">
      <c r="A202" t="s">
        <v>235</v>
      </c>
      <c r="B202" t="s">
        <v>26</v>
      </c>
      <c r="C202">
        <v>16600000</v>
      </c>
      <c r="D202">
        <v>2348966.5</v>
      </c>
      <c r="E202">
        <v>3.5700000000000003E-2</v>
      </c>
      <c r="F202">
        <v>5.0999999999999997E-2</v>
      </c>
    </row>
    <row r="203" spans="1:6" x14ac:dyDescent="0.3">
      <c r="A203" t="s">
        <v>236</v>
      </c>
      <c r="B203" t="s">
        <v>32</v>
      </c>
      <c r="C203">
        <v>16600000</v>
      </c>
      <c r="D203">
        <v>154678.20000000001</v>
      </c>
      <c r="E203">
        <v>1.52E-2</v>
      </c>
      <c r="F203">
        <v>4.6199999999999998E-2</v>
      </c>
    </row>
    <row r="204" spans="1:6" x14ac:dyDescent="0.3">
      <c r="A204" t="s">
        <v>237</v>
      </c>
      <c r="B204" t="s">
        <v>53</v>
      </c>
      <c r="C204">
        <v>19100000</v>
      </c>
      <c r="D204">
        <v>904125.8</v>
      </c>
      <c r="E204">
        <v>6.8500000000000005E-2</v>
      </c>
      <c r="F204">
        <v>9.3799999999999994E-2</v>
      </c>
    </row>
    <row r="205" spans="1:6" x14ac:dyDescent="0.3">
      <c r="A205" t="s">
        <v>238</v>
      </c>
      <c r="B205" t="s">
        <v>24</v>
      </c>
      <c r="C205">
        <v>16100000</v>
      </c>
      <c r="D205">
        <v>26460000.300000001</v>
      </c>
      <c r="E205">
        <v>2.2700000000000001E-2</v>
      </c>
      <c r="F205">
        <v>5.1799999999999999E-2</v>
      </c>
    </row>
    <row r="206" spans="1:6" x14ac:dyDescent="0.3">
      <c r="A206" t="s">
        <v>239</v>
      </c>
      <c r="B206" t="s">
        <v>26</v>
      </c>
      <c r="C206">
        <v>24000000</v>
      </c>
      <c r="D206">
        <v>1443355.4</v>
      </c>
      <c r="E206">
        <v>9.2999999999999992E-3</v>
      </c>
      <c r="F206">
        <v>8.1100000000000005E-2</v>
      </c>
    </row>
    <row r="207" spans="1:6" x14ac:dyDescent="0.3">
      <c r="A207" t="s">
        <v>240</v>
      </c>
      <c r="B207" t="s">
        <v>50</v>
      </c>
      <c r="C207">
        <v>13900000</v>
      </c>
      <c r="D207">
        <v>14415813.9</v>
      </c>
      <c r="E207">
        <v>5.1000000000000004E-3</v>
      </c>
      <c r="F207">
        <v>8.2199999999999995E-2</v>
      </c>
    </row>
    <row r="208" spans="1:6" x14ac:dyDescent="0.3">
      <c r="A208" t="s">
        <v>241</v>
      </c>
      <c r="B208" t="s">
        <v>74</v>
      </c>
      <c r="C208">
        <v>15100000</v>
      </c>
      <c r="D208">
        <v>134181.29999999999</v>
      </c>
      <c r="E208">
        <v>4.3799999999999999E-2</v>
      </c>
      <c r="F208">
        <v>9.3799999999999994E-2</v>
      </c>
    </row>
    <row r="209" spans="1:6" x14ac:dyDescent="0.3">
      <c r="A209" t="s">
        <v>242</v>
      </c>
      <c r="B209" t="s">
        <v>24</v>
      </c>
      <c r="C209">
        <v>16100000</v>
      </c>
      <c r="D209">
        <v>184998.3</v>
      </c>
      <c r="E209">
        <v>6.4999999999999997E-3</v>
      </c>
      <c r="F209">
        <v>0.34310000000000002</v>
      </c>
    </row>
    <row r="210" spans="1:6" x14ac:dyDescent="0.3">
      <c r="A210" t="s">
        <v>243</v>
      </c>
      <c r="B210" t="s">
        <v>214</v>
      </c>
      <c r="C210">
        <v>7410000</v>
      </c>
      <c r="D210">
        <v>135003.1</v>
      </c>
      <c r="E210">
        <v>1.66E-2</v>
      </c>
      <c r="F210">
        <v>4.6199999999999998E-2</v>
      </c>
    </row>
    <row r="211" spans="1:6" x14ac:dyDescent="0.3">
      <c r="A211" t="s">
        <v>244</v>
      </c>
      <c r="B211" t="s">
        <v>24</v>
      </c>
      <c r="C211">
        <v>14100000</v>
      </c>
      <c r="D211">
        <v>5668.7</v>
      </c>
      <c r="E211">
        <v>6.4000000000000003E-3</v>
      </c>
      <c r="F211">
        <v>8.1100000000000005E-2</v>
      </c>
    </row>
    <row r="212" spans="1:6" x14ac:dyDescent="0.3">
      <c r="A212" t="s">
        <v>245</v>
      </c>
      <c r="B212" t="s">
        <v>62</v>
      </c>
      <c r="C212">
        <v>12700000</v>
      </c>
      <c r="D212">
        <v>73622.899999999994</v>
      </c>
      <c r="E212">
        <v>6.0900000000000003E-2</v>
      </c>
      <c r="F212">
        <v>9.3799999999999994E-2</v>
      </c>
    </row>
    <row r="213" spans="1:6" x14ac:dyDescent="0.3">
      <c r="A213" t="s">
        <v>246</v>
      </c>
      <c r="B213" t="s">
        <v>26</v>
      </c>
      <c r="C213">
        <v>14600000</v>
      </c>
      <c r="D213">
        <v>2191432.2999999998</v>
      </c>
      <c r="E213">
        <v>0.03</v>
      </c>
      <c r="F213">
        <v>4.0899999999999999E-2</v>
      </c>
    </row>
    <row r="214" spans="1:6" x14ac:dyDescent="0.3">
      <c r="A214" t="s">
        <v>247</v>
      </c>
      <c r="B214" t="s">
        <v>26</v>
      </c>
      <c r="C214">
        <v>12500000</v>
      </c>
      <c r="D214">
        <v>256058.9</v>
      </c>
      <c r="E214">
        <v>4.8999999999999998E-3</v>
      </c>
      <c r="F214">
        <v>8.2199999999999995E-2</v>
      </c>
    </row>
    <row r="215" spans="1:6" x14ac:dyDescent="0.3">
      <c r="A215" t="s">
        <v>248</v>
      </c>
      <c r="B215" t="s">
        <v>50</v>
      </c>
      <c r="C215">
        <v>15000000</v>
      </c>
      <c r="D215">
        <v>643048.19999999995</v>
      </c>
      <c r="E215">
        <v>6.0000000000000001E-3</v>
      </c>
      <c r="F215">
        <v>6.54E-2</v>
      </c>
    </row>
    <row r="216" spans="1:6" x14ac:dyDescent="0.3">
      <c r="A216" t="s">
        <v>249</v>
      </c>
      <c r="B216" t="s">
        <v>62</v>
      </c>
      <c r="C216">
        <v>11800000</v>
      </c>
      <c r="D216">
        <v>14404.3</v>
      </c>
      <c r="E216">
        <v>2.8299999999999999E-2</v>
      </c>
      <c r="F216">
        <v>0.1308</v>
      </c>
    </row>
    <row r="217" spans="1:6" x14ac:dyDescent="0.3">
      <c r="A217" t="s">
        <v>250</v>
      </c>
      <c r="B217" t="s">
        <v>30</v>
      </c>
      <c r="C217">
        <v>10900000</v>
      </c>
      <c r="D217">
        <v>957.3</v>
      </c>
      <c r="E217">
        <v>8.8999999999999999E-3</v>
      </c>
      <c r="F217">
        <v>8.1100000000000005E-2</v>
      </c>
    </row>
    <row r="218" spans="1:6" x14ac:dyDescent="0.3">
      <c r="A218" t="s">
        <v>251</v>
      </c>
      <c r="B218" t="s">
        <v>21</v>
      </c>
      <c r="C218">
        <v>13000000</v>
      </c>
      <c r="D218">
        <v>174949.7</v>
      </c>
      <c r="E218">
        <v>3.0700000000000002E-2</v>
      </c>
      <c r="F218">
        <v>5.0999999999999997E-2</v>
      </c>
    </row>
    <row r="219" spans="1:6" x14ac:dyDescent="0.3">
      <c r="A219" t="s">
        <v>252</v>
      </c>
      <c r="B219" t="s">
        <v>41</v>
      </c>
      <c r="C219">
        <v>15100000</v>
      </c>
      <c r="D219">
        <v>1935.9</v>
      </c>
      <c r="E219">
        <v>0.1114</v>
      </c>
      <c r="F219">
        <v>9.3799999999999994E-2</v>
      </c>
    </row>
    <row r="220" spans="1:6" x14ac:dyDescent="0.3">
      <c r="A220" t="s">
        <v>253</v>
      </c>
      <c r="B220" t="s">
        <v>30</v>
      </c>
      <c r="C220">
        <v>11900000</v>
      </c>
      <c r="D220">
        <v>424157.2</v>
      </c>
      <c r="E220">
        <v>2.7400000000000001E-2</v>
      </c>
      <c r="F220">
        <v>4.0899999999999999E-2</v>
      </c>
    </row>
    <row r="221" spans="1:6" x14ac:dyDescent="0.3">
      <c r="A221" t="s">
        <v>254</v>
      </c>
      <c r="B221" t="s">
        <v>24</v>
      </c>
      <c r="C221">
        <v>9710000</v>
      </c>
      <c r="D221">
        <v>1882244.1</v>
      </c>
      <c r="E221">
        <v>3.15E-2</v>
      </c>
      <c r="F221">
        <v>4.0899999999999999E-2</v>
      </c>
    </row>
    <row r="222" spans="1:6" x14ac:dyDescent="0.3">
      <c r="A222" t="s">
        <v>255</v>
      </c>
      <c r="B222" t="s">
        <v>41</v>
      </c>
      <c r="C222">
        <v>12200000</v>
      </c>
      <c r="D222">
        <v>3397.5</v>
      </c>
      <c r="E222">
        <v>6.4999999999999997E-3</v>
      </c>
      <c r="F222">
        <v>8.1100000000000005E-2</v>
      </c>
    </row>
    <row r="223" spans="1:6" x14ac:dyDescent="0.3">
      <c r="A223" t="s">
        <v>256</v>
      </c>
      <c r="B223" t="s">
        <v>30</v>
      </c>
      <c r="C223">
        <v>10900000</v>
      </c>
      <c r="D223">
        <v>21278.5</v>
      </c>
      <c r="F223">
        <v>4.0899999999999999E-2</v>
      </c>
    </row>
    <row r="224" spans="1:6" x14ac:dyDescent="0.3">
      <c r="A224" t="s">
        <v>257</v>
      </c>
      <c r="B224" t="s">
        <v>21</v>
      </c>
      <c r="C224">
        <v>12500000</v>
      </c>
      <c r="D224">
        <v>3971.1</v>
      </c>
      <c r="E224">
        <v>2.3599999999999999E-2</v>
      </c>
      <c r="F224">
        <v>9.3799999999999994E-2</v>
      </c>
    </row>
    <row r="225" spans="1:6" x14ac:dyDescent="0.3">
      <c r="A225" t="s">
        <v>258</v>
      </c>
      <c r="B225" t="s">
        <v>26</v>
      </c>
      <c r="C225">
        <v>10300000</v>
      </c>
      <c r="D225">
        <v>636026.5</v>
      </c>
      <c r="E225">
        <v>3.15E-2</v>
      </c>
      <c r="F225">
        <v>5.1799999999999999E-2</v>
      </c>
    </row>
    <row r="226" spans="1:6" x14ac:dyDescent="0.3">
      <c r="A226" t="s">
        <v>259</v>
      </c>
      <c r="B226" t="s">
        <v>30</v>
      </c>
      <c r="C226">
        <v>12700000</v>
      </c>
      <c r="D226">
        <v>15830.9</v>
      </c>
      <c r="E226">
        <v>7.4000000000000003E-3</v>
      </c>
      <c r="F226">
        <v>8.1100000000000005E-2</v>
      </c>
    </row>
    <row r="227" spans="1:6" x14ac:dyDescent="0.3">
      <c r="A227" t="s">
        <v>260</v>
      </c>
      <c r="B227" t="s">
        <v>92</v>
      </c>
      <c r="C227">
        <v>11200000</v>
      </c>
      <c r="D227">
        <v>1685724.4</v>
      </c>
      <c r="E227">
        <v>9.4000000000000004E-3</v>
      </c>
      <c r="F227">
        <v>8.6599999999999996E-2</v>
      </c>
    </row>
    <row r="228" spans="1:6" x14ac:dyDescent="0.3">
      <c r="A228" t="s">
        <v>261</v>
      </c>
      <c r="B228" t="s">
        <v>88</v>
      </c>
      <c r="C228">
        <v>10900000</v>
      </c>
      <c r="D228">
        <v>17219.400000000001</v>
      </c>
      <c r="E228">
        <v>4.9299999999999997E-2</v>
      </c>
      <c r="F228">
        <v>9.3799999999999994E-2</v>
      </c>
    </row>
    <row r="229" spans="1:6" x14ac:dyDescent="0.3">
      <c r="A229" t="s">
        <v>262</v>
      </c>
      <c r="B229" t="s">
        <v>26</v>
      </c>
      <c r="C229">
        <v>10800000</v>
      </c>
      <c r="D229">
        <v>7464022.2000000002</v>
      </c>
      <c r="E229">
        <v>4.99E-2</v>
      </c>
      <c r="F229">
        <v>7.5899999999999995E-2</v>
      </c>
    </row>
    <row r="230" spans="1:6" x14ac:dyDescent="0.3">
      <c r="A230" t="s">
        <v>263</v>
      </c>
      <c r="B230" t="s">
        <v>81</v>
      </c>
      <c r="C230">
        <v>9060000</v>
      </c>
      <c r="D230">
        <v>5304.8</v>
      </c>
      <c r="E230">
        <v>1.18E-2</v>
      </c>
      <c r="F230">
        <v>6.54E-2</v>
      </c>
    </row>
    <row r="231" spans="1:6" x14ac:dyDescent="0.3">
      <c r="A231" t="s">
        <v>264</v>
      </c>
      <c r="B231" t="s">
        <v>28</v>
      </c>
      <c r="C231">
        <v>11800000</v>
      </c>
      <c r="D231">
        <v>261584.7</v>
      </c>
      <c r="E231">
        <v>1.1000000000000001E-3</v>
      </c>
      <c r="F231">
        <v>8.2199999999999995E-2</v>
      </c>
    </row>
    <row r="232" spans="1:6" x14ac:dyDescent="0.3">
      <c r="A232" t="s">
        <v>265</v>
      </c>
      <c r="B232" t="s">
        <v>21</v>
      </c>
      <c r="C232">
        <v>16500000</v>
      </c>
      <c r="D232">
        <v>679.4</v>
      </c>
      <c r="E232">
        <v>3.3000000000000002E-2</v>
      </c>
      <c r="F232">
        <v>9.3799999999999994E-2</v>
      </c>
    </row>
    <row r="233" spans="1:6" x14ac:dyDescent="0.3">
      <c r="A233" t="s">
        <v>266</v>
      </c>
      <c r="B233" t="s">
        <v>26</v>
      </c>
      <c r="C233">
        <v>11700000</v>
      </c>
      <c r="D233">
        <v>16029.2</v>
      </c>
      <c r="E233">
        <v>5.8099999999999999E-2</v>
      </c>
      <c r="F233">
        <v>9.3799999999999994E-2</v>
      </c>
    </row>
    <row r="234" spans="1:6" x14ac:dyDescent="0.3">
      <c r="A234" t="s">
        <v>267</v>
      </c>
      <c r="B234" t="s">
        <v>26</v>
      </c>
      <c r="C234">
        <v>12000000</v>
      </c>
      <c r="D234">
        <v>361811.7</v>
      </c>
      <c r="E234">
        <v>9.5100000000000004E-2</v>
      </c>
      <c r="F234">
        <v>9.5000000000000001E-2</v>
      </c>
    </row>
    <row r="235" spans="1:6" x14ac:dyDescent="0.3">
      <c r="A235" t="s">
        <v>268</v>
      </c>
      <c r="B235" t="s">
        <v>24</v>
      </c>
      <c r="C235">
        <v>11500000</v>
      </c>
      <c r="D235">
        <v>3174</v>
      </c>
      <c r="E235">
        <v>3.1600000000000003E-2</v>
      </c>
      <c r="F235">
        <v>9.3799999999999994E-2</v>
      </c>
    </row>
    <row r="236" spans="1:6" x14ac:dyDescent="0.3">
      <c r="A236" t="s">
        <v>269</v>
      </c>
      <c r="B236" t="s">
        <v>26</v>
      </c>
      <c r="C236">
        <v>14700000</v>
      </c>
      <c r="D236">
        <v>78601.899999999994</v>
      </c>
      <c r="E236">
        <v>1.26E-2</v>
      </c>
      <c r="F236">
        <v>5.8400000000000001E-2</v>
      </c>
    </row>
    <row r="237" spans="1:6" x14ac:dyDescent="0.3">
      <c r="A237" t="s">
        <v>270</v>
      </c>
      <c r="B237" t="s">
        <v>88</v>
      </c>
      <c r="C237">
        <v>18200000</v>
      </c>
      <c r="D237">
        <v>11901184.9</v>
      </c>
      <c r="E237">
        <v>9.7999999999999997E-3</v>
      </c>
      <c r="F237">
        <v>6.54E-2</v>
      </c>
    </row>
    <row r="238" spans="1:6" x14ac:dyDescent="0.3">
      <c r="A238" t="s">
        <v>271</v>
      </c>
      <c r="B238" t="s">
        <v>26</v>
      </c>
      <c r="C238">
        <v>11700000</v>
      </c>
      <c r="D238">
        <v>2877.4</v>
      </c>
      <c r="E238">
        <v>8.48E-2</v>
      </c>
      <c r="F238">
        <v>0.40760000000000002</v>
      </c>
    </row>
    <row r="239" spans="1:6" x14ac:dyDescent="0.3">
      <c r="A239" t="s">
        <v>272</v>
      </c>
      <c r="B239" t="s">
        <v>214</v>
      </c>
      <c r="C239">
        <v>14900000</v>
      </c>
      <c r="D239">
        <v>2701684.5</v>
      </c>
      <c r="E239">
        <v>3.3399999999999999E-2</v>
      </c>
      <c r="F239">
        <v>7.5899999999999995E-2</v>
      </c>
    </row>
    <row r="240" spans="1:6" x14ac:dyDescent="0.3">
      <c r="A240" t="s">
        <v>273</v>
      </c>
      <c r="B240" t="s">
        <v>88</v>
      </c>
      <c r="C240">
        <v>14400000</v>
      </c>
      <c r="D240">
        <v>1144.5</v>
      </c>
      <c r="E240">
        <v>3.1099999999999999E-2</v>
      </c>
      <c r="F240">
        <v>9.3799999999999994E-2</v>
      </c>
    </row>
    <row r="241" spans="1:6" x14ac:dyDescent="0.3">
      <c r="A241" t="s">
        <v>274</v>
      </c>
      <c r="B241" t="s">
        <v>24</v>
      </c>
      <c r="C241">
        <v>11700000</v>
      </c>
      <c r="D241">
        <v>705360.4</v>
      </c>
      <c r="E241">
        <v>1.67E-2</v>
      </c>
      <c r="F241">
        <v>4.8800000000000003E-2</v>
      </c>
    </row>
    <row r="242" spans="1:6" x14ac:dyDescent="0.3">
      <c r="A242" t="s">
        <v>275</v>
      </c>
      <c r="B242" t="s">
        <v>30</v>
      </c>
      <c r="C242">
        <v>11000000</v>
      </c>
      <c r="D242">
        <v>316906</v>
      </c>
      <c r="E242">
        <v>2.9700000000000001E-2</v>
      </c>
      <c r="F242">
        <v>4.1200000000000001E-2</v>
      </c>
    </row>
    <row r="243" spans="1:6" x14ac:dyDescent="0.3">
      <c r="A243" t="s">
        <v>276</v>
      </c>
      <c r="B243" t="s">
        <v>26</v>
      </c>
      <c r="C243">
        <v>15000000</v>
      </c>
      <c r="D243">
        <v>108804.9</v>
      </c>
      <c r="E243">
        <v>1.7500000000000002E-2</v>
      </c>
      <c r="F243">
        <v>5.7599999999999998E-2</v>
      </c>
    </row>
    <row r="244" spans="1:6" x14ac:dyDescent="0.3">
      <c r="A244" t="s">
        <v>277</v>
      </c>
      <c r="B244" t="s">
        <v>21</v>
      </c>
      <c r="C244">
        <v>10500000</v>
      </c>
      <c r="D244">
        <v>37811</v>
      </c>
      <c r="E244">
        <v>3.3799999999999997E-2</v>
      </c>
      <c r="F244">
        <v>0.11700000000000001</v>
      </c>
    </row>
    <row r="245" spans="1:6" x14ac:dyDescent="0.3">
      <c r="A245" t="s">
        <v>278</v>
      </c>
      <c r="B245" t="s">
        <v>88</v>
      </c>
      <c r="C245">
        <v>13100000</v>
      </c>
      <c r="D245">
        <v>2748.2</v>
      </c>
      <c r="E245">
        <v>1.7999999999999999E-2</v>
      </c>
      <c r="F245">
        <v>5.7599999999999998E-2</v>
      </c>
    </row>
    <row r="246" spans="1:6" x14ac:dyDescent="0.3">
      <c r="A246" t="s">
        <v>279</v>
      </c>
      <c r="B246" t="s">
        <v>26</v>
      </c>
      <c r="C246">
        <v>18600000</v>
      </c>
      <c r="D246">
        <v>5579059.5999999996</v>
      </c>
      <c r="E246">
        <v>5.5899999999999998E-2</v>
      </c>
      <c r="F246">
        <v>4.0899999999999999E-2</v>
      </c>
    </row>
    <row r="247" spans="1:6" x14ac:dyDescent="0.3">
      <c r="A247" t="s">
        <v>280</v>
      </c>
      <c r="B247" t="s">
        <v>21</v>
      </c>
      <c r="C247">
        <v>11400000</v>
      </c>
      <c r="D247">
        <v>1744.1</v>
      </c>
      <c r="E247">
        <v>1.9900000000000001E-2</v>
      </c>
      <c r="F247">
        <v>8.3299999999999999E-2</v>
      </c>
    </row>
    <row r="248" spans="1:6" x14ac:dyDescent="0.3">
      <c r="A248" t="s">
        <v>281</v>
      </c>
      <c r="B248" t="s">
        <v>53</v>
      </c>
      <c r="C248">
        <v>12200000</v>
      </c>
      <c r="D248">
        <v>1610.9</v>
      </c>
      <c r="E248">
        <v>1.7000000000000001E-2</v>
      </c>
      <c r="F248">
        <v>5.7599999999999998E-2</v>
      </c>
    </row>
    <row r="249" spans="1:6" x14ac:dyDescent="0.3">
      <c r="A249" t="s">
        <v>282</v>
      </c>
      <c r="B249" t="s">
        <v>24</v>
      </c>
      <c r="C249">
        <v>13700000</v>
      </c>
      <c r="D249">
        <v>5308.9</v>
      </c>
      <c r="E249">
        <v>3.0200000000000001E-2</v>
      </c>
      <c r="F249">
        <v>9.3799999999999994E-2</v>
      </c>
    </row>
    <row r="250" spans="1:6" x14ac:dyDescent="0.3">
      <c r="A250" t="s">
        <v>283</v>
      </c>
      <c r="B250" t="s">
        <v>21</v>
      </c>
      <c r="C250">
        <v>12000000</v>
      </c>
      <c r="D250">
        <v>14176.6</v>
      </c>
      <c r="E250">
        <v>3.1600000000000003E-2</v>
      </c>
      <c r="F250">
        <v>5.0999999999999997E-2</v>
      </c>
    </row>
    <row r="251" spans="1:6" x14ac:dyDescent="0.3">
      <c r="A251" t="s">
        <v>284</v>
      </c>
      <c r="B251" t="s">
        <v>26</v>
      </c>
      <c r="C251">
        <v>12300000</v>
      </c>
      <c r="D251">
        <v>18369.400000000001</v>
      </c>
      <c r="E251">
        <v>1.84E-2</v>
      </c>
      <c r="F251">
        <v>0.13719999999999999</v>
      </c>
    </row>
    <row r="252" spans="1:6" x14ac:dyDescent="0.3">
      <c r="A252" t="s">
        <v>285</v>
      </c>
      <c r="B252" t="s">
        <v>32</v>
      </c>
      <c r="C252">
        <v>11500000</v>
      </c>
      <c r="D252">
        <v>11031.2</v>
      </c>
      <c r="E252">
        <v>1.6299999999999999E-2</v>
      </c>
      <c r="F252">
        <v>6.08E-2</v>
      </c>
    </row>
    <row r="253" spans="1:6" x14ac:dyDescent="0.3">
      <c r="A253" t="s">
        <v>286</v>
      </c>
      <c r="B253" t="s">
        <v>287</v>
      </c>
      <c r="C253">
        <v>10100000</v>
      </c>
      <c r="D253">
        <v>709901.5</v>
      </c>
      <c r="E253">
        <v>1.09E-2</v>
      </c>
      <c r="F253">
        <v>8.2199999999999995E-2</v>
      </c>
    </row>
    <row r="254" spans="1:6" x14ac:dyDescent="0.3">
      <c r="A254" t="s">
        <v>288</v>
      </c>
      <c r="B254" t="s">
        <v>53</v>
      </c>
      <c r="C254">
        <v>12400000</v>
      </c>
      <c r="D254">
        <v>2438224</v>
      </c>
      <c r="E254">
        <v>3.8699999999999998E-2</v>
      </c>
      <c r="F254">
        <v>9.5100000000000004E-2</v>
      </c>
    </row>
    <row r="255" spans="1:6" x14ac:dyDescent="0.3">
      <c r="A255" t="s">
        <v>289</v>
      </c>
      <c r="B255" t="s">
        <v>21</v>
      </c>
      <c r="C255">
        <v>12700000</v>
      </c>
      <c r="D255">
        <v>30896.5</v>
      </c>
      <c r="E255">
        <v>1.3899999999999999E-2</v>
      </c>
      <c r="F255">
        <v>8.1100000000000005E-2</v>
      </c>
    </row>
    <row r="256" spans="1:6" x14ac:dyDescent="0.3">
      <c r="A256" t="s">
        <v>290</v>
      </c>
      <c r="B256" t="s">
        <v>41</v>
      </c>
      <c r="C256">
        <v>13000000</v>
      </c>
      <c r="D256">
        <v>45357.7</v>
      </c>
      <c r="E256">
        <v>2.4799999999999999E-2</v>
      </c>
      <c r="F256">
        <v>0.1053</v>
      </c>
    </row>
    <row r="257" spans="1:6" x14ac:dyDescent="0.3">
      <c r="A257" t="s">
        <v>291</v>
      </c>
      <c r="B257" t="s">
        <v>26</v>
      </c>
      <c r="C257">
        <v>9250000</v>
      </c>
      <c r="D257">
        <v>559705.69999999995</v>
      </c>
      <c r="E257">
        <v>2.9899999999999999E-2</v>
      </c>
      <c r="F257">
        <v>5.0999999999999997E-2</v>
      </c>
    </row>
    <row r="258" spans="1:6" x14ac:dyDescent="0.3">
      <c r="A258" t="s">
        <v>292</v>
      </c>
      <c r="B258" t="s">
        <v>26</v>
      </c>
      <c r="C258">
        <v>10000000</v>
      </c>
      <c r="D258">
        <v>73.7</v>
      </c>
      <c r="F258">
        <v>7.5899999999999995E-2</v>
      </c>
    </row>
    <row r="259" spans="1:6" x14ac:dyDescent="0.3">
      <c r="A259" t="s">
        <v>293</v>
      </c>
      <c r="B259" t="s">
        <v>41</v>
      </c>
      <c r="C259">
        <v>11600000</v>
      </c>
      <c r="D259">
        <v>20262.5</v>
      </c>
      <c r="E259">
        <v>3.9399999999999998E-2</v>
      </c>
      <c r="F259">
        <v>9.3799999999999994E-2</v>
      </c>
    </row>
    <row r="260" spans="1:6" x14ac:dyDescent="0.3">
      <c r="A260" t="s">
        <v>294</v>
      </c>
      <c r="B260" t="s">
        <v>21</v>
      </c>
      <c r="C260">
        <v>14100000</v>
      </c>
      <c r="D260">
        <v>2570</v>
      </c>
      <c r="F260">
        <v>5.0999999999999997E-2</v>
      </c>
    </row>
    <row r="261" spans="1:6" x14ac:dyDescent="0.3">
      <c r="A261" t="s">
        <v>295</v>
      </c>
      <c r="B261" t="s">
        <v>24</v>
      </c>
      <c r="C261">
        <v>11400000</v>
      </c>
      <c r="D261">
        <v>367.8</v>
      </c>
      <c r="E261">
        <v>1.21E-2</v>
      </c>
      <c r="F261">
        <v>0.16900000000000001</v>
      </c>
    </row>
    <row r="262" spans="1:6" x14ac:dyDescent="0.3">
      <c r="A262" t="s">
        <v>296</v>
      </c>
      <c r="B262" t="s">
        <v>41</v>
      </c>
      <c r="C262">
        <v>12000000</v>
      </c>
      <c r="D262">
        <v>1219.8</v>
      </c>
      <c r="E262">
        <v>2.0400000000000001E-2</v>
      </c>
      <c r="F262">
        <v>8.1299999999999997E-2</v>
      </c>
    </row>
    <row r="263" spans="1:6" x14ac:dyDescent="0.3">
      <c r="A263" t="s">
        <v>297</v>
      </c>
      <c r="B263" t="s">
        <v>26</v>
      </c>
      <c r="C263">
        <v>14700000</v>
      </c>
      <c r="D263">
        <v>39019.800000000003</v>
      </c>
      <c r="E263">
        <v>1.2200000000000001E-2</v>
      </c>
      <c r="F263">
        <v>7.2599999999999998E-2</v>
      </c>
    </row>
    <row r="264" spans="1:6" x14ac:dyDescent="0.3">
      <c r="A264" t="s">
        <v>298</v>
      </c>
      <c r="B264" t="s">
        <v>92</v>
      </c>
      <c r="C264">
        <v>16800000</v>
      </c>
      <c r="D264">
        <v>1429818.2</v>
      </c>
      <c r="E264">
        <v>4.1399999999999999E-2</v>
      </c>
      <c r="F264">
        <v>4.0899999999999999E-2</v>
      </c>
    </row>
    <row r="265" spans="1:6" x14ac:dyDescent="0.3">
      <c r="A265" t="s">
        <v>299</v>
      </c>
      <c r="B265" t="s">
        <v>88</v>
      </c>
      <c r="C265">
        <v>15500000</v>
      </c>
      <c r="D265">
        <v>4069326.6</v>
      </c>
      <c r="E265">
        <v>5.6000000000000001E-2</v>
      </c>
      <c r="F265">
        <v>7.5899999999999995E-2</v>
      </c>
    </row>
    <row r="266" spans="1:6" x14ac:dyDescent="0.3">
      <c r="A266" t="s">
        <v>300</v>
      </c>
      <c r="B266" t="s">
        <v>26</v>
      </c>
      <c r="C266">
        <v>12200000</v>
      </c>
      <c r="D266">
        <v>263261.5</v>
      </c>
      <c r="E266">
        <v>1.4200000000000001E-2</v>
      </c>
      <c r="F266">
        <v>5.7599999999999998E-2</v>
      </c>
    </row>
    <row r="267" spans="1:6" x14ac:dyDescent="0.3">
      <c r="A267" t="s">
        <v>301</v>
      </c>
      <c r="B267" t="s">
        <v>26</v>
      </c>
      <c r="C267">
        <v>9360000</v>
      </c>
      <c r="D267">
        <v>75541.5</v>
      </c>
      <c r="E267">
        <v>6.1100000000000002E-2</v>
      </c>
      <c r="F267">
        <v>9.3799999999999994E-2</v>
      </c>
    </row>
    <row r="268" spans="1:6" x14ac:dyDescent="0.3">
      <c r="A268" t="s">
        <v>302</v>
      </c>
      <c r="B268" t="s">
        <v>26</v>
      </c>
      <c r="C268">
        <v>9590000</v>
      </c>
      <c r="D268">
        <v>13625.8</v>
      </c>
      <c r="E268">
        <v>4.1000000000000002E-2</v>
      </c>
      <c r="F268">
        <v>9.3799999999999994E-2</v>
      </c>
    </row>
    <row r="269" spans="1:6" x14ac:dyDescent="0.3">
      <c r="A269" t="s">
        <v>303</v>
      </c>
      <c r="B269" t="s">
        <v>41</v>
      </c>
      <c r="C269">
        <v>10500000</v>
      </c>
      <c r="D269">
        <v>222</v>
      </c>
      <c r="E269">
        <v>3.0700000000000002E-2</v>
      </c>
      <c r="F269">
        <v>0.16880000000000001</v>
      </c>
    </row>
    <row r="270" spans="1:6" x14ac:dyDescent="0.3">
      <c r="A270" t="s">
        <v>304</v>
      </c>
      <c r="B270" t="s">
        <v>21</v>
      </c>
      <c r="C270">
        <v>9140000</v>
      </c>
      <c r="D270">
        <v>495830.9</v>
      </c>
      <c r="E270">
        <v>1.03E-2</v>
      </c>
      <c r="F270">
        <v>8.2199999999999995E-2</v>
      </c>
    </row>
    <row r="271" spans="1:6" x14ac:dyDescent="0.3">
      <c r="A271" t="s">
        <v>305</v>
      </c>
      <c r="B271" t="s">
        <v>92</v>
      </c>
      <c r="C271">
        <v>9440000</v>
      </c>
      <c r="D271">
        <v>142433.60000000001</v>
      </c>
      <c r="E271">
        <v>2.3800000000000002E-2</v>
      </c>
      <c r="F271">
        <v>6.7199999999999996E-2</v>
      </c>
    </row>
    <row r="272" spans="1:6" x14ac:dyDescent="0.3">
      <c r="A272" t="s">
        <v>306</v>
      </c>
      <c r="B272" t="s">
        <v>41</v>
      </c>
      <c r="C272">
        <v>10500000</v>
      </c>
      <c r="D272">
        <v>13863.8</v>
      </c>
      <c r="E272">
        <v>6.3100000000000003E-2</v>
      </c>
      <c r="F272">
        <v>5.0999999999999997E-2</v>
      </c>
    </row>
    <row r="273" spans="1:6" x14ac:dyDescent="0.3">
      <c r="A273" t="s">
        <v>307</v>
      </c>
      <c r="B273" t="s">
        <v>28</v>
      </c>
      <c r="C273">
        <v>9280000</v>
      </c>
      <c r="D273">
        <v>602223.4</v>
      </c>
      <c r="E273">
        <v>2.3999999999999998E-3</v>
      </c>
      <c r="F273">
        <v>8.2199999999999995E-2</v>
      </c>
    </row>
    <row r="274" spans="1:6" x14ac:dyDescent="0.3">
      <c r="A274" t="s">
        <v>308</v>
      </c>
      <c r="B274" t="s">
        <v>26</v>
      </c>
      <c r="C274">
        <v>16900000</v>
      </c>
      <c r="D274">
        <v>340065.7</v>
      </c>
      <c r="E274">
        <v>2.23E-2</v>
      </c>
      <c r="F274">
        <v>4.0899999999999999E-2</v>
      </c>
    </row>
    <row r="275" spans="1:6" x14ac:dyDescent="0.3">
      <c r="A275" t="s">
        <v>309</v>
      </c>
      <c r="B275" t="s">
        <v>26</v>
      </c>
      <c r="C275">
        <v>10400000</v>
      </c>
      <c r="D275">
        <v>758263</v>
      </c>
      <c r="E275">
        <v>7.1999999999999998E-3</v>
      </c>
      <c r="F275">
        <v>6.54E-2</v>
      </c>
    </row>
    <row r="276" spans="1:6" x14ac:dyDescent="0.3">
      <c r="A276" t="s">
        <v>310</v>
      </c>
      <c r="B276" t="s">
        <v>53</v>
      </c>
      <c r="C276">
        <v>11100000</v>
      </c>
      <c r="D276">
        <v>11707.2</v>
      </c>
      <c r="E276">
        <v>3.9100000000000003E-2</v>
      </c>
      <c r="F276">
        <v>5.0999999999999997E-2</v>
      </c>
    </row>
    <row r="277" spans="1:6" x14ac:dyDescent="0.3">
      <c r="A277" t="s">
        <v>311</v>
      </c>
      <c r="B277" t="s">
        <v>74</v>
      </c>
      <c r="C277">
        <v>9980000</v>
      </c>
      <c r="D277">
        <v>4130578</v>
      </c>
      <c r="E277">
        <v>4.5199999999999997E-2</v>
      </c>
      <c r="F277">
        <v>5.4600000000000003E-2</v>
      </c>
    </row>
    <row r="278" spans="1:6" x14ac:dyDescent="0.3">
      <c r="A278" t="s">
        <v>312</v>
      </c>
      <c r="B278" t="s">
        <v>26</v>
      </c>
      <c r="C278">
        <v>8490000</v>
      </c>
      <c r="D278">
        <v>363768.8</v>
      </c>
      <c r="E278">
        <v>6.8500000000000005E-2</v>
      </c>
      <c r="F278">
        <v>9.3799999999999994E-2</v>
      </c>
    </row>
    <row r="279" spans="1:6" x14ac:dyDescent="0.3">
      <c r="A279" t="s">
        <v>313</v>
      </c>
      <c r="B279" t="s">
        <v>35</v>
      </c>
      <c r="C279">
        <v>9910000</v>
      </c>
      <c r="D279">
        <v>54445.8</v>
      </c>
      <c r="E279">
        <v>7.0000000000000001E-3</v>
      </c>
      <c r="F279">
        <v>8.1100000000000005E-2</v>
      </c>
    </row>
    <row r="280" spans="1:6" x14ac:dyDescent="0.3">
      <c r="A280" t="s">
        <v>314</v>
      </c>
      <c r="B280" t="s">
        <v>41</v>
      </c>
      <c r="C280">
        <v>11800000</v>
      </c>
      <c r="D280">
        <v>57763.6</v>
      </c>
      <c r="E280">
        <v>1.1900000000000001E-2</v>
      </c>
      <c r="F280">
        <v>7.2599999999999998E-2</v>
      </c>
    </row>
    <row r="281" spans="1:6" x14ac:dyDescent="0.3">
      <c r="A281" t="s">
        <v>315</v>
      </c>
      <c r="B281" t="s">
        <v>24</v>
      </c>
      <c r="C281">
        <v>9010000</v>
      </c>
      <c r="D281">
        <v>135748.5</v>
      </c>
      <c r="E281">
        <v>1.12E-2</v>
      </c>
      <c r="F281">
        <v>0.1452</v>
      </c>
    </row>
    <row r="282" spans="1:6" x14ac:dyDescent="0.3">
      <c r="A282" t="s">
        <v>316</v>
      </c>
      <c r="B282" t="s">
        <v>21</v>
      </c>
      <c r="C282">
        <v>9660000</v>
      </c>
      <c r="D282">
        <v>84090.2</v>
      </c>
      <c r="E282">
        <v>1.4E-2</v>
      </c>
      <c r="F282">
        <v>5.7599999999999998E-2</v>
      </c>
    </row>
    <row r="283" spans="1:6" x14ac:dyDescent="0.3">
      <c r="A283" t="s">
        <v>317</v>
      </c>
      <c r="B283" t="s">
        <v>214</v>
      </c>
      <c r="C283">
        <v>11100000</v>
      </c>
      <c r="D283">
        <v>128812.6</v>
      </c>
      <c r="E283">
        <v>2E-3</v>
      </c>
      <c r="F283">
        <v>6.54E-2</v>
      </c>
    </row>
    <row r="284" spans="1:6" x14ac:dyDescent="0.3">
      <c r="A284" t="s">
        <v>318</v>
      </c>
      <c r="B284" t="s">
        <v>32</v>
      </c>
      <c r="C284">
        <v>8870000</v>
      </c>
      <c r="D284">
        <v>41838.300000000003</v>
      </c>
      <c r="E284">
        <v>1.0200000000000001E-2</v>
      </c>
      <c r="F284">
        <v>0.1187</v>
      </c>
    </row>
    <row r="285" spans="1:6" x14ac:dyDescent="0.3">
      <c r="A285" t="s">
        <v>319</v>
      </c>
      <c r="B285" t="s">
        <v>32</v>
      </c>
      <c r="C285">
        <v>16200000</v>
      </c>
      <c r="D285">
        <v>10199.6</v>
      </c>
      <c r="E285">
        <v>7.7000000000000002E-3</v>
      </c>
      <c r="F285">
        <v>6.54E-2</v>
      </c>
    </row>
    <row r="286" spans="1:6" x14ac:dyDescent="0.3">
      <c r="A286" t="s">
        <v>320</v>
      </c>
      <c r="B286" t="s">
        <v>24</v>
      </c>
      <c r="C286">
        <v>13100000</v>
      </c>
      <c r="D286">
        <v>977474.6</v>
      </c>
      <c r="E286">
        <v>3.5299999999999998E-2</v>
      </c>
      <c r="F286">
        <v>4.0899999999999999E-2</v>
      </c>
    </row>
    <row r="287" spans="1:6" x14ac:dyDescent="0.3">
      <c r="A287" t="s">
        <v>321</v>
      </c>
      <c r="B287" t="s">
        <v>53</v>
      </c>
      <c r="C287">
        <v>8790000</v>
      </c>
      <c r="D287">
        <v>256516.4</v>
      </c>
      <c r="E287">
        <v>3.85E-2</v>
      </c>
      <c r="F287">
        <v>0.11700000000000001</v>
      </c>
    </row>
    <row r="288" spans="1:6" x14ac:dyDescent="0.3">
      <c r="A288" t="s">
        <v>322</v>
      </c>
      <c r="B288" t="s">
        <v>41</v>
      </c>
      <c r="C288">
        <v>24200000</v>
      </c>
      <c r="D288">
        <v>6826.5</v>
      </c>
      <c r="E288">
        <v>1.7500000000000002E-2</v>
      </c>
      <c r="F288">
        <v>6.08E-2</v>
      </c>
    </row>
    <row r="289" spans="1:6" x14ac:dyDescent="0.3">
      <c r="A289" t="s">
        <v>323</v>
      </c>
      <c r="B289" t="s">
        <v>53</v>
      </c>
      <c r="C289">
        <v>11800000</v>
      </c>
      <c r="D289">
        <v>112231.5</v>
      </c>
      <c r="E289">
        <v>8.4099999999999994E-2</v>
      </c>
      <c r="F289">
        <v>9.3799999999999994E-2</v>
      </c>
    </row>
    <row r="290" spans="1:6" x14ac:dyDescent="0.3">
      <c r="A290" t="s">
        <v>324</v>
      </c>
      <c r="B290" t="s">
        <v>26</v>
      </c>
      <c r="C290">
        <v>9920000</v>
      </c>
      <c r="D290">
        <v>11323</v>
      </c>
      <c r="E290">
        <v>3.3E-3</v>
      </c>
      <c r="F290">
        <v>0.10150000000000001</v>
      </c>
    </row>
    <row r="291" spans="1:6" x14ac:dyDescent="0.3">
      <c r="A291" t="s">
        <v>325</v>
      </c>
      <c r="B291" t="s">
        <v>41</v>
      </c>
      <c r="C291">
        <v>10600000</v>
      </c>
      <c r="D291">
        <v>1165.7</v>
      </c>
      <c r="E291">
        <v>1.21E-2</v>
      </c>
      <c r="F291">
        <v>0.1176</v>
      </c>
    </row>
    <row r="292" spans="1:6" x14ac:dyDescent="0.3">
      <c r="A292" t="s">
        <v>326</v>
      </c>
      <c r="B292" t="s">
        <v>41</v>
      </c>
      <c r="C292">
        <v>11800000</v>
      </c>
      <c r="D292">
        <v>3171.5</v>
      </c>
      <c r="E292">
        <v>1.26E-2</v>
      </c>
      <c r="F292">
        <v>0.1452</v>
      </c>
    </row>
    <row r="293" spans="1:6" x14ac:dyDescent="0.3">
      <c r="A293" t="s">
        <v>327</v>
      </c>
      <c r="B293" t="s">
        <v>41</v>
      </c>
      <c r="C293">
        <v>13100000</v>
      </c>
      <c r="D293">
        <v>8838.6</v>
      </c>
      <c r="E293">
        <v>1.4800000000000001E-2</v>
      </c>
      <c r="F293">
        <v>0.1053</v>
      </c>
    </row>
    <row r="294" spans="1:6" x14ac:dyDescent="0.3">
      <c r="A294" t="s">
        <v>328</v>
      </c>
      <c r="B294" t="s">
        <v>32</v>
      </c>
      <c r="C294">
        <v>9530000</v>
      </c>
      <c r="D294">
        <v>78533</v>
      </c>
      <c r="E294">
        <v>2.24E-2</v>
      </c>
      <c r="F294">
        <v>5.8500000000000003E-2</v>
      </c>
    </row>
    <row r="295" spans="1:6" x14ac:dyDescent="0.3">
      <c r="A295" t="s">
        <v>329</v>
      </c>
      <c r="B295" t="s">
        <v>26</v>
      </c>
      <c r="C295">
        <v>30000000</v>
      </c>
      <c r="D295">
        <v>9712857.5</v>
      </c>
      <c r="E295">
        <v>2.2499999999999999E-2</v>
      </c>
      <c r="F295">
        <v>4.0899999999999999E-2</v>
      </c>
    </row>
    <row r="296" spans="1:6" x14ac:dyDescent="0.3">
      <c r="A296" t="s">
        <v>330</v>
      </c>
      <c r="B296" t="s">
        <v>21</v>
      </c>
      <c r="C296">
        <v>9260000</v>
      </c>
      <c r="D296">
        <v>908.8</v>
      </c>
      <c r="E296">
        <v>2.1600000000000001E-2</v>
      </c>
      <c r="F296">
        <v>8.3299999999999999E-2</v>
      </c>
    </row>
    <row r="297" spans="1:6" x14ac:dyDescent="0.3">
      <c r="A297" t="s">
        <v>331</v>
      </c>
      <c r="B297" t="s">
        <v>88</v>
      </c>
      <c r="C297">
        <v>13100000</v>
      </c>
      <c r="D297">
        <v>2378.6</v>
      </c>
      <c r="E297">
        <v>0.11700000000000001</v>
      </c>
      <c r="F297">
        <v>0.65790000000000004</v>
      </c>
    </row>
    <row r="298" spans="1:6" x14ac:dyDescent="0.3">
      <c r="A298" t="s">
        <v>332</v>
      </c>
      <c r="B298" t="s">
        <v>26</v>
      </c>
      <c r="C298">
        <v>11400000</v>
      </c>
      <c r="D298">
        <v>4233858.8</v>
      </c>
      <c r="E298">
        <v>2.07E-2</v>
      </c>
      <c r="F298">
        <v>7.5899999999999995E-2</v>
      </c>
    </row>
    <row r="299" spans="1:6" x14ac:dyDescent="0.3">
      <c r="A299" t="s">
        <v>333</v>
      </c>
      <c r="B299" t="s">
        <v>28</v>
      </c>
      <c r="C299">
        <v>10000000</v>
      </c>
      <c r="D299">
        <v>78554.399999999994</v>
      </c>
      <c r="E299">
        <v>8.9999999999999993E-3</v>
      </c>
      <c r="F299">
        <v>8.1100000000000005E-2</v>
      </c>
    </row>
    <row r="300" spans="1:6" x14ac:dyDescent="0.3">
      <c r="A300" t="s">
        <v>334</v>
      </c>
      <c r="B300" t="s">
        <v>50</v>
      </c>
      <c r="C300">
        <v>15300000</v>
      </c>
      <c r="D300">
        <v>132110.29999999999</v>
      </c>
      <c r="E300">
        <v>2.2100000000000002E-2</v>
      </c>
      <c r="F300">
        <v>9.3799999999999994E-2</v>
      </c>
    </row>
    <row r="301" spans="1:6" x14ac:dyDescent="0.3">
      <c r="A301" t="s">
        <v>335</v>
      </c>
      <c r="B301" t="s">
        <v>26</v>
      </c>
      <c r="C301">
        <v>8740000</v>
      </c>
      <c r="D301">
        <v>16364.6</v>
      </c>
      <c r="E301">
        <v>6.6E-3</v>
      </c>
      <c r="F301">
        <v>6.54E-2</v>
      </c>
    </row>
    <row r="302" spans="1:6" x14ac:dyDescent="0.3">
      <c r="A302" t="s">
        <v>336</v>
      </c>
      <c r="B302" t="s">
        <v>62</v>
      </c>
      <c r="C302">
        <v>11400000</v>
      </c>
      <c r="D302">
        <v>27236</v>
      </c>
      <c r="E302">
        <v>8.3000000000000001E-3</v>
      </c>
      <c r="F302">
        <v>8.1100000000000005E-2</v>
      </c>
    </row>
    <row r="303" spans="1:6" x14ac:dyDescent="0.3">
      <c r="A303" t="s">
        <v>337</v>
      </c>
      <c r="B303" t="s">
        <v>41</v>
      </c>
      <c r="C303">
        <v>11200000</v>
      </c>
      <c r="D303">
        <v>1652.9</v>
      </c>
      <c r="E303">
        <v>1.0500000000000001E-2</v>
      </c>
      <c r="F303">
        <v>0.18659999999999999</v>
      </c>
    </row>
    <row r="304" spans="1:6" x14ac:dyDescent="0.3">
      <c r="A304" t="s">
        <v>338</v>
      </c>
      <c r="B304" t="s">
        <v>32</v>
      </c>
      <c r="C304">
        <v>10400000</v>
      </c>
      <c r="D304">
        <v>439196.1</v>
      </c>
      <c r="E304">
        <v>1.7600000000000001E-2</v>
      </c>
      <c r="F304">
        <v>6.1600000000000002E-2</v>
      </c>
    </row>
    <row r="305" spans="1:6" x14ac:dyDescent="0.3">
      <c r="A305" t="s">
        <v>339</v>
      </c>
      <c r="B305" t="s">
        <v>41</v>
      </c>
      <c r="C305">
        <v>13300000</v>
      </c>
      <c r="D305">
        <v>8737.5</v>
      </c>
      <c r="E305">
        <v>3.1800000000000002E-2</v>
      </c>
      <c r="F305">
        <v>9.3799999999999994E-2</v>
      </c>
    </row>
    <row r="306" spans="1:6" x14ac:dyDescent="0.3">
      <c r="A306" t="s">
        <v>340</v>
      </c>
      <c r="B306" t="s">
        <v>24</v>
      </c>
      <c r="C306">
        <v>13600000</v>
      </c>
      <c r="D306">
        <v>77548.899999999994</v>
      </c>
      <c r="E306">
        <v>6.7000000000000002E-3</v>
      </c>
      <c r="F306">
        <v>6.54E-2</v>
      </c>
    </row>
    <row r="307" spans="1:6" x14ac:dyDescent="0.3">
      <c r="A307" t="s">
        <v>341</v>
      </c>
      <c r="B307" t="s">
        <v>71</v>
      </c>
      <c r="C307">
        <v>9420000</v>
      </c>
      <c r="D307">
        <v>163437.6</v>
      </c>
      <c r="E307">
        <v>3.6400000000000002E-2</v>
      </c>
      <c r="F307">
        <v>9.5100000000000004E-2</v>
      </c>
    </row>
    <row r="308" spans="1:6" x14ac:dyDescent="0.3">
      <c r="A308" t="s">
        <v>342</v>
      </c>
      <c r="B308" t="s">
        <v>214</v>
      </c>
      <c r="C308">
        <v>10700000</v>
      </c>
      <c r="D308">
        <v>17586.599999999999</v>
      </c>
      <c r="E308">
        <v>5.7999999999999996E-3</v>
      </c>
      <c r="F308">
        <v>6.54E-2</v>
      </c>
    </row>
    <row r="309" spans="1:6" x14ac:dyDescent="0.3">
      <c r="A309" t="s">
        <v>343</v>
      </c>
      <c r="B309" t="s">
        <v>26</v>
      </c>
      <c r="C309">
        <v>14100000</v>
      </c>
      <c r="D309">
        <v>220673.6</v>
      </c>
      <c r="E309">
        <v>1.12E-2</v>
      </c>
      <c r="F309">
        <v>6.54E-2</v>
      </c>
    </row>
    <row r="310" spans="1:6" x14ac:dyDescent="0.3">
      <c r="A310" t="s">
        <v>344</v>
      </c>
      <c r="B310" t="s">
        <v>24</v>
      </c>
      <c r="C310">
        <v>10700000</v>
      </c>
      <c r="D310">
        <v>97977.4</v>
      </c>
      <c r="E310">
        <v>4.4000000000000003E-3</v>
      </c>
      <c r="F310">
        <v>0.19289999999999999</v>
      </c>
    </row>
    <row r="311" spans="1:6" x14ac:dyDescent="0.3">
      <c r="A311" t="s">
        <v>345</v>
      </c>
      <c r="B311" t="s">
        <v>21</v>
      </c>
      <c r="C311">
        <v>10000000</v>
      </c>
      <c r="D311">
        <v>487724.9</v>
      </c>
      <c r="E311">
        <v>1.8100000000000002E-2</v>
      </c>
      <c r="F311">
        <v>4.6199999999999998E-2</v>
      </c>
    </row>
    <row r="312" spans="1:6" x14ac:dyDescent="0.3">
      <c r="A312" t="s">
        <v>346</v>
      </c>
      <c r="B312" t="s">
        <v>26</v>
      </c>
      <c r="C312">
        <v>7720000</v>
      </c>
      <c r="D312">
        <v>70080.800000000003</v>
      </c>
      <c r="F312">
        <v>4.0899999999999999E-2</v>
      </c>
    </row>
    <row r="313" spans="1:6" x14ac:dyDescent="0.3">
      <c r="A313" t="s">
        <v>347</v>
      </c>
      <c r="B313" t="s">
        <v>26</v>
      </c>
      <c r="C313">
        <v>8910000</v>
      </c>
      <c r="D313">
        <v>800331.6</v>
      </c>
      <c r="E313">
        <v>5.7700000000000001E-2</v>
      </c>
      <c r="F313">
        <v>7.5899999999999995E-2</v>
      </c>
    </row>
    <row r="314" spans="1:6" x14ac:dyDescent="0.3">
      <c r="A314" t="s">
        <v>348</v>
      </c>
      <c r="B314" t="s">
        <v>26</v>
      </c>
      <c r="C314">
        <v>23100000</v>
      </c>
      <c r="D314">
        <v>8188391</v>
      </c>
      <c r="E314">
        <v>1.5599999999999999E-2</v>
      </c>
      <c r="F314">
        <v>4.6199999999999998E-2</v>
      </c>
    </row>
    <row r="315" spans="1:6" x14ac:dyDescent="0.3">
      <c r="A315" t="s">
        <v>349</v>
      </c>
      <c r="B315" t="s">
        <v>41</v>
      </c>
      <c r="C315">
        <v>9560000</v>
      </c>
      <c r="D315">
        <v>1330.6</v>
      </c>
      <c r="E315">
        <v>5.79E-2</v>
      </c>
      <c r="F315">
        <v>9.3799999999999994E-2</v>
      </c>
    </row>
    <row r="316" spans="1:6" x14ac:dyDescent="0.3">
      <c r="A316" t="s">
        <v>350</v>
      </c>
      <c r="B316" t="s">
        <v>26</v>
      </c>
      <c r="C316">
        <v>21700000</v>
      </c>
      <c r="D316">
        <v>5035362.8</v>
      </c>
      <c r="E316">
        <v>9.7999999999999997E-3</v>
      </c>
      <c r="F316">
        <v>6.54E-2</v>
      </c>
    </row>
    <row r="317" spans="1:6" x14ac:dyDescent="0.3">
      <c r="A317" t="s">
        <v>351</v>
      </c>
      <c r="B317" t="s">
        <v>41</v>
      </c>
      <c r="C317">
        <v>9810000</v>
      </c>
      <c r="D317">
        <v>1135257.8</v>
      </c>
      <c r="E317">
        <v>4.7800000000000002E-2</v>
      </c>
      <c r="F317">
        <v>9.5100000000000004E-2</v>
      </c>
    </row>
    <row r="318" spans="1:6" x14ac:dyDescent="0.3">
      <c r="A318" t="s">
        <v>352</v>
      </c>
      <c r="B318" t="s">
        <v>30</v>
      </c>
      <c r="C318">
        <v>10200000</v>
      </c>
      <c r="D318">
        <v>984013.9</v>
      </c>
      <c r="E318">
        <v>2.3199999999999998E-2</v>
      </c>
      <c r="F318">
        <v>4.0899999999999999E-2</v>
      </c>
    </row>
    <row r="319" spans="1:6" x14ac:dyDescent="0.3">
      <c r="A319" t="s">
        <v>353</v>
      </c>
      <c r="B319" t="s">
        <v>24</v>
      </c>
      <c r="C319">
        <v>11600000</v>
      </c>
      <c r="D319">
        <v>15885.6</v>
      </c>
      <c r="E319">
        <v>0.1651</v>
      </c>
      <c r="F319">
        <v>9.3799999999999994E-2</v>
      </c>
    </row>
    <row r="320" spans="1:6" x14ac:dyDescent="0.3">
      <c r="A320" t="s">
        <v>354</v>
      </c>
      <c r="B320" t="s">
        <v>71</v>
      </c>
      <c r="C320">
        <v>13100000</v>
      </c>
      <c r="D320">
        <v>285088.09999999998</v>
      </c>
      <c r="E320">
        <v>5.2200000000000003E-2</v>
      </c>
      <c r="F320">
        <v>9.3799999999999994E-2</v>
      </c>
    </row>
    <row r="321" spans="1:6" x14ac:dyDescent="0.3">
      <c r="A321" t="s">
        <v>355</v>
      </c>
      <c r="B321" t="s">
        <v>21</v>
      </c>
      <c r="C321">
        <v>9990000</v>
      </c>
      <c r="D321">
        <v>121647.2</v>
      </c>
      <c r="E321">
        <v>6.7000000000000002E-3</v>
      </c>
      <c r="F321">
        <v>6.54E-2</v>
      </c>
    </row>
    <row r="322" spans="1:6" x14ac:dyDescent="0.3">
      <c r="A322" t="s">
        <v>356</v>
      </c>
      <c r="B322" t="s">
        <v>24</v>
      </c>
      <c r="C322">
        <v>10300000</v>
      </c>
      <c r="D322">
        <v>7274.2</v>
      </c>
      <c r="E322">
        <v>5.4999999999999997E-3</v>
      </c>
      <c r="F322">
        <v>8.1100000000000005E-2</v>
      </c>
    </row>
    <row r="323" spans="1:6" x14ac:dyDescent="0.3">
      <c r="A323" t="s">
        <v>357</v>
      </c>
      <c r="B323" t="s">
        <v>41</v>
      </c>
      <c r="C323">
        <v>12900000</v>
      </c>
      <c r="D323">
        <v>3159.9</v>
      </c>
      <c r="E323">
        <v>7.1000000000000004E-3</v>
      </c>
      <c r="F323">
        <v>8.1100000000000005E-2</v>
      </c>
    </row>
    <row r="324" spans="1:6" x14ac:dyDescent="0.3">
      <c r="A324" t="s">
        <v>358</v>
      </c>
      <c r="B324" t="s">
        <v>50</v>
      </c>
      <c r="C324">
        <v>8460000</v>
      </c>
      <c r="D324">
        <v>901468.5</v>
      </c>
      <c r="E324">
        <v>3.85E-2</v>
      </c>
      <c r="F324">
        <v>4.0899999999999999E-2</v>
      </c>
    </row>
    <row r="325" spans="1:6" x14ac:dyDescent="0.3">
      <c r="A325" t="s">
        <v>359</v>
      </c>
      <c r="B325" t="s">
        <v>35</v>
      </c>
      <c r="C325">
        <v>7550000</v>
      </c>
      <c r="D325">
        <v>10961.7</v>
      </c>
      <c r="E325">
        <v>3.9E-2</v>
      </c>
      <c r="F325">
        <v>9.5100000000000004E-2</v>
      </c>
    </row>
    <row r="326" spans="1:6" x14ac:dyDescent="0.3">
      <c r="A326" t="s">
        <v>360</v>
      </c>
      <c r="B326" t="s">
        <v>32</v>
      </c>
      <c r="C326">
        <v>9470000</v>
      </c>
      <c r="D326">
        <v>7823.8</v>
      </c>
      <c r="E326">
        <v>1.2999999999999999E-2</v>
      </c>
      <c r="F326">
        <v>0.1784</v>
      </c>
    </row>
    <row r="327" spans="1:6" x14ac:dyDescent="0.3">
      <c r="A327" t="s">
        <v>361</v>
      </c>
      <c r="B327" t="s">
        <v>26</v>
      </c>
      <c r="C327">
        <v>9420000</v>
      </c>
      <c r="D327">
        <v>261568</v>
      </c>
      <c r="E327">
        <v>1.37E-2</v>
      </c>
      <c r="F327">
        <v>4.6199999999999998E-2</v>
      </c>
    </row>
    <row r="328" spans="1:6" x14ac:dyDescent="0.3">
      <c r="A328" t="s">
        <v>362</v>
      </c>
      <c r="B328" t="s">
        <v>32</v>
      </c>
      <c r="C328">
        <v>8710000</v>
      </c>
      <c r="D328">
        <v>9779</v>
      </c>
      <c r="E328">
        <v>8.8000000000000005E-3</v>
      </c>
      <c r="F328">
        <v>8.1100000000000005E-2</v>
      </c>
    </row>
    <row r="329" spans="1:6" x14ac:dyDescent="0.3">
      <c r="A329" t="s">
        <v>363</v>
      </c>
      <c r="B329" t="s">
        <v>287</v>
      </c>
      <c r="C329">
        <v>7600000</v>
      </c>
      <c r="D329">
        <v>19740.900000000001</v>
      </c>
      <c r="E329">
        <v>4.3299999999999998E-2</v>
      </c>
      <c r="F329">
        <v>5.0999999999999997E-2</v>
      </c>
    </row>
    <row r="330" spans="1:6" x14ac:dyDescent="0.3">
      <c r="A330" t="s">
        <v>364</v>
      </c>
      <c r="B330" t="s">
        <v>92</v>
      </c>
      <c r="C330">
        <v>9160000</v>
      </c>
      <c r="D330">
        <v>565180.19999999995</v>
      </c>
      <c r="E330">
        <v>2.8400000000000002E-2</v>
      </c>
      <c r="F330">
        <v>8.4500000000000006E-2</v>
      </c>
    </row>
    <row r="331" spans="1:6" x14ac:dyDescent="0.3">
      <c r="A331" t="s">
        <v>365</v>
      </c>
      <c r="B331" t="s">
        <v>41</v>
      </c>
      <c r="C331">
        <v>11700000</v>
      </c>
      <c r="D331">
        <v>188.1</v>
      </c>
      <c r="E331">
        <v>4.1200000000000001E-2</v>
      </c>
      <c r="F331">
        <v>0.1356</v>
      </c>
    </row>
    <row r="332" spans="1:6" x14ac:dyDescent="0.3">
      <c r="A332" t="s">
        <v>366</v>
      </c>
      <c r="B332" t="s">
        <v>41</v>
      </c>
      <c r="C332">
        <v>9860000</v>
      </c>
      <c r="D332">
        <v>334.8</v>
      </c>
      <c r="E332">
        <v>7.1999999999999998E-3</v>
      </c>
      <c r="F332">
        <v>8.1100000000000005E-2</v>
      </c>
    </row>
    <row r="333" spans="1:6" x14ac:dyDescent="0.3">
      <c r="A333" t="s">
        <v>367</v>
      </c>
      <c r="B333" t="s">
        <v>41</v>
      </c>
      <c r="C333">
        <v>9230000</v>
      </c>
      <c r="D333">
        <v>29673.3</v>
      </c>
      <c r="E333">
        <v>1.6500000000000001E-2</v>
      </c>
      <c r="F333">
        <v>7.2599999999999998E-2</v>
      </c>
    </row>
    <row r="334" spans="1:6" x14ac:dyDescent="0.3">
      <c r="A334" t="s">
        <v>368</v>
      </c>
      <c r="B334" t="s">
        <v>53</v>
      </c>
      <c r="C334">
        <v>8990000</v>
      </c>
      <c r="D334">
        <v>59786.5</v>
      </c>
      <c r="E334">
        <v>2.3099999999999999E-2</v>
      </c>
      <c r="F334">
        <v>9.5100000000000004E-2</v>
      </c>
    </row>
    <row r="335" spans="1:6" x14ac:dyDescent="0.3">
      <c r="A335" t="s">
        <v>369</v>
      </c>
      <c r="B335" t="s">
        <v>26</v>
      </c>
      <c r="C335">
        <v>12600000</v>
      </c>
      <c r="D335">
        <v>304997.3</v>
      </c>
      <c r="E335">
        <v>2.52E-2</v>
      </c>
      <c r="F335">
        <v>4.0899999999999999E-2</v>
      </c>
    </row>
    <row r="336" spans="1:6" x14ac:dyDescent="0.3">
      <c r="A336" t="s">
        <v>370</v>
      </c>
      <c r="B336" t="s">
        <v>26</v>
      </c>
      <c r="C336">
        <v>8100000</v>
      </c>
      <c r="D336">
        <v>19618.400000000001</v>
      </c>
      <c r="E336">
        <v>1.55E-2</v>
      </c>
      <c r="F336">
        <v>5.7599999999999998E-2</v>
      </c>
    </row>
    <row r="337" spans="1:6" x14ac:dyDescent="0.3">
      <c r="A337" t="s">
        <v>371</v>
      </c>
      <c r="B337" t="s">
        <v>26</v>
      </c>
      <c r="C337">
        <v>9450000</v>
      </c>
      <c r="D337">
        <v>1099267.1000000001</v>
      </c>
      <c r="E337">
        <v>7.17E-2</v>
      </c>
      <c r="F337">
        <v>5.0999999999999997E-2</v>
      </c>
    </row>
    <row r="338" spans="1:6" x14ac:dyDescent="0.3">
      <c r="A338" t="s">
        <v>372</v>
      </c>
      <c r="B338" t="s">
        <v>92</v>
      </c>
      <c r="C338">
        <v>8730000</v>
      </c>
      <c r="D338">
        <v>9138.1</v>
      </c>
      <c r="E338">
        <v>8.0000000000000002E-3</v>
      </c>
      <c r="F338">
        <v>8.1100000000000005E-2</v>
      </c>
    </row>
    <row r="339" spans="1:6" x14ac:dyDescent="0.3">
      <c r="A339" t="s">
        <v>373</v>
      </c>
      <c r="B339" t="s">
        <v>41</v>
      </c>
      <c r="C339">
        <v>9820000</v>
      </c>
      <c r="D339">
        <v>1053.0999999999999</v>
      </c>
      <c r="E339">
        <v>6.6000000000000003E-2</v>
      </c>
      <c r="F339">
        <v>0.61480000000000001</v>
      </c>
    </row>
    <row r="340" spans="1:6" x14ac:dyDescent="0.3">
      <c r="A340" t="s">
        <v>374</v>
      </c>
      <c r="B340" t="s">
        <v>41</v>
      </c>
      <c r="C340">
        <v>13300000</v>
      </c>
      <c r="D340">
        <v>2478.3000000000002</v>
      </c>
      <c r="E340">
        <v>4.4200000000000003E-2</v>
      </c>
      <c r="F340">
        <v>9.3799999999999994E-2</v>
      </c>
    </row>
    <row r="341" spans="1:6" x14ac:dyDescent="0.3">
      <c r="A341" t="s">
        <v>375</v>
      </c>
      <c r="B341" t="s">
        <v>26</v>
      </c>
      <c r="C341">
        <v>9330000</v>
      </c>
      <c r="D341">
        <v>6135597.2999999998</v>
      </c>
      <c r="E341">
        <v>2.3900000000000001E-2</v>
      </c>
      <c r="F341">
        <v>5.1799999999999999E-2</v>
      </c>
    </row>
    <row r="342" spans="1:6" x14ac:dyDescent="0.3">
      <c r="A342" t="s">
        <v>376</v>
      </c>
      <c r="B342" t="s">
        <v>26</v>
      </c>
      <c r="C342">
        <v>4090000</v>
      </c>
      <c r="D342">
        <v>4833.1000000000004</v>
      </c>
      <c r="E342">
        <v>1.6799999999999999E-2</v>
      </c>
      <c r="F342">
        <v>0.1053</v>
      </c>
    </row>
    <row r="343" spans="1:6" x14ac:dyDescent="0.3">
      <c r="A343" t="s">
        <v>377</v>
      </c>
      <c r="B343" t="s">
        <v>214</v>
      </c>
      <c r="C343">
        <v>8610000</v>
      </c>
      <c r="D343">
        <v>10450.6</v>
      </c>
      <c r="E343">
        <v>8.3999999999999995E-3</v>
      </c>
      <c r="F343">
        <v>8.1100000000000005E-2</v>
      </c>
    </row>
    <row r="344" spans="1:6" x14ac:dyDescent="0.3">
      <c r="A344" t="s">
        <v>378</v>
      </c>
      <c r="B344" t="s">
        <v>41</v>
      </c>
      <c r="C344">
        <v>13100000</v>
      </c>
      <c r="D344">
        <v>1156.4000000000001</v>
      </c>
      <c r="E344">
        <v>1.6799999999999999E-2</v>
      </c>
      <c r="F344">
        <v>7.6499999999999999E-2</v>
      </c>
    </row>
    <row r="345" spans="1:6" x14ac:dyDescent="0.3">
      <c r="A345" t="s">
        <v>379</v>
      </c>
      <c r="B345" t="s">
        <v>26</v>
      </c>
      <c r="C345">
        <v>10000000</v>
      </c>
      <c r="D345">
        <v>59931.8</v>
      </c>
      <c r="F345">
        <v>5.0999999999999997E-2</v>
      </c>
    </row>
    <row r="346" spans="1:6" x14ac:dyDescent="0.3">
      <c r="A346" t="s">
        <v>380</v>
      </c>
      <c r="B346" t="s">
        <v>26</v>
      </c>
      <c r="C346">
        <v>22900000</v>
      </c>
      <c r="D346">
        <v>337866.1</v>
      </c>
      <c r="F346">
        <v>5.0999999999999997E-2</v>
      </c>
    </row>
    <row r="347" spans="1:6" x14ac:dyDescent="0.3">
      <c r="A347" t="s">
        <v>381</v>
      </c>
      <c r="B347" t="s">
        <v>50</v>
      </c>
      <c r="C347">
        <v>9010000</v>
      </c>
      <c r="D347">
        <v>87610.8</v>
      </c>
      <c r="E347">
        <v>6.6E-3</v>
      </c>
      <c r="F347">
        <v>8.1100000000000005E-2</v>
      </c>
    </row>
    <row r="348" spans="1:6" x14ac:dyDescent="0.3">
      <c r="A348" t="s">
        <v>382</v>
      </c>
      <c r="B348" t="s">
        <v>32</v>
      </c>
      <c r="C348">
        <v>8890000</v>
      </c>
      <c r="D348">
        <v>2108771.2999999998</v>
      </c>
      <c r="E348">
        <v>1.7600000000000001E-2</v>
      </c>
      <c r="F348">
        <v>5.8500000000000003E-2</v>
      </c>
    </row>
    <row r="349" spans="1:6" x14ac:dyDescent="0.3">
      <c r="A349" t="s">
        <v>383</v>
      </c>
      <c r="B349" t="s">
        <v>21</v>
      </c>
      <c r="C349">
        <v>9650000</v>
      </c>
      <c r="D349">
        <v>1167.3</v>
      </c>
      <c r="E349">
        <v>1.44E-2</v>
      </c>
      <c r="F349">
        <v>7.2599999999999998E-2</v>
      </c>
    </row>
    <row r="350" spans="1:6" x14ac:dyDescent="0.3">
      <c r="A350" t="s">
        <v>384</v>
      </c>
      <c r="B350" t="s">
        <v>35</v>
      </c>
      <c r="C350">
        <v>9450000</v>
      </c>
      <c r="D350">
        <v>48774.8</v>
      </c>
      <c r="E350">
        <v>2.4799999999999999E-2</v>
      </c>
      <c r="F350">
        <v>5.0999999999999997E-2</v>
      </c>
    </row>
    <row r="351" spans="1:6" x14ac:dyDescent="0.3">
      <c r="A351" t="s">
        <v>385</v>
      </c>
      <c r="B351" t="s">
        <v>21</v>
      </c>
      <c r="C351">
        <v>8470000</v>
      </c>
      <c r="D351">
        <v>2438374.7999999998</v>
      </c>
      <c r="E351">
        <v>3.3799999999999997E-2</v>
      </c>
      <c r="F351">
        <v>5.1799999999999999E-2</v>
      </c>
    </row>
    <row r="352" spans="1:6" x14ac:dyDescent="0.3">
      <c r="A352" t="s">
        <v>386</v>
      </c>
      <c r="B352" t="s">
        <v>26</v>
      </c>
      <c r="C352">
        <v>8450000</v>
      </c>
      <c r="D352">
        <v>7633.4</v>
      </c>
      <c r="E352">
        <v>1.4E-2</v>
      </c>
      <c r="F352">
        <v>7.2999999999999995E-2</v>
      </c>
    </row>
    <row r="353" spans="1:6" x14ac:dyDescent="0.3">
      <c r="A353" t="s">
        <v>387</v>
      </c>
      <c r="B353" t="s">
        <v>88</v>
      </c>
      <c r="C353">
        <v>9290000</v>
      </c>
      <c r="D353">
        <v>3509.1</v>
      </c>
      <c r="E353">
        <v>0.1129</v>
      </c>
      <c r="F353">
        <v>9.3799999999999994E-2</v>
      </c>
    </row>
    <row r="354" spans="1:6" x14ac:dyDescent="0.3">
      <c r="A354" t="s">
        <v>388</v>
      </c>
      <c r="B354" t="s">
        <v>26</v>
      </c>
      <c r="C354">
        <v>7770000</v>
      </c>
      <c r="D354">
        <v>10852</v>
      </c>
      <c r="E354">
        <v>4.7399999999999998E-2</v>
      </c>
      <c r="F354">
        <v>9.3799999999999994E-2</v>
      </c>
    </row>
    <row r="355" spans="1:6" x14ac:dyDescent="0.3">
      <c r="A355" t="s">
        <v>389</v>
      </c>
      <c r="B355" t="s">
        <v>26</v>
      </c>
      <c r="C355">
        <v>9470000</v>
      </c>
      <c r="D355">
        <v>1128489.3999999999</v>
      </c>
      <c r="E355">
        <v>8.1199999999999994E-2</v>
      </c>
      <c r="F355">
        <v>6.7199999999999996E-2</v>
      </c>
    </row>
    <row r="356" spans="1:6" x14ac:dyDescent="0.3">
      <c r="A356" t="s">
        <v>390</v>
      </c>
      <c r="B356" t="s">
        <v>21</v>
      </c>
      <c r="C356">
        <v>9020000</v>
      </c>
      <c r="D356">
        <v>1986648</v>
      </c>
      <c r="E356">
        <v>3.56E-2</v>
      </c>
      <c r="F356">
        <v>8.4500000000000006E-2</v>
      </c>
    </row>
    <row r="357" spans="1:6" x14ac:dyDescent="0.3">
      <c r="A357" t="s">
        <v>391</v>
      </c>
      <c r="B357" t="s">
        <v>26</v>
      </c>
      <c r="C357">
        <v>16500000</v>
      </c>
      <c r="D357">
        <v>3278843.4</v>
      </c>
      <c r="E357">
        <v>4.02E-2</v>
      </c>
      <c r="F357">
        <v>4.0899999999999999E-2</v>
      </c>
    </row>
    <row r="358" spans="1:6" x14ac:dyDescent="0.3">
      <c r="A358" t="s">
        <v>392</v>
      </c>
      <c r="B358" t="s">
        <v>62</v>
      </c>
      <c r="C358">
        <v>8230000</v>
      </c>
      <c r="D358">
        <v>313220.40000000002</v>
      </c>
      <c r="E358">
        <v>3.6200000000000003E-2</v>
      </c>
      <c r="F358">
        <v>7.5899999999999995E-2</v>
      </c>
    </row>
    <row r="359" spans="1:6" x14ac:dyDescent="0.3">
      <c r="A359" t="s">
        <v>393</v>
      </c>
      <c r="B359" t="s">
        <v>50</v>
      </c>
      <c r="C359">
        <v>18500000</v>
      </c>
      <c r="D359">
        <v>2361826.9</v>
      </c>
      <c r="E359">
        <v>3.7400000000000003E-2</v>
      </c>
      <c r="F359">
        <v>9.3799999999999994E-2</v>
      </c>
    </row>
    <row r="360" spans="1:6" x14ac:dyDescent="0.3">
      <c r="A360" t="s">
        <v>394</v>
      </c>
      <c r="B360" t="s">
        <v>88</v>
      </c>
      <c r="C360">
        <v>11100000</v>
      </c>
      <c r="D360">
        <v>915.2</v>
      </c>
      <c r="E360">
        <v>0.69830000000000003</v>
      </c>
      <c r="F360">
        <v>0.62839999999999996</v>
      </c>
    </row>
    <row r="361" spans="1:6" x14ac:dyDescent="0.3">
      <c r="A361" t="s">
        <v>395</v>
      </c>
      <c r="B361" t="s">
        <v>50</v>
      </c>
      <c r="C361">
        <v>7970000</v>
      </c>
      <c r="D361">
        <v>43619.3</v>
      </c>
      <c r="E361">
        <v>3.3E-3</v>
      </c>
      <c r="F361">
        <v>6.54E-2</v>
      </c>
    </row>
    <row r="362" spans="1:6" x14ac:dyDescent="0.3">
      <c r="A362" t="s">
        <v>396</v>
      </c>
      <c r="B362" t="s">
        <v>26</v>
      </c>
      <c r="C362">
        <v>8840000</v>
      </c>
      <c r="D362">
        <v>831.5</v>
      </c>
      <c r="E362">
        <v>6.7000000000000002E-3</v>
      </c>
      <c r="F362">
        <v>8.1100000000000005E-2</v>
      </c>
    </row>
    <row r="363" spans="1:6" x14ac:dyDescent="0.3">
      <c r="A363" t="s">
        <v>397</v>
      </c>
      <c r="B363" t="s">
        <v>26</v>
      </c>
      <c r="C363">
        <v>7670000</v>
      </c>
      <c r="D363">
        <v>2856428.7</v>
      </c>
      <c r="E363">
        <v>5.57E-2</v>
      </c>
      <c r="F363">
        <v>9.5100000000000004E-2</v>
      </c>
    </row>
    <row r="364" spans="1:6" x14ac:dyDescent="0.3">
      <c r="A364" t="s">
        <v>398</v>
      </c>
      <c r="B364" t="s">
        <v>26</v>
      </c>
      <c r="C364">
        <v>3360000</v>
      </c>
      <c r="D364">
        <v>393413.9</v>
      </c>
      <c r="E364">
        <v>5.3100000000000001E-2</v>
      </c>
      <c r="F364">
        <v>7.5899999999999995E-2</v>
      </c>
    </row>
    <row r="365" spans="1:6" x14ac:dyDescent="0.3">
      <c r="A365" t="s">
        <v>399</v>
      </c>
      <c r="B365" t="s">
        <v>88</v>
      </c>
      <c r="C365">
        <v>8140000</v>
      </c>
      <c r="D365">
        <v>18677.5</v>
      </c>
      <c r="E365">
        <v>5.6399999999999999E-2</v>
      </c>
      <c r="F365">
        <v>7.5899999999999995E-2</v>
      </c>
    </row>
    <row r="366" spans="1:6" x14ac:dyDescent="0.3">
      <c r="A366" t="s">
        <v>400</v>
      </c>
      <c r="B366" t="s">
        <v>32</v>
      </c>
      <c r="C366">
        <v>8390000</v>
      </c>
      <c r="D366">
        <v>3176005.7</v>
      </c>
      <c r="E366">
        <v>7.1300000000000002E-2</v>
      </c>
      <c r="F366">
        <v>9.5100000000000004E-2</v>
      </c>
    </row>
    <row r="367" spans="1:6" x14ac:dyDescent="0.3">
      <c r="A367" t="s">
        <v>401</v>
      </c>
      <c r="B367" t="s">
        <v>26</v>
      </c>
      <c r="C367">
        <v>8050000</v>
      </c>
      <c r="D367">
        <v>7077.9</v>
      </c>
      <c r="F367">
        <v>5.1799999999999999E-2</v>
      </c>
    </row>
    <row r="368" spans="1:6" x14ac:dyDescent="0.3">
      <c r="A368" t="s">
        <v>402</v>
      </c>
      <c r="B368" t="s">
        <v>41</v>
      </c>
      <c r="C368">
        <v>10900000</v>
      </c>
      <c r="D368">
        <v>1587.7</v>
      </c>
      <c r="E368">
        <v>1.72E-2</v>
      </c>
      <c r="F368">
        <v>0.1053</v>
      </c>
    </row>
    <row r="369" spans="1:6" x14ac:dyDescent="0.3">
      <c r="A369" t="s">
        <v>403</v>
      </c>
      <c r="B369" t="s">
        <v>24</v>
      </c>
      <c r="C369">
        <v>7790000</v>
      </c>
      <c r="D369">
        <v>1684303.8</v>
      </c>
      <c r="E369">
        <v>3.3799999999999997E-2</v>
      </c>
      <c r="F369">
        <v>9.5100000000000004E-2</v>
      </c>
    </row>
    <row r="370" spans="1:6" x14ac:dyDescent="0.3">
      <c r="A370" t="s">
        <v>404</v>
      </c>
      <c r="B370" t="s">
        <v>26</v>
      </c>
      <c r="C370">
        <v>12600000</v>
      </c>
      <c r="D370">
        <v>801149.3</v>
      </c>
      <c r="E370">
        <v>1.23E-2</v>
      </c>
      <c r="F370">
        <v>6.4699999999999994E-2</v>
      </c>
    </row>
    <row r="371" spans="1:6" x14ac:dyDescent="0.3">
      <c r="A371" t="s">
        <v>405</v>
      </c>
      <c r="B371" t="s">
        <v>53</v>
      </c>
      <c r="C371">
        <v>6960000</v>
      </c>
      <c r="D371">
        <v>58412.3</v>
      </c>
      <c r="E371">
        <v>7.3400000000000007E-2</v>
      </c>
      <c r="F371">
        <v>5.0999999999999997E-2</v>
      </c>
    </row>
    <row r="372" spans="1:6" x14ac:dyDescent="0.3">
      <c r="A372" t="s">
        <v>406</v>
      </c>
      <c r="B372" t="s">
        <v>92</v>
      </c>
      <c r="C372">
        <v>7960000</v>
      </c>
      <c r="D372">
        <v>22489.7</v>
      </c>
      <c r="E372">
        <v>3.6400000000000002E-2</v>
      </c>
      <c r="F372">
        <v>9.3799999999999994E-2</v>
      </c>
    </row>
    <row r="373" spans="1:6" x14ac:dyDescent="0.3">
      <c r="A373" t="s">
        <v>407</v>
      </c>
      <c r="B373" t="s">
        <v>26</v>
      </c>
      <c r="C373">
        <v>7340000</v>
      </c>
      <c r="D373">
        <v>4542.3999999999996</v>
      </c>
      <c r="E373">
        <v>4.7800000000000002E-2</v>
      </c>
      <c r="F373">
        <v>9.5100000000000004E-2</v>
      </c>
    </row>
    <row r="374" spans="1:6" x14ac:dyDescent="0.3">
      <c r="A374" t="s">
        <v>408</v>
      </c>
      <c r="B374" t="s">
        <v>26</v>
      </c>
      <c r="C374">
        <v>7940000</v>
      </c>
      <c r="D374">
        <v>391.4</v>
      </c>
      <c r="E374">
        <v>9.3799999999999994E-2</v>
      </c>
      <c r="F374">
        <v>7.5899999999999995E-2</v>
      </c>
    </row>
    <row r="375" spans="1:6" x14ac:dyDescent="0.3">
      <c r="A375" t="s">
        <v>409</v>
      </c>
      <c r="B375" t="s">
        <v>53</v>
      </c>
      <c r="C375">
        <v>1610000</v>
      </c>
      <c r="D375">
        <v>120921.8</v>
      </c>
      <c r="E375">
        <v>6.3E-2</v>
      </c>
      <c r="F375">
        <v>5.1799999999999999E-2</v>
      </c>
    </row>
    <row r="376" spans="1:6" x14ac:dyDescent="0.3">
      <c r="A376" t="s">
        <v>410</v>
      </c>
      <c r="B376" t="s">
        <v>26</v>
      </c>
      <c r="C376">
        <v>11200000</v>
      </c>
      <c r="D376">
        <v>81431.199999999997</v>
      </c>
      <c r="E376">
        <v>3.5999999999999997E-2</v>
      </c>
      <c r="F376">
        <v>9.3799999999999994E-2</v>
      </c>
    </row>
    <row r="377" spans="1:6" x14ac:dyDescent="0.3">
      <c r="A377" t="s">
        <v>411</v>
      </c>
      <c r="B377" t="s">
        <v>71</v>
      </c>
      <c r="C377">
        <v>8340000</v>
      </c>
      <c r="D377">
        <v>208546.9</v>
      </c>
      <c r="E377">
        <v>3.78E-2</v>
      </c>
      <c r="F377">
        <v>4.0899999999999999E-2</v>
      </c>
    </row>
    <row r="378" spans="1:6" x14ac:dyDescent="0.3">
      <c r="A378" t="s">
        <v>412</v>
      </c>
      <c r="B378" t="s">
        <v>32</v>
      </c>
      <c r="C378">
        <v>7990000</v>
      </c>
      <c r="D378">
        <v>11276927</v>
      </c>
      <c r="E378">
        <v>1.49E-2</v>
      </c>
      <c r="F378">
        <v>0.22939999999999999</v>
      </c>
    </row>
    <row r="379" spans="1:6" x14ac:dyDescent="0.3">
      <c r="A379" t="s">
        <v>413</v>
      </c>
      <c r="B379" t="s">
        <v>24</v>
      </c>
      <c r="C379">
        <v>8420000</v>
      </c>
      <c r="D379">
        <v>3905.2</v>
      </c>
      <c r="E379">
        <v>1.15E-2</v>
      </c>
      <c r="F379">
        <v>7.2599999999999998E-2</v>
      </c>
    </row>
    <row r="380" spans="1:6" x14ac:dyDescent="0.3">
      <c r="A380" t="s">
        <v>414</v>
      </c>
      <c r="B380" t="s">
        <v>92</v>
      </c>
      <c r="C380">
        <v>8860000</v>
      </c>
      <c r="D380">
        <v>111246.1</v>
      </c>
      <c r="E380">
        <v>2.07E-2</v>
      </c>
      <c r="F380">
        <v>9.3799999999999994E-2</v>
      </c>
    </row>
    <row r="381" spans="1:6" x14ac:dyDescent="0.3">
      <c r="A381" t="s">
        <v>415</v>
      </c>
      <c r="B381" t="s">
        <v>41</v>
      </c>
      <c r="C381">
        <v>7780000</v>
      </c>
      <c r="D381">
        <v>870</v>
      </c>
      <c r="E381">
        <v>3.2099999999999997E-2</v>
      </c>
      <c r="F381">
        <v>5.0999999999999997E-2</v>
      </c>
    </row>
    <row r="382" spans="1:6" x14ac:dyDescent="0.3">
      <c r="A382" t="s">
        <v>416</v>
      </c>
      <c r="B382" t="s">
        <v>92</v>
      </c>
      <c r="C382">
        <v>8960000</v>
      </c>
      <c r="D382">
        <v>133859.6</v>
      </c>
      <c r="F382">
        <v>8.3299999999999999E-2</v>
      </c>
    </row>
    <row r="383" spans="1:6" x14ac:dyDescent="0.3">
      <c r="A383" t="s">
        <v>417</v>
      </c>
      <c r="B383" t="s">
        <v>53</v>
      </c>
      <c r="C383">
        <v>7690000</v>
      </c>
      <c r="D383">
        <v>145415.9</v>
      </c>
      <c r="E383">
        <v>2.87E-2</v>
      </c>
      <c r="F383">
        <v>5.8400000000000001E-2</v>
      </c>
    </row>
    <row r="384" spans="1:6" x14ac:dyDescent="0.3">
      <c r="A384" t="s">
        <v>418</v>
      </c>
      <c r="B384" t="s">
        <v>26</v>
      </c>
      <c r="C384">
        <v>8460000</v>
      </c>
      <c r="D384">
        <v>680725.5</v>
      </c>
      <c r="E384">
        <v>3.0300000000000001E-2</v>
      </c>
      <c r="F384">
        <v>7.5899999999999995E-2</v>
      </c>
    </row>
    <row r="385" spans="1:6" x14ac:dyDescent="0.3">
      <c r="A385" t="s">
        <v>419</v>
      </c>
      <c r="B385" t="s">
        <v>26</v>
      </c>
      <c r="C385">
        <v>10600000</v>
      </c>
      <c r="D385">
        <v>5389009.2999999998</v>
      </c>
      <c r="E385">
        <v>1E-3</v>
      </c>
      <c r="F385">
        <v>8.2199999999999995E-2</v>
      </c>
    </row>
    <row r="386" spans="1:6" x14ac:dyDescent="0.3">
      <c r="A386" t="s">
        <v>420</v>
      </c>
      <c r="B386" t="s">
        <v>24</v>
      </c>
      <c r="C386">
        <v>8340000</v>
      </c>
      <c r="D386">
        <v>66645.899999999994</v>
      </c>
      <c r="E386">
        <v>1.7999999999999999E-2</v>
      </c>
      <c r="F386">
        <v>0.1053</v>
      </c>
    </row>
    <row r="387" spans="1:6" x14ac:dyDescent="0.3">
      <c r="A387" t="s">
        <v>421</v>
      </c>
      <c r="B387" t="s">
        <v>195</v>
      </c>
      <c r="C387">
        <v>7160000</v>
      </c>
      <c r="D387">
        <v>155674.9</v>
      </c>
      <c r="E387">
        <v>4.6699999999999998E-2</v>
      </c>
      <c r="F387">
        <v>9.5100000000000004E-2</v>
      </c>
    </row>
    <row r="388" spans="1:6" x14ac:dyDescent="0.3">
      <c r="A388" t="s">
        <v>422</v>
      </c>
      <c r="B388" t="s">
        <v>195</v>
      </c>
      <c r="C388">
        <v>6890000</v>
      </c>
      <c r="D388">
        <v>10341.200000000001</v>
      </c>
      <c r="E388">
        <v>2.01E-2</v>
      </c>
      <c r="F388">
        <v>5.4600000000000003E-2</v>
      </c>
    </row>
    <row r="389" spans="1:6" x14ac:dyDescent="0.3">
      <c r="A389" t="s">
        <v>423</v>
      </c>
      <c r="B389" t="s">
        <v>195</v>
      </c>
      <c r="C389">
        <v>8240000</v>
      </c>
      <c r="D389">
        <v>19608.2</v>
      </c>
      <c r="E389">
        <v>2.3699999999999999E-2</v>
      </c>
      <c r="F389">
        <v>6.4299999999999996E-2</v>
      </c>
    </row>
    <row r="390" spans="1:6" x14ac:dyDescent="0.3">
      <c r="A390" t="s">
        <v>424</v>
      </c>
      <c r="B390" t="s">
        <v>26</v>
      </c>
      <c r="C390">
        <v>13200000</v>
      </c>
      <c r="D390">
        <v>306799.2</v>
      </c>
      <c r="E390">
        <v>2.4400000000000002E-2</v>
      </c>
      <c r="F390">
        <v>5.0999999999999997E-2</v>
      </c>
    </row>
    <row r="391" spans="1:6" x14ac:dyDescent="0.3">
      <c r="A391" t="s">
        <v>425</v>
      </c>
      <c r="B391" t="s">
        <v>26</v>
      </c>
      <c r="C391">
        <v>21600000</v>
      </c>
      <c r="D391">
        <v>1444324.2</v>
      </c>
      <c r="E391">
        <v>7.6E-3</v>
      </c>
      <c r="F391">
        <v>8.1100000000000005E-2</v>
      </c>
    </row>
    <row r="392" spans="1:6" x14ac:dyDescent="0.3">
      <c r="A392" t="s">
        <v>426</v>
      </c>
      <c r="B392" t="s">
        <v>24</v>
      </c>
      <c r="C392">
        <v>8110000</v>
      </c>
      <c r="D392">
        <v>1153.2</v>
      </c>
      <c r="E392">
        <v>1.9900000000000001E-2</v>
      </c>
      <c r="F392">
        <v>8.5599999999999996E-2</v>
      </c>
    </row>
    <row r="393" spans="1:6" x14ac:dyDescent="0.3">
      <c r="A393" t="s">
        <v>427</v>
      </c>
      <c r="B393" t="s">
        <v>21</v>
      </c>
      <c r="C393">
        <v>33100000</v>
      </c>
      <c r="D393">
        <v>25825250.800000001</v>
      </c>
      <c r="E393">
        <v>4.5100000000000001E-2</v>
      </c>
      <c r="F393">
        <v>4.0899999999999999E-2</v>
      </c>
    </row>
    <row r="394" spans="1:6" x14ac:dyDescent="0.3">
      <c r="A394" t="s">
        <v>428</v>
      </c>
      <c r="B394" t="s">
        <v>53</v>
      </c>
      <c r="C394">
        <v>7580000</v>
      </c>
      <c r="D394">
        <v>315420.7</v>
      </c>
      <c r="E394">
        <v>2.9899999999999999E-2</v>
      </c>
      <c r="F394">
        <v>5.3800000000000001E-2</v>
      </c>
    </row>
    <row r="395" spans="1:6" x14ac:dyDescent="0.3">
      <c r="A395" t="s">
        <v>429</v>
      </c>
      <c r="B395" t="s">
        <v>195</v>
      </c>
      <c r="C395">
        <v>9850000</v>
      </c>
      <c r="D395">
        <v>21407.7</v>
      </c>
      <c r="E395">
        <v>9.1000000000000004E-3</v>
      </c>
      <c r="F395">
        <v>8.2199999999999995E-2</v>
      </c>
    </row>
    <row r="396" spans="1:6" x14ac:dyDescent="0.3">
      <c r="A396" t="s">
        <v>430</v>
      </c>
      <c r="B396" t="s">
        <v>41</v>
      </c>
      <c r="C396">
        <v>8830000</v>
      </c>
      <c r="D396">
        <v>227270.9</v>
      </c>
      <c r="E396">
        <v>3.2300000000000002E-2</v>
      </c>
      <c r="F396">
        <v>9.3799999999999994E-2</v>
      </c>
    </row>
    <row r="397" spans="1:6" x14ac:dyDescent="0.3">
      <c r="A397" t="s">
        <v>431</v>
      </c>
      <c r="B397" t="s">
        <v>26</v>
      </c>
      <c r="C397">
        <v>8660000</v>
      </c>
      <c r="D397">
        <v>6347749.5999999996</v>
      </c>
      <c r="E397">
        <v>2.5000000000000001E-2</v>
      </c>
      <c r="F397">
        <v>5.1799999999999999E-2</v>
      </c>
    </row>
    <row r="398" spans="1:6" x14ac:dyDescent="0.3">
      <c r="A398" t="s">
        <v>432</v>
      </c>
      <c r="B398" t="s">
        <v>50</v>
      </c>
      <c r="C398">
        <v>8920000</v>
      </c>
      <c r="D398">
        <v>6503.2</v>
      </c>
      <c r="E398">
        <v>1.06E-2</v>
      </c>
      <c r="F398">
        <v>8.1100000000000005E-2</v>
      </c>
    </row>
    <row r="399" spans="1:6" x14ac:dyDescent="0.3">
      <c r="A399" t="s">
        <v>433</v>
      </c>
      <c r="B399" t="s">
        <v>26</v>
      </c>
      <c r="C399">
        <v>7440000</v>
      </c>
      <c r="D399">
        <v>37181.199999999997</v>
      </c>
      <c r="E399">
        <v>8.3999999999999995E-3</v>
      </c>
      <c r="F399">
        <v>8.1100000000000005E-2</v>
      </c>
    </row>
    <row r="400" spans="1:6" x14ac:dyDescent="0.3">
      <c r="A400" t="s">
        <v>434</v>
      </c>
      <c r="B400" t="s">
        <v>26</v>
      </c>
      <c r="C400">
        <v>7650000</v>
      </c>
      <c r="D400">
        <v>1817.2</v>
      </c>
      <c r="E400">
        <v>2.2499999999999999E-2</v>
      </c>
      <c r="F400">
        <v>7.2499999999999995E-2</v>
      </c>
    </row>
    <row r="401" spans="1:6" x14ac:dyDescent="0.3">
      <c r="A401" t="s">
        <v>435</v>
      </c>
      <c r="B401" t="s">
        <v>21</v>
      </c>
      <c r="C401">
        <v>8350000</v>
      </c>
      <c r="D401">
        <v>94247.3</v>
      </c>
      <c r="E401">
        <v>6.7999999999999996E-3</v>
      </c>
      <c r="F401">
        <v>6.54E-2</v>
      </c>
    </row>
    <row r="402" spans="1:6" x14ac:dyDescent="0.3">
      <c r="A402" t="s">
        <v>436</v>
      </c>
      <c r="B402" t="s">
        <v>30</v>
      </c>
      <c r="C402">
        <v>10300000</v>
      </c>
      <c r="D402">
        <v>12768.8</v>
      </c>
      <c r="E402">
        <v>7.7000000000000002E-3</v>
      </c>
      <c r="F402">
        <v>8.1100000000000005E-2</v>
      </c>
    </row>
    <row r="403" spans="1:6" x14ac:dyDescent="0.3">
      <c r="A403" t="s">
        <v>437</v>
      </c>
      <c r="B403" t="s">
        <v>26</v>
      </c>
      <c r="C403">
        <v>7130000</v>
      </c>
      <c r="D403">
        <v>1711.3</v>
      </c>
      <c r="E403">
        <v>0.92310000000000003</v>
      </c>
      <c r="F403">
        <v>9.5100000000000004E-2</v>
      </c>
    </row>
    <row r="404" spans="1:6" x14ac:dyDescent="0.3">
      <c r="A404" t="s">
        <v>438</v>
      </c>
      <c r="B404" t="s">
        <v>88</v>
      </c>
      <c r="C404">
        <v>8350000</v>
      </c>
      <c r="D404">
        <v>38213</v>
      </c>
      <c r="E404">
        <v>4.2900000000000001E-2</v>
      </c>
      <c r="F404">
        <v>9.3799999999999994E-2</v>
      </c>
    </row>
    <row r="405" spans="1:6" x14ac:dyDescent="0.3">
      <c r="A405" t="s">
        <v>439</v>
      </c>
      <c r="B405" t="s">
        <v>24</v>
      </c>
      <c r="C405">
        <v>9840000</v>
      </c>
      <c r="D405">
        <v>1289140</v>
      </c>
      <c r="E405">
        <v>5.1999999999999998E-3</v>
      </c>
      <c r="F405">
        <v>8.2199999999999995E-2</v>
      </c>
    </row>
    <row r="406" spans="1:6" x14ac:dyDescent="0.3">
      <c r="A406" t="s">
        <v>440</v>
      </c>
      <c r="B406" t="s">
        <v>26</v>
      </c>
      <c r="C406">
        <v>19800000</v>
      </c>
      <c r="D406">
        <v>19197686.5</v>
      </c>
      <c r="E406">
        <v>3.4000000000000002E-2</v>
      </c>
      <c r="F406">
        <v>4.0899999999999999E-2</v>
      </c>
    </row>
    <row r="407" spans="1:6" x14ac:dyDescent="0.3">
      <c r="A407" t="s">
        <v>441</v>
      </c>
      <c r="B407" t="s">
        <v>21</v>
      </c>
      <c r="C407">
        <v>9270000</v>
      </c>
      <c r="D407">
        <v>13129.6</v>
      </c>
      <c r="E407">
        <v>9.9000000000000008E-3</v>
      </c>
      <c r="F407">
        <v>8.1100000000000005E-2</v>
      </c>
    </row>
    <row r="408" spans="1:6" x14ac:dyDescent="0.3">
      <c r="A408" t="s">
        <v>442</v>
      </c>
      <c r="B408" t="s">
        <v>195</v>
      </c>
      <c r="C408">
        <v>8560000</v>
      </c>
      <c r="D408">
        <v>401196.7</v>
      </c>
      <c r="E408">
        <v>3.9699999999999999E-2</v>
      </c>
      <c r="F408">
        <v>9.3799999999999994E-2</v>
      </c>
    </row>
    <row r="409" spans="1:6" x14ac:dyDescent="0.3">
      <c r="A409" t="s">
        <v>443</v>
      </c>
      <c r="B409" t="s">
        <v>26</v>
      </c>
      <c r="C409">
        <v>7300000</v>
      </c>
      <c r="D409">
        <v>340631.2</v>
      </c>
      <c r="E409">
        <v>6.1000000000000004E-3</v>
      </c>
      <c r="F409">
        <v>8.2199999999999995E-2</v>
      </c>
    </row>
    <row r="410" spans="1:6" x14ac:dyDescent="0.3">
      <c r="A410" t="s">
        <v>444</v>
      </c>
      <c r="B410" t="s">
        <v>28</v>
      </c>
      <c r="C410">
        <v>12100000</v>
      </c>
      <c r="D410">
        <v>138155.20000000001</v>
      </c>
      <c r="E410">
        <v>7.9000000000000008E-3</v>
      </c>
      <c r="F410">
        <v>8.1100000000000005E-2</v>
      </c>
    </row>
    <row r="411" spans="1:6" x14ac:dyDescent="0.3">
      <c r="A411" t="s">
        <v>445</v>
      </c>
      <c r="B411" t="s">
        <v>26</v>
      </c>
      <c r="C411">
        <v>7880000</v>
      </c>
      <c r="D411">
        <v>752695.2</v>
      </c>
      <c r="E411">
        <v>2.2700000000000001E-2</v>
      </c>
      <c r="F411">
        <v>9.5000000000000001E-2</v>
      </c>
    </row>
    <row r="412" spans="1:6" x14ac:dyDescent="0.3">
      <c r="A412" t="s">
        <v>446</v>
      </c>
      <c r="B412" t="s">
        <v>26</v>
      </c>
      <c r="C412">
        <v>17500000</v>
      </c>
      <c r="D412">
        <v>305475.40000000002</v>
      </c>
      <c r="E412">
        <v>0.01</v>
      </c>
      <c r="F412">
        <v>8.1100000000000005E-2</v>
      </c>
    </row>
    <row r="413" spans="1:6" x14ac:dyDescent="0.3">
      <c r="A413" t="s">
        <v>447</v>
      </c>
      <c r="B413" t="s">
        <v>21</v>
      </c>
      <c r="C413">
        <v>9910000</v>
      </c>
      <c r="D413">
        <v>80221.2</v>
      </c>
      <c r="E413">
        <v>4.2799999999999998E-2</v>
      </c>
      <c r="F413">
        <v>5.0999999999999997E-2</v>
      </c>
    </row>
    <row r="414" spans="1:6" x14ac:dyDescent="0.3">
      <c r="A414" t="s">
        <v>448</v>
      </c>
      <c r="B414" t="s">
        <v>26</v>
      </c>
      <c r="C414">
        <v>8280000</v>
      </c>
      <c r="D414">
        <v>183558.39999999999</v>
      </c>
      <c r="E414">
        <v>3.0200000000000001E-2</v>
      </c>
      <c r="F414">
        <v>7.5899999999999995E-2</v>
      </c>
    </row>
    <row r="415" spans="1:6" x14ac:dyDescent="0.3">
      <c r="A415" t="s">
        <v>449</v>
      </c>
      <c r="B415" t="s">
        <v>41</v>
      </c>
      <c r="C415">
        <v>7640000</v>
      </c>
      <c r="D415">
        <v>4141.3999999999996</v>
      </c>
      <c r="E415">
        <v>2.01E-2</v>
      </c>
      <c r="F415">
        <v>0.1053</v>
      </c>
    </row>
    <row r="416" spans="1:6" x14ac:dyDescent="0.3">
      <c r="A416" t="s">
        <v>450</v>
      </c>
      <c r="B416" t="s">
        <v>24</v>
      </c>
      <c r="C416">
        <v>8620000</v>
      </c>
      <c r="D416">
        <v>183997.6</v>
      </c>
      <c r="E416">
        <v>5.0299999999999997E-2</v>
      </c>
      <c r="F416">
        <v>7.5899999999999995E-2</v>
      </c>
    </row>
    <row r="417" spans="1:6" x14ac:dyDescent="0.3">
      <c r="A417" t="s">
        <v>451</v>
      </c>
      <c r="B417" t="s">
        <v>26</v>
      </c>
      <c r="C417">
        <v>8470000</v>
      </c>
      <c r="D417">
        <v>4110674.1</v>
      </c>
      <c r="E417">
        <v>2.5899999999999999E-2</v>
      </c>
      <c r="F417">
        <v>4.0899999999999999E-2</v>
      </c>
    </row>
    <row r="418" spans="1:6" x14ac:dyDescent="0.3">
      <c r="A418" t="s">
        <v>452</v>
      </c>
      <c r="B418" t="s">
        <v>26</v>
      </c>
      <c r="C418">
        <v>13100000</v>
      </c>
      <c r="D418">
        <v>247770</v>
      </c>
      <c r="F418">
        <v>4.0899999999999999E-2</v>
      </c>
    </row>
    <row r="419" spans="1:6" x14ac:dyDescent="0.3">
      <c r="A419" t="s">
        <v>453</v>
      </c>
      <c r="B419" t="s">
        <v>24</v>
      </c>
      <c r="C419">
        <v>7180000</v>
      </c>
      <c r="D419">
        <v>30779.8</v>
      </c>
      <c r="E419">
        <v>1.8499999999999999E-2</v>
      </c>
      <c r="F419">
        <v>0.1053</v>
      </c>
    </row>
    <row r="420" spans="1:6" x14ac:dyDescent="0.3">
      <c r="A420" t="s">
        <v>454</v>
      </c>
      <c r="B420" t="s">
        <v>21</v>
      </c>
      <c r="C420">
        <v>7810000</v>
      </c>
      <c r="D420">
        <v>9404.2999999999993</v>
      </c>
      <c r="E420">
        <v>6.8999999999999999E-3</v>
      </c>
      <c r="F420">
        <v>8.1100000000000005E-2</v>
      </c>
    </row>
    <row r="421" spans="1:6" x14ac:dyDescent="0.3">
      <c r="A421" t="s">
        <v>455</v>
      </c>
      <c r="B421" t="s">
        <v>53</v>
      </c>
      <c r="C421">
        <v>7050000</v>
      </c>
      <c r="D421">
        <v>2453581.6</v>
      </c>
      <c r="E421">
        <v>2.4400000000000002E-2</v>
      </c>
      <c r="F421">
        <v>5.1799999999999999E-2</v>
      </c>
    </row>
    <row r="422" spans="1:6" x14ac:dyDescent="0.3">
      <c r="A422" t="s">
        <v>456</v>
      </c>
      <c r="B422" t="s">
        <v>92</v>
      </c>
      <c r="C422">
        <v>6500000</v>
      </c>
      <c r="D422">
        <v>69528.600000000006</v>
      </c>
      <c r="E422">
        <v>1.44E-2</v>
      </c>
      <c r="F422">
        <v>5.8500000000000003E-2</v>
      </c>
    </row>
    <row r="423" spans="1:6" x14ac:dyDescent="0.3">
      <c r="A423" t="s">
        <v>457</v>
      </c>
      <c r="B423" t="s">
        <v>26</v>
      </c>
      <c r="C423">
        <v>10800000</v>
      </c>
      <c r="D423">
        <v>314474</v>
      </c>
      <c r="E423">
        <v>6.9500000000000006E-2</v>
      </c>
      <c r="F423">
        <v>5.0999999999999997E-2</v>
      </c>
    </row>
    <row r="424" spans="1:6" x14ac:dyDescent="0.3">
      <c r="A424" t="s">
        <v>458</v>
      </c>
      <c r="B424" t="s">
        <v>26</v>
      </c>
      <c r="C424">
        <v>6860000</v>
      </c>
      <c r="D424">
        <v>219253.9</v>
      </c>
      <c r="E424">
        <v>3.9100000000000003E-2</v>
      </c>
      <c r="F424">
        <v>7.5899999999999995E-2</v>
      </c>
    </row>
    <row r="425" spans="1:6" x14ac:dyDescent="0.3">
      <c r="A425" t="s">
        <v>459</v>
      </c>
      <c r="B425" t="s">
        <v>41</v>
      </c>
      <c r="C425">
        <v>10700000</v>
      </c>
      <c r="D425">
        <v>500</v>
      </c>
      <c r="E425">
        <v>1.77E-2</v>
      </c>
      <c r="F425">
        <v>5.7599999999999998E-2</v>
      </c>
    </row>
    <row r="426" spans="1:6" x14ac:dyDescent="0.3">
      <c r="A426" t="s">
        <v>460</v>
      </c>
      <c r="B426" t="s">
        <v>26</v>
      </c>
      <c r="C426">
        <v>6630000</v>
      </c>
      <c r="D426">
        <v>161603</v>
      </c>
      <c r="E426">
        <v>7.4700000000000003E-2</v>
      </c>
      <c r="F426">
        <v>7.5899999999999995E-2</v>
      </c>
    </row>
    <row r="427" spans="1:6" x14ac:dyDescent="0.3">
      <c r="A427" t="s">
        <v>461</v>
      </c>
      <c r="B427" t="s">
        <v>26</v>
      </c>
      <c r="C427">
        <v>7230000</v>
      </c>
      <c r="D427">
        <v>279790.2</v>
      </c>
      <c r="E427">
        <v>2.2100000000000002E-2</v>
      </c>
      <c r="F427">
        <v>4.0899999999999999E-2</v>
      </c>
    </row>
    <row r="428" spans="1:6" x14ac:dyDescent="0.3">
      <c r="A428" t="s">
        <v>462</v>
      </c>
      <c r="B428" t="s">
        <v>26</v>
      </c>
      <c r="C428">
        <v>27200000</v>
      </c>
      <c r="D428">
        <v>10461.4</v>
      </c>
      <c r="E428">
        <v>5.5999999999999999E-3</v>
      </c>
      <c r="F428">
        <v>8.1100000000000005E-2</v>
      </c>
    </row>
    <row r="429" spans="1:6" x14ac:dyDescent="0.3">
      <c r="A429" t="s">
        <v>463</v>
      </c>
      <c r="B429" t="s">
        <v>41</v>
      </c>
      <c r="C429">
        <v>8690000</v>
      </c>
      <c r="D429">
        <v>1695.4</v>
      </c>
      <c r="E429">
        <v>6.7799999999999999E-2</v>
      </c>
      <c r="F429">
        <v>0.44819999999999999</v>
      </c>
    </row>
    <row r="430" spans="1:6" x14ac:dyDescent="0.3">
      <c r="A430" t="s">
        <v>464</v>
      </c>
      <c r="B430" t="s">
        <v>26</v>
      </c>
      <c r="C430">
        <v>21600000</v>
      </c>
      <c r="D430">
        <v>346529.1</v>
      </c>
      <c r="E430">
        <v>5.7999999999999996E-3</v>
      </c>
      <c r="F430">
        <v>8.1100000000000005E-2</v>
      </c>
    </row>
    <row r="431" spans="1:6" x14ac:dyDescent="0.3">
      <c r="A431" t="s">
        <v>465</v>
      </c>
      <c r="B431" t="s">
        <v>21</v>
      </c>
      <c r="C431">
        <v>6530000</v>
      </c>
      <c r="D431">
        <v>75855</v>
      </c>
      <c r="E431">
        <v>1.3299999999999999E-2</v>
      </c>
      <c r="F431">
        <v>4.6199999999999998E-2</v>
      </c>
    </row>
    <row r="432" spans="1:6" x14ac:dyDescent="0.3">
      <c r="A432" t="s">
        <v>466</v>
      </c>
      <c r="B432" t="s">
        <v>74</v>
      </c>
      <c r="C432">
        <v>7990000</v>
      </c>
      <c r="D432">
        <v>4492</v>
      </c>
      <c r="E432">
        <v>2.1499999999999998E-2</v>
      </c>
      <c r="F432">
        <v>6.4299999999999996E-2</v>
      </c>
    </row>
    <row r="433" spans="1:6" x14ac:dyDescent="0.3">
      <c r="A433" t="s">
        <v>467</v>
      </c>
      <c r="B433" t="s">
        <v>41</v>
      </c>
      <c r="C433">
        <v>6390000</v>
      </c>
      <c r="D433">
        <v>422.9</v>
      </c>
      <c r="E433">
        <v>3.2000000000000002E-3</v>
      </c>
      <c r="F433">
        <v>0.23710000000000001</v>
      </c>
    </row>
    <row r="434" spans="1:6" x14ac:dyDescent="0.3">
      <c r="A434" t="s">
        <v>468</v>
      </c>
      <c r="B434" t="s">
        <v>26</v>
      </c>
      <c r="C434">
        <v>6150000</v>
      </c>
      <c r="D434">
        <v>3785.9</v>
      </c>
      <c r="E434">
        <v>4.4000000000000003E-3</v>
      </c>
      <c r="F434">
        <v>8.2199999999999995E-2</v>
      </c>
    </row>
    <row r="435" spans="1:6" x14ac:dyDescent="0.3">
      <c r="A435" t="s">
        <v>469</v>
      </c>
      <c r="B435" t="s">
        <v>26</v>
      </c>
      <c r="C435">
        <v>9610000</v>
      </c>
      <c r="D435">
        <v>26558</v>
      </c>
      <c r="E435">
        <v>1.52E-2</v>
      </c>
      <c r="F435">
        <v>7.2599999999999998E-2</v>
      </c>
    </row>
    <row r="436" spans="1:6" x14ac:dyDescent="0.3">
      <c r="A436" t="s">
        <v>470</v>
      </c>
      <c r="B436" t="s">
        <v>24</v>
      </c>
      <c r="C436">
        <v>7050000</v>
      </c>
      <c r="D436">
        <v>5843.9</v>
      </c>
      <c r="E436">
        <v>3.15E-2</v>
      </c>
      <c r="F436">
        <v>7.2499999999999995E-2</v>
      </c>
    </row>
    <row r="437" spans="1:6" x14ac:dyDescent="0.3">
      <c r="A437" t="s">
        <v>471</v>
      </c>
      <c r="B437" t="s">
        <v>53</v>
      </c>
      <c r="C437">
        <v>8500000</v>
      </c>
      <c r="D437">
        <v>46691.7</v>
      </c>
      <c r="F437">
        <v>4.0899999999999999E-2</v>
      </c>
    </row>
    <row r="438" spans="1:6" x14ac:dyDescent="0.3">
      <c r="A438" t="s">
        <v>472</v>
      </c>
      <c r="B438" t="s">
        <v>24</v>
      </c>
      <c r="C438">
        <v>8160000</v>
      </c>
      <c r="D438">
        <v>9487.2000000000007</v>
      </c>
      <c r="E438">
        <v>1.46E-2</v>
      </c>
      <c r="F438">
        <v>7.2599999999999998E-2</v>
      </c>
    </row>
    <row r="439" spans="1:6" x14ac:dyDescent="0.3">
      <c r="A439" t="s">
        <v>473</v>
      </c>
      <c r="B439" t="s">
        <v>32</v>
      </c>
      <c r="C439">
        <v>7080000</v>
      </c>
      <c r="D439">
        <v>1420104.8</v>
      </c>
      <c r="E439">
        <v>3.39E-2</v>
      </c>
      <c r="F439">
        <v>5.1799999999999999E-2</v>
      </c>
    </row>
    <row r="440" spans="1:6" x14ac:dyDescent="0.3">
      <c r="A440" t="s">
        <v>474</v>
      </c>
      <c r="B440" t="s">
        <v>81</v>
      </c>
      <c r="C440">
        <v>10200000</v>
      </c>
      <c r="D440">
        <v>877954</v>
      </c>
      <c r="E440">
        <v>9.4000000000000004E-3</v>
      </c>
      <c r="F440">
        <v>8.1699999999999995E-2</v>
      </c>
    </row>
    <row r="441" spans="1:6" x14ac:dyDescent="0.3">
      <c r="A441" t="s">
        <v>475</v>
      </c>
      <c r="B441" t="s">
        <v>53</v>
      </c>
      <c r="C441">
        <v>6500000</v>
      </c>
      <c r="D441">
        <v>8684507.1999999993</v>
      </c>
      <c r="E441">
        <v>8.2500000000000004E-2</v>
      </c>
      <c r="F441">
        <v>9.5100000000000004E-2</v>
      </c>
    </row>
    <row r="442" spans="1:6" x14ac:dyDescent="0.3">
      <c r="A442" t="s">
        <v>476</v>
      </c>
      <c r="B442" t="s">
        <v>24</v>
      </c>
      <c r="C442">
        <v>8700000</v>
      </c>
      <c r="D442">
        <v>280503.59999999998</v>
      </c>
      <c r="E442">
        <v>3.1600000000000003E-2</v>
      </c>
      <c r="F442">
        <v>5.0999999999999997E-2</v>
      </c>
    </row>
    <row r="443" spans="1:6" x14ac:dyDescent="0.3">
      <c r="A443" t="s">
        <v>477</v>
      </c>
      <c r="B443" t="s">
        <v>26</v>
      </c>
      <c r="C443">
        <v>6760000</v>
      </c>
      <c r="D443">
        <v>465188</v>
      </c>
      <c r="F443">
        <v>7.5899999999999995E-2</v>
      </c>
    </row>
    <row r="444" spans="1:6" x14ac:dyDescent="0.3">
      <c r="A444" t="s">
        <v>478</v>
      </c>
      <c r="B444" t="s">
        <v>92</v>
      </c>
      <c r="C444">
        <v>8250000</v>
      </c>
      <c r="D444">
        <v>71636.399999999994</v>
      </c>
      <c r="E444">
        <v>2.5600000000000001E-2</v>
      </c>
      <c r="F444">
        <v>8.3299999999999999E-2</v>
      </c>
    </row>
    <row r="445" spans="1:6" x14ac:dyDescent="0.3">
      <c r="A445" t="s">
        <v>479</v>
      </c>
      <c r="B445" t="s">
        <v>26</v>
      </c>
      <c r="C445">
        <v>7330000</v>
      </c>
      <c r="D445">
        <v>28938.9</v>
      </c>
      <c r="E445">
        <v>7.3800000000000004E-2</v>
      </c>
      <c r="F445">
        <v>9.3799999999999994E-2</v>
      </c>
    </row>
    <row r="446" spans="1:6" x14ac:dyDescent="0.3">
      <c r="A446" t="s">
        <v>480</v>
      </c>
      <c r="B446" t="s">
        <v>50</v>
      </c>
      <c r="C446">
        <v>7090000</v>
      </c>
      <c r="D446">
        <v>16481.2</v>
      </c>
      <c r="E446">
        <v>6.7999999999999996E-3</v>
      </c>
      <c r="F446">
        <v>6.54E-2</v>
      </c>
    </row>
    <row r="447" spans="1:6" x14ac:dyDescent="0.3">
      <c r="A447" t="s">
        <v>481</v>
      </c>
      <c r="B447" t="s">
        <v>41</v>
      </c>
      <c r="C447">
        <v>7310000</v>
      </c>
      <c r="D447">
        <v>1080.5</v>
      </c>
      <c r="E447">
        <v>2.86E-2</v>
      </c>
      <c r="F447">
        <v>9.3799999999999994E-2</v>
      </c>
    </row>
    <row r="448" spans="1:6" x14ac:dyDescent="0.3">
      <c r="A448" t="s">
        <v>482</v>
      </c>
      <c r="B448" t="s">
        <v>24</v>
      </c>
      <c r="C448">
        <v>8760000</v>
      </c>
      <c r="D448">
        <v>3691170.5</v>
      </c>
      <c r="E448">
        <v>3.7699999999999997E-2</v>
      </c>
      <c r="F448">
        <v>4.0899999999999999E-2</v>
      </c>
    </row>
    <row r="449" spans="1:6" x14ac:dyDescent="0.3">
      <c r="A449" t="s">
        <v>483</v>
      </c>
      <c r="B449" t="s">
        <v>287</v>
      </c>
      <c r="C449">
        <v>7170000</v>
      </c>
      <c r="D449">
        <v>33478.699999999997</v>
      </c>
      <c r="E449">
        <v>1.14E-2</v>
      </c>
      <c r="F449">
        <v>5.1999999999999998E-2</v>
      </c>
    </row>
    <row r="450" spans="1:6" x14ac:dyDescent="0.3">
      <c r="A450" t="s">
        <v>484</v>
      </c>
      <c r="B450" t="s">
        <v>26</v>
      </c>
      <c r="C450">
        <v>8490000</v>
      </c>
      <c r="D450">
        <v>208677.4</v>
      </c>
      <c r="E450">
        <v>1.09E-2</v>
      </c>
      <c r="F450">
        <v>5.8400000000000001E-2</v>
      </c>
    </row>
    <row r="451" spans="1:6" x14ac:dyDescent="0.3">
      <c r="A451" t="s">
        <v>485</v>
      </c>
      <c r="B451" t="s">
        <v>26</v>
      </c>
      <c r="C451">
        <v>6790000</v>
      </c>
      <c r="D451">
        <v>17599.8</v>
      </c>
      <c r="E451">
        <v>6.9699999999999998E-2</v>
      </c>
      <c r="F451">
        <v>7.5899999999999995E-2</v>
      </c>
    </row>
    <row r="452" spans="1:6" x14ac:dyDescent="0.3">
      <c r="A452" t="s">
        <v>486</v>
      </c>
      <c r="B452" t="s">
        <v>26</v>
      </c>
      <c r="C452">
        <v>5760000</v>
      </c>
      <c r="D452">
        <v>1696852</v>
      </c>
      <c r="E452">
        <v>2.8000000000000001E-2</v>
      </c>
      <c r="F452">
        <v>7.5899999999999995E-2</v>
      </c>
    </row>
    <row r="453" spans="1:6" x14ac:dyDescent="0.3">
      <c r="A453" t="s">
        <v>487</v>
      </c>
      <c r="B453" t="s">
        <v>30</v>
      </c>
      <c r="C453">
        <v>9400000</v>
      </c>
      <c r="D453">
        <v>76834.5</v>
      </c>
      <c r="E453">
        <v>1.2999999999999999E-2</v>
      </c>
      <c r="F453">
        <v>5.8500000000000003E-2</v>
      </c>
    </row>
    <row r="454" spans="1:6" x14ac:dyDescent="0.3">
      <c r="A454" t="s">
        <v>488</v>
      </c>
      <c r="B454" t="s">
        <v>53</v>
      </c>
      <c r="C454">
        <v>8770000</v>
      </c>
      <c r="D454">
        <v>638009.69999999995</v>
      </c>
      <c r="E454">
        <v>1.77E-2</v>
      </c>
      <c r="F454">
        <v>8.5400000000000004E-2</v>
      </c>
    </row>
    <row r="455" spans="1:6" x14ac:dyDescent="0.3">
      <c r="A455" t="s">
        <v>489</v>
      </c>
      <c r="B455" t="s">
        <v>490</v>
      </c>
      <c r="C455">
        <v>7460000</v>
      </c>
      <c r="D455">
        <v>182910.7</v>
      </c>
      <c r="E455">
        <v>1.66E-2</v>
      </c>
      <c r="F455">
        <v>4.6199999999999998E-2</v>
      </c>
    </row>
    <row r="456" spans="1:6" x14ac:dyDescent="0.3">
      <c r="A456" t="s">
        <v>491</v>
      </c>
      <c r="B456" t="s">
        <v>62</v>
      </c>
      <c r="C456">
        <v>8760000</v>
      </c>
      <c r="D456">
        <v>5719578.7000000002</v>
      </c>
      <c r="E456">
        <v>3.39E-2</v>
      </c>
      <c r="F456">
        <v>6.7199999999999996E-2</v>
      </c>
    </row>
    <row r="457" spans="1:6" x14ac:dyDescent="0.3">
      <c r="A457" t="s">
        <v>492</v>
      </c>
      <c r="B457" t="s">
        <v>30</v>
      </c>
      <c r="C457">
        <v>13400000</v>
      </c>
      <c r="D457">
        <v>719846.6</v>
      </c>
      <c r="F457">
        <v>5.0999999999999997E-2</v>
      </c>
    </row>
    <row r="458" spans="1:6" x14ac:dyDescent="0.3">
      <c r="A458" t="s">
        <v>493</v>
      </c>
      <c r="B458" t="s">
        <v>26</v>
      </c>
      <c r="C458">
        <v>6390000</v>
      </c>
      <c r="D458">
        <v>4895.3</v>
      </c>
      <c r="E458">
        <v>4.7699999999999999E-2</v>
      </c>
      <c r="F458">
        <v>9.5100000000000004E-2</v>
      </c>
    </row>
    <row r="459" spans="1:6" x14ac:dyDescent="0.3">
      <c r="A459" t="s">
        <v>494</v>
      </c>
      <c r="B459" t="s">
        <v>62</v>
      </c>
      <c r="C459">
        <v>10400000</v>
      </c>
      <c r="D459">
        <v>114946.9</v>
      </c>
      <c r="E459">
        <v>2.8299999999999999E-2</v>
      </c>
      <c r="F459">
        <v>9.3799999999999994E-2</v>
      </c>
    </row>
    <row r="460" spans="1:6" x14ac:dyDescent="0.3">
      <c r="A460" t="s">
        <v>495</v>
      </c>
      <c r="B460" t="s">
        <v>74</v>
      </c>
      <c r="C460">
        <v>6880000</v>
      </c>
      <c r="D460">
        <v>250272.1</v>
      </c>
      <c r="E460">
        <v>2.2200000000000001E-2</v>
      </c>
      <c r="F460">
        <v>8.5400000000000004E-2</v>
      </c>
    </row>
    <row r="461" spans="1:6" x14ac:dyDescent="0.3">
      <c r="A461" t="s">
        <v>496</v>
      </c>
      <c r="B461" t="s">
        <v>195</v>
      </c>
      <c r="C461">
        <v>7350000</v>
      </c>
      <c r="D461">
        <v>8745.7999999999993</v>
      </c>
      <c r="E461">
        <v>1.4200000000000001E-2</v>
      </c>
      <c r="F461">
        <v>7.2599999999999998E-2</v>
      </c>
    </row>
    <row r="462" spans="1:6" x14ac:dyDescent="0.3">
      <c r="A462" t="s">
        <v>497</v>
      </c>
      <c r="B462" t="s">
        <v>41</v>
      </c>
      <c r="C462">
        <v>7970000</v>
      </c>
      <c r="D462">
        <v>38534.1</v>
      </c>
      <c r="F462">
        <v>4.0899999999999999E-2</v>
      </c>
    </row>
    <row r="463" spans="1:6" x14ac:dyDescent="0.3">
      <c r="A463" t="s">
        <v>498</v>
      </c>
      <c r="B463" t="s">
        <v>24</v>
      </c>
      <c r="C463">
        <v>6390000</v>
      </c>
      <c r="D463">
        <v>46425.1</v>
      </c>
      <c r="E463">
        <v>5.28E-2</v>
      </c>
      <c r="F463">
        <v>9.3799999999999994E-2</v>
      </c>
    </row>
    <row r="464" spans="1:6" x14ac:dyDescent="0.3">
      <c r="A464" t="s">
        <v>499</v>
      </c>
      <c r="B464" t="s">
        <v>62</v>
      </c>
      <c r="C464">
        <v>7150000</v>
      </c>
      <c r="D464">
        <v>27733.4</v>
      </c>
      <c r="E464">
        <v>4.41E-2</v>
      </c>
      <c r="F464">
        <v>4.3200000000000002E-2</v>
      </c>
    </row>
    <row r="465" spans="1:6" x14ac:dyDescent="0.3">
      <c r="A465" t="s">
        <v>500</v>
      </c>
      <c r="B465" t="s">
        <v>62</v>
      </c>
      <c r="C465">
        <v>7230000</v>
      </c>
      <c r="D465">
        <v>1353776.3</v>
      </c>
      <c r="E465">
        <v>2.5899999999999999E-2</v>
      </c>
      <c r="F465">
        <v>5.0999999999999997E-2</v>
      </c>
    </row>
    <row r="466" spans="1:6" x14ac:dyDescent="0.3">
      <c r="A466" t="s">
        <v>501</v>
      </c>
      <c r="B466" t="s">
        <v>21</v>
      </c>
      <c r="C466">
        <v>9310000</v>
      </c>
      <c r="D466">
        <v>5610.4</v>
      </c>
      <c r="E466">
        <v>6.0000000000000001E-3</v>
      </c>
      <c r="F466">
        <v>8.1100000000000005E-2</v>
      </c>
    </row>
    <row r="467" spans="1:6" x14ac:dyDescent="0.3">
      <c r="A467" t="s">
        <v>502</v>
      </c>
      <c r="B467" t="s">
        <v>53</v>
      </c>
      <c r="C467">
        <v>6560000</v>
      </c>
      <c r="D467">
        <v>375001.1</v>
      </c>
      <c r="E467">
        <v>3.9100000000000003E-2</v>
      </c>
      <c r="F467">
        <v>4.0899999999999999E-2</v>
      </c>
    </row>
    <row r="468" spans="1:6" x14ac:dyDescent="0.3">
      <c r="A468" t="s">
        <v>503</v>
      </c>
      <c r="B468" t="s">
        <v>26</v>
      </c>
      <c r="C468">
        <v>15400000</v>
      </c>
      <c r="D468">
        <v>3939054.6</v>
      </c>
      <c r="E468">
        <v>2.8899999999999999E-2</v>
      </c>
      <c r="F468">
        <v>4.0899999999999999E-2</v>
      </c>
    </row>
    <row r="469" spans="1:6" x14ac:dyDescent="0.3">
      <c r="A469" t="s">
        <v>504</v>
      </c>
      <c r="B469" t="s">
        <v>21</v>
      </c>
      <c r="C469">
        <v>8560000</v>
      </c>
      <c r="D469">
        <v>340593</v>
      </c>
      <c r="E469">
        <v>1.7500000000000002E-2</v>
      </c>
      <c r="F469">
        <v>5.7599999999999998E-2</v>
      </c>
    </row>
    <row r="470" spans="1:6" x14ac:dyDescent="0.3">
      <c r="A470" t="s">
        <v>505</v>
      </c>
      <c r="B470" t="s">
        <v>53</v>
      </c>
      <c r="C470">
        <v>6800000</v>
      </c>
      <c r="D470">
        <v>75078.8</v>
      </c>
      <c r="E470">
        <v>1.8499999999999999E-2</v>
      </c>
      <c r="F470">
        <v>0.1053</v>
      </c>
    </row>
    <row r="471" spans="1:6" x14ac:dyDescent="0.3">
      <c r="A471" t="s">
        <v>506</v>
      </c>
      <c r="B471" t="s">
        <v>26</v>
      </c>
      <c r="C471">
        <v>6230000</v>
      </c>
      <c r="D471">
        <v>51464.9</v>
      </c>
      <c r="E471">
        <v>5.8599999999999999E-2</v>
      </c>
      <c r="F471">
        <v>7.5899999999999995E-2</v>
      </c>
    </row>
    <row r="472" spans="1:6" x14ac:dyDescent="0.3">
      <c r="A472" t="s">
        <v>507</v>
      </c>
      <c r="B472" t="s">
        <v>21</v>
      </c>
      <c r="C472">
        <v>6760000</v>
      </c>
      <c r="D472">
        <v>107834.4</v>
      </c>
      <c r="E472">
        <v>4.3499999999999997E-2</v>
      </c>
      <c r="F472">
        <v>7.5899999999999995E-2</v>
      </c>
    </row>
    <row r="473" spans="1:6" x14ac:dyDescent="0.3">
      <c r="A473" t="s">
        <v>508</v>
      </c>
      <c r="B473" t="s">
        <v>41</v>
      </c>
      <c r="C473">
        <v>6050000</v>
      </c>
      <c r="D473">
        <v>1480.1</v>
      </c>
      <c r="E473">
        <v>3.6400000000000002E-2</v>
      </c>
      <c r="F473">
        <v>9.3799999999999994E-2</v>
      </c>
    </row>
    <row r="474" spans="1:6" x14ac:dyDescent="0.3">
      <c r="A474" t="s">
        <v>509</v>
      </c>
      <c r="B474" t="s">
        <v>26</v>
      </c>
      <c r="C474">
        <v>6280000</v>
      </c>
      <c r="D474">
        <v>53720.7</v>
      </c>
      <c r="E474">
        <v>9.2999999999999992E-3</v>
      </c>
      <c r="F474">
        <v>6.54E-2</v>
      </c>
    </row>
    <row r="475" spans="1:6" x14ac:dyDescent="0.3">
      <c r="A475" t="s">
        <v>510</v>
      </c>
      <c r="B475" t="s">
        <v>35</v>
      </c>
      <c r="C475">
        <v>7690000</v>
      </c>
      <c r="D475">
        <v>771.5</v>
      </c>
      <c r="E475">
        <v>2.1100000000000001E-2</v>
      </c>
      <c r="F475">
        <v>5.0999999999999997E-2</v>
      </c>
    </row>
    <row r="476" spans="1:6" x14ac:dyDescent="0.3">
      <c r="A476" t="s">
        <v>511</v>
      </c>
      <c r="B476" t="s">
        <v>26</v>
      </c>
      <c r="C476">
        <v>5140000</v>
      </c>
      <c r="D476">
        <v>11174.4</v>
      </c>
      <c r="E476">
        <v>8.6300000000000002E-2</v>
      </c>
      <c r="F476">
        <v>9.3799999999999994E-2</v>
      </c>
    </row>
    <row r="477" spans="1:6" x14ac:dyDescent="0.3">
      <c r="A477" t="s">
        <v>512</v>
      </c>
      <c r="B477" t="s">
        <v>26</v>
      </c>
      <c r="C477">
        <v>7370000</v>
      </c>
      <c r="D477">
        <v>2053909.6</v>
      </c>
      <c r="E477">
        <v>2.58E-2</v>
      </c>
      <c r="F477">
        <v>9.5100000000000004E-2</v>
      </c>
    </row>
    <row r="478" spans="1:6" x14ac:dyDescent="0.3">
      <c r="A478" t="s">
        <v>513</v>
      </c>
      <c r="B478" t="s">
        <v>74</v>
      </c>
      <c r="C478">
        <v>6490000</v>
      </c>
      <c r="D478">
        <v>79872.2</v>
      </c>
      <c r="E478">
        <v>3.7400000000000003E-2</v>
      </c>
      <c r="F478">
        <v>7.5899999999999995E-2</v>
      </c>
    </row>
    <row r="479" spans="1:6" x14ac:dyDescent="0.3">
      <c r="A479" t="s">
        <v>514</v>
      </c>
      <c r="B479" t="s">
        <v>26</v>
      </c>
      <c r="C479">
        <v>7130000</v>
      </c>
      <c r="D479">
        <v>287.2</v>
      </c>
      <c r="E479">
        <v>1.67E-2</v>
      </c>
      <c r="F479">
        <v>8.09E-2</v>
      </c>
    </row>
    <row r="480" spans="1:6" x14ac:dyDescent="0.3">
      <c r="A480" t="s">
        <v>515</v>
      </c>
      <c r="B480" t="s">
        <v>26</v>
      </c>
      <c r="C480">
        <v>6530000</v>
      </c>
      <c r="D480">
        <v>2982.7</v>
      </c>
      <c r="E480">
        <v>5.7099999999999998E-2</v>
      </c>
      <c r="F480">
        <v>7.5899999999999995E-2</v>
      </c>
    </row>
    <row r="481" spans="1:6" x14ac:dyDescent="0.3">
      <c r="A481" t="s">
        <v>516</v>
      </c>
      <c r="B481" t="s">
        <v>41</v>
      </c>
      <c r="C481">
        <v>6310000</v>
      </c>
      <c r="D481">
        <v>4577</v>
      </c>
      <c r="E481">
        <v>1.44E-2</v>
      </c>
      <c r="F481">
        <v>0.1053</v>
      </c>
    </row>
    <row r="482" spans="1:6" x14ac:dyDescent="0.3">
      <c r="A482" t="s">
        <v>517</v>
      </c>
      <c r="B482" t="s">
        <v>41</v>
      </c>
      <c r="C482">
        <v>7690000</v>
      </c>
      <c r="D482">
        <v>726154</v>
      </c>
      <c r="E482">
        <v>2.53E-2</v>
      </c>
      <c r="F482">
        <v>4.0899999999999999E-2</v>
      </c>
    </row>
    <row r="483" spans="1:6" x14ac:dyDescent="0.3">
      <c r="A483" t="s">
        <v>518</v>
      </c>
      <c r="B483" t="s">
        <v>41</v>
      </c>
      <c r="C483">
        <v>7990000</v>
      </c>
      <c r="D483">
        <v>3364.9</v>
      </c>
      <c r="E483">
        <v>3.09E-2</v>
      </c>
      <c r="F483">
        <v>9.3799999999999994E-2</v>
      </c>
    </row>
    <row r="484" spans="1:6" x14ac:dyDescent="0.3">
      <c r="A484" t="s">
        <v>519</v>
      </c>
      <c r="B484" t="s">
        <v>41</v>
      </c>
      <c r="C484">
        <v>7490000</v>
      </c>
      <c r="D484">
        <v>1034.2</v>
      </c>
      <c r="E484">
        <v>1.4E-2</v>
      </c>
      <c r="F484">
        <v>5.7599999999999998E-2</v>
      </c>
    </row>
    <row r="485" spans="1:6" x14ac:dyDescent="0.3">
      <c r="A485" t="s">
        <v>520</v>
      </c>
      <c r="B485" t="s">
        <v>92</v>
      </c>
      <c r="C485">
        <v>6640000</v>
      </c>
      <c r="D485">
        <v>13289.7</v>
      </c>
      <c r="E485">
        <v>2.0400000000000001E-2</v>
      </c>
      <c r="F485">
        <v>8.5400000000000004E-2</v>
      </c>
    </row>
    <row r="486" spans="1:6" x14ac:dyDescent="0.3">
      <c r="A486" t="s">
        <v>521</v>
      </c>
      <c r="B486" t="s">
        <v>26</v>
      </c>
      <c r="C486">
        <v>6810000</v>
      </c>
      <c r="D486">
        <v>521577.1</v>
      </c>
      <c r="E486">
        <v>6.4600000000000005E-2</v>
      </c>
      <c r="F486">
        <v>7.5899999999999995E-2</v>
      </c>
    </row>
    <row r="487" spans="1:6" x14ac:dyDescent="0.3">
      <c r="A487" t="s">
        <v>522</v>
      </c>
      <c r="B487" t="s">
        <v>41</v>
      </c>
      <c r="C487">
        <v>6160000</v>
      </c>
      <c r="D487">
        <v>35655.199999999997</v>
      </c>
      <c r="E487">
        <v>2.76E-2</v>
      </c>
      <c r="F487">
        <v>7.5899999999999995E-2</v>
      </c>
    </row>
    <row r="488" spans="1:6" x14ac:dyDescent="0.3">
      <c r="A488" t="s">
        <v>523</v>
      </c>
      <c r="B488" t="s">
        <v>26</v>
      </c>
      <c r="C488">
        <v>11800000</v>
      </c>
      <c r="D488">
        <v>2906138</v>
      </c>
      <c r="E488">
        <v>2.2200000000000001E-2</v>
      </c>
      <c r="F488">
        <v>4.6199999999999998E-2</v>
      </c>
    </row>
    <row r="489" spans="1:6" x14ac:dyDescent="0.3">
      <c r="A489" t="s">
        <v>524</v>
      </c>
      <c r="B489" t="s">
        <v>26</v>
      </c>
      <c r="C489">
        <v>6130000</v>
      </c>
      <c r="D489">
        <v>576972.9</v>
      </c>
      <c r="E489">
        <v>3.85E-2</v>
      </c>
      <c r="F489">
        <v>9.5100000000000004E-2</v>
      </c>
    </row>
    <row r="490" spans="1:6" x14ac:dyDescent="0.3">
      <c r="A490" t="s">
        <v>525</v>
      </c>
      <c r="B490" t="s">
        <v>26</v>
      </c>
      <c r="C490">
        <v>5970000</v>
      </c>
      <c r="D490">
        <v>611982.1</v>
      </c>
      <c r="E490">
        <v>1.7000000000000001E-2</v>
      </c>
      <c r="F490">
        <v>8.5400000000000004E-2</v>
      </c>
    </row>
    <row r="491" spans="1:6" x14ac:dyDescent="0.3">
      <c r="A491" t="s">
        <v>526</v>
      </c>
      <c r="B491" t="s">
        <v>92</v>
      </c>
      <c r="C491">
        <v>8170000</v>
      </c>
      <c r="D491">
        <v>174930.8</v>
      </c>
      <c r="E491">
        <v>1.7600000000000001E-2</v>
      </c>
      <c r="F491">
        <v>4.6199999999999998E-2</v>
      </c>
    </row>
    <row r="492" spans="1:6" x14ac:dyDescent="0.3">
      <c r="A492" t="s">
        <v>527</v>
      </c>
      <c r="B492" t="s">
        <v>92</v>
      </c>
      <c r="C492">
        <v>7130000</v>
      </c>
      <c r="D492">
        <v>48770.5</v>
      </c>
      <c r="E492">
        <v>2.1499999999999998E-2</v>
      </c>
      <c r="F492">
        <v>0.1053</v>
      </c>
    </row>
    <row r="493" spans="1:6" x14ac:dyDescent="0.3">
      <c r="A493" t="s">
        <v>528</v>
      </c>
      <c r="B493" t="s">
        <v>26</v>
      </c>
      <c r="C493">
        <v>7030000</v>
      </c>
      <c r="D493">
        <v>20233.8</v>
      </c>
      <c r="E493">
        <v>8.3599999999999994E-2</v>
      </c>
      <c r="F493">
        <v>7.5899999999999995E-2</v>
      </c>
    </row>
    <row r="494" spans="1:6" x14ac:dyDescent="0.3">
      <c r="A494" t="s">
        <v>529</v>
      </c>
      <c r="B494" t="s">
        <v>195</v>
      </c>
      <c r="C494">
        <v>6110000</v>
      </c>
      <c r="D494">
        <v>4771.6000000000004</v>
      </c>
      <c r="E494">
        <v>3.2300000000000002E-2</v>
      </c>
      <c r="F494">
        <v>5.0999999999999997E-2</v>
      </c>
    </row>
    <row r="495" spans="1:6" x14ac:dyDescent="0.3">
      <c r="A495" t="s">
        <v>530</v>
      </c>
      <c r="B495" t="s">
        <v>28</v>
      </c>
      <c r="C495">
        <v>10500000</v>
      </c>
      <c r="D495">
        <v>29286.5</v>
      </c>
      <c r="E495">
        <v>6.0000000000000001E-3</v>
      </c>
      <c r="F495">
        <v>8.1100000000000005E-2</v>
      </c>
    </row>
    <row r="496" spans="1:6" x14ac:dyDescent="0.3">
      <c r="A496" t="s">
        <v>531</v>
      </c>
      <c r="B496" t="s">
        <v>53</v>
      </c>
      <c r="C496">
        <v>1380000</v>
      </c>
      <c r="D496">
        <v>146381.4</v>
      </c>
      <c r="E496">
        <v>5.5899999999999998E-2</v>
      </c>
      <c r="F496">
        <v>0.11700000000000001</v>
      </c>
    </row>
    <row r="497" spans="1:6" x14ac:dyDescent="0.3">
      <c r="A497" t="s">
        <v>532</v>
      </c>
      <c r="B497" t="s">
        <v>41</v>
      </c>
      <c r="C497">
        <v>7760000</v>
      </c>
      <c r="D497">
        <v>2840.3</v>
      </c>
      <c r="E497">
        <v>2.7E-2</v>
      </c>
      <c r="F497">
        <v>9.3799999999999994E-2</v>
      </c>
    </row>
    <row r="498" spans="1:6" x14ac:dyDescent="0.3">
      <c r="A498" t="s">
        <v>533</v>
      </c>
      <c r="B498" t="s">
        <v>21</v>
      </c>
      <c r="C498">
        <v>6140000</v>
      </c>
      <c r="D498">
        <v>217.1</v>
      </c>
      <c r="E498">
        <v>1.1599999999999999E-2</v>
      </c>
      <c r="F498">
        <v>7.2599999999999998E-2</v>
      </c>
    </row>
    <row r="499" spans="1:6" x14ac:dyDescent="0.3">
      <c r="A499" t="s">
        <v>534</v>
      </c>
      <c r="B499" t="s">
        <v>21</v>
      </c>
      <c r="C499">
        <v>6340000</v>
      </c>
      <c r="D499">
        <v>5044.3</v>
      </c>
      <c r="E499">
        <v>1.14E-2</v>
      </c>
      <c r="F499">
        <v>8.1100000000000005E-2</v>
      </c>
    </row>
    <row r="500" spans="1:6" x14ac:dyDescent="0.3">
      <c r="A500" t="s">
        <v>535</v>
      </c>
      <c r="B500" t="s">
        <v>50</v>
      </c>
      <c r="C500">
        <v>11000000</v>
      </c>
      <c r="D500">
        <v>4733526.5</v>
      </c>
      <c r="E500">
        <v>2.5100000000000001E-2</v>
      </c>
      <c r="F500">
        <v>7.5899999999999995E-2</v>
      </c>
    </row>
    <row r="501" spans="1:6" x14ac:dyDescent="0.3">
      <c r="A501" t="s">
        <v>536</v>
      </c>
      <c r="B501" t="s">
        <v>24</v>
      </c>
      <c r="C501">
        <v>6620000</v>
      </c>
      <c r="D501">
        <v>88800</v>
      </c>
      <c r="E501">
        <v>2.4E-2</v>
      </c>
      <c r="F501">
        <v>5.3800000000000001E-2</v>
      </c>
    </row>
    <row r="502" spans="1:6" x14ac:dyDescent="0.3">
      <c r="A502" t="s">
        <v>537</v>
      </c>
      <c r="B502" t="s">
        <v>92</v>
      </c>
      <c r="C502">
        <v>6180000</v>
      </c>
      <c r="D502">
        <v>600732.4</v>
      </c>
      <c r="E502">
        <v>1.1299999999999999E-2</v>
      </c>
      <c r="F502">
        <v>5.8400000000000001E-2</v>
      </c>
    </row>
    <row r="503" spans="1:6" x14ac:dyDescent="0.3">
      <c r="A503" t="s">
        <v>538</v>
      </c>
      <c r="B503" t="s">
        <v>62</v>
      </c>
      <c r="C503">
        <v>6630000</v>
      </c>
      <c r="D503">
        <v>26002.3</v>
      </c>
      <c r="E503">
        <v>1.8100000000000002E-2</v>
      </c>
      <c r="F503">
        <v>4.6199999999999998E-2</v>
      </c>
    </row>
    <row r="504" spans="1:6" x14ac:dyDescent="0.3">
      <c r="A504" t="s">
        <v>539</v>
      </c>
      <c r="B504" t="s">
        <v>26</v>
      </c>
      <c r="C504">
        <v>13200000</v>
      </c>
      <c r="D504">
        <v>13766885.1</v>
      </c>
      <c r="E504">
        <v>8.5000000000000006E-3</v>
      </c>
      <c r="F504">
        <v>6.54E-2</v>
      </c>
    </row>
    <row r="505" spans="1:6" x14ac:dyDescent="0.3">
      <c r="A505" t="s">
        <v>540</v>
      </c>
      <c r="B505" t="s">
        <v>30</v>
      </c>
      <c r="C505">
        <v>9780000</v>
      </c>
      <c r="D505">
        <v>2291999.2999999998</v>
      </c>
      <c r="E505">
        <v>3.5000000000000003E-2</v>
      </c>
      <c r="F505">
        <v>4.0899999999999999E-2</v>
      </c>
    </row>
    <row r="506" spans="1:6" x14ac:dyDescent="0.3">
      <c r="A506" t="s">
        <v>541</v>
      </c>
      <c r="B506" t="s">
        <v>26</v>
      </c>
      <c r="C506">
        <v>9000000</v>
      </c>
      <c r="D506">
        <v>633278.5</v>
      </c>
      <c r="E506">
        <v>1.11E-2</v>
      </c>
      <c r="F506">
        <v>4.6199999999999998E-2</v>
      </c>
    </row>
    <row r="507" spans="1:6" x14ac:dyDescent="0.3">
      <c r="A507" t="s">
        <v>542</v>
      </c>
      <c r="B507" t="s">
        <v>24</v>
      </c>
      <c r="C507">
        <v>8280000</v>
      </c>
      <c r="D507">
        <v>299685.5</v>
      </c>
      <c r="E507">
        <v>4.6100000000000002E-2</v>
      </c>
      <c r="F507">
        <v>7.5899999999999995E-2</v>
      </c>
    </row>
    <row r="508" spans="1:6" x14ac:dyDescent="0.3">
      <c r="A508" t="s">
        <v>543</v>
      </c>
      <c r="B508" t="s">
        <v>214</v>
      </c>
      <c r="C508">
        <v>9540000</v>
      </c>
      <c r="D508">
        <v>4426410.4000000004</v>
      </c>
      <c r="E508">
        <v>3.56E-2</v>
      </c>
      <c r="F508">
        <v>7.5899999999999995E-2</v>
      </c>
    </row>
    <row r="509" spans="1:6" x14ac:dyDescent="0.3">
      <c r="A509" t="s">
        <v>544</v>
      </c>
      <c r="B509" t="s">
        <v>26</v>
      </c>
      <c r="C509">
        <v>5660000</v>
      </c>
      <c r="D509">
        <v>14994.6</v>
      </c>
      <c r="E509">
        <v>1.1299999999999999E-2</v>
      </c>
      <c r="F509">
        <v>6.54E-2</v>
      </c>
    </row>
    <row r="510" spans="1:6" x14ac:dyDescent="0.3">
      <c r="A510" t="s">
        <v>545</v>
      </c>
      <c r="B510" t="s">
        <v>214</v>
      </c>
      <c r="C510">
        <v>6390000</v>
      </c>
      <c r="D510">
        <v>4667.1000000000004</v>
      </c>
      <c r="E510">
        <v>8.8999999999999999E-3</v>
      </c>
      <c r="F510">
        <v>8.1100000000000005E-2</v>
      </c>
    </row>
    <row r="511" spans="1:6" x14ac:dyDescent="0.3">
      <c r="A511" t="s">
        <v>546</v>
      </c>
      <c r="B511" t="s">
        <v>32</v>
      </c>
      <c r="C511">
        <v>6740000</v>
      </c>
      <c r="D511">
        <v>2556.8000000000002</v>
      </c>
      <c r="E511">
        <v>8.6999999999999994E-3</v>
      </c>
      <c r="F511">
        <v>8.1100000000000005E-2</v>
      </c>
    </row>
    <row r="512" spans="1:6" x14ac:dyDescent="0.3">
      <c r="A512" t="s">
        <v>547</v>
      </c>
      <c r="B512" t="s">
        <v>26</v>
      </c>
      <c r="C512">
        <v>7470000</v>
      </c>
      <c r="D512">
        <v>390245.9</v>
      </c>
      <c r="E512">
        <v>5.8500000000000003E-2</v>
      </c>
      <c r="F512">
        <v>9.3799999999999994E-2</v>
      </c>
    </row>
    <row r="513" spans="1:6" x14ac:dyDescent="0.3">
      <c r="A513" t="s">
        <v>548</v>
      </c>
      <c r="B513" t="s">
        <v>26</v>
      </c>
      <c r="C513">
        <v>15400000</v>
      </c>
      <c r="D513">
        <v>74052.100000000006</v>
      </c>
      <c r="E513">
        <v>6.8900000000000003E-2</v>
      </c>
      <c r="F513">
        <v>0.1226</v>
      </c>
    </row>
    <row r="514" spans="1:6" x14ac:dyDescent="0.3">
      <c r="A514" t="s">
        <v>549</v>
      </c>
      <c r="B514" t="s">
        <v>35</v>
      </c>
      <c r="C514">
        <v>7680000</v>
      </c>
      <c r="D514">
        <v>8610.9</v>
      </c>
      <c r="E514">
        <v>1.0500000000000001E-2</v>
      </c>
      <c r="F514">
        <v>6.54E-2</v>
      </c>
    </row>
    <row r="515" spans="1:6" x14ac:dyDescent="0.3">
      <c r="A515" t="s">
        <v>550</v>
      </c>
      <c r="B515" t="s">
        <v>24</v>
      </c>
      <c r="C515">
        <v>6060000</v>
      </c>
      <c r="D515">
        <v>26999.200000000001</v>
      </c>
      <c r="E515">
        <v>4.5699999999999998E-2</v>
      </c>
      <c r="F515">
        <v>9.3799999999999994E-2</v>
      </c>
    </row>
    <row r="516" spans="1:6" x14ac:dyDescent="0.3">
      <c r="A516" t="s">
        <v>551</v>
      </c>
      <c r="B516" t="s">
        <v>21</v>
      </c>
      <c r="C516">
        <v>6490000</v>
      </c>
      <c r="D516">
        <v>1858.1</v>
      </c>
      <c r="E516">
        <v>1.9800000000000002E-2</v>
      </c>
      <c r="F516">
        <v>0.1308</v>
      </c>
    </row>
    <row r="517" spans="1:6" x14ac:dyDescent="0.3">
      <c r="A517" t="s">
        <v>552</v>
      </c>
      <c r="B517" t="s">
        <v>26</v>
      </c>
      <c r="C517">
        <v>5830000</v>
      </c>
      <c r="D517">
        <v>4682.1000000000004</v>
      </c>
      <c r="E517">
        <v>1.66E-2</v>
      </c>
      <c r="F517">
        <v>5.7599999999999998E-2</v>
      </c>
    </row>
    <row r="518" spans="1:6" x14ac:dyDescent="0.3">
      <c r="A518" t="s">
        <v>553</v>
      </c>
      <c r="B518" t="s">
        <v>21</v>
      </c>
      <c r="C518">
        <v>9200000</v>
      </c>
      <c r="D518">
        <v>21333.9</v>
      </c>
      <c r="E518">
        <v>7.0000000000000001E-3</v>
      </c>
      <c r="F518">
        <v>8.1100000000000005E-2</v>
      </c>
    </row>
    <row r="519" spans="1:6" x14ac:dyDescent="0.3">
      <c r="A519" t="s">
        <v>554</v>
      </c>
      <c r="B519" t="s">
        <v>30</v>
      </c>
      <c r="C519">
        <v>5450000</v>
      </c>
      <c r="D519">
        <v>45787.9</v>
      </c>
      <c r="E519">
        <v>2.3199999999999998E-2</v>
      </c>
      <c r="F519">
        <v>5.8500000000000003E-2</v>
      </c>
    </row>
    <row r="520" spans="1:6" x14ac:dyDescent="0.3">
      <c r="A520" t="s">
        <v>555</v>
      </c>
      <c r="B520" t="s">
        <v>92</v>
      </c>
      <c r="C520">
        <v>6720000</v>
      </c>
      <c r="D520">
        <v>134950.1</v>
      </c>
      <c r="E520">
        <v>2.1100000000000001E-2</v>
      </c>
      <c r="F520">
        <v>7.5899999999999995E-2</v>
      </c>
    </row>
    <row r="521" spans="1:6" x14ac:dyDescent="0.3">
      <c r="A521" t="s">
        <v>556</v>
      </c>
      <c r="B521" t="s">
        <v>26</v>
      </c>
      <c r="C521">
        <v>6390000</v>
      </c>
      <c r="D521">
        <v>129177.7</v>
      </c>
      <c r="E521">
        <v>6.54E-2</v>
      </c>
      <c r="F521">
        <v>4.3200000000000002E-2</v>
      </c>
    </row>
    <row r="522" spans="1:6" x14ac:dyDescent="0.3">
      <c r="A522" t="s">
        <v>557</v>
      </c>
      <c r="B522" t="s">
        <v>287</v>
      </c>
      <c r="C522">
        <v>6270000</v>
      </c>
      <c r="D522">
        <v>324882.59999999998</v>
      </c>
      <c r="E522">
        <v>5.5E-2</v>
      </c>
      <c r="F522">
        <v>7.5899999999999995E-2</v>
      </c>
    </row>
    <row r="523" spans="1:6" x14ac:dyDescent="0.3">
      <c r="A523" t="s">
        <v>558</v>
      </c>
      <c r="B523" t="s">
        <v>92</v>
      </c>
      <c r="C523">
        <v>7740000</v>
      </c>
      <c r="D523">
        <v>722932.7</v>
      </c>
      <c r="E523">
        <v>1.9099999999999999E-2</v>
      </c>
      <c r="F523">
        <v>4.6199999999999998E-2</v>
      </c>
    </row>
    <row r="524" spans="1:6" x14ac:dyDescent="0.3">
      <c r="A524" t="s">
        <v>559</v>
      </c>
      <c r="B524" t="s">
        <v>26</v>
      </c>
      <c r="C524">
        <v>6170000</v>
      </c>
      <c r="D524">
        <v>1511</v>
      </c>
      <c r="E524">
        <v>2.3199999999999998E-2</v>
      </c>
      <c r="F524">
        <v>9.3799999999999994E-2</v>
      </c>
    </row>
    <row r="525" spans="1:6" x14ac:dyDescent="0.3">
      <c r="A525" t="s">
        <v>560</v>
      </c>
      <c r="B525" t="s">
        <v>41</v>
      </c>
      <c r="C525">
        <v>6940000</v>
      </c>
      <c r="D525">
        <v>1468.2</v>
      </c>
      <c r="E525">
        <v>1.6E-2</v>
      </c>
      <c r="F525">
        <v>0.1053</v>
      </c>
    </row>
    <row r="526" spans="1:6" x14ac:dyDescent="0.3">
      <c r="A526" t="s">
        <v>561</v>
      </c>
      <c r="B526" t="s">
        <v>26</v>
      </c>
      <c r="C526">
        <v>8870000</v>
      </c>
      <c r="D526">
        <v>40531.1</v>
      </c>
      <c r="E526">
        <v>3.4700000000000002E-2</v>
      </c>
      <c r="F526">
        <v>5.3800000000000001E-2</v>
      </c>
    </row>
    <row r="527" spans="1:6" x14ac:dyDescent="0.3">
      <c r="A527" t="s">
        <v>562</v>
      </c>
      <c r="B527" t="s">
        <v>41</v>
      </c>
      <c r="C527">
        <v>6190000</v>
      </c>
      <c r="D527">
        <v>802055.8</v>
      </c>
      <c r="E527">
        <v>4.2099999999999999E-2</v>
      </c>
      <c r="F527">
        <v>4.0899999999999999E-2</v>
      </c>
    </row>
    <row r="528" spans="1:6" x14ac:dyDescent="0.3">
      <c r="A528" t="s">
        <v>563</v>
      </c>
      <c r="B528" t="s">
        <v>62</v>
      </c>
      <c r="C528">
        <v>5510000</v>
      </c>
      <c r="D528">
        <v>2508.6</v>
      </c>
      <c r="E528">
        <v>2.6800000000000001E-2</v>
      </c>
      <c r="F528">
        <v>7.5899999999999995E-2</v>
      </c>
    </row>
    <row r="529" spans="1:6" x14ac:dyDescent="0.3">
      <c r="A529" t="s">
        <v>564</v>
      </c>
      <c r="B529" t="s">
        <v>92</v>
      </c>
      <c r="C529">
        <v>6260000</v>
      </c>
      <c r="D529">
        <v>45468.4</v>
      </c>
      <c r="E529">
        <v>1.9699999999999999E-2</v>
      </c>
      <c r="F529">
        <v>4.0899999999999999E-2</v>
      </c>
    </row>
    <row r="530" spans="1:6" x14ac:dyDescent="0.3">
      <c r="A530" t="s">
        <v>565</v>
      </c>
      <c r="B530" t="s">
        <v>26</v>
      </c>
      <c r="C530">
        <v>10000000</v>
      </c>
      <c r="D530">
        <v>120795.5</v>
      </c>
      <c r="E530">
        <v>1.0500000000000001E-2</v>
      </c>
      <c r="F530">
        <v>8.1100000000000005E-2</v>
      </c>
    </row>
    <row r="531" spans="1:6" x14ac:dyDescent="0.3">
      <c r="A531" t="s">
        <v>566</v>
      </c>
      <c r="B531" t="s">
        <v>24</v>
      </c>
      <c r="C531">
        <v>6540000</v>
      </c>
      <c r="D531">
        <v>6041.1</v>
      </c>
      <c r="E531">
        <v>1.3100000000000001E-2</v>
      </c>
      <c r="F531">
        <v>0.1452</v>
      </c>
    </row>
    <row r="532" spans="1:6" x14ac:dyDescent="0.3">
      <c r="A532" t="s">
        <v>567</v>
      </c>
      <c r="B532" t="s">
        <v>41</v>
      </c>
      <c r="C532">
        <v>5760000</v>
      </c>
      <c r="D532">
        <v>8938.5</v>
      </c>
      <c r="E532">
        <v>8.3000000000000001E-3</v>
      </c>
      <c r="F532">
        <v>8.1100000000000005E-2</v>
      </c>
    </row>
    <row r="533" spans="1:6" x14ac:dyDescent="0.3">
      <c r="A533" t="s">
        <v>568</v>
      </c>
      <c r="B533" t="s">
        <v>26</v>
      </c>
      <c r="C533">
        <v>7900000</v>
      </c>
      <c r="D533">
        <v>2124704.2999999998</v>
      </c>
      <c r="E533">
        <v>4.9299999999999997E-2</v>
      </c>
      <c r="F533">
        <v>7.5899999999999995E-2</v>
      </c>
    </row>
    <row r="534" spans="1:6" x14ac:dyDescent="0.3">
      <c r="A534" t="s">
        <v>569</v>
      </c>
      <c r="B534" t="s">
        <v>50</v>
      </c>
      <c r="C534">
        <v>6180000</v>
      </c>
      <c r="D534">
        <v>80742.8</v>
      </c>
      <c r="E534">
        <v>2.0299999999999999E-2</v>
      </c>
      <c r="F534">
        <v>0.1053</v>
      </c>
    </row>
    <row r="535" spans="1:6" x14ac:dyDescent="0.3">
      <c r="A535" t="s">
        <v>570</v>
      </c>
      <c r="B535" t="s">
        <v>41</v>
      </c>
      <c r="C535">
        <v>6130000</v>
      </c>
      <c r="D535">
        <v>549.20000000000005</v>
      </c>
      <c r="E535">
        <v>2.0500000000000001E-2</v>
      </c>
      <c r="F535">
        <v>5.7599999999999998E-2</v>
      </c>
    </row>
    <row r="536" spans="1:6" x14ac:dyDescent="0.3">
      <c r="A536" t="s">
        <v>571</v>
      </c>
      <c r="B536" t="s">
        <v>21</v>
      </c>
      <c r="C536">
        <v>7520000</v>
      </c>
      <c r="D536">
        <v>11831.9</v>
      </c>
      <c r="E536">
        <v>1.8800000000000001E-2</v>
      </c>
      <c r="F536">
        <v>0.13100000000000001</v>
      </c>
    </row>
    <row r="537" spans="1:6" x14ac:dyDescent="0.3">
      <c r="A537" t="s">
        <v>572</v>
      </c>
      <c r="B537" t="s">
        <v>88</v>
      </c>
      <c r="C537">
        <v>5510000</v>
      </c>
      <c r="D537">
        <v>4136.3999999999996</v>
      </c>
      <c r="E537">
        <v>2.7699999999999999E-2</v>
      </c>
      <c r="F537">
        <v>0.11700000000000001</v>
      </c>
    </row>
    <row r="538" spans="1:6" x14ac:dyDescent="0.3">
      <c r="A538" t="s">
        <v>573</v>
      </c>
      <c r="B538" t="s">
        <v>287</v>
      </c>
      <c r="C538">
        <v>5650000</v>
      </c>
      <c r="D538">
        <v>2283.1999999999998</v>
      </c>
      <c r="E538">
        <v>2.5899999999999999E-2</v>
      </c>
      <c r="F538">
        <v>0.11700000000000001</v>
      </c>
    </row>
    <row r="539" spans="1:6" x14ac:dyDescent="0.3">
      <c r="A539" t="s">
        <v>574</v>
      </c>
      <c r="B539" t="s">
        <v>26</v>
      </c>
      <c r="C539">
        <v>17600000</v>
      </c>
      <c r="D539">
        <v>38574.800000000003</v>
      </c>
      <c r="F539">
        <v>5.0999999999999997E-2</v>
      </c>
    </row>
    <row r="540" spans="1:6" x14ac:dyDescent="0.3">
      <c r="A540" t="s">
        <v>575</v>
      </c>
      <c r="B540" t="s">
        <v>26</v>
      </c>
      <c r="C540">
        <v>6160000</v>
      </c>
      <c r="D540">
        <v>82076.3</v>
      </c>
      <c r="E540">
        <v>3.0499999999999999E-2</v>
      </c>
      <c r="F540">
        <v>7.5899999999999995E-2</v>
      </c>
    </row>
    <row r="541" spans="1:6" x14ac:dyDescent="0.3">
      <c r="A541" t="s">
        <v>576</v>
      </c>
      <c r="B541" t="s">
        <v>30</v>
      </c>
      <c r="C541">
        <v>7000000</v>
      </c>
      <c r="D541">
        <v>80257.2</v>
      </c>
      <c r="E541">
        <v>1.4999999999999999E-2</v>
      </c>
      <c r="F541">
        <v>0.1469</v>
      </c>
    </row>
    <row r="542" spans="1:6" x14ac:dyDescent="0.3">
      <c r="A542" t="s">
        <v>577</v>
      </c>
      <c r="B542" t="s">
        <v>50</v>
      </c>
      <c r="C542">
        <v>6630000</v>
      </c>
      <c r="D542">
        <v>1342391.4</v>
      </c>
      <c r="E542">
        <v>4.6300000000000001E-2</v>
      </c>
      <c r="F542">
        <v>7.5899999999999995E-2</v>
      </c>
    </row>
    <row r="543" spans="1:6" x14ac:dyDescent="0.3">
      <c r="A543" t="s">
        <v>578</v>
      </c>
      <c r="B543" t="s">
        <v>53</v>
      </c>
      <c r="C543">
        <v>6010000</v>
      </c>
      <c r="D543">
        <v>12311.2</v>
      </c>
      <c r="E543">
        <v>1.09E-2</v>
      </c>
      <c r="F543">
        <v>7.3599999999999999E-2</v>
      </c>
    </row>
    <row r="544" spans="1:6" x14ac:dyDescent="0.3">
      <c r="A544" t="s">
        <v>579</v>
      </c>
      <c r="B544" t="s">
        <v>26</v>
      </c>
      <c r="C544">
        <v>7890000</v>
      </c>
      <c r="D544">
        <v>29579.5</v>
      </c>
      <c r="E544">
        <v>1.8800000000000001E-2</v>
      </c>
      <c r="F544">
        <v>0.1053</v>
      </c>
    </row>
    <row r="545" spans="1:6" x14ac:dyDescent="0.3">
      <c r="A545" t="s">
        <v>580</v>
      </c>
      <c r="B545" t="s">
        <v>26</v>
      </c>
      <c r="C545">
        <v>7660000</v>
      </c>
      <c r="D545">
        <v>139596.1</v>
      </c>
      <c r="E545">
        <v>0.56920000000000004</v>
      </c>
      <c r="F545">
        <v>0.62839999999999996</v>
      </c>
    </row>
    <row r="546" spans="1:6" x14ac:dyDescent="0.3">
      <c r="A546" t="s">
        <v>581</v>
      </c>
      <c r="B546" t="s">
        <v>26</v>
      </c>
      <c r="C546">
        <v>10400000</v>
      </c>
      <c r="D546">
        <v>5866900.7000000002</v>
      </c>
      <c r="E546">
        <v>2.2100000000000002E-2</v>
      </c>
      <c r="F546">
        <v>4.6199999999999998E-2</v>
      </c>
    </row>
    <row r="547" spans="1:6" x14ac:dyDescent="0.3">
      <c r="A547" t="s">
        <v>582</v>
      </c>
      <c r="B547" t="s">
        <v>30</v>
      </c>
      <c r="C547">
        <v>6690000</v>
      </c>
      <c r="D547">
        <v>368619</v>
      </c>
      <c r="E547">
        <v>4.1200000000000001E-2</v>
      </c>
      <c r="F547">
        <v>4.0899999999999999E-2</v>
      </c>
    </row>
    <row r="548" spans="1:6" x14ac:dyDescent="0.3">
      <c r="A548" t="s">
        <v>583</v>
      </c>
      <c r="B548" t="s">
        <v>24</v>
      </c>
      <c r="C548">
        <v>6660000</v>
      </c>
      <c r="D548">
        <v>6668.4</v>
      </c>
      <c r="E548">
        <v>6.0000000000000001E-3</v>
      </c>
      <c r="F548">
        <v>8.1100000000000005E-2</v>
      </c>
    </row>
    <row r="549" spans="1:6" x14ac:dyDescent="0.3">
      <c r="A549" t="s">
        <v>584</v>
      </c>
      <c r="B549" t="s">
        <v>26</v>
      </c>
      <c r="C549">
        <v>11600000</v>
      </c>
      <c r="D549">
        <v>15021.2</v>
      </c>
      <c r="E549">
        <v>4.02E-2</v>
      </c>
      <c r="F549">
        <v>9.3799999999999994E-2</v>
      </c>
    </row>
    <row r="550" spans="1:6" x14ac:dyDescent="0.3">
      <c r="A550" t="s">
        <v>585</v>
      </c>
      <c r="B550" t="s">
        <v>24</v>
      </c>
      <c r="C550">
        <v>6060000</v>
      </c>
      <c r="D550">
        <v>305.7</v>
      </c>
      <c r="E550">
        <v>1.66E-2</v>
      </c>
      <c r="F550">
        <v>0.1053</v>
      </c>
    </row>
    <row r="551" spans="1:6" x14ac:dyDescent="0.3">
      <c r="A551" t="s">
        <v>586</v>
      </c>
      <c r="B551" t="s">
        <v>92</v>
      </c>
      <c r="C551">
        <v>6210000</v>
      </c>
      <c r="D551">
        <v>139490.20000000001</v>
      </c>
      <c r="E551">
        <v>2.5899999999999999E-2</v>
      </c>
      <c r="F551">
        <v>7.5899999999999995E-2</v>
      </c>
    </row>
    <row r="552" spans="1:6" x14ac:dyDescent="0.3">
      <c r="A552" t="s">
        <v>587</v>
      </c>
      <c r="B552" t="s">
        <v>26</v>
      </c>
      <c r="C552">
        <v>10100000</v>
      </c>
      <c r="D552">
        <v>2381091.1</v>
      </c>
      <c r="E552">
        <v>7.6E-3</v>
      </c>
      <c r="F552">
        <v>8.1100000000000005E-2</v>
      </c>
    </row>
    <row r="553" spans="1:6" x14ac:dyDescent="0.3">
      <c r="A553" t="s">
        <v>588</v>
      </c>
      <c r="B553" t="s">
        <v>92</v>
      </c>
      <c r="C553">
        <v>7210000</v>
      </c>
      <c r="D553">
        <v>253524.5</v>
      </c>
      <c r="E553">
        <v>3.2000000000000001E-2</v>
      </c>
      <c r="F553">
        <v>9.3799999999999994E-2</v>
      </c>
    </row>
    <row r="554" spans="1:6" x14ac:dyDescent="0.3">
      <c r="A554" t="s">
        <v>589</v>
      </c>
      <c r="B554" t="s">
        <v>41</v>
      </c>
      <c r="C554">
        <v>8330000</v>
      </c>
      <c r="D554">
        <v>141.19999999999999</v>
      </c>
      <c r="E554">
        <v>1.6500000000000001E-2</v>
      </c>
      <c r="F554">
        <v>0.38319999999999999</v>
      </c>
    </row>
    <row r="555" spans="1:6" x14ac:dyDescent="0.3">
      <c r="A555" t="s">
        <v>590</v>
      </c>
      <c r="B555" t="s">
        <v>287</v>
      </c>
      <c r="C555">
        <v>6020000</v>
      </c>
      <c r="D555">
        <v>507813</v>
      </c>
      <c r="E555">
        <v>2.1299999999999999E-2</v>
      </c>
      <c r="F555">
        <v>5.8400000000000001E-2</v>
      </c>
    </row>
    <row r="556" spans="1:6" x14ac:dyDescent="0.3">
      <c r="A556" t="s">
        <v>591</v>
      </c>
      <c r="B556" t="s">
        <v>53</v>
      </c>
      <c r="C556">
        <v>7730000</v>
      </c>
      <c r="D556">
        <v>1789760.6</v>
      </c>
      <c r="E556">
        <v>0.104</v>
      </c>
      <c r="F556">
        <v>7.5899999999999995E-2</v>
      </c>
    </row>
    <row r="557" spans="1:6" x14ac:dyDescent="0.3">
      <c r="A557" t="s">
        <v>592</v>
      </c>
      <c r="B557" t="s">
        <v>62</v>
      </c>
      <c r="C557">
        <v>10100000</v>
      </c>
      <c r="D557">
        <v>428166.3</v>
      </c>
      <c r="E557">
        <v>3.7400000000000003E-2</v>
      </c>
      <c r="F557">
        <v>7.5899999999999995E-2</v>
      </c>
    </row>
    <row r="558" spans="1:6" x14ac:dyDescent="0.3">
      <c r="A558" t="s">
        <v>593</v>
      </c>
      <c r="B558" t="s">
        <v>32</v>
      </c>
      <c r="C558">
        <v>6660000</v>
      </c>
      <c r="D558">
        <v>31643.599999999999</v>
      </c>
      <c r="E558">
        <v>1.46E-2</v>
      </c>
      <c r="F558">
        <v>5.7599999999999998E-2</v>
      </c>
    </row>
    <row r="559" spans="1:6" x14ac:dyDescent="0.3">
      <c r="A559" t="s">
        <v>594</v>
      </c>
      <c r="B559" t="s">
        <v>26</v>
      </c>
      <c r="C559">
        <v>5670000</v>
      </c>
      <c r="D559">
        <v>119755.1</v>
      </c>
      <c r="E559">
        <v>2.1100000000000001E-2</v>
      </c>
      <c r="F559">
        <v>0.1067</v>
      </c>
    </row>
    <row r="560" spans="1:6" x14ac:dyDescent="0.3">
      <c r="A560" t="s">
        <v>595</v>
      </c>
      <c r="B560" t="s">
        <v>30</v>
      </c>
      <c r="C560">
        <v>5690000</v>
      </c>
      <c r="D560">
        <v>208140.4</v>
      </c>
      <c r="E560">
        <v>7.3000000000000001E-3</v>
      </c>
      <c r="F560">
        <v>6.54E-2</v>
      </c>
    </row>
    <row r="561" spans="1:6" x14ac:dyDescent="0.3">
      <c r="A561" t="s">
        <v>596</v>
      </c>
      <c r="B561" t="s">
        <v>62</v>
      </c>
      <c r="C561">
        <v>6720000</v>
      </c>
      <c r="D561">
        <v>268527.09999999998</v>
      </c>
      <c r="E561">
        <v>5.3100000000000001E-2</v>
      </c>
      <c r="F561">
        <v>7.5899999999999995E-2</v>
      </c>
    </row>
    <row r="562" spans="1:6" x14ac:dyDescent="0.3">
      <c r="A562" t="s">
        <v>597</v>
      </c>
      <c r="B562" t="s">
        <v>92</v>
      </c>
      <c r="C562">
        <v>2300000</v>
      </c>
      <c r="D562">
        <v>66360.800000000003</v>
      </c>
      <c r="E562">
        <v>2.3599999999999999E-2</v>
      </c>
      <c r="F562">
        <v>8.5400000000000004E-2</v>
      </c>
    </row>
    <row r="563" spans="1:6" x14ac:dyDescent="0.3">
      <c r="A563" t="s">
        <v>598</v>
      </c>
      <c r="B563" t="s">
        <v>35</v>
      </c>
      <c r="C563">
        <v>6340000</v>
      </c>
      <c r="D563">
        <v>2517.5</v>
      </c>
      <c r="E563">
        <v>7.9000000000000008E-3</v>
      </c>
      <c r="F563">
        <v>8.1100000000000005E-2</v>
      </c>
    </row>
    <row r="564" spans="1:6" x14ac:dyDescent="0.3">
      <c r="A564" t="s">
        <v>599</v>
      </c>
      <c r="B564" t="s">
        <v>92</v>
      </c>
      <c r="C564">
        <v>6640000</v>
      </c>
      <c r="D564">
        <v>277373.59999999998</v>
      </c>
      <c r="E564">
        <v>1.5599999999999999E-2</v>
      </c>
      <c r="F564">
        <v>4.6199999999999998E-2</v>
      </c>
    </row>
    <row r="565" spans="1:6" x14ac:dyDescent="0.3">
      <c r="A565" t="s">
        <v>600</v>
      </c>
      <c r="B565" t="s">
        <v>26</v>
      </c>
      <c r="C565">
        <v>7390000</v>
      </c>
      <c r="D565">
        <v>492502.2</v>
      </c>
      <c r="E565">
        <v>3.2199999999999999E-2</v>
      </c>
      <c r="F565">
        <v>7.5899999999999995E-2</v>
      </c>
    </row>
    <row r="566" spans="1:6" x14ac:dyDescent="0.3">
      <c r="A566" t="s">
        <v>601</v>
      </c>
      <c r="B566" t="s">
        <v>32</v>
      </c>
      <c r="C566">
        <v>5780000</v>
      </c>
      <c r="D566">
        <v>153429</v>
      </c>
      <c r="E566">
        <v>7.4999999999999997E-3</v>
      </c>
      <c r="F566">
        <v>8.2100000000000006E-2</v>
      </c>
    </row>
    <row r="567" spans="1:6" x14ac:dyDescent="0.3">
      <c r="A567" t="s">
        <v>602</v>
      </c>
      <c r="B567" t="s">
        <v>26</v>
      </c>
      <c r="C567">
        <v>5170000</v>
      </c>
      <c r="D567">
        <v>20949.2</v>
      </c>
      <c r="E567">
        <v>1.0699999999999999E-2</v>
      </c>
      <c r="F567">
        <v>6.54E-2</v>
      </c>
    </row>
    <row r="568" spans="1:6" x14ac:dyDescent="0.3">
      <c r="A568" t="s">
        <v>603</v>
      </c>
      <c r="B568" t="s">
        <v>26</v>
      </c>
      <c r="C568">
        <v>5620000</v>
      </c>
      <c r="D568">
        <v>998.8</v>
      </c>
      <c r="E568">
        <v>5.3900000000000003E-2</v>
      </c>
      <c r="F568">
        <v>9.3799999999999994E-2</v>
      </c>
    </row>
    <row r="569" spans="1:6" x14ac:dyDescent="0.3">
      <c r="A569" t="s">
        <v>604</v>
      </c>
      <c r="B569" t="s">
        <v>32</v>
      </c>
      <c r="C569">
        <v>8280000</v>
      </c>
      <c r="D569">
        <v>48418.400000000001</v>
      </c>
      <c r="E569">
        <v>1.49E-2</v>
      </c>
      <c r="F569">
        <v>5.7599999999999998E-2</v>
      </c>
    </row>
    <row r="570" spans="1:6" x14ac:dyDescent="0.3">
      <c r="A570" t="s">
        <v>605</v>
      </c>
      <c r="B570" t="s">
        <v>26</v>
      </c>
      <c r="C570">
        <v>6060000</v>
      </c>
      <c r="D570">
        <v>19480970.800000001</v>
      </c>
      <c r="E570">
        <v>3.3500000000000002E-2</v>
      </c>
      <c r="F570">
        <v>9.5100000000000004E-2</v>
      </c>
    </row>
    <row r="571" spans="1:6" x14ac:dyDescent="0.3">
      <c r="A571" t="s">
        <v>606</v>
      </c>
      <c r="B571" t="s">
        <v>50</v>
      </c>
      <c r="C571">
        <v>5450000</v>
      </c>
      <c r="D571">
        <v>626.9</v>
      </c>
      <c r="E571">
        <v>1.5299999999999999E-2</v>
      </c>
      <c r="F571">
        <v>0.13719999999999999</v>
      </c>
    </row>
    <row r="572" spans="1:6" x14ac:dyDescent="0.3">
      <c r="A572" t="s">
        <v>607</v>
      </c>
      <c r="B572" t="s">
        <v>26</v>
      </c>
      <c r="C572">
        <v>6010000</v>
      </c>
      <c r="D572">
        <v>70264.5</v>
      </c>
      <c r="E572">
        <v>1.2999999999999999E-2</v>
      </c>
      <c r="F572">
        <v>5.8400000000000001E-2</v>
      </c>
    </row>
    <row r="573" spans="1:6" x14ac:dyDescent="0.3">
      <c r="A573" t="s">
        <v>608</v>
      </c>
      <c r="B573" t="s">
        <v>41</v>
      </c>
      <c r="C573">
        <v>5950000</v>
      </c>
      <c r="D573">
        <v>2335.1</v>
      </c>
      <c r="E573">
        <v>0.1132</v>
      </c>
      <c r="F573">
        <v>9.3799999999999994E-2</v>
      </c>
    </row>
    <row r="574" spans="1:6" x14ac:dyDescent="0.3">
      <c r="A574" t="s">
        <v>609</v>
      </c>
      <c r="B574" t="s">
        <v>26</v>
      </c>
      <c r="C574">
        <v>5170000</v>
      </c>
      <c r="D574">
        <v>76790.399999999994</v>
      </c>
      <c r="E574">
        <v>4.4299999999999999E-2</v>
      </c>
      <c r="F574">
        <v>6.7199999999999996E-2</v>
      </c>
    </row>
    <row r="575" spans="1:6" x14ac:dyDescent="0.3">
      <c r="A575" t="s">
        <v>610</v>
      </c>
      <c r="B575" t="s">
        <v>74</v>
      </c>
      <c r="C575">
        <v>1140000</v>
      </c>
      <c r="D575">
        <v>589974</v>
      </c>
      <c r="E575">
        <v>2.1000000000000001E-2</v>
      </c>
      <c r="F575">
        <v>0.57150000000000001</v>
      </c>
    </row>
    <row r="576" spans="1:6" x14ac:dyDescent="0.3">
      <c r="A576" t="s">
        <v>611</v>
      </c>
      <c r="B576" t="s">
        <v>26</v>
      </c>
      <c r="C576">
        <v>4950000</v>
      </c>
      <c r="D576">
        <v>308775.2</v>
      </c>
      <c r="E576">
        <v>3.0099999999999998E-2</v>
      </c>
      <c r="F576">
        <v>8.4500000000000006E-2</v>
      </c>
    </row>
    <row r="577" spans="1:6" x14ac:dyDescent="0.3">
      <c r="A577" t="s">
        <v>612</v>
      </c>
      <c r="B577" t="s">
        <v>41</v>
      </c>
      <c r="C577">
        <v>5320000</v>
      </c>
      <c r="D577">
        <v>10366.5</v>
      </c>
      <c r="E577">
        <v>2.1600000000000001E-2</v>
      </c>
      <c r="F577">
        <v>0.1053</v>
      </c>
    </row>
    <row r="578" spans="1:6" x14ac:dyDescent="0.3">
      <c r="A578" t="s">
        <v>613</v>
      </c>
      <c r="B578" t="s">
        <v>41</v>
      </c>
      <c r="C578">
        <v>6640000</v>
      </c>
      <c r="D578">
        <v>818.3</v>
      </c>
      <c r="E578">
        <v>3.8100000000000002E-2</v>
      </c>
      <c r="F578">
        <v>0.1226</v>
      </c>
    </row>
    <row r="579" spans="1:6" x14ac:dyDescent="0.3">
      <c r="A579" t="s">
        <v>614</v>
      </c>
      <c r="B579" t="s">
        <v>26</v>
      </c>
      <c r="C579">
        <v>5080000</v>
      </c>
      <c r="D579">
        <v>719614.4</v>
      </c>
      <c r="F579">
        <v>4.0899999999999999E-2</v>
      </c>
    </row>
    <row r="580" spans="1:6" x14ac:dyDescent="0.3">
      <c r="A580" t="s">
        <v>615</v>
      </c>
      <c r="B580" t="s">
        <v>24</v>
      </c>
      <c r="C580">
        <v>6830000</v>
      </c>
      <c r="D580">
        <v>13409.7</v>
      </c>
      <c r="E580">
        <v>2.0400000000000001E-2</v>
      </c>
      <c r="F580">
        <v>0.1053</v>
      </c>
    </row>
    <row r="581" spans="1:6" x14ac:dyDescent="0.3">
      <c r="A581" t="s">
        <v>616</v>
      </c>
      <c r="B581" t="s">
        <v>214</v>
      </c>
      <c r="C581">
        <v>6130000</v>
      </c>
      <c r="D581">
        <v>224419.1</v>
      </c>
      <c r="E581">
        <v>6.6900000000000001E-2</v>
      </c>
      <c r="F581">
        <v>7.5899999999999995E-2</v>
      </c>
    </row>
    <row r="582" spans="1:6" x14ac:dyDescent="0.3">
      <c r="A582" t="s">
        <v>617</v>
      </c>
      <c r="B582" t="s">
        <v>26</v>
      </c>
      <c r="C582">
        <v>4760000</v>
      </c>
      <c r="D582">
        <v>8947.6</v>
      </c>
      <c r="E582">
        <v>0.03</v>
      </c>
      <c r="F582">
        <v>5.1799999999999999E-2</v>
      </c>
    </row>
    <row r="583" spans="1:6" x14ac:dyDescent="0.3">
      <c r="A583" t="s">
        <v>618</v>
      </c>
      <c r="B583" t="s">
        <v>24</v>
      </c>
      <c r="C583">
        <v>10300000</v>
      </c>
      <c r="D583">
        <v>131786.70000000001</v>
      </c>
      <c r="E583">
        <v>6.6E-3</v>
      </c>
      <c r="F583">
        <v>8.1100000000000005E-2</v>
      </c>
    </row>
    <row r="584" spans="1:6" x14ac:dyDescent="0.3">
      <c r="A584" t="s">
        <v>619</v>
      </c>
      <c r="B584" t="s">
        <v>88</v>
      </c>
      <c r="C584">
        <v>5240000</v>
      </c>
      <c r="D584">
        <v>8953.6</v>
      </c>
      <c r="E584">
        <v>2.8799999999999999E-2</v>
      </c>
      <c r="F584">
        <v>9.3799999999999994E-2</v>
      </c>
    </row>
    <row r="585" spans="1:6" x14ac:dyDescent="0.3">
      <c r="A585" t="s">
        <v>620</v>
      </c>
      <c r="B585" t="s">
        <v>21</v>
      </c>
      <c r="C585">
        <v>6110000</v>
      </c>
      <c r="D585">
        <v>72732.2</v>
      </c>
      <c r="E585">
        <v>7.9000000000000008E-3</v>
      </c>
      <c r="F585">
        <v>6.54E-2</v>
      </c>
    </row>
    <row r="586" spans="1:6" x14ac:dyDescent="0.3">
      <c r="A586" t="s">
        <v>621</v>
      </c>
      <c r="B586" t="s">
        <v>21</v>
      </c>
      <c r="C586">
        <v>6990000</v>
      </c>
      <c r="D586">
        <v>13391.8</v>
      </c>
      <c r="E586">
        <v>2.23E-2</v>
      </c>
      <c r="F586">
        <v>5.7599999999999998E-2</v>
      </c>
    </row>
    <row r="587" spans="1:6" x14ac:dyDescent="0.3">
      <c r="A587" t="s">
        <v>622</v>
      </c>
      <c r="B587" t="s">
        <v>28</v>
      </c>
      <c r="C587">
        <v>6850000</v>
      </c>
      <c r="D587">
        <v>82155.3</v>
      </c>
      <c r="E587">
        <v>2.2000000000000001E-3</v>
      </c>
      <c r="F587">
        <v>8.2100000000000006E-2</v>
      </c>
    </row>
    <row r="588" spans="1:6" x14ac:dyDescent="0.3">
      <c r="A588" t="s">
        <v>623</v>
      </c>
      <c r="B588" t="s">
        <v>32</v>
      </c>
      <c r="C588">
        <v>5330000</v>
      </c>
      <c r="D588">
        <v>1736.3</v>
      </c>
      <c r="E588">
        <v>2.0400000000000001E-2</v>
      </c>
      <c r="F588">
        <v>5.0999999999999997E-2</v>
      </c>
    </row>
    <row r="589" spans="1:6" x14ac:dyDescent="0.3">
      <c r="A589" t="s">
        <v>624</v>
      </c>
      <c r="B589" t="s">
        <v>26</v>
      </c>
      <c r="C589">
        <v>7130000</v>
      </c>
      <c r="D589">
        <v>4646952.2</v>
      </c>
      <c r="E589">
        <v>3.0300000000000001E-2</v>
      </c>
      <c r="F589">
        <v>4.0899999999999999E-2</v>
      </c>
    </row>
    <row r="590" spans="1:6" x14ac:dyDescent="0.3">
      <c r="A590" t="s">
        <v>625</v>
      </c>
      <c r="B590" t="s">
        <v>26</v>
      </c>
      <c r="C590">
        <v>7500000</v>
      </c>
      <c r="D590">
        <v>332918.8</v>
      </c>
      <c r="E590">
        <v>1.37E-2</v>
      </c>
      <c r="F590">
        <v>4.6199999999999998E-2</v>
      </c>
    </row>
    <row r="591" spans="1:6" x14ac:dyDescent="0.3">
      <c r="A591" t="s">
        <v>626</v>
      </c>
      <c r="B591" t="s">
        <v>26</v>
      </c>
      <c r="C591">
        <v>5220000</v>
      </c>
      <c r="D591">
        <v>190943</v>
      </c>
      <c r="E591">
        <v>2.69E-2</v>
      </c>
      <c r="F591">
        <v>4.0899999999999999E-2</v>
      </c>
    </row>
    <row r="592" spans="1:6" x14ac:dyDescent="0.3">
      <c r="A592" t="s">
        <v>627</v>
      </c>
      <c r="B592" t="s">
        <v>41</v>
      </c>
      <c r="C592">
        <v>6410000</v>
      </c>
      <c r="D592">
        <v>748.4</v>
      </c>
      <c r="E592">
        <v>2.2700000000000001E-2</v>
      </c>
      <c r="F592">
        <v>0.1053</v>
      </c>
    </row>
    <row r="593" spans="1:6" x14ac:dyDescent="0.3">
      <c r="A593" t="s">
        <v>628</v>
      </c>
      <c r="B593" t="s">
        <v>88</v>
      </c>
      <c r="C593">
        <v>5800000</v>
      </c>
      <c r="D593">
        <v>42660.5</v>
      </c>
      <c r="E593">
        <v>5.6399999999999999E-2</v>
      </c>
      <c r="F593">
        <v>9.3799999999999994E-2</v>
      </c>
    </row>
    <row r="594" spans="1:6" x14ac:dyDescent="0.3">
      <c r="A594" t="s">
        <v>629</v>
      </c>
      <c r="B594" t="s">
        <v>41</v>
      </c>
      <c r="C594">
        <v>8310000</v>
      </c>
      <c r="D594">
        <v>644.6</v>
      </c>
      <c r="E594">
        <v>1.43E-2</v>
      </c>
      <c r="F594">
        <v>0.18659999999999999</v>
      </c>
    </row>
    <row r="595" spans="1:6" x14ac:dyDescent="0.3">
      <c r="A595" t="s">
        <v>630</v>
      </c>
      <c r="B595" t="s">
        <v>24</v>
      </c>
      <c r="C595">
        <v>6230000</v>
      </c>
      <c r="D595">
        <v>1224371.3999999999</v>
      </c>
      <c r="E595">
        <v>2.6499999999999999E-2</v>
      </c>
      <c r="F595">
        <v>4.0899999999999999E-2</v>
      </c>
    </row>
    <row r="596" spans="1:6" x14ac:dyDescent="0.3">
      <c r="A596" t="s">
        <v>631</v>
      </c>
      <c r="B596" t="s">
        <v>26</v>
      </c>
      <c r="C596">
        <v>7980000</v>
      </c>
      <c r="D596">
        <v>291194</v>
      </c>
      <c r="E596">
        <v>3.6799999999999999E-2</v>
      </c>
      <c r="F596">
        <v>7.5899999999999995E-2</v>
      </c>
    </row>
    <row r="597" spans="1:6" x14ac:dyDescent="0.3">
      <c r="A597" t="s">
        <v>632</v>
      </c>
      <c r="B597" t="s">
        <v>30</v>
      </c>
      <c r="C597">
        <v>5240000</v>
      </c>
      <c r="D597">
        <v>64004.5</v>
      </c>
      <c r="E597">
        <v>5.1999999999999998E-3</v>
      </c>
      <c r="F597">
        <v>6.54E-2</v>
      </c>
    </row>
    <row r="598" spans="1:6" x14ac:dyDescent="0.3">
      <c r="A598" t="s">
        <v>633</v>
      </c>
      <c r="B598" t="s">
        <v>50</v>
      </c>
      <c r="C598">
        <v>8630000</v>
      </c>
      <c r="D598">
        <v>246237</v>
      </c>
      <c r="E598">
        <v>6.0000000000000001E-3</v>
      </c>
      <c r="F598">
        <v>6.54E-2</v>
      </c>
    </row>
    <row r="599" spans="1:6" x14ac:dyDescent="0.3">
      <c r="A599" t="s">
        <v>634</v>
      </c>
      <c r="B599" t="s">
        <v>26</v>
      </c>
      <c r="C599">
        <v>6070000</v>
      </c>
      <c r="D599">
        <v>2767.8</v>
      </c>
      <c r="E599">
        <v>9.4000000000000004E-3</v>
      </c>
      <c r="F599">
        <v>8.1100000000000005E-2</v>
      </c>
    </row>
    <row r="600" spans="1:6" x14ac:dyDescent="0.3">
      <c r="A600" t="s">
        <v>635</v>
      </c>
      <c r="B600" t="s">
        <v>21</v>
      </c>
      <c r="C600">
        <v>6080000</v>
      </c>
      <c r="D600">
        <v>1091.5</v>
      </c>
      <c r="E600">
        <v>1.66E-2</v>
      </c>
      <c r="F600">
        <v>0.1053</v>
      </c>
    </row>
    <row r="601" spans="1:6" x14ac:dyDescent="0.3">
      <c r="A601" t="s">
        <v>636</v>
      </c>
      <c r="B601" t="s">
        <v>41</v>
      </c>
      <c r="C601">
        <v>5800000</v>
      </c>
      <c r="D601">
        <v>40156.5</v>
      </c>
      <c r="E601">
        <v>3.2399999999999998E-2</v>
      </c>
      <c r="F601">
        <v>4.0899999999999999E-2</v>
      </c>
    </row>
    <row r="602" spans="1:6" x14ac:dyDescent="0.3">
      <c r="A602" t="s">
        <v>637</v>
      </c>
      <c r="B602" t="s">
        <v>41</v>
      </c>
      <c r="C602">
        <v>9530000</v>
      </c>
      <c r="D602">
        <v>1202.8</v>
      </c>
      <c r="E602">
        <v>3.0499999999999999E-2</v>
      </c>
      <c r="F602">
        <v>9.3799999999999994E-2</v>
      </c>
    </row>
    <row r="603" spans="1:6" x14ac:dyDescent="0.3">
      <c r="A603" t="s">
        <v>638</v>
      </c>
      <c r="B603" t="s">
        <v>41</v>
      </c>
      <c r="C603">
        <v>6790000</v>
      </c>
      <c r="D603">
        <v>528.9</v>
      </c>
      <c r="F603">
        <v>5.0999999999999997E-2</v>
      </c>
    </row>
    <row r="604" spans="1:6" x14ac:dyDescent="0.3">
      <c r="A604" t="s">
        <v>639</v>
      </c>
      <c r="B604" t="s">
        <v>214</v>
      </c>
      <c r="C604">
        <v>6710000</v>
      </c>
      <c r="D604">
        <v>1515913.4</v>
      </c>
      <c r="E604">
        <v>3.49E-2</v>
      </c>
      <c r="F604">
        <v>9.5100000000000004E-2</v>
      </c>
    </row>
    <row r="605" spans="1:6" x14ac:dyDescent="0.3">
      <c r="A605" t="s">
        <v>640</v>
      </c>
      <c r="B605" t="s">
        <v>26</v>
      </c>
      <c r="C605">
        <v>6670000</v>
      </c>
      <c r="D605">
        <v>183662.9</v>
      </c>
      <c r="E605">
        <v>2.93E-2</v>
      </c>
      <c r="F605">
        <v>5.0999999999999997E-2</v>
      </c>
    </row>
    <row r="606" spans="1:6" x14ac:dyDescent="0.3">
      <c r="A606" t="s">
        <v>641</v>
      </c>
      <c r="B606" t="s">
        <v>81</v>
      </c>
      <c r="C606">
        <v>5360000</v>
      </c>
      <c r="D606">
        <v>42933.9</v>
      </c>
      <c r="E606">
        <v>2.76E-2</v>
      </c>
      <c r="F606">
        <v>9.3799999999999994E-2</v>
      </c>
    </row>
    <row r="607" spans="1:6" x14ac:dyDescent="0.3">
      <c r="A607" t="s">
        <v>642</v>
      </c>
      <c r="B607" t="s">
        <v>26</v>
      </c>
      <c r="C607">
        <v>6940000</v>
      </c>
      <c r="D607">
        <v>894406.6</v>
      </c>
      <c r="E607">
        <v>3.5799999999999998E-2</v>
      </c>
      <c r="F607">
        <v>4.0899999999999999E-2</v>
      </c>
    </row>
    <row r="608" spans="1:6" x14ac:dyDescent="0.3">
      <c r="A608" t="s">
        <v>643</v>
      </c>
      <c r="B608" t="s">
        <v>41</v>
      </c>
      <c r="C608">
        <v>5450000</v>
      </c>
      <c r="D608">
        <v>40.6</v>
      </c>
      <c r="E608">
        <v>2.8E-3</v>
      </c>
      <c r="F608">
        <v>0.26569999999999999</v>
      </c>
    </row>
    <row r="609" spans="1:6" x14ac:dyDescent="0.3">
      <c r="A609" t="s">
        <v>644</v>
      </c>
      <c r="B609" t="s">
        <v>41</v>
      </c>
      <c r="C609">
        <v>5830000</v>
      </c>
      <c r="D609">
        <v>1131.0999999999999</v>
      </c>
      <c r="E609">
        <v>4.0599999999999997E-2</v>
      </c>
      <c r="F609">
        <v>6.4299999999999996E-2</v>
      </c>
    </row>
    <row r="610" spans="1:6" x14ac:dyDescent="0.3">
      <c r="A610" t="s">
        <v>645</v>
      </c>
      <c r="B610" t="s">
        <v>24</v>
      </c>
      <c r="C610">
        <v>5680000</v>
      </c>
      <c r="D610">
        <v>93371.3</v>
      </c>
      <c r="E610">
        <v>2.4299999999999999E-2</v>
      </c>
      <c r="F610">
        <v>0.1615</v>
      </c>
    </row>
    <row r="611" spans="1:6" x14ac:dyDescent="0.3">
      <c r="A611" t="s">
        <v>646</v>
      </c>
      <c r="B611" t="s">
        <v>41</v>
      </c>
      <c r="C611">
        <v>7340000</v>
      </c>
      <c r="D611">
        <v>2546</v>
      </c>
      <c r="E611">
        <v>1.4200000000000001E-2</v>
      </c>
      <c r="F611">
        <v>0.1053</v>
      </c>
    </row>
    <row r="612" spans="1:6" x14ac:dyDescent="0.3">
      <c r="A612" t="s">
        <v>647</v>
      </c>
      <c r="B612" t="s">
        <v>26</v>
      </c>
      <c r="C612">
        <v>5420000</v>
      </c>
      <c r="D612">
        <v>19970.2</v>
      </c>
      <c r="E612">
        <v>3.5000000000000003E-2</v>
      </c>
      <c r="F612">
        <v>9.3799999999999994E-2</v>
      </c>
    </row>
    <row r="613" spans="1:6" x14ac:dyDescent="0.3">
      <c r="A613" t="s">
        <v>648</v>
      </c>
      <c r="B613" t="s">
        <v>24</v>
      </c>
      <c r="C613">
        <v>8660000</v>
      </c>
      <c r="D613">
        <v>4792435.0999999996</v>
      </c>
      <c r="E613">
        <v>4.5999999999999999E-3</v>
      </c>
      <c r="F613">
        <v>8.2199999999999995E-2</v>
      </c>
    </row>
    <row r="614" spans="1:6" x14ac:dyDescent="0.3">
      <c r="A614" t="s">
        <v>649</v>
      </c>
      <c r="B614" t="s">
        <v>26</v>
      </c>
      <c r="C614">
        <v>5870000</v>
      </c>
      <c r="D614">
        <v>145472.79999999999</v>
      </c>
      <c r="E614">
        <v>3.5499999999999997E-2</v>
      </c>
      <c r="F614">
        <v>7.5899999999999995E-2</v>
      </c>
    </row>
    <row r="615" spans="1:6" x14ac:dyDescent="0.3">
      <c r="A615" t="s">
        <v>650</v>
      </c>
      <c r="B615" t="s">
        <v>287</v>
      </c>
      <c r="C615">
        <v>5460000</v>
      </c>
      <c r="D615">
        <v>61999.5</v>
      </c>
      <c r="E615">
        <v>5.8000000000000003E-2</v>
      </c>
      <c r="F615">
        <v>7.5899999999999995E-2</v>
      </c>
    </row>
    <row r="616" spans="1:6" x14ac:dyDescent="0.3">
      <c r="A616" t="s">
        <v>651</v>
      </c>
      <c r="B616" t="s">
        <v>21</v>
      </c>
      <c r="C616">
        <v>5360000</v>
      </c>
      <c r="D616">
        <v>727047.3</v>
      </c>
      <c r="E616">
        <v>2.9100000000000001E-2</v>
      </c>
      <c r="F616">
        <v>5.0999999999999997E-2</v>
      </c>
    </row>
    <row r="617" spans="1:6" x14ac:dyDescent="0.3">
      <c r="A617" t="s">
        <v>652</v>
      </c>
      <c r="B617" t="s">
        <v>88</v>
      </c>
      <c r="C617">
        <v>6060000</v>
      </c>
      <c r="D617">
        <v>64411.1</v>
      </c>
      <c r="E617">
        <v>8.8499999999999995E-2</v>
      </c>
      <c r="F617">
        <v>9.3799999999999994E-2</v>
      </c>
    </row>
    <row r="618" spans="1:6" x14ac:dyDescent="0.3">
      <c r="A618" t="s">
        <v>653</v>
      </c>
      <c r="B618" t="s">
        <v>24</v>
      </c>
      <c r="C618">
        <v>5820000</v>
      </c>
      <c r="D618">
        <v>8090.4</v>
      </c>
      <c r="E618">
        <v>6.4999999999999997E-3</v>
      </c>
      <c r="F618">
        <v>8.1100000000000005E-2</v>
      </c>
    </row>
    <row r="619" spans="1:6" x14ac:dyDescent="0.3">
      <c r="A619" t="s">
        <v>654</v>
      </c>
      <c r="B619" t="s">
        <v>32</v>
      </c>
      <c r="C619">
        <v>5560000</v>
      </c>
      <c r="D619">
        <v>13869.3</v>
      </c>
      <c r="E619">
        <v>9.7999999999999997E-3</v>
      </c>
      <c r="F619">
        <v>8.1100000000000005E-2</v>
      </c>
    </row>
    <row r="620" spans="1:6" x14ac:dyDescent="0.3">
      <c r="A620" t="s">
        <v>655</v>
      </c>
      <c r="B620" t="s">
        <v>32</v>
      </c>
      <c r="C620">
        <v>5660000</v>
      </c>
      <c r="D620">
        <v>8971.9</v>
      </c>
      <c r="E620">
        <v>8.8000000000000005E-3</v>
      </c>
      <c r="F620">
        <v>6.54E-2</v>
      </c>
    </row>
    <row r="621" spans="1:6" x14ac:dyDescent="0.3">
      <c r="A621" t="s">
        <v>656</v>
      </c>
      <c r="B621" t="s">
        <v>92</v>
      </c>
      <c r="C621">
        <v>5410000</v>
      </c>
      <c r="D621">
        <v>97253.3</v>
      </c>
      <c r="E621">
        <v>4.6399999999999997E-2</v>
      </c>
      <c r="F621">
        <v>7.5899999999999995E-2</v>
      </c>
    </row>
    <row r="622" spans="1:6" x14ac:dyDescent="0.3">
      <c r="A622" t="s">
        <v>657</v>
      </c>
      <c r="B622" t="s">
        <v>287</v>
      </c>
      <c r="C622">
        <v>4970000</v>
      </c>
      <c r="D622">
        <v>34668.300000000003</v>
      </c>
      <c r="E622">
        <v>5.3900000000000003E-2</v>
      </c>
      <c r="F622">
        <v>9.5000000000000001E-2</v>
      </c>
    </row>
    <row r="623" spans="1:6" x14ac:dyDescent="0.3">
      <c r="A623" t="s">
        <v>658</v>
      </c>
      <c r="B623" t="s">
        <v>30</v>
      </c>
      <c r="C623">
        <v>8060000</v>
      </c>
      <c r="D623">
        <v>193290.5</v>
      </c>
      <c r="E623">
        <v>2.35E-2</v>
      </c>
      <c r="F623">
        <v>4.0899999999999999E-2</v>
      </c>
    </row>
    <row r="624" spans="1:6" x14ac:dyDescent="0.3">
      <c r="A624" t="s">
        <v>659</v>
      </c>
      <c r="B624" t="s">
        <v>41</v>
      </c>
      <c r="C624">
        <v>6540000</v>
      </c>
      <c r="D624">
        <v>187520.8</v>
      </c>
      <c r="E624">
        <v>1.7100000000000001E-2</v>
      </c>
      <c r="F624">
        <v>5.7599999999999998E-2</v>
      </c>
    </row>
    <row r="625" spans="1:6" x14ac:dyDescent="0.3">
      <c r="A625" t="s">
        <v>660</v>
      </c>
      <c r="B625" t="s">
        <v>21</v>
      </c>
      <c r="C625">
        <v>5300000</v>
      </c>
      <c r="D625">
        <v>187097.7</v>
      </c>
      <c r="E625">
        <v>4.2099999999999999E-2</v>
      </c>
      <c r="F625">
        <v>9.5100000000000004E-2</v>
      </c>
    </row>
    <row r="626" spans="1:6" x14ac:dyDescent="0.3">
      <c r="A626" t="s">
        <v>661</v>
      </c>
      <c r="B626" t="s">
        <v>41</v>
      </c>
      <c r="C626">
        <v>7490000</v>
      </c>
      <c r="D626">
        <v>13437.6</v>
      </c>
      <c r="E626">
        <v>4.0399999999999998E-2</v>
      </c>
      <c r="F626">
        <v>9.3799999999999994E-2</v>
      </c>
    </row>
    <row r="627" spans="1:6" x14ac:dyDescent="0.3">
      <c r="A627" t="s">
        <v>662</v>
      </c>
      <c r="B627" t="s">
        <v>92</v>
      </c>
      <c r="C627">
        <v>5200000</v>
      </c>
      <c r="D627">
        <v>20504.2</v>
      </c>
      <c r="E627">
        <v>1.3899999999999999E-2</v>
      </c>
      <c r="F627">
        <v>5.8000000000000003E-2</v>
      </c>
    </row>
    <row r="628" spans="1:6" x14ac:dyDescent="0.3">
      <c r="A628" t="s">
        <v>663</v>
      </c>
      <c r="B628" t="s">
        <v>26</v>
      </c>
      <c r="C628">
        <v>5230000</v>
      </c>
      <c r="D628">
        <v>2927123.2</v>
      </c>
      <c r="E628">
        <v>3.5299999999999998E-2</v>
      </c>
      <c r="F628">
        <v>5.1799999999999999E-2</v>
      </c>
    </row>
    <row r="629" spans="1:6" x14ac:dyDescent="0.3">
      <c r="A629" t="s">
        <v>664</v>
      </c>
      <c r="B629" t="s">
        <v>71</v>
      </c>
      <c r="C629">
        <v>5730000</v>
      </c>
      <c r="D629">
        <v>174934.9</v>
      </c>
      <c r="E629">
        <v>3.6499999999999998E-2</v>
      </c>
      <c r="F629">
        <v>9.3799999999999994E-2</v>
      </c>
    </row>
    <row r="630" spans="1:6" x14ac:dyDescent="0.3">
      <c r="A630" t="s">
        <v>665</v>
      </c>
      <c r="B630" t="s">
        <v>50</v>
      </c>
      <c r="C630">
        <v>5130000</v>
      </c>
      <c r="D630">
        <v>1687.3</v>
      </c>
      <c r="E630">
        <v>8.6999999999999994E-3</v>
      </c>
      <c r="F630">
        <v>8.1100000000000005E-2</v>
      </c>
    </row>
    <row r="631" spans="1:6" x14ac:dyDescent="0.3">
      <c r="A631" t="s">
        <v>666</v>
      </c>
      <c r="B631" t="s">
        <v>28</v>
      </c>
      <c r="C631">
        <v>5910000</v>
      </c>
      <c r="D631">
        <v>6963.1</v>
      </c>
      <c r="E631">
        <v>6.1000000000000004E-3</v>
      </c>
      <c r="F631">
        <v>6.54E-2</v>
      </c>
    </row>
    <row r="632" spans="1:6" x14ac:dyDescent="0.3">
      <c r="A632" t="s">
        <v>667</v>
      </c>
      <c r="B632" t="s">
        <v>41</v>
      </c>
      <c r="C632">
        <v>7490000</v>
      </c>
      <c r="D632">
        <v>3568.5</v>
      </c>
      <c r="E632">
        <v>2.8400000000000002E-2</v>
      </c>
      <c r="F632">
        <v>9.3799999999999994E-2</v>
      </c>
    </row>
    <row r="633" spans="1:6" x14ac:dyDescent="0.3">
      <c r="A633" t="s">
        <v>668</v>
      </c>
      <c r="B633" t="s">
        <v>287</v>
      </c>
      <c r="C633">
        <v>6500000</v>
      </c>
      <c r="D633">
        <v>639201.6</v>
      </c>
      <c r="E633">
        <v>2.75E-2</v>
      </c>
      <c r="F633">
        <v>9.5100000000000004E-2</v>
      </c>
    </row>
    <row r="634" spans="1:6" x14ac:dyDescent="0.3">
      <c r="A634" t="s">
        <v>669</v>
      </c>
      <c r="B634" t="s">
        <v>53</v>
      </c>
      <c r="C634">
        <v>6120000</v>
      </c>
      <c r="D634">
        <v>290945.59999999998</v>
      </c>
      <c r="F634">
        <v>5.1799999999999999E-2</v>
      </c>
    </row>
    <row r="635" spans="1:6" x14ac:dyDescent="0.3">
      <c r="A635" t="s">
        <v>670</v>
      </c>
      <c r="B635" t="s">
        <v>26</v>
      </c>
      <c r="C635">
        <v>8930000</v>
      </c>
      <c r="D635">
        <v>194079.1</v>
      </c>
      <c r="E635">
        <v>4.1500000000000002E-2</v>
      </c>
      <c r="F635">
        <v>9.3799999999999994E-2</v>
      </c>
    </row>
    <row r="636" spans="1:6" x14ac:dyDescent="0.3">
      <c r="A636" t="s">
        <v>671</v>
      </c>
      <c r="B636" t="s">
        <v>24</v>
      </c>
      <c r="C636">
        <v>6260000</v>
      </c>
      <c r="D636">
        <v>1778828.5</v>
      </c>
      <c r="E636">
        <v>1.24E-2</v>
      </c>
      <c r="F636">
        <v>0.18890000000000001</v>
      </c>
    </row>
    <row r="637" spans="1:6" x14ac:dyDescent="0.3">
      <c r="A637" t="s">
        <v>672</v>
      </c>
      <c r="B637" t="s">
        <v>24</v>
      </c>
      <c r="C637">
        <v>6330000</v>
      </c>
      <c r="D637">
        <v>770324.6</v>
      </c>
      <c r="E637">
        <v>2.4199999999999999E-2</v>
      </c>
      <c r="F637">
        <v>5.1799999999999999E-2</v>
      </c>
    </row>
    <row r="638" spans="1:6" x14ac:dyDescent="0.3">
      <c r="A638" t="s">
        <v>673</v>
      </c>
      <c r="B638" t="s">
        <v>26</v>
      </c>
      <c r="C638">
        <v>6300000</v>
      </c>
      <c r="D638">
        <v>422472.8</v>
      </c>
      <c r="E638">
        <v>1.46E-2</v>
      </c>
      <c r="F638">
        <v>4.8800000000000003E-2</v>
      </c>
    </row>
    <row r="639" spans="1:6" x14ac:dyDescent="0.3">
      <c r="A639" t="s">
        <v>674</v>
      </c>
      <c r="B639" t="s">
        <v>26</v>
      </c>
      <c r="C639">
        <v>5420000</v>
      </c>
      <c r="D639">
        <v>82206</v>
      </c>
      <c r="E639">
        <v>4.5600000000000002E-2</v>
      </c>
      <c r="F639">
        <v>7.5899999999999995E-2</v>
      </c>
    </row>
    <row r="640" spans="1:6" x14ac:dyDescent="0.3">
      <c r="A640" t="s">
        <v>675</v>
      </c>
      <c r="B640" t="s">
        <v>41</v>
      </c>
      <c r="C640">
        <v>9750000</v>
      </c>
      <c r="D640">
        <v>16930.900000000001</v>
      </c>
      <c r="E640">
        <v>1.06E-2</v>
      </c>
      <c r="F640">
        <v>7.6499999999999999E-2</v>
      </c>
    </row>
    <row r="641" spans="1:6" x14ac:dyDescent="0.3">
      <c r="A641" t="s">
        <v>676</v>
      </c>
      <c r="B641" t="s">
        <v>26</v>
      </c>
      <c r="C641">
        <v>5130000</v>
      </c>
      <c r="D641">
        <v>1076725.2</v>
      </c>
      <c r="E641">
        <v>3.3500000000000002E-2</v>
      </c>
      <c r="F641">
        <v>4.0899999999999999E-2</v>
      </c>
    </row>
    <row r="642" spans="1:6" x14ac:dyDescent="0.3">
      <c r="A642" t="s">
        <v>677</v>
      </c>
      <c r="B642" t="s">
        <v>26</v>
      </c>
      <c r="C642">
        <v>5330000</v>
      </c>
      <c r="D642">
        <v>106045.3</v>
      </c>
      <c r="E642">
        <v>5.2499999999999998E-2</v>
      </c>
      <c r="F642">
        <v>7.5899999999999995E-2</v>
      </c>
    </row>
    <row r="643" spans="1:6" x14ac:dyDescent="0.3">
      <c r="A643" t="s">
        <v>678</v>
      </c>
      <c r="B643" t="s">
        <v>26</v>
      </c>
      <c r="C643">
        <v>5560000</v>
      </c>
      <c r="D643">
        <v>2949950</v>
      </c>
      <c r="E643">
        <v>1.3899999999999999E-2</v>
      </c>
      <c r="F643">
        <v>5.8500000000000003E-2</v>
      </c>
    </row>
    <row r="644" spans="1:6" x14ac:dyDescent="0.3">
      <c r="A644" t="s">
        <v>679</v>
      </c>
      <c r="B644" t="s">
        <v>41</v>
      </c>
      <c r="C644">
        <v>4630000</v>
      </c>
      <c r="D644">
        <v>8101.8</v>
      </c>
      <c r="E644">
        <v>1.8700000000000001E-2</v>
      </c>
      <c r="F644">
        <v>0.1067</v>
      </c>
    </row>
    <row r="645" spans="1:6" x14ac:dyDescent="0.3">
      <c r="A645" t="s">
        <v>680</v>
      </c>
      <c r="B645" t="s">
        <v>26</v>
      </c>
      <c r="C645">
        <v>7610000</v>
      </c>
      <c r="D645">
        <v>487902.8</v>
      </c>
      <c r="E645">
        <v>2.4E-2</v>
      </c>
      <c r="F645">
        <v>4.0899999999999999E-2</v>
      </c>
    </row>
    <row r="646" spans="1:6" x14ac:dyDescent="0.3">
      <c r="A646" t="s">
        <v>681</v>
      </c>
      <c r="B646" t="s">
        <v>35</v>
      </c>
      <c r="C646">
        <v>4670000</v>
      </c>
      <c r="D646">
        <v>32570.400000000001</v>
      </c>
      <c r="E646">
        <v>1.8200000000000001E-2</v>
      </c>
      <c r="F646">
        <v>5.8500000000000003E-2</v>
      </c>
    </row>
    <row r="647" spans="1:6" x14ac:dyDescent="0.3">
      <c r="A647" t="s">
        <v>682</v>
      </c>
      <c r="B647" t="s">
        <v>24</v>
      </c>
      <c r="C647">
        <v>5590000</v>
      </c>
      <c r="D647">
        <v>21698.6</v>
      </c>
      <c r="E647">
        <v>5.5999999999999999E-3</v>
      </c>
      <c r="F647">
        <v>8.1100000000000005E-2</v>
      </c>
    </row>
    <row r="648" spans="1:6" x14ac:dyDescent="0.3">
      <c r="A648" t="s">
        <v>683</v>
      </c>
      <c r="B648" t="s">
        <v>92</v>
      </c>
      <c r="C648">
        <v>5910000</v>
      </c>
      <c r="D648">
        <v>51593.4</v>
      </c>
      <c r="E648">
        <v>2.2499999999999999E-2</v>
      </c>
      <c r="F648">
        <v>9.3799999999999994E-2</v>
      </c>
    </row>
    <row r="649" spans="1:6" x14ac:dyDescent="0.3">
      <c r="A649" t="s">
        <v>684</v>
      </c>
      <c r="B649" t="s">
        <v>21</v>
      </c>
      <c r="C649">
        <v>10400000</v>
      </c>
      <c r="D649">
        <v>13931</v>
      </c>
      <c r="E649">
        <v>1.41E-2</v>
      </c>
      <c r="F649">
        <v>6.08E-2</v>
      </c>
    </row>
    <row r="650" spans="1:6" x14ac:dyDescent="0.3">
      <c r="A650" t="s">
        <v>685</v>
      </c>
      <c r="B650" t="s">
        <v>26</v>
      </c>
      <c r="C650">
        <v>9070000</v>
      </c>
      <c r="D650">
        <v>689508.9</v>
      </c>
      <c r="E650">
        <v>3.7699999999999997E-2</v>
      </c>
      <c r="F650">
        <v>5.0999999999999997E-2</v>
      </c>
    </row>
    <row r="651" spans="1:6" x14ac:dyDescent="0.3">
      <c r="A651" t="s">
        <v>686</v>
      </c>
      <c r="B651" t="s">
        <v>50</v>
      </c>
      <c r="C651">
        <v>6830000</v>
      </c>
      <c r="D651">
        <v>30155.200000000001</v>
      </c>
      <c r="F651">
        <v>5.0999999999999997E-2</v>
      </c>
    </row>
    <row r="652" spans="1:6" x14ac:dyDescent="0.3">
      <c r="A652" t="s">
        <v>687</v>
      </c>
      <c r="B652" t="s">
        <v>26</v>
      </c>
      <c r="C652">
        <v>5770000</v>
      </c>
      <c r="D652">
        <v>434234.1</v>
      </c>
      <c r="E652">
        <v>1.5699999999999999E-2</v>
      </c>
      <c r="F652">
        <v>5.7599999999999998E-2</v>
      </c>
    </row>
    <row r="653" spans="1:6" x14ac:dyDescent="0.3">
      <c r="A653" t="s">
        <v>688</v>
      </c>
      <c r="B653" t="s">
        <v>41</v>
      </c>
      <c r="C653">
        <v>6500000</v>
      </c>
      <c r="D653">
        <v>2850.7</v>
      </c>
      <c r="E653">
        <v>2.7300000000000001E-2</v>
      </c>
      <c r="F653">
        <v>0.15140000000000001</v>
      </c>
    </row>
    <row r="654" spans="1:6" x14ac:dyDescent="0.3">
      <c r="A654" t="s">
        <v>689</v>
      </c>
      <c r="B654" t="s">
        <v>32</v>
      </c>
      <c r="C654">
        <v>5280000</v>
      </c>
      <c r="D654">
        <v>609293.6</v>
      </c>
      <c r="E654">
        <v>1.7100000000000001E-2</v>
      </c>
      <c r="F654">
        <v>5.8500000000000003E-2</v>
      </c>
    </row>
    <row r="655" spans="1:6" x14ac:dyDescent="0.3">
      <c r="A655" t="s">
        <v>690</v>
      </c>
      <c r="B655" t="s">
        <v>26</v>
      </c>
      <c r="C655">
        <v>4970000</v>
      </c>
      <c r="D655">
        <v>4479.8999999999996</v>
      </c>
      <c r="E655">
        <v>4.6899999999999997E-2</v>
      </c>
      <c r="F655">
        <v>7.5899999999999995E-2</v>
      </c>
    </row>
    <row r="656" spans="1:6" x14ac:dyDescent="0.3">
      <c r="A656" t="s">
        <v>691</v>
      </c>
      <c r="B656" t="s">
        <v>32</v>
      </c>
      <c r="C656">
        <v>5140000</v>
      </c>
      <c r="D656">
        <v>919.9</v>
      </c>
      <c r="E656">
        <v>1.1900000000000001E-2</v>
      </c>
      <c r="F656">
        <v>0.1452</v>
      </c>
    </row>
    <row r="657" spans="1:6" x14ac:dyDescent="0.3">
      <c r="A657" t="s">
        <v>692</v>
      </c>
      <c r="B657" t="s">
        <v>62</v>
      </c>
      <c r="C657">
        <v>5140000</v>
      </c>
      <c r="D657">
        <v>14285.4</v>
      </c>
      <c r="E657">
        <v>1.7399999999999999E-2</v>
      </c>
      <c r="F657">
        <v>4.6199999999999998E-2</v>
      </c>
    </row>
    <row r="658" spans="1:6" x14ac:dyDescent="0.3">
      <c r="A658" t="s">
        <v>693</v>
      </c>
      <c r="B658" t="s">
        <v>71</v>
      </c>
      <c r="C658">
        <v>4880000</v>
      </c>
      <c r="D658">
        <v>18832.8</v>
      </c>
      <c r="E658">
        <v>1.8200000000000001E-2</v>
      </c>
      <c r="F658">
        <v>0.1067</v>
      </c>
    </row>
    <row r="659" spans="1:6" x14ac:dyDescent="0.3">
      <c r="A659" t="s">
        <v>694</v>
      </c>
      <c r="B659" t="s">
        <v>24</v>
      </c>
      <c r="C659">
        <v>4860000</v>
      </c>
      <c r="D659">
        <v>853216.9</v>
      </c>
      <c r="E659">
        <v>2.4299999999999999E-2</v>
      </c>
      <c r="F659">
        <v>4.0899999999999999E-2</v>
      </c>
    </row>
    <row r="660" spans="1:6" x14ac:dyDescent="0.3">
      <c r="A660" t="s">
        <v>695</v>
      </c>
      <c r="B660" t="s">
        <v>26</v>
      </c>
      <c r="C660">
        <v>7330000</v>
      </c>
      <c r="D660">
        <v>37110.199999999997</v>
      </c>
      <c r="E660">
        <v>5.7999999999999996E-3</v>
      </c>
      <c r="F660">
        <v>0.10150000000000001</v>
      </c>
    </row>
    <row r="661" spans="1:6" x14ac:dyDescent="0.3">
      <c r="A661" t="s">
        <v>696</v>
      </c>
      <c r="B661" t="s">
        <v>92</v>
      </c>
      <c r="C661">
        <v>4730000</v>
      </c>
      <c r="D661">
        <v>55337.2</v>
      </c>
      <c r="E661">
        <v>2.5000000000000001E-2</v>
      </c>
      <c r="F661">
        <v>9.5100000000000004E-2</v>
      </c>
    </row>
    <row r="662" spans="1:6" x14ac:dyDescent="0.3">
      <c r="A662" t="s">
        <v>697</v>
      </c>
      <c r="B662" t="s">
        <v>92</v>
      </c>
      <c r="C662">
        <v>5580000</v>
      </c>
      <c r="D662">
        <v>120648.6</v>
      </c>
      <c r="E662">
        <v>2.18E-2</v>
      </c>
      <c r="F662">
        <v>5.7599999999999998E-2</v>
      </c>
    </row>
    <row r="663" spans="1:6" x14ac:dyDescent="0.3">
      <c r="A663" t="s">
        <v>698</v>
      </c>
      <c r="B663" t="s">
        <v>41</v>
      </c>
      <c r="C663">
        <v>5430000</v>
      </c>
      <c r="D663">
        <v>22317.4</v>
      </c>
      <c r="E663">
        <v>1.61E-2</v>
      </c>
      <c r="F663">
        <v>0.1013</v>
      </c>
    </row>
    <row r="664" spans="1:6" x14ac:dyDescent="0.3">
      <c r="A664" t="s">
        <v>699</v>
      </c>
      <c r="B664" t="s">
        <v>21</v>
      </c>
      <c r="C664">
        <v>4790000</v>
      </c>
      <c r="D664">
        <v>3527</v>
      </c>
      <c r="E664">
        <v>5.5800000000000002E-2</v>
      </c>
      <c r="F664">
        <v>0.44819999999999999</v>
      </c>
    </row>
    <row r="665" spans="1:6" x14ac:dyDescent="0.3">
      <c r="A665" t="s">
        <v>700</v>
      </c>
      <c r="B665" t="s">
        <v>26</v>
      </c>
      <c r="C665">
        <v>4410000</v>
      </c>
      <c r="D665">
        <v>20113</v>
      </c>
      <c r="E665">
        <v>1.8100000000000002E-2</v>
      </c>
      <c r="F665">
        <v>8.5400000000000004E-2</v>
      </c>
    </row>
    <row r="666" spans="1:6" x14ac:dyDescent="0.3">
      <c r="A666" t="s">
        <v>701</v>
      </c>
      <c r="B666" t="s">
        <v>26</v>
      </c>
      <c r="C666">
        <v>5610000</v>
      </c>
      <c r="D666">
        <v>12710.3</v>
      </c>
      <c r="E666">
        <v>1.95E-2</v>
      </c>
      <c r="F666">
        <v>4.0899999999999999E-2</v>
      </c>
    </row>
    <row r="667" spans="1:6" x14ac:dyDescent="0.3">
      <c r="A667" t="s">
        <v>702</v>
      </c>
      <c r="B667" t="s">
        <v>21</v>
      </c>
      <c r="C667">
        <v>8280000</v>
      </c>
      <c r="D667">
        <v>120600.9</v>
      </c>
      <c r="E667">
        <v>4.6100000000000002E-2</v>
      </c>
      <c r="F667">
        <v>5.0999999999999997E-2</v>
      </c>
    </row>
    <row r="668" spans="1:6" x14ac:dyDescent="0.3">
      <c r="A668" t="s">
        <v>703</v>
      </c>
      <c r="B668" t="s">
        <v>92</v>
      </c>
      <c r="C668">
        <v>4400000</v>
      </c>
      <c r="D668">
        <v>2011850.3</v>
      </c>
      <c r="E668">
        <v>2.4400000000000002E-2</v>
      </c>
      <c r="F668">
        <v>0.1067</v>
      </c>
    </row>
    <row r="669" spans="1:6" x14ac:dyDescent="0.3">
      <c r="A669" t="s">
        <v>704</v>
      </c>
      <c r="B669" t="s">
        <v>41</v>
      </c>
      <c r="C669">
        <v>7600000</v>
      </c>
      <c r="D669">
        <v>7135.7</v>
      </c>
      <c r="E669">
        <v>1.32E-2</v>
      </c>
      <c r="F669">
        <v>0.13089999999999999</v>
      </c>
    </row>
    <row r="670" spans="1:6" x14ac:dyDescent="0.3">
      <c r="A670" t="s">
        <v>705</v>
      </c>
      <c r="B670" t="s">
        <v>35</v>
      </c>
      <c r="C670">
        <v>4850000</v>
      </c>
      <c r="D670">
        <v>401.4</v>
      </c>
      <c r="E670">
        <v>2.1899999999999999E-2</v>
      </c>
      <c r="F670">
        <v>7.2499999999999995E-2</v>
      </c>
    </row>
    <row r="671" spans="1:6" x14ac:dyDescent="0.3">
      <c r="A671" t="s">
        <v>706</v>
      </c>
      <c r="B671" t="s">
        <v>21</v>
      </c>
      <c r="C671">
        <v>4760000</v>
      </c>
      <c r="D671">
        <v>506.8</v>
      </c>
      <c r="E671">
        <v>1.77E-2</v>
      </c>
      <c r="F671">
        <v>5.7599999999999998E-2</v>
      </c>
    </row>
    <row r="672" spans="1:6" x14ac:dyDescent="0.3">
      <c r="A672" t="s">
        <v>707</v>
      </c>
      <c r="B672" t="s">
        <v>21</v>
      </c>
      <c r="C672">
        <v>4960000</v>
      </c>
      <c r="D672">
        <v>4229.5</v>
      </c>
      <c r="E672">
        <v>1.95E-2</v>
      </c>
      <c r="F672">
        <v>0.1053</v>
      </c>
    </row>
    <row r="673" spans="1:6" x14ac:dyDescent="0.3">
      <c r="A673" t="s">
        <v>708</v>
      </c>
      <c r="B673" t="s">
        <v>26</v>
      </c>
      <c r="C673">
        <v>4490000</v>
      </c>
      <c r="D673">
        <v>181009.8</v>
      </c>
      <c r="E673">
        <v>4.4299999999999999E-2</v>
      </c>
      <c r="F673">
        <v>7.5899999999999995E-2</v>
      </c>
    </row>
    <row r="674" spans="1:6" x14ac:dyDescent="0.3">
      <c r="A674" t="s">
        <v>709</v>
      </c>
      <c r="B674" t="s">
        <v>30</v>
      </c>
      <c r="C674">
        <v>4640000</v>
      </c>
      <c r="D674">
        <v>33663.800000000003</v>
      </c>
      <c r="E674">
        <v>3.61E-2</v>
      </c>
      <c r="F674">
        <v>9.3799999999999994E-2</v>
      </c>
    </row>
    <row r="675" spans="1:6" x14ac:dyDescent="0.3">
      <c r="A675" t="s">
        <v>710</v>
      </c>
      <c r="B675" t="s">
        <v>26</v>
      </c>
      <c r="C675">
        <v>4120000</v>
      </c>
      <c r="D675">
        <v>166759.1</v>
      </c>
      <c r="E675">
        <v>2.5399999999999999E-2</v>
      </c>
      <c r="F675">
        <v>4.3200000000000002E-2</v>
      </c>
    </row>
    <row r="676" spans="1:6" x14ac:dyDescent="0.3">
      <c r="A676" t="s">
        <v>711</v>
      </c>
      <c r="B676" t="s">
        <v>26</v>
      </c>
      <c r="C676">
        <v>6760000</v>
      </c>
      <c r="D676">
        <v>1609150.6</v>
      </c>
      <c r="E676">
        <v>3.7100000000000001E-2</v>
      </c>
      <c r="F676">
        <v>4.0899999999999999E-2</v>
      </c>
    </row>
    <row r="677" spans="1:6" x14ac:dyDescent="0.3">
      <c r="A677" t="s">
        <v>712</v>
      </c>
      <c r="B677" t="s">
        <v>28</v>
      </c>
      <c r="C677">
        <v>10100000</v>
      </c>
      <c r="D677">
        <v>47669.3</v>
      </c>
      <c r="E677">
        <v>5.8999999999999999E-3</v>
      </c>
      <c r="F677">
        <v>6.54E-2</v>
      </c>
    </row>
    <row r="678" spans="1:6" x14ac:dyDescent="0.3">
      <c r="A678" t="s">
        <v>713</v>
      </c>
      <c r="B678" t="s">
        <v>26</v>
      </c>
      <c r="C678">
        <v>5400000</v>
      </c>
      <c r="D678">
        <v>307054.09999999998</v>
      </c>
      <c r="E678">
        <v>7.3000000000000001E-3</v>
      </c>
      <c r="F678">
        <v>6.54E-2</v>
      </c>
    </row>
    <row r="679" spans="1:6" x14ac:dyDescent="0.3">
      <c r="A679" t="s">
        <v>714</v>
      </c>
      <c r="B679" t="s">
        <v>41</v>
      </c>
      <c r="C679">
        <v>4630000</v>
      </c>
      <c r="D679">
        <v>1196.8</v>
      </c>
      <c r="E679">
        <v>1.0500000000000001E-2</v>
      </c>
      <c r="F679">
        <v>9.0300000000000005E-2</v>
      </c>
    </row>
    <row r="680" spans="1:6" x14ac:dyDescent="0.3">
      <c r="A680" t="s">
        <v>715</v>
      </c>
      <c r="B680" t="s">
        <v>71</v>
      </c>
      <c r="C680">
        <v>4730000</v>
      </c>
      <c r="D680">
        <v>7951</v>
      </c>
      <c r="E680">
        <v>2.7099999999999999E-2</v>
      </c>
      <c r="F680">
        <v>7.5899999999999995E-2</v>
      </c>
    </row>
    <row r="681" spans="1:6" x14ac:dyDescent="0.3">
      <c r="A681" t="s">
        <v>716</v>
      </c>
      <c r="B681" t="s">
        <v>53</v>
      </c>
      <c r="C681">
        <v>8660000</v>
      </c>
      <c r="D681">
        <v>5469688.4000000004</v>
      </c>
      <c r="E681">
        <v>1.66E-2</v>
      </c>
      <c r="F681">
        <v>8.5400000000000004E-2</v>
      </c>
    </row>
    <row r="682" spans="1:6" x14ac:dyDescent="0.3">
      <c r="A682" t="s">
        <v>717</v>
      </c>
      <c r="B682" t="s">
        <v>214</v>
      </c>
      <c r="C682">
        <v>5180000</v>
      </c>
      <c r="D682">
        <v>2619235.6</v>
      </c>
      <c r="E682">
        <v>5.04E-2</v>
      </c>
      <c r="F682">
        <v>9.5100000000000004E-2</v>
      </c>
    </row>
    <row r="683" spans="1:6" x14ac:dyDescent="0.3">
      <c r="A683" t="s">
        <v>718</v>
      </c>
      <c r="B683" t="s">
        <v>21</v>
      </c>
      <c r="C683">
        <v>5270000</v>
      </c>
      <c r="D683">
        <v>831216.9</v>
      </c>
      <c r="E683">
        <v>3.27E-2</v>
      </c>
      <c r="F683">
        <v>5.1799999999999999E-2</v>
      </c>
    </row>
    <row r="684" spans="1:6" x14ac:dyDescent="0.3">
      <c r="A684" t="s">
        <v>719</v>
      </c>
      <c r="B684" t="s">
        <v>53</v>
      </c>
      <c r="C684">
        <v>5470000</v>
      </c>
      <c r="D684">
        <v>611048.69999999995</v>
      </c>
      <c r="E684">
        <v>3.4500000000000003E-2</v>
      </c>
      <c r="F684">
        <v>9.5100000000000004E-2</v>
      </c>
    </row>
    <row r="685" spans="1:6" x14ac:dyDescent="0.3">
      <c r="A685" t="s">
        <v>720</v>
      </c>
      <c r="B685" t="s">
        <v>88</v>
      </c>
      <c r="C685">
        <v>4380000</v>
      </c>
      <c r="D685">
        <v>2857.1</v>
      </c>
      <c r="E685">
        <v>2.4199999999999999E-2</v>
      </c>
      <c r="F685">
        <v>0.1168</v>
      </c>
    </row>
    <row r="686" spans="1:6" x14ac:dyDescent="0.3">
      <c r="A686" t="s">
        <v>721</v>
      </c>
      <c r="B686" t="s">
        <v>88</v>
      </c>
      <c r="C686">
        <v>6170000</v>
      </c>
      <c r="D686">
        <v>34194.199999999997</v>
      </c>
      <c r="E686">
        <v>3.3099999999999997E-2</v>
      </c>
      <c r="F686">
        <v>6.7199999999999996E-2</v>
      </c>
    </row>
    <row r="687" spans="1:6" x14ac:dyDescent="0.3">
      <c r="A687" t="s">
        <v>722</v>
      </c>
      <c r="B687" t="s">
        <v>26</v>
      </c>
      <c r="C687">
        <v>5880000</v>
      </c>
      <c r="D687">
        <v>969364.5</v>
      </c>
      <c r="E687">
        <v>2.0899999999999998E-2</v>
      </c>
      <c r="F687">
        <v>9.3799999999999994E-2</v>
      </c>
    </row>
    <row r="688" spans="1:6" x14ac:dyDescent="0.3">
      <c r="A688" t="s">
        <v>723</v>
      </c>
      <c r="B688" t="s">
        <v>30</v>
      </c>
      <c r="C688">
        <v>6010000</v>
      </c>
      <c r="D688">
        <v>1865411.5</v>
      </c>
      <c r="E688">
        <v>5.5599999999999997E-2</v>
      </c>
      <c r="F688">
        <v>7.5899999999999995E-2</v>
      </c>
    </row>
    <row r="689" spans="1:6" x14ac:dyDescent="0.3">
      <c r="A689" t="s">
        <v>724</v>
      </c>
      <c r="B689" t="s">
        <v>50</v>
      </c>
      <c r="C689">
        <v>4740000</v>
      </c>
      <c r="D689">
        <v>3744155.1</v>
      </c>
      <c r="F689">
        <v>4.0899999999999999E-2</v>
      </c>
    </row>
    <row r="690" spans="1:6" x14ac:dyDescent="0.3">
      <c r="A690" t="s">
        <v>725</v>
      </c>
      <c r="B690" t="s">
        <v>26</v>
      </c>
      <c r="C690">
        <v>5180000</v>
      </c>
      <c r="D690">
        <v>27924.6</v>
      </c>
      <c r="E690">
        <v>2.46E-2</v>
      </c>
      <c r="F690">
        <v>5.0999999999999997E-2</v>
      </c>
    </row>
    <row r="691" spans="1:6" x14ac:dyDescent="0.3">
      <c r="A691" t="s">
        <v>726</v>
      </c>
      <c r="B691" t="s">
        <v>32</v>
      </c>
      <c r="C691">
        <v>7180000</v>
      </c>
      <c r="D691">
        <v>103508.4</v>
      </c>
      <c r="E691">
        <v>2.3300000000000001E-2</v>
      </c>
      <c r="F691">
        <v>9.4799999999999995E-2</v>
      </c>
    </row>
    <row r="692" spans="1:6" x14ac:dyDescent="0.3">
      <c r="A692" t="s">
        <v>727</v>
      </c>
      <c r="B692" t="s">
        <v>53</v>
      </c>
      <c r="C692">
        <v>4800000</v>
      </c>
      <c r="D692">
        <v>72830.5</v>
      </c>
      <c r="E692">
        <v>0.1135</v>
      </c>
      <c r="F692">
        <v>9.3799999999999994E-2</v>
      </c>
    </row>
    <row r="693" spans="1:6" x14ac:dyDescent="0.3">
      <c r="A693" t="s">
        <v>728</v>
      </c>
      <c r="B693" t="s">
        <v>35</v>
      </c>
      <c r="C693">
        <v>5570000</v>
      </c>
      <c r="D693">
        <v>78254.7</v>
      </c>
      <c r="E693">
        <v>1.1999999999999999E-3</v>
      </c>
      <c r="F693">
        <v>8.2199999999999995E-2</v>
      </c>
    </row>
    <row r="694" spans="1:6" x14ac:dyDescent="0.3">
      <c r="A694" t="s">
        <v>729</v>
      </c>
      <c r="B694" t="s">
        <v>26</v>
      </c>
      <c r="C694">
        <v>5190000</v>
      </c>
      <c r="D694">
        <v>184409.7</v>
      </c>
      <c r="E694">
        <v>4.24E-2</v>
      </c>
      <c r="F694">
        <v>5.0999999999999997E-2</v>
      </c>
    </row>
    <row r="695" spans="1:6" x14ac:dyDescent="0.3">
      <c r="A695" t="s">
        <v>730</v>
      </c>
      <c r="B695" t="s">
        <v>88</v>
      </c>
      <c r="C695">
        <v>6720000</v>
      </c>
      <c r="D695">
        <v>181909</v>
      </c>
      <c r="E695">
        <v>6.1100000000000002E-2</v>
      </c>
      <c r="F695">
        <v>7.5899999999999995E-2</v>
      </c>
    </row>
    <row r="696" spans="1:6" x14ac:dyDescent="0.3">
      <c r="A696" t="s">
        <v>731</v>
      </c>
      <c r="B696" t="s">
        <v>88</v>
      </c>
      <c r="C696">
        <v>11900000</v>
      </c>
      <c r="D696">
        <v>1221333.3999999999</v>
      </c>
      <c r="E696">
        <v>5.91E-2</v>
      </c>
      <c r="F696">
        <v>9.5100000000000004E-2</v>
      </c>
    </row>
    <row r="697" spans="1:6" x14ac:dyDescent="0.3">
      <c r="A697" t="s">
        <v>732</v>
      </c>
      <c r="B697" t="s">
        <v>26</v>
      </c>
      <c r="C697">
        <v>4690000</v>
      </c>
      <c r="D697">
        <v>82985.8</v>
      </c>
      <c r="E697">
        <v>4.7600000000000003E-2</v>
      </c>
      <c r="F697">
        <v>7.5899999999999995E-2</v>
      </c>
    </row>
    <row r="698" spans="1:6" x14ac:dyDescent="0.3">
      <c r="A698" t="s">
        <v>733</v>
      </c>
      <c r="B698" t="s">
        <v>26</v>
      </c>
      <c r="C698">
        <v>4580000</v>
      </c>
      <c r="D698">
        <v>21480.6</v>
      </c>
      <c r="E698">
        <v>0.1134</v>
      </c>
      <c r="F698">
        <v>5.3800000000000001E-2</v>
      </c>
    </row>
    <row r="699" spans="1:6" x14ac:dyDescent="0.3">
      <c r="A699" t="s">
        <v>734</v>
      </c>
      <c r="B699" t="s">
        <v>21</v>
      </c>
      <c r="C699">
        <v>4610000</v>
      </c>
      <c r="D699">
        <v>6983.5</v>
      </c>
      <c r="E699">
        <v>2.47E-2</v>
      </c>
      <c r="F699">
        <v>9.3799999999999994E-2</v>
      </c>
    </row>
    <row r="700" spans="1:6" x14ac:dyDescent="0.3">
      <c r="A700" t="s">
        <v>735</v>
      </c>
      <c r="B700" t="s">
        <v>53</v>
      </c>
      <c r="C700">
        <v>4950000</v>
      </c>
      <c r="D700">
        <v>960888</v>
      </c>
      <c r="F700">
        <v>9.5100000000000004E-2</v>
      </c>
    </row>
    <row r="701" spans="1:6" x14ac:dyDescent="0.3">
      <c r="A701" t="s">
        <v>736</v>
      </c>
      <c r="B701" t="s">
        <v>41</v>
      </c>
      <c r="C701">
        <v>5320000</v>
      </c>
      <c r="D701">
        <v>888.7</v>
      </c>
      <c r="E701">
        <v>1.6799999999999999E-2</v>
      </c>
      <c r="F701">
        <v>0.1862</v>
      </c>
    </row>
    <row r="702" spans="1:6" x14ac:dyDescent="0.3">
      <c r="A702" t="s">
        <v>737</v>
      </c>
      <c r="B702" t="s">
        <v>26</v>
      </c>
      <c r="C702">
        <v>4770000</v>
      </c>
      <c r="D702">
        <v>98664.5</v>
      </c>
      <c r="E702">
        <v>5.3699999999999998E-2</v>
      </c>
      <c r="F702">
        <v>9.5100000000000004E-2</v>
      </c>
    </row>
    <row r="703" spans="1:6" x14ac:dyDescent="0.3">
      <c r="A703" t="s">
        <v>738</v>
      </c>
      <c r="B703" t="s">
        <v>32</v>
      </c>
      <c r="C703">
        <v>5290000</v>
      </c>
      <c r="D703">
        <v>87844.7</v>
      </c>
      <c r="E703">
        <v>2.1600000000000001E-2</v>
      </c>
      <c r="F703">
        <v>0.11700000000000001</v>
      </c>
    </row>
    <row r="704" spans="1:6" x14ac:dyDescent="0.3">
      <c r="A704" t="s">
        <v>739</v>
      </c>
      <c r="B704" t="s">
        <v>71</v>
      </c>
      <c r="C704">
        <v>5100000</v>
      </c>
      <c r="D704">
        <v>308768.90000000002</v>
      </c>
      <c r="E704">
        <v>6.3E-2</v>
      </c>
      <c r="F704">
        <v>9.3799999999999994E-2</v>
      </c>
    </row>
    <row r="705" spans="1:6" x14ac:dyDescent="0.3">
      <c r="A705" t="s">
        <v>740</v>
      </c>
      <c r="B705" t="s">
        <v>26</v>
      </c>
      <c r="C705">
        <v>6990000</v>
      </c>
      <c r="D705">
        <v>751935.8</v>
      </c>
      <c r="E705">
        <v>5.0700000000000002E-2</v>
      </c>
      <c r="F705">
        <v>7.5899999999999995E-2</v>
      </c>
    </row>
    <row r="706" spans="1:6" x14ac:dyDescent="0.3">
      <c r="A706" t="s">
        <v>741</v>
      </c>
      <c r="B706" t="s">
        <v>26</v>
      </c>
      <c r="C706">
        <v>4600000</v>
      </c>
      <c r="D706">
        <v>296210.40000000002</v>
      </c>
      <c r="E706">
        <v>2.1000000000000001E-2</v>
      </c>
      <c r="F706">
        <v>4.6199999999999998E-2</v>
      </c>
    </row>
    <row r="707" spans="1:6" x14ac:dyDescent="0.3">
      <c r="A707" t="s">
        <v>742</v>
      </c>
      <c r="B707" t="s">
        <v>92</v>
      </c>
      <c r="C707">
        <v>5420000</v>
      </c>
      <c r="D707">
        <v>356448.8</v>
      </c>
      <c r="E707">
        <v>1.9400000000000001E-2</v>
      </c>
      <c r="F707">
        <v>7.5899999999999995E-2</v>
      </c>
    </row>
    <row r="708" spans="1:6" x14ac:dyDescent="0.3">
      <c r="A708" t="s">
        <v>743</v>
      </c>
      <c r="B708" t="s">
        <v>71</v>
      </c>
      <c r="C708">
        <v>6210000</v>
      </c>
      <c r="D708">
        <v>22830.3</v>
      </c>
      <c r="E708">
        <v>8.3999999999999995E-3</v>
      </c>
      <c r="F708">
        <v>6.54E-2</v>
      </c>
    </row>
    <row r="709" spans="1:6" x14ac:dyDescent="0.3">
      <c r="A709" t="s">
        <v>744</v>
      </c>
      <c r="B709" t="s">
        <v>24</v>
      </c>
      <c r="C709">
        <v>5270000</v>
      </c>
      <c r="D709">
        <v>285743</v>
      </c>
      <c r="E709">
        <v>2.35E-2</v>
      </c>
      <c r="F709">
        <v>9.5100000000000004E-2</v>
      </c>
    </row>
    <row r="710" spans="1:6" x14ac:dyDescent="0.3">
      <c r="A710" t="s">
        <v>745</v>
      </c>
      <c r="B710" t="s">
        <v>26</v>
      </c>
      <c r="C710">
        <v>7840000</v>
      </c>
      <c r="D710">
        <v>2807599.1</v>
      </c>
      <c r="E710">
        <v>2.8899999999999999E-2</v>
      </c>
      <c r="F710">
        <v>4.0899999999999999E-2</v>
      </c>
    </row>
    <row r="711" spans="1:6" x14ac:dyDescent="0.3">
      <c r="A711" t="s">
        <v>746</v>
      </c>
      <c r="B711" t="s">
        <v>30</v>
      </c>
      <c r="C711">
        <v>2810000</v>
      </c>
      <c r="D711">
        <v>611659.9</v>
      </c>
      <c r="F711">
        <v>7.5899999999999995E-2</v>
      </c>
    </row>
    <row r="712" spans="1:6" x14ac:dyDescent="0.3">
      <c r="A712" t="s">
        <v>747</v>
      </c>
      <c r="B712" t="s">
        <v>26</v>
      </c>
      <c r="C712">
        <v>5080000</v>
      </c>
      <c r="D712">
        <v>306125.59999999998</v>
      </c>
      <c r="E712">
        <v>1.41E-2</v>
      </c>
      <c r="F712">
        <v>5.8500000000000003E-2</v>
      </c>
    </row>
    <row r="713" spans="1:6" x14ac:dyDescent="0.3">
      <c r="A713" t="s">
        <v>748</v>
      </c>
      <c r="B713" t="s">
        <v>88</v>
      </c>
      <c r="C713">
        <v>5400000</v>
      </c>
      <c r="D713">
        <v>169164.1</v>
      </c>
      <c r="E713">
        <v>4.5400000000000003E-2</v>
      </c>
      <c r="F713">
        <v>9.3799999999999994E-2</v>
      </c>
    </row>
    <row r="714" spans="1:6" x14ac:dyDescent="0.3">
      <c r="A714" t="s">
        <v>749</v>
      </c>
      <c r="B714" t="s">
        <v>88</v>
      </c>
      <c r="C714">
        <v>4400000</v>
      </c>
      <c r="D714">
        <v>57310.6</v>
      </c>
      <c r="E714">
        <v>4.2200000000000001E-2</v>
      </c>
      <c r="F714">
        <v>9.5100000000000004E-2</v>
      </c>
    </row>
    <row r="715" spans="1:6" x14ac:dyDescent="0.3">
      <c r="A715" t="s">
        <v>750</v>
      </c>
      <c r="B715" t="s">
        <v>50</v>
      </c>
      <c r="C715">
        <v>4740000</v>
      </c>
      <c r="D715">
        <v>13001.6</v>
      </c>
      <c r="F715">
        <v>4.0899999999999999E-2</v>
      </c>
    </row>
    <row r="716" spans="1:6" x14ac:dyDescent="0.3">
      <c r="A716" t="s">
        <v>751</v>
      </c>
      <c r="B716" t="s">
        <v>26</v>
      </c>
      <c r="C716">
        <v>5430000</v>
      </c>
      <c r="D716">
        <v>176413.2</v>
      </c>
      <c r="E716">
        <v>1.35E-2</v>
      </c>
      <c r="F716">
        <v>6.54E-2</v>
      </c>
    </row>
    <row r="717" spans="1:6" x14ac:dyDescent="0.3">
      <c r="A717" t="s">
        <v>752</v>
      </c>
      <c r="B717" t="s">
        <v>74</v>
      </c>
      <c r="C717">
        <v>6280000</v>
      </c>
      <c r="D717">
        <v>745.4</v>
      </c>
      <c r="E717">
        <v>1.7100000000000001E-2</v>
      </c>
      <c r="F717">
        <v>5.7599999999999998E-2</v>
      </c>
    </row>
    <row r="718" spans="1:6" x14ac:dyDescent="0.3">
      <c r="A718" t="s">
        <v>753</v>
      </c>
      <c r="B718" t="s">
        <v>26</v>
      </c>
      <c r="C718">
        <v>5190000</v>
      </c>
      <c r="D718">
        <v>8630.1</v>
      </c>
      <c r="E718">
        <v>9.0499999999999997E-2</v>
      </c>
      <c r="F718">
        <v>7.5899999999999995E-2</v>
      </c>
    </row>
    <row r="719" spans="1:6" x14ac:dyDescent="0.3">
      <c r="A719" t="s">
        <v>754</v>
      </c>
      <c r="B719" t="s">
        <v>41</v>
      </c>
      <c r="C719">
        <v>5850000</v>
      </c>
      <c r="D719">
        <v>2910540</v>
      </c>
      <c r="E719">
        <v>1.55E-2</v>
      </c>
      <c r="F719">
        <v>4.6199999999999998E-2</v>
      </c>
    </row>
    <row r="720" spans="1:6" x14ac:dyDescent="0.3">
      <c r="A720" t="s">
        <v>755</v>
      </c>
      <c r="B720" t="s">
        <v>21</v>
      </c>
      <c r="C720">
        <v>5370000</v>
      </c>
      <c r="D720">
        <v>62130.400000000001</v>
      </c>
      <c r="E720">
        <v>9.5999999999999992E-3</v>
      </c>
      <c r="F720">
        <v>6.54E-2</v>
      </c>
    </row>
    <row r="721" spans="1:6" x14ac:dyDescent="0.3">
      <c r="A721" t="s">
        <v>756</v>
      </c>
      <c r="B721" t="s">
        <v>92</v>
      </c>
      <c r="C721">
        <v>5180000</v>
      </c>
      <c r="D721">
        <v>86889.600000000006</v>
      </c>
      <c r="E721">
        <v>1.5800000000000002E-2</v>
      </c>
      <c r="F721">
        <v>5.7599999999999998E-2</v>
      </c>
    </row>
    <row r="722" spans="1:6" x14ac:dyDescent="0.3">
      <c r="A722" t="s">
        <v>757</v>
      </c>
      <c r="B722" t="s">
        <v>30</v>
      </c>
      <c r="C722">
        <v>6160000</v>
      </c>
      <c r="D722">
        <v>2779357.9</v>
      </c>
      <c r="E722">
        <v>2.2800000000000001E-2</v>
      </c>
      <c r="F722">
        <v>4.3200000000000002E-2</v>
      </c>
    </row>
    <row r="723" spans="1:6" x14ac:dyDescent="0.3">
      <c r="A723" t="s">
        <v>758</v>
      </c>
      <c r="B723" t="s">
        <v>41</v>
      </c>
      <c r="C723">
        <v>4240000</v>
      </c>
      <c r="D723">
        <v>45385.8</v>
      </c>
      <c r="E723">
        <v>3.1E-2</v>
      </c>
      <c r="F723">
        <v>5.8400000000000001E-2</v>
      </c>
    </row>
    <row r="724" spans="1:6" x14ac:dyDescent="0.3">
      <c r="A724" t="s">
        <v>759</v>
      </c>
      <c r="B724" t="s">
        <v>30</v>
      </c>
      <c r="C724">
        <v>7530000</v>
      </c>
      <c r="D724">
        <v>712519.4</v>
      </c>
      <c r="E724">
        <v>5.3E-3</v>
      </c>
      <c r="F724">
        <v>6.54E-2</v>
      </c>
    </row>
    <row r="725" spans="1:6" x14ac:dyDescent="0.3">
      <c r="A725" t="s">
        <v>760</v>
      </c>
      <c r="B725" t="s">
        <v>88</v>
      </c>
      <c r="C725">
        <v>4010000</v>
      </c>
      <c r="D725">
        <v>586.9</v>
      </c>
      <c r="E725">
        <v>5.3900000000000003E-2</v>
      </c>
      <c r="F725">
        <v>9.3799999999999994E-2</v>
      </c>
    </row>
    <row r="726" spans="1:6" x14ac:dyDescent="0.3">
      <c r="A726" t="s">
        <v>761</v>
      </c>
      <c r="B726" t="s">
        <v>24</v>
      </c>
      <c r="C726">
        <v>4520000</v>
      </c>
      <c r="D726">
        <v>15693.4</v>
      </c>
      <c r="E726">
        <v>2.69E-2</v>
      </c>
      <c r="F726">
        <v>7.5899999999999995E-2</v>
      </c>
    </row>
    <row r="727" spans="1:6" x14ac:dyDescent="0.3">
      <c r="A727" t="s">
        <v>762</v>
      </c>
      <c r="B727" t="s">
        <v>81</v>
      </c>
      <c r="C727">
        <v>4950000</v>
      </c>
      <c r="D727">
        <v>156917.29999999999</v>
      </c>
      <c r="E727">
        <v>7.8399999999999997E-2</v>
      </c>
      <c r="F727">
        <v>7.5899999999999995E-2</v>
      </c>
    </row>
    <row r="728" spans="1:6" x14ac:dyDescent="0.3">
      <c r="A728" t="s">
        <v>763</v>
      </c>
      <c r="B728" t="s">
        <v>41</v>
      </c>
      <c r="C728">
        <v>4940000</v>
      </c>
      <c r="D728">
        <v>535.70000000000005</v>
      </c>
      <c r="F728">
        <v>5.0999999999999997E-2</v>
      </c>
    </row>
    <row r="729" spans="1:6" x14ac:dyDescent="0.3">
      <c r="A729" t="s">
        <v>764</v>
      </c>
      <c r="B729" t="s">
        <v>26</v>
      </c>
      <c r="C729">
        <v>4200000</v>
      </c>
      <c r="D729">
        <v>603077.6</v>
      </c>
      <c r="E729">
        <v>4.7300000000000002E-2</v>
      </c>
      <c r="F729">
        <v>9.5100000000000004E-2</v>
      </c>
    </row>
    <row r="730" spans="1:6" x14ac:dyDescent="0.3">
      <c r="A730" t="s">
        <v>765</v>
      </c>
      <c r="B730" t="s">
        <v>32</v>
      </c>
      <c r="C730">
        <v>1980000</v>
      </c>
      <c r="D730">
        <v>36649.4</v>
      </c>
      <c r="E730">
        <v>3.2000000000000001E-2</v>
      </c>
      <c r="F730">
        <v>9.3799999999999994E-2</v>
      </c>
    </row>
    <row r="731" spans="1:6" x14ac:dyDescent="0.3">
      <c r="A731" t="s">
        <v>766</v>
      </c>
      <c r="B731" t="s">
        <v>24</v>
      </c>
      <c r="C731">
        <v>4270000</v>
      </c>
      <c r="D731">
        <v>3344.1</v>
      </c>
      <c r="E731">
        <v>2.4400000000000002E-2</v>
      </c>
      <c r="F731">
        <v>9.3799999999999994E-2</v>
      </c>
    </row>
    <row r="732" spans="1:6" x14ac:dyDescent="0.3">
      <c r="A732" t="s">
        <v>767</v>
      </c>
      <c r="B732" t="s">
        <v>32</v>
      </c>
      <c r="C732">
        <v>5200000</v>
      </c>
      <c r="D732">
        <v>305343.90000000002</v>
      </c>
      <c r="E732">
        <v>8.3999999999999995E-3</v>
      </c>
      <c r="F732">
        <v>8.2199999999999995E-2</v>
      </c>
    </row>
    <row r="733" spans="1:6" x14ac:dyDescent="0.3">
      <c r="A733" t="s">
        <v>768</v>
      </c>
      <c r="B733" t="s">
        <v>26</v>
      </c>
      <c r="C733">
        <v>4600000</v>
      </c>
      <c r="D733">
        <v>2831.7</v>
      </c>
      <c r="E733">
        <v>6.3799999999999996E-2</v>
      </c>
      <c r="F733">
        <v>7.5899999999999995E-2</v>
      </c>
    </row>
    <row r="734" spans="1:6" x14ac:dyDescent="0.3">
      <c r="A734" t="s">
        <v>769</v>
      </c>
      <c r="B734" t="s">
        <v>35</v>
      </c>
      <c r="C734">
        <v>5240000</v>
      </c>
      <c r="D734">
        <v>532</v>
      </c>
      <c r="E734">
        <v>6.4000000000000003E-3</v>
      </c>
      <c r="F734">
        <v>8.1100000000000005E-2</v>
      </c>
    </row>
    <row r="735" spans="1:6" x14ac:dyDescent="0.3">
      <c r="A735" t="s">
        <v>770</v>
      </c>
      <c r="B735" t="s">
        <v>50</v>
      </c>
      <c r="C735">
        <v>4570000</v>
      </c>
      <c r="D735">
        <v>178575</v>
      </c>
      <c r="E735">
        <v>6.9199999999999998E-2</v>
      </c>
      <c r="F735">
        <v>7.5899999999999995E-2</v>
      </c>
    </row>
    <row r="736" spans="1:6" x14ac:dyDescent="0.3">
      <c r="A736" t="s">
        <v>771</v>
      </c>
      <c r="B736" t="s">
        <v>62</v>
      </c>
      <c r="C736">
        <v>4860000</v>
      </c>
      <c r="D736">
        <v>56892.800000000003</v>
      </c>
      <c r="E736">
        <v>6.2899999999999998E-2</v>
      </c>
      <c r="F736">
        <v>7.5899999999999995E-2</v>
      </c>
    </row>
    <row r="737" spans="1:6" x14ac:dyDescent="0.3">
      <c r="A737" t="s">
        <v>772</v>
      </c>
      <c r="B737" t="s">
        <v>26</v>
      </c>
      <c r="C737">
        <v>4630000</v>
      </c>
      <c r="D737">
        <v>554958.4</v>
      </c>
      <c r="E737">
        <v>5.6000000000000001E-2</v>
      </c>
      <c r="F737">
        <v>9.3799999999999994E-2</v>
      </c>
    </row>
    <row r="738" spans="1:6" x14ac:dyDescent="0.3">
      <c r="A738" t="s">
        <v>773</v>
      </c>
      <c r="B738" t="s">
        <v>214</v>
      </c>
      <c r="C738">
        <v>5380000</v>
      </c>
      <c r="D738">
        <v>25317.200000000001</v>
      </c>
      <c r="E738">
        <v>3.04E-2</v>
      </c>
      <c r="F738">
        <v>9.3799999999999994E-2</v>
      </c>
    </row>
    <row r="739" spans="1:6" x14ac:dyDescent="0.3">
      <c r="A739" t="s">
        <v>774</v>
      </c>
      <c r="B739" t="s">
        <v>24</v>
      </c>
      <c r="C739">
        <v>5170000</v>
      </c>
      <c r="D739">
        <v>1940.6</v>
      </c>
      <c r="E739">
        <v>1.32E-2</v>
      </c>
      <c r="F739">
        <v>6.08E-2</v>
      </c>
    </row>
    <row r="740" spans="1:6" x14ac:dyDescent="0.3">
      <c r="A740" t="s">
        <v>775</v>
      </c>
      <c r="B740" t="s">
        <v>41</v>
      </c>
      <c r="C740">
        <v>5610000</v>
      </c>
      <c r="D740">
        <v>1131.2</v>
      </c>
      <c r="E740">
        <v>1.5299999999999999E-2</v>
      </c>
      <c r="F740">
        <v>0.1053</v>
      </c>
    </row>
    <row r="741" spans="1:6" x14ac:dyDescent="0.3">
      <c r="A741" t="s">
        <v>776</v>
      </c>
      <c r="B741" t="s">
        <v>26</v>
      </c>
      <c r="C741">
        <v>4160000</v>
      </c>
      <c r="D741">
        <v>369.3</v>
      </c>
      <c r="E741">
        <v>5.7000000000000002E-3</v>
      </c>
      <c r="F741">
        <v>8.1100000000000005E-2</v>
      </c>
    </row>
    <row r="742" spans="1:6" x14ac:dyDescent="0.3">
      <c r="A742" t="s">
        <v>777</v>
      </c>
      <c r="B742" t="s">
        <v>41</v>
      </c>
      <c r="C742">
        <v>4540000</v>
      </c>
      <c r="D742">
        <v>410.5</v>
      </c>
      <c r="F742">
        <v>7.5899999999999995E-2</v>
      </c>
    </row>
    <row r="743" spans="1:6" x14ac:dyDescent="0.3">
      <c r="A743" t="s">
        <v>778</v>
      </c>
      <c r="B743" t="s">
        <v>26</v>
      </c>
      <c r="C743">
        <v>4120000</v>
      </c>
      <c r="D743">
        <v>65.8</v>
      </c>
      <c r="E743">
        <v>3.5999999999999999E-3</v>
      </c>
      <c r="F743">
        <v>0.223</v>
      </c>
    </row>
    <row r="744" spans="1:6" x14ac:dyDescent="0.3">
      <c r="A744" t="s">
        <v>779</v>
      </c>
      <c r="B744" t="s">
        <v>24</v>
      </c>
      <c r="C744">
        <v>5140000</v>
      </c>
      <c r="D744">
        <v>427603.4</v>
      </c>
      <c r="E744">
        <v>1.9900000000000001E-2</v>
      </c>
      <c r="F744">
        <v>4.6199999999999998E-2</v>
      </c>
    </row>
    <row r="745" spans="1:6" x14ac:dyDescent="0.3">
      <c r="A745" t="s">
        <v>780</v>
      </c>
      <c r="B745" t="s">
        <v>26</v>
      </c>
      <c r="C745">
        <v>4500000</v>
      </c>
      <c r="D745">
        <v>150008.70000000001</v>
      </c>
      <c r="F745">
        <v>4.0899999999999999E-2</v>
      </c>
    </row>
    <row r="746" spans="1:6" x14ac:dyDescent="0.3">
      <c r="A746" t="s">
        <v>781</v>
      </c>
      <c r="B746" t="s">
        <v>53</v>
      </c>
      <c r="C746">
        <v>6360000</v>
      </c>
      <c r="D746">
        <v>988239.1</v>
      </c>
      <c r="E746">
        <v>3.1099999999999999E-2</v>
      </c>
      <c r="F746">
        <v>7.5899999999999995E-2</v>
      </c>
    </row>
    <row r="747" spans="1:6" x14ac:dyDescent="0.3">
      <c r="A747" t="s">
        <v>782</v>
      </c>
      <c r="B747" t="s">
        <v>26</v>
      </c>
      <c r="C747">
        <v>4940000</v>
      </c>
      <c r="D747">
        <v>1089436.5</v>
      </c>
      <c r="E747">
        <v>3.5700000000000003E-2</v>
      </c>
      <c r="F747">
        <v>5.1799999999999999E-2</v>
      </c>
    </row>
    <row r="748" spans="1:6" x14ac:dyDescent="0.3">
      <c r="A748" t="s">
        <v>783</v>
      </c>
      <c r="B748" t="s">
        <v>26</v>
      </c>
      <c r="C748">
        <v>4350000</v>
      </c>
      <c r="D748">
        <v>20134.2</v>
      </c>
      <c r="E748">
        <v>2.52E-2</v>
      </c>
      <c r="F748">
        <v>9.5100000000000004E-2</v>
      </c>
    </row>
    <row r="749" spans="1:6" x14ac:dyDescent="0.3">
      <c r="A749" t="s">
        <v>784</v>
      </c>
      <c r="B749" t="s">
        <v>26</v>
      </c>
      <c r="C749">
        <v>4540000</v>
      </c>
      <c r="D749">
        <v>399000.5</v>
      </c>
      <c r="E749">
        <v>3.7699999999999997E-2</v>
      </c>
      <c r="F749">
        <v>7.5899999999999995E-2</v>
      </c>
    </row>
    <row r="750" spans="1:6" x14ac:dyDescent="0.3">
      <c r="A750" t="s">
        <v>785</v>
      </c>
      <c r="B750" t="s">
        <v>41</v>
      </c>
      <c r="C750">
        <v>4680000</v>
      </c>
      <c r="D750">
        <v>5807.2</v>
      </c>
      <c r="E750">
        <v>3.1600000000000003E-2</v>
      </c>
      <c r="F750">
        <v>9.3799999999999994E-2</v>
      </c>
    </row>
    <row r="751" spans="1:6" x14ac:dyDescent="0.3">
      <c r="A751" t="s">
        <v>786</v>
      </c>
      <c r="B751" t="s">
        <v>24</v>
      </c>
      <c r="C751">
        <v>4160000</v>
      </c>
      <c r="D751">
        <v>20274.7</v>
      </c>
      <c r="E751">
        <v>9.7999999999999997E-3</v>
      </c>
      <c r="F751">
        <v>6.8900000000000003E-2</v>
      </c>
    </row>
    <row r="752" spans="1:6" x14ac:dyDescent="0.3">
      <c r="A752" t="s">
        <v>787</v>
      </c>
      <c r="B752" t="s">
        <v>21</v>
      </c>
      <c r="C752">
        <v>4990000</v>
      </c>
      <c r="D752">
        <v>11581.1</v>
      </c>
      <c r="E752">
        <v>1.11E-2</v>
      </c>
      <c r="F752">
        <v>7.2599999999999998E-2</v>
      </c>
    </row>
    <row r="753" spans="1:6" x14ac:dyDescent="0.3">
      <c r="A753" t="s">
        <v>788</v>
      </c>
      <c r="B753" t="s">
        <v>24</v>
      </c>
      <c r="C753">
        <v>5140000</v>
      </c>
      <c r="D753">
        <v>9601.5</v>
      </c>
      <c r="E753">
        <v>6.4299999999999996E-2</v>
      </c>
      <c r="F753">
        <v>9.3799999999999994E-2</v>
      </c>
    </row>
    <row r="754" spans="1:6" x14ac:dyDescent="0.3">
      <c r="A754" t="s">
        <v>789</v>
      </c>
      <c r="B754" t="s">
        <v>32</v>
      </c>
      <c r="C754">
        <v>5510000</v>
      </c>
      <c r="D754">
        <v>25768.5</v>
      </c>
      <c r="E754">
        <v>1.24E-2</v>
      </c>
      <c r="F754">
        <v>5.7599999999999998E-2</v>
      </c>
    </row>
    <row r="755" spans="1:6" x14ac:dyDescent="0.3">
      <c r="A755" t="s">
        <v>790</v>
      </c>
      <c r="B755" t="s">
        <v>92</v>
      </c>
      <c r="C755">
        <v>4240000</v>
      </c>
      <c r="D755">
        <v>605317.1</v>
      </c>
      <c r="E755">
        <v>7.7999999999999996E-3</v>
      </c>
      <c r="F755">
        <v>6.54E-2</v>
      </c>
    </row>
    <row r="756" spans="1:6" x14ac:dyDescent="0.3">
      <c r="A756" t="s">
        <v>791</v>
      </c>
      <c r="B756" t="s">
        <v>62</v>
      </c>
      <c r="C756">
        <v>4560000</v>
      </c>
      <c r="D756">
        <v>186420</v>
      </c>
      <c r="E756">
        <v>4.5999999999999999E-2</v>
      </c>
      <c r="F756">
        <v>7.5899999999999995E-2</v>
      </c>
    </row>
    <row r="757" spans="1:6" x14ac:dyDescent="0.3">
      <c r="A757" t="s">
        <v>792</v>
      </c>
      <c r="B757" t="s">
        <v>88</v>
      </c>
      <c r="C757">
        <v>5880000</v>
      </c>
      <c r="D757">
        <v>170716.6</v>
      </c>
      <c r="E757">
        <v>5.5300000000000002E-2</v>
      </c>
      <c r="F757">
        <v>7.5899999999999995E-2</v>
      </c>
    </row>
    <row r="758" spans="1:6" x14ac:dyDescent="0.3">
      <c r="A758" t="s">
        <v>793</v>
      </c>
      <c r="B758" t="s">
        <v>26</v>
      </c>
      <c r="C758">
        <v>4500000</v>
      </c>
      <c r="D758">
        <v>522.79999999999995</v>
      </c>
      <c r="E758">
        <v>2.0299999999999999E-2</v>
      </c>
      <c r="F758">
        <v>0.1169</v>
      </c>
    </row>
    <row r="759" spans="1:6" x14ac:dyDescent="0.3">
      <c r="A759" t="s">
        <v>794</v>
      </c>
      <c r="B759" t="s">
        <v>41</v>
      </c>
      <c r="C759">
        <v>4950000</v>
      </c>
      <c r="D759">
        <v>37785.300000000003</v>
      </c>
      <c r="E759">
        <v>7.3099999999999998E-2</v>
      </c>
      <c r="F759">
        <v>9.3799999999999994E-2</v>
      </c>
    </row>
    <row r="760" spans="1:6" x14ac:dyDescent="0.3">
      <c r="A760" t="s">
        <v>795</v>
      </c>
      <c r="B760" t="s">
        <v>41</v>
      </c>
      <c r="C760">
        <v>6330000</v>
      </c>
      <c r="D760">
        <v>989.5</v>
      </c>
      <c r="E760">
        <v>1.5100000000000001E-2</v>
      </c>
      <c r="F760">
        <v>0.38319999999999999</v>
      </c>
    </row>
    <row r="761" spans="1:6" x14ac:dyDescent="0.3">
      <c r="A761" t="s">
        <v>796</v>
      </c>
      <c r="B761" t="s">
        <v>41</v>
      </c>
      <c r="C761">
        <v>6480000</v>
      </c>
      <c r="D761">
        <v>1200010.3999999999</v>
      </c>
      <c r="E761">
        <v>3.2399999999999998E-2</v>
      </c>
      <c r="F761">
        <v>9.5100000000000004E-2</v>
      </c>
    </row>
    <row r="762" spans="1:6" x14ac:dyDescent="0.3">
      <c r="A762" t="s">
        <v>797</v>
      </c>
      <c r="B762" t="s">
        <v>53</v>
      </c>
      <c r="C762">
        <v>5380000</v>
      </c>
      <c r="D762">
        <v>172332.7</v>
      </c>
      <c r="E762">
        <v>4.2599999999999999E-2</v>
      </c>
      <c r="F762">
        <v>9.5100000000000004E-2</v>
      </c>
    </row>
    <row r="763" spans="1:6" x14ac:dyDescent="0.3">
      <c r="A763" t="s">
        <v>798</v>
      </c>
      <c r="B763" t="s">
        <v>26</v>
      </c>
      <c r="C763">
        <v>6430000</v>
      </c>
      <c r="D763">
        <v>151184.20000000001</v>
      </c>
      <c r="E763">
        <v>3.3399999999999999E-2</v>
      </c>
      <c r="F763">
        <v>7.5899999999999995E-2</v>
      </c>
    </row>
    <row r="764" spans="1:6" x14ac:dyDescent="0.3">
      <c r="A764" t="s">
        <v>799</v>
      </c>
      <c r="B764" t="s">
        <v>26</v>
      </c>
      <c r="C764">
        <v>10600000</v>
      </c>
      <c r="D764">
        <v>21930.7</v>
      </c>
      <c r="E764">
        <v>7.3000000000000001E-3</v>
      </c>
      <c r="F764">
        <v>8.1100000000000005E-2</v>
      </c>
    </row>
    <row r="765" spans="1:6" x14ac:dyDescent="0.3">
      <c r="A765" t="s">
        <v>800</v>
      </c>
      <c r="B765" t="s">
        <v>62</v>
      </c>
      <c r="C765">
        <v>5020000</v>
      </c>
      <c r="D765">
        <v>16998</v>
      </c>
      <c r="E765">
        <v>4.1500000000000002E-2</v>
      </c>
      <c r="F765">
        <v>9.3799999999999994E-2</v>
      </c>
    </row>
    <row r="766" spans="1:6" x14ac:dyDescent="0.3">
      <c r="A766" t="s">
        <v>801</v>
      </c>
      <c r="B766" t="s">
        <v>26</v>
      </c>
      <c r="C766">
        <v>5570000</v>
      </c>
      <c r="D766">
        <v>30582.7</v>
      </c>
      <c r="E766">
        <v>1.29E-2</v>
      </c>
      <c r="F766">
        <v>0.1013</v>
      </c>
    </row>
    <row r="767" spans="1:6" x14ac:dyDescent="0.3">
      <c r="A767" t="s">
        <v>802</v>
      </c>
      <c r="B767" t="s">
        <v>26</v>
      </c>
      <c r="C767">
        <v>6050000</v>
      </c>
      <c r="D767">
        <v>84344.9</v>
      </c>
      <c r="E767">
        <v>4.5400000000000003E-2</v>
      </c>
      <c r="F767">
        <v>7.5899999999999995E-2</v>
      </c>
    </row>
    <row r="768" spans="1:6" x14ac:dyDescent="0.3">
      <c r="A768" t="s">
        <v>803</v>
      </c>
      <c r="B768" t="s">
        <v>53</v>
      </c>
      <c r="C768">
        <v>6280000</v>
      </c>
      <c r="D768">
        <v>11956.9</v>
      </c>
      <c r="E768">
        <v>3.5099999999999999E-2</v>
      </c>
      <c r="F768">
        <v>9.3799999999999994E-2</v>
      </c>
    </row>
    <row r="769" spans="1:6" x14ac:dyDescent="0.3">
      <c r="A769" t="s">
        <v>804</v>
      </c>
      <c r="B769" t="s">
        <v>88</v>
      </c>
      <c r="C769">
        <v>4080000</v>
      </c>
      <c r="D769">
        <v>112788.9</v>
      </c>
      <c r="E769">
        <v>6.1000000000000004E-3</v>
      </c>
      <c r="F769">
        <v>6.54E-2</v>
      </c>
    </row>
    <row r="770" spans="1:6" x14ac:dyDescent="0.3">
      <c r="A770" t="s">
        <v>805</v>
      </c>
      <c r="B770" t="s">
        <v>81</v>
      </c>
      <c r="C770">
        <v>5230000</v>
      </c>
      <c r="D770">
        <v>166714.70000000001</v>
      </c>
      <c r="E770">
        <v>3.4299999999999997E-2</v>
      </c>
      <c r="F770">
        <v>9.3799999999999994E-2</v>
      </c>
    </row>
    <row r="771" spans="1:6" x14ac:dyDescent="0.3">
      <c r="A771" t="s">
        <v>806</v>
      </c>
      <c r="B771" t="s">
        <v>50</v>
      </c>
      <c r="C771">
        <v>4720000</v>
      </c>
      <c r="D771">
        <v>256343.2</v>
      </c>
      <c r="E771">
        <v>1.61E-2</v>
      </c>
      <c r="F771">
        <v>7.5700000000000003E-2</v>
      </c>
    </row>
    <row r="772" spans="1:6" x14ac:dyDescent="0.3">
      <c r="A772" t="s">
        <v>807</v>
      </c>
      <c r="B772" t="s">
        <v>32</v>
      </c>
      <c r="C772">
        <v>6030000</v>
      </c>
      <c r="D772">
        <v>75276.800000000003</v>
      </c>
      <c r="E772">
        <v>5.1000000000000004E-3</v>
      </c>
      <c r="F772">
        <v>6.54E-2</v>
      </c>
    </row>
    <row r="773" spans="1:6" x14ac:dyDescent="0.3">
      <c r="A773" t="s">
        <v>808</v>
      </c>
      <c r="B773" t="s">
        <v>41</v>
      </c>
      <c r="C773">
        <v>4220000</v>
      </c>
      <c r="D773">
        <v>4583.6000000000004</v>
      </c>
      <c r="E773">
        <v>5.9299999999999999E-2</v>
      </c>
      <c r="F773">
        <v>8.3299999999999999E-2</v>
      </c>
    </row>
    <row r="774" spans="1:6" x14ac:dyDescent="0.3">
      <c r="A774" t="s">
        <v>809</v>
      </c>
      <c r="B774" t="s">
        <v>41</v>
      </c>
      <c r="C774">
        <v>18000000</v>
      </c>
      <c r="D774">
        <v>1248251.8</v>
      </c>
      <c r="E774">
        <v>7.4999999999999997E-3</v>
      </c>
      <c r="F774">
        <v>8.1100000000000005E-2</v>
      </c>
    </row>
    <row r="775" spans="1:6" x14ac:dyDescent="0.3">
      <c r="A775" t="s">
        <v>810</v>
      </c>
      <c r="B775" t="s">
        <v>26</v>
      </c>
      <c r="C775">
        <v>5510000</v>
      </c>
      <c r="D775">
        <v>2096907.8</v>
      </c>
      <c r="E775">
        <v>2.4199999999999999E-2</v>
      </c>
      <c r="F775">
        <v>5.1799999999999999E-2</v>
      </c>
    </row>
    <row r="776" spans="1:6" x14ac:dyDescent="0.3">
      <c r="A776" t="s">
        <v>811</v>
      </c>
      <c r="B776" t="s">
        <v>41</v>
      </c>
      <c r="C776">
        <v>6390000</v>
      </c>
      <c r="D776">
        <v>17773.2</v>
      </c>
      <c r="F776">
        <v>4.0899999999999999E-2</v>
      </c>
    </row>
    <row r="777" spans="1:6" x14ac:dyDescent="0.3">
      <c r="A777" t="s">
        <v>812</v>
      </c>
      <c r="B777" t="s">
        <v>41</v>
      </c>
      <c r="C777">
        <v>4120000</v>
      </c>
      <c r="D777">
        <v>22990.400000000001</v>
      </c>
      <c r="E777">
        <v>5.1400000000000001E-2</v>
      </c>
      <c r="F777">
        <v>9.3799999999999994E-2</v>
      </c>
    </row>
    <row r="778" spans="1:6" x14ac:dyDescent="0.3">
      <c r="A778" t="s">
        <v>813</v>
      </c>
      <c r="B778" t="s">
        <v>71</v>
      </c>
      <c r="C778">
        <v>4420000</v>
      </c>
      <c r="D778">
        <v>138253</v>
      </c>
      <c r="E778">
        <v>5.8599999999999999E-2</v>
      </c>
      <c r="F778">
        <v>9.3799999999999994E-2</v>
      </c>
    </row>
    <row r="779" spans="1:6" x14ac:dyDescent="0.3">
      <c r="A779" t="s">
        <v>814</v>
      </c>
      <c r="B779" t="s">
        <v>92</v>
      </c>
      <c r="C779">
        <v>1660000</v>
      </c>
      <c r="D779">
        <v>5514.7</v>
      </c>
      <c r="E779">
        <v>1.54E-2</v>
      </c>
      <c r="F779">
        <v>5.8500000000000003E-2</v>
      </c>
    </row>
    <row r="780" spans="1:6" x14ac:dyDescent="0.3">
      <c r="A780" t="s">
        <v>815</v>
      </c>
      <c r="B780" t="s">
        <v>92</v>
      </c>
      <c r="C780">
        <v>4440000</v>
      </c>
      <c r="D780">
        <v>28813.200000000001</v>
      </c>
      <c r="E780">
        <v>2.18E-2</v>
      </c>
      <c r="F780">
        <v>7.5899999999999995E-2</v>
      </c>
    </row>
    <row r="781" spans="1:6" x14ac:dyDescent="0.3">
      <c r="A781" t="s">
        <v>816</v>
      </c>
      <c r="B781" t="s">
        <v>26</v>
      </c>
      <c r="C781">
        <v>4780000</v>
      </c>
      <c r="D781">
        <v>52470.3</v>
      </c>
      <c r="E781">
        <v>7.4000000000000003E-3</v>
      </c>
      <c r="F781">
        <v>8.1100000000000005E-2</v>
      </c>
    </row>
    <row r="782" spans="1:6" x14ac:dyDescent="0.3">
      <c r="A782" t="s">
        <v>817</v>
      </c>
      <c r="B782" t="s">
        <v>26</v>
      </c>
      <c r="C782">
        <v>4650000</v>
      </c>
      <c r="D782">
        <v>441083.6</v>
      </c>
      <c r="E782">
        <v>4.3799999999999999E-2</v>
      </c>
      <c r="F782">
        <v>7.5899999999999995E-2</v>
      </c>
    </row>
    <row r="783" spans="1:6" x14ac:dyDescent="0.3">
      <c r="A783" t="s">
        <v>818</v>
      </c>
      <c r="B783" t="s">
        <v>26</v>
      </c>
      <c r="C783">
        <v>4390000</v>
      </c>
      <c r="D783">
        <v>151943</v>
      </c>
      <c r="E783">
        <v>3.0800000000000001E-2</v>
      </c>
      <c r="F783">
        <v>7.5899999999999995E-2</v>
      </c>
    </row>
    <row r="784" spans="1:6" x14ac:dyDescent="0.3">
      <c r="A784" t="s">
        <v>819</v>
      </c>
      <c r="B784" t="s">
        <v>214</v>
      </c>
      <c r="C784">
        <v>3960000</v>
      </c>
      <c r="D784">
        <v>19636.3</v>
      </c>
      <c r="E784">
        <v>1.7500000000000002E-2</v>
      </c>
      <c r="F784">
        <v>0.13100000000000001</v>
      </c>
    </row>
    <row r="785" spans="1:6" x14ac:dyDescent="0.3">
      <c r="A785" t="s">
        <v>820</v>
      </c>
      <c r="B785" t="s">
        <v>26</v>
      </c>
      <c r="C785">
        <v>4040000</v>
      </c>
      <c r="D785">
        <v>291765</v>
      </c>
      <c r="E785">
        <v>6.2199999999999998E-2</v>
      </c>
      <c r="F785">
        <v>7.5899999999999995E-2</v>
      </c>
    </row>
    <row r="786" spans="1:6" x14ac:dyDescent="0.3">
      <c r="A786" t="s">
        <v>821</v>
      </c>
      <c r="B786" t="s">
        <v>88</v>
      </c>
      <c r="C786">
        <v>4190000</v>
      </c>
      <c r="D786">
        <v>774.2</v>
      </c>
      <c r="E786">
        <v>6.4500000000000002E-2</v>
      </c>
      <c r="F786">
        <v>9.3799999999999994E-2</v>
      </c>
    </row>
    <row r="787" spans="1:6" x14ac:dyDescent="0.3">
      <c r="A787" t="s">
        <v>822</v>
      </c>
      <c r="B787" t="s">
        <v>26</v>
      </c>
      <c r="C787">
        <v>8050000</v>
      </c>
      <c r="D787">
        <v>373259.5</v>
      </c>
      <c r="E787">
        <v>6.25E-2</v>
      </c>
      <c r="F787">
        <v>7.5899999999999995E-2</v>
      </c>
    </row>
    <row r="788" spans="1:6" x14ac:dyDescent="0.3">
      <c r="A788" t="s">
        <v>823</v>
      </c>
      <c r="B788" t="s">
        <v>30</v>
      </c>
      <c r="C788">
        <v>4700000</v>
      </c>
      <c r="D788">
        <v>6127846.4000000004</v>
      </c>
      <c r="E788">
        <v>4.7600000000000003E-2</v>
      </c>
      <c r="F788">
        <v>5.1799999999999999E-2</v>
      </c>
    </row>
    <row r="789" spans="1:6" x14ac:dyDescent="0.3">
      <c r="A789" t="s">
        <v>824</v>
      </c>
      <c r="B789" t="s">
        <v>21</v>
      </c>
      <c r="C789">
        <v>5010000</v>
      </c>
      <c r="D789">
        <v>68574.8</v>
      </c>
      <c r="E789">
        <v>1.01E-2</v>
      </c>
      <c r="F789">
        <v>6.54E-2</v>
      </c>
    </row>
    <row r="790" spans="1:6" x14ac:dyDescent="0.3">
      <c r="A790" t="s">
        <v>825</v>
      </c>
      <c r="B790" t="s">
        <v>53</v>
      </c>
      <c r="C790">
        <v>3730000</v>
      </c>
      <c r="D790">
        <v>45393.7</v>
      </c>
      <c r="E790">
        <v>6.2300000000000001E-2</v>
      </c>
      <c r="F790">
        <v>9.5100000000000004E-2</v>
      </c>
    </row>
    <row r="791" spans="1:6" x14ac:dyDescent="0.3">
      <c r="A791" t="s">
        <v>826</v>
      </c>
      <c r="B791" t="s">
        <v>32</v>
      </c>
      <c r="C791">
        <v>4180000</v>
      </c>
      <c r="D791">
        <v>11067.3</v>
      </c>
      <c r="E791">
        <v>2.01E-2</v>
      </c>
      <c r="F791">
        <v>0.1053</v>
      </c>
    </row>
    <row r="792" spans="1:6" x14ac:dyDescent="0.3">
      <c r="A792" t="s">
        <v>827</v>
      </c>
      <c r="B792" t="s">
        <v>26</v>
      </c>
      <c r="C792">
        <v>4010000</v>
      </c>
      <c r="D792">
        <v>118249.9</v>
      </c>
      <c r="E792">
        <v>5.6800000000000003E-2</v>
      </c>
      <c r="F792">
        <v>9.3799999999999994E-2</v>
      </c>
    </row>
    <row r="793" spans="1:6" x14ac:dyDescent="0.3">
      <c r="A793" t="s">
        <v>828</v>
      </c>
      <c r="B793" t="s">
        <v>53</v>
      </c>
      <c r="C793">
        <v>4440000</v>
      </c>
      <c r="D793">
        <v>1143.8</v>
      </c>
      <c r="E793">
        <v>3.4000000000000002E-2</v>
      </c>
      <c r="F793">
        <v>5.0999999999999997E-2</v>
      </c>
    </row>
    <row r="794" spans="1:6" x14ac:dyDescent="0.3">
      <c r="A794" t="s">
        <v>829</v>
      </c>
      <c r="B794" t="s">
        <v>50</v>
      </c>
      <c r="C794">
        <v>4110000</v>
      </c>
      <c r="D794">
        <v>14343.2</v>
      </c>
      <c r="E794">
        <v>6.6900000000000001E-2</v>
      </c>
      <c r="F794">
        <v>7.5899999999999995E-2</v>
      </c>
    </row>
    <row r="795" spans="1:6" x14ac:dyDescent="0.3">
      <c r="A795" t="s">
        <v>830</v>
      </c>
      <c r="B795" t="s">
        <v>26</v>
      </c>
      <c r="C795">
        <v>4470000</v>
      </c>
      <c r="D795">
        <v>404515.2</v>
      </c>
      <c r="E795">
        <v>4.4600000000000001E-2</v>
      </c>
      <c r="F795">
        <v>7.5899999999999995E-2</v>
      </c>
    </row>
    <row r="796" spans="1:6" x14ac:dyDescent="0.3">
      <c r="A796" t="s">
        <v>831</v>
      </c>
      <c r="B796" t="s">
        <v>41</v>
      </c>
      <c r="C796">
        <v>4400000</v>
      </c>
      <c r="D796">
        <v>106204.9</v>
      </c>
      <c r="E796">
        <v>2.35E-2</v>
      </c>
      <c r="F796">
        <v>0.1308</v>
      </c>
    </row>
    <row r="797" spans="1:6" x14ac:dyDescent="0.3">
      <c r="A797" t="s">
        <v>832</v>
      </c>
      <c r="B797" t="s">
        <v>92</v>
      </c>
      <c r="C797">
        <v>5000000</v>
      </c>
      <c r="D797">
        <v>174643</v>
      </c>
      <c r="E797">
        <v>1.95E-2</v>
      </c>
      <c r="F797">
        <v>9.3700000000000006E-2</v>
      </c>
    </row>
    <row r="798" spans="1:6" x14ac:dyDescent="0.3">
      <c r="A798" t="s">
        <v>833</v>
      </c>
      <c r="B798" t="s">
        <v>41</v>
      </c>
      <c r="C798">
        <v>10400000</v>
      </c>
      <c r="D798">
        <v>272639.40000000002</v>
      </c>
      <c r="E798">
        <v>5.8000000000000003E-2</v>
      </c>
      <c r="F798">
        <v>9.3799999999999994E-2</v>
      </c>
    </row>
    <row r="799" spans="1:6" x14ac:dyDescent="0.3">
      <c r="A799" t="s">
        <v>834</v>
      </c>
      <c r="B799" t="s">
        <v>41</v>
      </c>
      <c r="C799">
        <v>4120000</v>
      </c>
      <c r="D799">
        <v>2879.9</v>
      </c>
      <c r="E799">
        <v>8.1600000000000006E-2</v>
      </c>
      <c r="F799">
        <v>0.11700000000000001</v>
      </c>
    </row>
    <row r="800" spans="1:6" x14ac:dyDescent="0.3">
      <c r="A800" t="s">
        <v>835</v>
      </c>
      <c r="B800" t="s">
        <v>41</v>
      </c>
      <c r="C800">
        <v>9560000</v>
      </c>
      <c r="D800">
        <v>1534.2</v>
      </c>
      <c r="E800">
        <v>1.5800000000000002E-2</v>
      </c>
      <c r="F800">
        <v>6.08E-2</v>
      </c>
    </row>
    <row r="801" spans="1:6" x14ac:dyDescent="0.3">
      <c r="A801" t="s">
        <v>836</v>
      </c>
      <c r="B801" t="s">
        <v>32</v>
      </c>
      <c r="C801">
        <v>1690000</v>
      </c>
      <c r="D801">
        <v>40709.4</v>
      </c>
      <c r="E801">
        <v>1.03E-2</v>
      </c>
      <c r="F801">
        <v>8.2199999999999995E-2</v>
      </c>
    </row>
    <row r="802" spans="1:6" x14ac:dyDescent="0.3">
      <c r="A802" t="s">
        <v>837</v>
      </c>
      <c r="B802" t="s">
        <v>26</v>
      </c>
      <c r="C802">
        <v>6490000</v>
      </c>
      <c r="D802">
        <v>811046.6</v>
      </c>
      <c r="E802">
        <v>1.11E-2</v>
      </c>
      <c r="F802">
        <v>6.54E-2</v>
      </c>
    </row>
    <row r="803" spans="1:6" x14ac:dyDescent="0.3">
      <c r="A803" t="s">
        <v>838</v>
      </c>
      <c r="B803" t="s">
        <v>92</v>
      </c>
      <c r="C803">
        <v>5640000</v>
      </c>
      <c r="D803">
        <v>254244.2</v>
      </c>
      <c r="E803">
        <v>3.15E-2</v>
      </c>
      <c r="F803">
        <v>4.0899999999999999E-2</v>
      </c>
    </row>
    <row r="804" spans="1:6" x14ac:dyDescent="0.3">
      <c r="A804" t="s">
        <v>839</v>
      </c>
      <c r="B804" t="s">
        <v>92</v>
      </c>
      <c r="C804">
        <v>7560000</v>
      </c>
      <c r="D804">
        <v>849540</v>
      </c>
      <c r="E804">
        <v>2.2700000000000001E-2</v>
      </c>
      <c r="F804">
        <v>5.3800000000000001E-2</v>
      </c>
    </row>
    <row r="805" spans="1:6" x14ac:dyDescent="0.3">
      <c r="A805" t="s">
        <v>840</v>
      </c>
      <c r="B805" t="s">
        <v>26</v>
      </c>
      <c r="C805">
        <v>4750000</v>
      </c>
      <c r="D805">
        <v>245232.6</v>
      </c>
      <c r="E805">
        <v>3.2800000000000003E-2</v>
      </c>
      <c r="F805">
        <v>9.3799999999999994E-2</v>
      </c>
    </row>
    <row r="806" spans="1:6" x14ac:dyDescent="0.3">
      <c r="A806" t="s">
        <v>841</v>
      </c>
      <c r="B806" t="s">
        <v>26</v>
      </c>
      <c r="C806">
        <v>4970000</v>
      </c>
      <c r="D806">
        <v>373629.6</v>
      </c>
      <c r="E806">
        <v>3.2500000000000001E-2</v>
      </c>
      <c r="F806">
        <v>9.3799999999999994E-2</v>
      </c>
    </row>
    <row r="807" spans="1:6" x14ac:dyDescent="0.3">
      <c r="A807" t="s">
        <v>842</v>
      </c>
      <c r="B807" t="s">
        <v>21</v>
      </c>
      <c r="C807">
        <v>5660000</v>
      </c>
      <c r="D807">
        <v>14868.2</v>
      </c>
      <c r="E807">
        <v>4.1000000000000003E-3</v>
      </c>
      <c r="F807">
        <v>8.1100000000000005E-2</v>
      </c>
    </row>
    <row r="808" spans="1:6" x14ac:dyDescent="0.3">
      <c r="A808" t="s">
        <v>843</v>
      </c>
      <c r="B808" t="s">
        <v>26</v>
      </c>
      <c r="C808">
        <v>5240000</v>
      </c>
      <c r="D808">
        <v>115391.4</v>
      </c>
      <c r="E808">
        <v>2.7099999999999999E-2</v>
      </c>
      <c r="F808">
        <v>5.0999999999999997E-2</v>
      </c>
    </row>
    <row r="809" spans="1:6" x14ac:dyDescent="0.3">
      <c r="A809" t="s">
        <v>844</v>
      </c>
      <c r="B809" t="s">
        <v>30</v>
      </c>
      <c r="C809">
        <v>5290000</v>
      </c>
      <c r="D809">
        <v>283571.3</v>
      </c>
      <c r="E809">
        <v>5.4000000000000003E-3</v>
      </c>
      <c r="F809">
        <v>8.2199999999999995E-2</v>
      </c>
    </row>
    <row r="810" spans="1:6" x14ac:dyDescent="0.3">
      <c r="A810" t="s">
        <v>845</v>
      </c>
      <c r="B810" t="s">
        <v>92</v>
      </c>
      <c r="C810">
        <v>4680000</v>
      </c>
      <c r="D810">
        <v>51862.7</v>
      </c>
      <c r="E810">
        <v>3.5900000000000001E-2</v>
      </c>
      <c r="F810">
        <v>9.3799999999999994E-2</v>
      </c>
    </row>
    <row r="811" spans="1:6" x14ac:dyDescent="0.3">
      <c r="A811" t="s">
        <v>846</v>
      </c>
      <c r="B811" t="s">
        <v>287</v>
      </c>
      <c r="C811">
        <v>11700000</v>
      </c>
      <c r="D811">
        <v>3282256.6</v>
      </c>
      <c r="E811">
        <v>2.35E-2</v>
      </c>
      <c r="F811">
        <v>4.0899999999999999E-2</v>
      </c>
    </row>
    <row r="812" spans="1:6" x14ac:dyDescent="0.3">
      <c r="A812" t="s">
        <v>847</v>
      </c>
      <c r="B812" t="s">
        <v>26</v>
      </c>
      <c r="C812">
        <v>4910000</v>
      </c>
      <c r="D812">
        <v>215662.7</v>
      </c>
      <c r="E812">
        <v>5.57E-2</v>
      </c>
      <c r="F812">
        <v>4.0899999999999999E-2</v>
      </c>
    </row>
    <row r="813" spans="1:6" x14ac:dyDescent="0.3">
      <c r="A813" t="s">
        <v>848</v>
      </c>
      <c r="B813" t="s">
        <v>26</v>
      </c>
      <c r="C813">
        <v>4790000</v>
      </c>
      <c r="D813">
        <v>192277.6</v>
      </c>
      <c r="E813">
        <v>5.74E-2</v>
      </c>
      <c r="F813">
        <v>6.7199999999999996E-2</v>
      </c>
    </row>
    <row r="814" spans="1:6" x14ac:dyDescent="0.3">
      <c r="A814" t="s">
        <v>849</v>
      </c>
      <c r="B814" t="s">
        <v>30</v>
      </c>
      <c r="C814">
        <v>3980000</v>
      </c>
      <c r="D814">
        <v>470320</v>
      </c>
      <c r="E814">
        <v>3.09E-2</v>
      </c>
      <c r="F814">
        <v>9.5100000000000004E-2</v>
      </c>
    </row>
    <row r="815" spans="1:6" x14ac:dyDescent="0.3">
      <c r="A815" t="s">
        <v>850</v>
      </c>
      <c r="B815" t="s">
        <v>30</v>
      </c>
      <c r="C815">
        <v>4890000</v>
      </c>
      <c r="D815">
        <v>84.1</v>
      </c>
      <c r="E815">
        <v>1.04E-2</v>
      </c>
      <c r="F815">
        <v>0.15390000000000001</v>
      </c>
    </row>
    <row r="816" spans="1:6" x14ac:dyDescent="0.3">
      <c r="A816" t="s">
        <v>851</v>
      </c>
      <c r="B816" t="s">
        <v>26</v>
      </c>
      <c r="C816">
        <v>4010000</v>
      </c>
      <c r="D816">
        <v>26925.599999999999</v>
      </c>
      <c r="E816">
        <v>1.6799999999999999E-2</v>
      </c>
      <c r="F816">
        <v>4.6199999999999998E-2</v>
      </c>
    </row>
    <row r="817" spans="1:6" x14ac:dyDescent="0.3">
      <c r="A817" t="s">
        <v>852</v>
      </c>
      <c r="B817" t="s">
        <v>35</v>
      </c>
      <c r="C817">
        <v>4790000</v>
      </c>
      <c r="D817">
        <v>5964.2</v>
      </c>
      <c r="E817">
        <v>1.01E-2</v>
      </c>
      <c r="F817">
        <v>8.1100000000000005E-2</v>
      </c>
    </row>
    <row r="818" spans="1:6" x14ac:dyDescent="0.3">
      <c r="A818" t="s">
        <v>853</v>
      </c>
      <c r="B818" t="s">
        <v>28</v>
      </c>
      <c r="C818">
        <v>3920000</v>
      </c>
      <c r="D818">
        <v>1410035.2</v>
      </c>
      <c r="E818">
        <v>3.8999999999999998E-3</v>
      </c>
      <c r="F818">
        <v>8.2199999999999995E-2</v>
      </c>
    </row>
    <row r="819" spans="1:6" x14ac:dyDescent="0.3">
      <c r="A819" t="s">
        <v>854</v>
      </c>
      <c r="B819" t="s">
        <v>26</v>
      </c>
      <c r="C819">
        <v>4100000</v>
      </c>
      <c r="D819">
        <v>37083.800000000003</v>
      </c>
      <c r="E819">
        <v>7.4999999999999997E-3</v>
      </c>
      <c r="F819">
        <v>8.2199999999999995E-2</v>
      </c>
    </row>
    <row r="820" spans="1:6" x14ac:dyDescent="0.3">
      <c r="A820" t="s">
        <v>855</v>
      </c>
      <c r="B820" t="s">
        <v>21</v>
      </c>
      <c r="C820">
        <v>6260000</v>
      </c>
      <c r="D820">
        <v>84434.2</v>
      </c>
      <c r="E820">
        <v>9.4799999999999995E-2</v>
      </c>
      <c r="F820">
        <v>9.3799999999999994E-2</v>
      </c>
    </row>
    <row r="821" spans="1:6" x14ac:dyDescent="0.3">
      <c r="A821" t="s">
        <v>856</v>
      </c>
      <c r="B821" t="s">
        <v>26</v>
      </c>
      <c r="C821">
        <v>4490000</v>
      </c>
      <c r="D821">
        <v>14032.3</v>
      </c>
      <c r="E821">
        <v>7.1400000000000005E-2</v>
      </c>
      <c r="F821">
        <v>7.5899999999999995E-2</v>
      </c>
    </row>
    <row r="822" spans="1:6" x14ac:dyDescent="0.3">
      <c r="A822" t="s">
        <v>857</v>
      </c>
      <c r="B822" t="s">
        <v>71</v>
      </c>
      <c r="C822">
        <v>4500000</v>
      </c>
      <c r="D822">
        <v>8436.5</v>
      </c>
      <c r="E822">
        <v>2.98E-2</v>
      </c>
      <c r="F822">
        <v>9.3799999999999994E-2</v>
      </c>
    </row>
    <row r="823" spans="1:6" x14ac:dyDescent="0.3">
      <c r="A823" t="s">
        <v>858</v>
      </c>
      <c r="B823" t="s">
        <v>26</v>
      </c>
      <c r="C823">
        <v>4260000</v>
      </c>
      <c r="D823">
        <v>167931.4</v>
      </c>
      <c r="E823">
        <v>1.7899999999999999E-2</v>
      </c>
      <c r="F823">
        <v>5.8500000000000003E-2</v>
      </c>
    </row>
    <row r="824" spans="1:6" x14ac:dyDescent="0.3">
      <c r="A824" t="s">
        <v>859</v>
      </c>
      <c r="B824" t="s">
        <v>92</v>
      </c>
      <c r="C824">
        <v>7320000</v>
      </c>
      <c r="D824">
        <v>5667902.4000000004</v>
      </c>
      <c r="E824">
        <v>1.43E-2</v>
      </c>
      <c r="F824">
        <v>4.6199999999999998E-2</v>
      </c>
    </row>
    <row r="825" spans="1:6" x14ac:dyDescent="0.3">
      <c r="A825" t="s">
        <v>860</v>
      </c>
      <c r="B825" t="s">
        <v>35</v>
      </c>
      <c r="C825">
        <v>4750000</v>
      </c>
      <c r="D825">
        <v>16326.2</v>
      </c>
      <c r="E825">
        <v>2.8799999999999999E-2</v>
      </c>
      <c r="F825">
        <v>7.5899999999999995E-2</v>
      </c>
    </row>
    <row r="826" spans="1:6" x14ac:dyDescent="0.3">
      <c r="A826" t="s">
        <v>861</v>
      </c>
      <c r="B826" t="s">
        <v>26</v>
      </c>
      <c r="C826">
        <v>6690000</v>
      </c>
      <c r="D826">
        <v>1783310.4</v>
      </c>
      <c r="E826">
        <v>8.9999999999999993E-3</v>
      </c>
      <c r="F826">
        <v>6.54E-2</v>
      </c>
    </row>
    <row r="827" spans="1:6" x14ac:dyDescent="0.3">
      <c r="A827" t="s">
        <v>862</v>
      </c>
      <c r="B827" t="s">
        <v>74</v>
      </c>
      <c r="C827">
        <v>756000</v>
      </c>
      <c r="D827">
        <v>2955</v>
      </c>
      <c r="E827">
        <v>1.4200000000000001E-2</v>
      </c>
      <c r="F827">
        <v>7.3599999999999999E-2</v>
      </c>
    </row>
    <row r="828" spans="1:6" x14ac:dyDescent="0.3">
      <c r="A828" t="s">
        <v>863</v>
      </c>
      <c r="B828" t="s">
        <v>26</v>
      </c>
      <c r="C828">
        <v>3780000</v>
      </c>
      <c r="D828">
        <v>138382.39999999999</v>
      </c>
      <c r="E828">
        <v>3.3799999999999997E-2</v>
      </c>
      <c r="F828">
        <v>9.5100000000000004E-2</v>
      </c>
    </row>
    <row r="829" spans="1:6" x14ac:dyDescent="0.3">
      <c r="A829" t="s">
        <v>864</v>
      </c>
      <c r="B829" t="s">
        <v>92</v>
      </c>
      <c r="C829">
        <v>3980000</v>
      </c>
      <c r="D829">
        <v>243463</v>
      </c>
      <c r="E829">
        <v>4.1999999999999997E-3</v>
      </c>
      <c r="F829">
        <v>8.2199999999999995E-2</v>
      </c>
    </row>
    <row r="830" spans="1:6" x14ac:dyDescent="0.3">
      <c r="A830" t="s">
        <v>865</v>
      </c>
      <c r="B830" t="s">
        <v>24</v>
      </c>
      <c r="C830">
        <v>4980000</v>
      </c>
      <c r="D830">
        <v>833207.3</v>
      </c>
      <c r="E830">
        <v>6.1999999999999998E-3</v>
      </c>
      <c r="F830">
        <v>6.54E-2</v>
      </c>
    </row>
    <row r="831" spans="1:6" x14ac:dyDescent="0.3">
      <c r="A831" t="s">
        <v>866</v>
      </c>
      <c r="B831" t="s">
        <v>30</v>
      </c>
      <c r="C831">
        <v>4000000</v>
      </c>
      <c r="D831">
        <v>8721.2999999999993</v>
      </c>
      <c r="E831">
        <v>9.9000000000000008E-3</v>
      </c>
      <c r="F831">
        <v>6.54E-2</v>
      </c>
    </row>
    <row r="832" spans="1:6" x14ac:dyDescent="0.3">
      <c r="A832" t="s">
        <v>867</v>
      </c>
      <c r="B832" t="s">
        <v>41</v>
      </c>
      <c r="C832">
        <v>8390000</v>
      </c>
      <c r="D832">
        <v>6134910</v>
      </c>
      <c r="E832">
        <v>3.1E-2</v>
      </c>
      <c r="F832">
        <v>9.5100000000000004E-2</v>
      </c>
    </row>
    <row r="833" spans="1:6" x14ac:dyDescent="0.3">
      <c r="A833" t="s">
        <v>868</v>
      </c>
      <c r="B833" t="s">
        <v>53</v>
      </c>
      <c r="C833">
        <v>6050000</v>
      </c>
      <c r="D833">
        <v>446476</v>
      </c>
      <c r="E833">
        <v>3.3300000000000003E-2</v>
      </c>
      <c r="F833">
        <v>4.3200000000000002E-2</v>
      </c>
    </row>
    <row r="834" spans="1:6" x14ac:dyDescent="0.3">
      <c r="A834" t="s">
        <v>869</v>
      </c>
      <c r="B834" t="s">
        <v>26</v>
      </c>
      <c r="C834">
        <v>4080000</v>
      </c>
      <c r="D834">
        <v>11519.7</v>
      </c>
      <c r="E834">
        <v>1.8100000000000002E-2</v>
      </c>
      <c r="F834">
        <v>5.7599999999999998E-2</v>
      </c>
    </row>
    <row r="835" spans="1:6" x14ac:dyDescent="0.3">
      <c r="A835" t="s">
        <v>870</v>
      </c>
      <c r="B835" t="s">
        <v>21</v>
      </c>
      <c r="C835">
        <v>4370000</v>
      </c>
      <c r="D835">
        <v>3163.9</v>
      </c>
      <c r="E835">
        <v>1.44E-2</v>
      </c>
      <c r="F835">
        <v>0.1013</v>
      </c>
    </row>
    <row r="836" spans="1:6" x14ac:dyDescent="0.3">
      <c r="A836" t="s">
        <v>871</v>
      </c>
      <c r="B836" t="s">
        <v>24</v>
      </c>
      <c r="C836">
        <v>4710000</v>
      </c>
      <c r="D836">
        <v>29570.9</v>
      </c>
      <c r="E836">
        <v>1.1299999999999999E-2</v>
      </c>
      <c r="F836">
        <v>8.1100000000000005E-2</v>
      </c>
    </row>
    <row r="837" spans="1:6" x14ac:dyDescent="0.3">
      <c r="A837" t="s">
        <v>872</v>
      </c>
      <c r="B837" t="s">
        <v>53</v>
      </c>
      <c r="C837">
        <v>4560000</v>
      </c>
      <c r="D837">
        <v>4337.6000000000004</v>
      </c>
      <c r="E837">
        <v>1.8599999999999998E-2</v>
      </c>
      <c r="F837">
        <v>0.16139999999999999</v>
      </c>
    </row>
    <row r="838" spans="1:6" x14ac:dyDescent="0.3">
      <c r="A838" t="s">
        <v>873</v>
      </c>
      <c r="B838" t="s">
        <v>32</v>
      </c>
      <c r="C838">
        <v>3690000</v>
      </c>
      <c r="D838">
        <v>30436018.5</v>
      </c>
      <c r="E838">
        <v>7.1000000000000004E-3</v>
      </c>
      <c r="F838">
        <v>8.2199999999999995E-2</v>
      </c>
    </row>
    <row r="839" spans="1:6" x14ac:dyDescent="0.3">
      <c r="A839" t="s">
        <v>874</v>
      </c>
      <c r="B839" t="s">
        <v>26</v>
      </c>
      <c r="C839">
        <v>3880000</v>
      </c>
      <c r="D839">
        <v>155818.79999999999</v>
      </c>
      <c r="E839">
        <v>7.2900000000000006E-2</v>
      </c>
      <c r="F839">
        <v>9.5100000000000004E-2</v>
      </c>
    </row>
    <row r="840" spans="1:6" x14ac:dyDescent="0.3">
      <c r="A840" t="s">
        <v>875</v>
      </c>
      <c r="B840" t="s">
        <v>21</v>
      </c>
      <c r="C840">
        <v>4350000</v>
      </c>
      <c r="D840">
        <v>1524528.7</v>
      </c>
      <c r="E840">
        <v>4.6600000000000003E-2</v>
      </c>
      <c r="F840">
        <v>9.5100000000000004E-2</v>
      </c>
    </row>
    <row r="841" spans="1:6" x14ac:dyDescent="0.3">
      <c r="A841" t="s">
        <v>876</v>
      </c>
      <c r="B841" t="s">
        <v>62</v>
      </c>
      <c r="C841">
        <v>4440000</v>
      </c>
      <c r="D841">
        <v>102328.9</v>
      </c>
      <c r="E841">
        <v>1.9699999999999999E-2</v>
      </c>
      <c r="F841">
        <v>5.7599999999999998E-2</v>
      </c>
    </row>
    <row r="842" spans="1:6" x14ac:dyDescent="0.3">
      <c r="A842" t="s">
        <v>877</v>
      </c>
      <c r="B842" t="s">
        <v>26</v>
      </c>
      <c r="C842">
        <v>6810000</v>
      </c>
      <c r="D842">
        <v>9902088</v>
      </c>
      <c r="E842">
        <v>1.5100000000000001E-2</v>
      </c>
      <c r="F842">
        <v>4.6199999999999998E-2</v>
      </c>
    </row>
    <row r="843" spans="1:6" x14ac:dyDescent="0.3">
      <c r="A843" t="s">
        <v>878</v>
      </c>
      <c r="B843" t="s">
        <v>214</v>
      </c>
      <c r="C843">
        <v>3870000</v>
      </c>
      <c r="D843">
        <v>82066.7</v>
      </c>
      <c r="E843">
        <v>2.93E-2</v>
      </c>
      <c r="F843">
        <v>5.0999999999999997E-2</v>
      </c>
    </row>
    <row r="844" spans="1:6" x14ac:dyDescent="0.3">
      <c r="A844" t="s">
        <v>879</v>
      </c>
      <c r="B844" t="s">
        <v>24</v>
      </c>
      <c r="C844">
        <v>4950000</v>
      </c>
      <c r="D844">
        <v>744462.5</v>
      </c>
      <c r="E844">
        <v>2.9000000000000001E-2</v>
      </c>
      <c r="F844">
        <v>7.5899999999999995E-2</v>
      </c>
    </row>
    <row r="845" spans="1:6" x14ac:dyDescent="0.3">
      <c r="A845" t="s">
        <v>880</v>
      </c>
      <c r="B845" t="s">
        <v>26</v>
      </c>
      <c r="C845">
        <v>4400000</v>
      </c>
      <c r="D845">
        <v>4376.8</v>
      </c>
      <c r="E845">
        <v>1.2699999999999999E-2</v>
      </c>
      <c r="F845">
        <v>5.8400000000000001E-2</v>
      </c>
    </row>
    <row r="846" spans="1:6" x14ac:dyDescent="0.3">
      <c r="A846" t="s">
        <v>881</v>
      </c>
      <c r="B846" t="s">
        <v>74</v>
      </c>
      <c r="C846">
        <v>6020000</v>
      </c>
      <c r="D846">
        <v>31388.7</v>
      </c>
      <c r="E846">
        <v>2.93E-2</v>
      </c>
      <c r="F846">
        <v>4.3200000000000002E-2</v>
      </c>
    </row>
    <row r="847" spans="1:6" x14ac:dyDescent="0.3">
      <c r="A847" t="s">
        <v>882</v>
      </c>
      <c r="B847" t="s">
        <v>88</v>
      </c>
      <c r="C847">
        <v>6530000</v>
      </c>
      <c r="D847">
        <v>153559.4</v>
      </c>
      <c r="E847">
        <v>0.03</v>
      </c>
      <c r="F847">
        <v>8.3299999999999999E-2</v>
      </c>
    </row>
    <row r="848" spans="1:6" x14ac:dyDescent="0.3">
      <c r="A848" t="s">
        <v>883</v>
      </c>
      <c r="B848" t="s">
        <v>21</v>
      </c>
      <c r="C848">
        <v>4000000</v>
      </c>
      <c r="D848">
        <v>12948.5</v>
      </c>
      <c r="E848">
        <v>7.7999999999999996E-3</v>
      </c>
      <c r="F848">
        <v>6.54E-2</v>
      </c>
    </row>
    <row r="849" spans="1:6" x14ac:dyDescent="0.3">
      <c r="A849" t="s">
        <v>884</v>
      </c>
      <c r="B849" t="s">
        <v>26</v>
      </c>
      <c r="C849">
        <v>4950000</v>
      </c>
      <c r="D849">
        <v>405305.8</v>
      </c>
      <c r="E849">
        <v>4.1300000000000003E-2</v>
      </c>
      <c r="F849">
        <v>7.5899999999999995E-2</v>
      </c>
    </row>
    <row r="850" spans="1:6" x14ac:dyDescent="0.3">
      <c r="A850" t="s">
        <v>885</v>
      </c>
      <c r="B850" t="s">
        <v>26</v>
      </c>
      <c r="C850">
        <v>5490000</v>
      </c>
      <c r="D850">
        <v>1312034.7</v>
      </c>
      <c r="E850">
        <v>3.8800000000000001E-2</v>
      </c>
      <c r="F850">
        <v>9.5100000000000004E-2</v>
      </c>
    </row>
    <row r="851" spans="1:6" x14ac:dyDescent="0.3">
      <c r="A851" t="s">
        <v>886</v>
      </c>
      <c r="B851" t="s">
        <v>24</v>
      </c>
      <c r="C851">
        <v>4640000</v>
      </c>
      <c r="D851">
        <v>2895.3</v>
      </c>
      <c r="E851">
        <v>0.25890000000000002</v>
      </c>
      <c r="F851">
        <v>0.61129999999999995</v>
      </c>
    </row>
    <row r="852" spans="1:6" x14ac:dyDescent="0.3">
      <c r="A852" t="s">
        <v>887</v>
      </c>
      <c r="B852" t="s">
        <v>26</v>
      </c>
      <c r="C852">
        <v>7040000</v>
      </c>
      <c r="D852">
        <v>392535.4</v>
      </c>
      <c r="E852">
        <v>2.92E-2</v>
      </c>
      <c r="F852">
        <v>5.1400000000000001E-2</v>
      </c>
    </row>
    <row r="853" spans="1:6" x14ac:dyDescent="0.3">
      <c r="A853" t="s">
        <v>888</v>
      </c>
      <c r="B853" t="s">
        <v>24</v>
      </c>
      <c r="C853">
        <v>4330000</v>
      </c>
      <c r="D853">
        <v>636159.6</v>
      </c>
      <c r="E853">
        <v>3.6299999999999999E-2</v>
      </c>
      <c r="F853">
        <v>7.5899999999999995E-2</v>
      </c>
    </row>
    <row r="854" spans="1:6" x14ac:dyDescent="0.3">
      <c r="A854" t="s">
        <v>889</v>
      </c>
      <c r="B854" t="s">
        <v>24</v>
      </c>
      <c r="C854">
        <v>7800000</v>
      </c>
      <c r="D854">
        <v>92951.4</v>
      </c>
      <c r="E854">
        <v>2.1999999999999999E-2</v>
      </c>
      <c r="F854">
        <v>8.3299999999999999E-2</v>
      </c>
    </row>
    <row r="855" spans="1:6" x14ac:dyDescent="0.3">
      <c r="A855" t="s">
        <v>890</v>
      </c>
      <c r="B855" t="s">
        <v>81</v>
      </c>
      <c r="C855">
        <v>4530000</v>
      </c>
      <c r="D855">
        <v>6822.7</v>
      </c>
      <c r="E855">
        <v>3.04E-2</v>
      </c>
      <c r="F855">
        <v>9.5100000000000004E-2</v>
      </c>
    </row>
    <row r="856" spans="1:6" x14ac:dyDescent="0.3">
      <c r="A856" t="s">
        <v>891</v>
      </c>
      <c r="B856" t="s">
        <v>195</v>
      </c>
      <c r="C856">
        <v>4840000</v>
      </c>
      <c r="D856">
        <v>215064.4</v>
      </c>
      <c r="E856">
        <v>1.7000000000000001E-2</v>
      </c>
      <c r="F856">
        <v>8.5400000000000004E-2</v>
      </c>
    </row>
    <row r="857" spans="1:6" x14ac:dyDescent="0.3">
      <c r="A857" t="s">
        <v>892</v>
      </c>
      <c r="B857" t="s">
        <v>88</v>
      </c>
      <c r="C857">
        <v>4150000</v>
      </c>
      <c r="D857">
        <v>91711.1</v>
      </c>
      <c r="E857">
        <v>4.4900000000000002E-2</v>
      </c>
      <c r="F857">
        <v>7.5899999999999995E-2</v>
      </c>
    </row>
    <row r="858" spans="1:6" x14ac:dyDescent="0.3">
      <c r="A858" t="s">
        <v>893</v>
      </c>
      <c r="B858" t="s">
        <v>62</v>
      </c>
      <c r="C858">
        <v>4720000</v>
      </c>
      <c r="D858">
        <v>717828.8</v>
      </c>
      <c r="E858">
        <v>5.7599999999999998E-2</v>
      </c>
      <c r="F858">
        <v>7.5899999999999995E-2</v>
      </c>
    </row>
    <row r="859" spans="1:6" x14ac:dyDescent="0.3">
      <c r="A859" t="s">
        <v>894</v>
      </c>
      <c r="B859" t="s">
        <v>26</v>
      </c>
      <c r="C859">
        <v>7790000</v>
      </c>
      <c r="D859">
        <v>1050313.1000000001</v>
      </c>
      <c r="E859">
        <v>3.2599999999999997E-2</v>
      </c>
      <c r="F859">
        <v>9.3799999999999994E-2</v>
      </c>
    </row>
    <row r="860" spans="1:6" x14ac:dyDescent="0.3">
      <c r="A860" t="s">
        <v>895</v>
      </c>
      <c r="B860" t="s">
        <v>41</v>
      </c>
      <c r="C860">
        <v>5010000</v>
      </c>
      <c r="D860">
        <v>249.9</v>
      </c>
      <c r="E860">
        <v>8.9999999999999993E-3</v>
      </c>
      <c r="F860">
        <v>8.1100000000000005E-2</v>
      </c>
    </row>
    <row r="861" spans="1:6" x14ac:dyDescent="0.3">
      <c r="A861" t="s">
        <v>896</v>
      </c>
      <c r="B861" t="s">
        <v>74</v>
      </c>
      <c r="C861">
        <v>4670000</v>
      </c>
      <c r="D861">
        <v>8498.9</v>
      </c>
      <c r="E861">
        <v>3.9600000000000003E-2</v>
      </c>
      <c r="F861">
        <v>6.4299999999999996E-2</v>
      </c>
    </row>
    <row r="862" spans="1:6" x14ac:dyDescent="0.3">
      <c r="A862" t="s">
        <v>897</v>
      </c>
      <c r="B862" t="s">
        <v>26</v>
      </c>
      <c r="C862">
        <v>4120000</v>
      </c>
      <c r="D862">
        <v>344849.1</v>
      </c>
      <c r="E862">
        <v>3.4799999999999998E-2</v>
      </c>
      <c r="F862">
        <v>9.3799999999999994E-2</v>
      </c>
    </row>
    <row r="863" spans="1:6" x14ac:dyDescent="0.3">
      <c r="A863" t="s">
        <v>898</v>
      </c>
      <c r="B863" t="s">
        <v>21</v>
      </c>
      <c r="C863">
        <v>6010000</v>
      </c>
      <c r="D863">
        <v>342.6</v>
      </c>
      <c r="F863">
        <v>5.0999999999999997E-2</v>
      </c>
    </row>
    <row r="864" spans="1:6" x14ac:dyDescent="0.3">
      <c r="A864" t="s">
        <v>899</v>
      </c>
      <c r="B864" t="s">
        <v>41</v>
      </c>
      <c r="C864">
        <v>4870000</v>
      </c>
      <c r="D864">
        <v>1065.7</v>
      </c>
      <c r="E864">
        <v>2.75E-2</v>
      </c>
      <c r="F864">
        <v>5.0999999999999997E-2</v>
      </c>
    </row>
    <row r="865" spans="1:6" x14ac:dyDescent="0.3">
      <c r="A865" t="s">
        <v>900</v>
      </c>
      <c r="B865" t="s">
        <v>41</v>
      </c>
      <c r="C865">
        <v>4060000</v>
      </c>
      <c r="D865">
        <v>475.5</v>
      </c>
      <c r="E865">
        <v>3.3500000000000002E-2</v>
      </c>
      <c r="F865">
        <v>0.48020000000000002</v>
      </c>
    </row>
    <row r="866" spans="1:6" x14ac:dyDescent="0.3">
      <c r="A866" t="s">
        <v>901</v>
      </c>
      <c r="B866" t="s">
        <v>26</v>
      </c>
      <c r="C866">
        <v>4620000</v>
      </c>
      <c r="D866">
        <v>15260.4</v>
      </c>
      <c r="E866">
        <v>4.4499999999999998E-2</v>
      </c>
      <c r="F866">
        <v>9.5100000000000004E-2</v>
      </c>
    </row>
    <row r="867" spans="1:6" x14ac:dyDescent="0.3">
      <c r="A867" t="s">
        <v>902</v>
      </c>
      <c r="B867" t="s">
        <v>26</v>
      </c>
      <c r="C867">
        <v>4300000</v>
      </c>
      <c r="D867">
        <v>139149.20000000001</v>
      </c>
      <c r="F867">
        <v>4.0899999999999999E-2</v>
      </c>
    </row>
    <row r="868" spans="1:6" x14ac:dyDescent="0.3">
      <c r="A868" t="s">
        <v>903</v>
      </c>
      <c r="B868" t="s">
        <v>30</v>
      </c>
      <c r="C868">
        <v>4140000</v>
      </c>
      <c r="D868">
        <v>1327629.5</v>
      </c>
      <c r="E868">
        <v>3.39E-2</v>
      </c>
      <c r="F868">
        <v>9.5100000000000004E-2</v>
      </c>
    </row>
    <row r="869" spans="1:6" x14ac:dyDescent="0.3">
      <c r="A869" t="s">
        <v>904</v>
      </c>
      <c r="B869" t="s">
        <v>53</v>
      </c>
      <c r="C869">
        <v>4090000</v>
      </c>
      <c r="D869">
        <v>39474.9</v>
      </c>
      <c r="E869">
        <v>8.7900000000000006E-2</v>
      </c>
      <c r="F869">
        <v>5.0999999999999997E-2</v>
      </c>
    </row>
    <row r="870" spans="1:6" x14ac:dyDescent="0.3">
      <c r="A870" t="s">
        <v>905</v>
      </c>
      <c r="B870" t="s">
        <v>26</v>
      </c>
      <c r="C870">
        <v>3890000</v>
      </c>
      <c r="D870">
        <v>184945.3</v>
      </c>
      <c r="E870">
        <v>1.7600000000000001E-2</v>
      </c>
      <c r="F870">
        <v>7.5899999999999995E-2</v>
      </c>
    </row>
    <row r="871" spans="1:6" x14ac:dyDescent="0.3">
      <c r="A871" t="s">
        <v>906</v>
      </c>
      <c r="B871" t="s">
        <v>24</v>
      </c>
      <c r="C871">
        <v>4260000</v>
      </c>
      <c r="D871">
        <v>313203.40000000002</v>
      </c>
      <c r="E871">
        <v>1.4E-3</v>
      </c>
      <c r="F871">
        <v>0.1953</v>
      </c>
    </row>
    <row r="872" spans="1:6" x14ac:dyDescent="0.3">
      <c r="A872" t="s">
        <v>907</v>
      </c>
      <c r="B872" t="s">
        <v>195</v>
      </c>
      <c r="C872">
        <v>2280000</v>
      </c>
      <c r="D872">
        <v>27642.7</v>
      </c>
      <c r="E872">
        <v>5.4600000000000003E-2</v>
      </c>
      <c r="F872">
        <v>7.5899999999999995E-2</v>
      </c>
    </row>
    <row r="873" spans="1:6" x14ac:dyDescent="0.3">
      <c r="A873" t="s">
        <v>908</v>
      </c>
      <c r="B873" t="s">
        <v>24</v>
      </c>
      <c r="C873">
        <v>4310000</v>
      </c>
      <c r="D873">
        <v>617.9</v>
      </c>
      <c r="E873">
        <v>3.1899999999999998E-2</v>
      </c>
      <c r="F873">
        <v>9.3799999999999994E-2</v>
      </c>
    </row>
    <row r="874" spans="1:6" x14ac:dyDescent="0.3">
      <c r="A874" t="s">
        <v>909</v>
      </c>
      <c r="B874" t="s">
        <v>30</v>
      </c>
      <c r="C874">
        <v>3770000</v>
      </c>
      <c r="D874">
        <v>7806.9</v>
      </c>
      <c r="E874">
        <v>9.7999999999999997E-3</v>
      </c>
      <c r="F874">
        <v>8.2199999999999995E-2</v>
      </c>
    </row>
    <row r="875" spans="1:6" x14ac:dyDescent="0.3">
      <c r="A875" t="s">
        <v>910</v>
      </c>
      <c r="B875" t="s">
        <v>71</v>
      </c>
      <c r="C875">
        <v>4300000</v>
      </c>
      <c r="D875">
        <v>3955.5</v>
      </c>
      <c r="E875">
        <v>7.6100000000000001E-2</v>
      </c>
      <c r="F875">
        <v>5.0999999999999997E-2</v>
      </c>
    </row>
    <row r="876" spans="1:6" x14ac:dyDescent="0.3">
      <c r="A876" t="s">
        <v>911</v>
      </c>
      <c r="B876" t="s">
        <v>26</v>
      </c>
      <c r="C876">
        <v>3880000</v>
      </c>
      <c r="D876">
        <v>1057086.3</v>
      </c>
      <c r="E876">
        <v>2.0799999999999999E-2</v>
      </c>
      <c r="F876">
        <v>7.2599999999999998E-2</v>
      </c>
    </row>
    <row r="877" spans="1:6" x14ac:dyDescent="0.3">
      <c r="A877" t="s">
        <v>912</v>
      </c>
      <c r="B877" t="s">
        <v>41</v>
      </c>
      <c r="C877">
        <v>4220000</v>
      </c>
      <c r="D877">
        <v>118727.2</v>
      </c>
      <c r="E877">
        <v>3.6700000000000003E-2</v>
      </c>
      <c r="F877">
        <v>9.3799999999999994E-2</v>
      </c>
    </row>
    <row r="878" spans="1:6" x14ac:dyDescent="0.3">
      <c r="A878" t="s">
        <v>913</v>
      </c>
      <c r="B878" t="s">
        <v>32</v>
      </c>
      <c r="C878">
        <v>4020000</v>
      </c>
      <c r="D878">
        <v>4803.3</v>
      </c>
      <c r="E878">
        <v>1.2699999999999999E-2</v>
      </c>
      <c r="F878">
        <v>0.1784</v>
      </c>
    </row>
    <row r="879" spans="1:6" x14ac:dyDescent="0.3">
      <c r="A879" t="s">
        <v>914</v>
      </c>
      <c r="B879" t="s">
        <v>53</v>
      </c>
      <c r="C879">
        <v>4650000</v>
      </c>
      <c r="D879">
        <v>761696.4</v>
      </c>
      <c r="E879">
        <v>3.5000000000000003E-2</v>
      </c>
      <c r="F879">
        <v>7.5899999999999995E-2</v>
      </c>
    </row>
    <row r="880" spans="1:6" x14ac:dyDescent="0.3">
      <c r="A880" t="s">
        <v>915</v>
      </c>
      <c r="B880" t="s">
        <v>81</v>
      </c>
      <c r="C880">
        <v>3590000</v>
      </c>
      <c r="D880">
        <v>29844.9</v>
      </c>
      <c r="E880">
        <v>3.4500000000000003E-2</v>
      </c>
      <c r="F880">
        <v>9.5100000000000004E-2</v>
      </c>
    </row>
    <row r="881" spans="1:6" x14ac:dyDescent="0.3">
      <c r="A881" t="s">
        <v>916</v>
      </c>
      <c r="B881" t="s">
        <v>21</v>
      </c>
      <c r="C881">
        <v>4210000</v>
      </c>
      <c r="D881">
        <v>1387.5</v>
      </c>
      <c r="E881">
        <v>9.9000000000000008E-3</v>
      </c>
      <c r="F881">
        <v>8.1100000000000005E-2</v>
      </c>
    </row>
    <row r="882" spans="1:6" x14ac:dyDescent="0.3">
      <c r="A882" t="s">
        <v>917</v>
      </c>
      <c r="B882" t="s">
        <v>30</v>
      </c>
      <c r="C882">
        <v>10500000</v>
      </c>
      <c r="D882">
        <v>183343.4</v>
      </c>
      <c r="E882">
        <v>4.3E-3</v>
      </c>
      <c r="F882">
        <v>8.1100000000000005E-2</v>
      </c>
    </row>
    <row r="883" spans="1:6" x14ac:dyDescent="0.3">
      <c r="A883" t="s">
        <v>918</v>
      </c>
      <c r="B883" t="s">
        <v>71</v>
      </c>
      <c r="C883">
        <v>3810000</v>
      </c>
      <c r="D883">
        <v>774.3</v>
      </c>
      <c r="E883">
        <v>8.8000000000000005E-3</v>
      </c>
      <c r="F883">
        <v>6.54E-2</v>
      </c>
    </row>
    <row r="884" spans="1:6" x14ac:dyDescent="0.3">
      <c r="A884" t="s">
        <v>919</v>
      </c>
      <c r="B884" t="s">
        <v>26</v>
      </c>
      <c r="C884">
        <v>4510000</v>
      </c>
      <c r="D884">
        <v>16418665.6</v>
      </c>
      <c r="E884">
        <v>5.5800000000000002E-2</v>
      </c>
      <c r="F884">
        <v>9.5100000000000004E-2</v>
      </c>
    </row>
    <row r="885" spans="1:6" x14ac:dyDescent="0.3">
      <c r="A885" t="s">
        <v>920</v>
      </c>
      <c r="B885" t="s">
        <v>21</v>
      </c>
      <c r="C885">
        <v>5850000</v>
      </c>
      <c r="D885">
        <v>48298.400000000001</v>
      </c>
      <c r="E885">
        <v>1.38E-2</v>
      </c>
      <c r="F885">
        <v>8.1100000000000005E-2</v>
      </c>
    </row>
    <row r="886" spans="1:6" x14ac:dyDescent="0.3">
      <c r="A886" t="s">
        <v>921</v>
      </c>
      <c r="B886" t="s">
        <v>26</v>
      </c>
      <c r="C886">
        <v>3640000</v>
      </c>
      <c r="D886">
        <v>921.9</v>
      </c>
      <c r="E886">
        <v>1.9800000000000002E-2</v>
      </c>
      <c r="F886">
        <v>0.187</v>
      </c>
    </row>
    <row r="887" spans="1:6" x14ac:dyDescent="0.3">
      <c r="A887" t="s">
        <v>922</v>
      </c>
      <c r="B887" t="s">
        <v>26</v>
      </c>
      <c r="C887">
        <v>5440000</v>
      </c>
      <c r="D887">
        <v>140529.70000000001</v>
      </c>
      <c r="E887">
        <v>1.43E-2</v>
      </c>
      <c r="F887">
        <v>4.6199999999999998E-2</v>
      </c>
    </row>
    <row r="888" spans="1:6" x14ac:dyDescent="0.3">
      <c r="A888" t="s">
        <v>923</v>
      </c>
      <c r="B888" t="s">
        <v>26</v>
      </c>
      <c r="C888">
        <v>6290000</v>
      </c>
      <c r="D888">
        <v>20936.099999999999</v>
      </c>
      <c r="E888">
        <v>1.0200000000000001E-2</v>
      </c>
      <c r="F888">
        <v>6.54E-2</v>
      </c>
    </row>
    <row r="889" spans="1:6" x14ac:dyDescent="0.3">
      <c r="A889" t="s">
        <v>924</v>
      </c>
      <c r="B889" t="s">
        <v>26</v>
      </c>
      <c r="C889">
        <v>6080000</v>
      </c>
      <c r="D889">
        <v>1882.1</v>
      </c>
      <c r="E889">
        <v>1.7999999999999999E-2</v>
      </c>
      <c r="F889">
        <v>4.6199999999999998E-2</v>
      </c>
    </row>
    <row r="890" spans="1:6" x14ac:dyDescent="0.3">
      <c r="A890" t="s">
        <v>925</v>
      </c>
      <c r="B890" t="s">
        <v>24</v>
      </c>
      <c r="C890">
        <v>3700000</v>
      </c>
      <c r="D890">
        <v>702</v>
      </c>
      <c r="E890">
        <v>1.83E-2</v>
      </c>
      <c r="F890">
        <v>5.8500000000000003E-2</v>
      </c>
    </row>
    <row r="891" spans="1:6" x14ac:dyDescent="0.3">
      <c r="A891" t="s">
        <v>926</v>
      </c>
      <c r="B891" t="s">
        <v>26</v>
      </c>
      <c r="C891">
        <v>3580000</v>
      </c>
      <c r="D891">
        <v>29108.6</v>
      </c>
      <c r="E891">
        <v>2.1999999999999999E-2</v>
      </c>
      <c r="F891">
        <v>5.0999999999999997E-2</v>
      </c>
    </row>
    <row r="892" spans="1:6" x14ac:dyDescent="0.3">
      <c r="A892" t="s">
        <v>927</v>
      </c>
      <c r="B892" t="s">
        <v>26</v>
      </c>
      <c r="C892">
        <v>5800000</v>
      </c>
      <c r="D892">
        <v>279345.2</v>
      </c>
      <c r="E892">
        <v>1.6400000000000001E-2</v>
      </c>
      <c r="F892">
        <v>9.5000000000000001E-2</v>
      </c>
    </row>
    <row r="893" spans="1:6" x14ac:dyDescent="0.3">
      <c r="A893" t="s">
        <v>928</v>
      </c>
      <c r="B893" t="s">
        <v>24</v>
      </c>
      <c r="C893">
        <v>3610000</v>
      </c>
      <c r="D893">
        <v>9805.2000000000007</v>
      </c>
      <c r="E893">
        <v>2.75E-2</v>
      </c>
      <c r="F893">
        <v>4.0899999999999999E-2</v>
      </c>
    </row>
    <row r="894" spans="1:6" x14ac:dyDescent="0.3">
      <c r="A894" t="s">
        <v>929</v>
      </c>
      <c r="B894" t="s">
        <v>41</v>
      </c>
      <c r="C894">
        <v>5080000</v>
      </c>
      <c r="D894">
        <v>1843.5</v>
      </c>
      <c r="E894">
        <v>1.7000000000000001E-2</v>
      </c>
      <c r="F894">
        <v>0.22670000000000001</v>
      </c>
    </row>
    <row r="895" spans="1:6" x14ac:dyDescent="0.3">
      <c r="A895" t="s">
        <v>930</v>
      </c>
      <c r="B895" t="s">
        <v>41</v>
      </c>
      <c r="C895">
        <v>4700000</v>
      </c>
      <c r="D895">
        <v>17110.900000000001</v>
      </c>
      <c r="E895">
        <v>2.6599999999999999E-2</v>
      </c>
      <c r="F895">
        <v>0.1226</v>
      </c>
    </row>
    <row r="896" spans="1:6" x14ac:dyDescent="0.3">
      <c r="A896" t="s">
        <v>931</v>
      </c>
      <c r="B896" t="s">
        <v>21</v>
      </c>
      <c r="C896">
        <v>4180000</v>
      </c>
      <c r="D896">
        <v>5521.3</v>
      </c>
      <c r="E896">
        <v>3.3000000000000002E-2</v>
      </c>
      <c r="F896">
        <v>9.3799999999999994E-2</v>
      </c>
    </row>
    <row r="897" spans="1:6" x14ac:dyDescent="0.3">
      <c r="A897" t="s">
        <v>932</v>
      </c>
      <c r="B897" t="s">
        <v>41</v>
      </c>
      <c r="C897">
        <v>6900000</v>
      </c>
      <c r="D897">
        <v>27747.599999999999</v>
      </c>
      <c r="E897">
        <v>1.5100000000000001E-2</v>
      </c>
      <c r="F897">
        <v>0.1013</v>
      </c>
    </row>
    <row r="898" spans="1:6" x14ac:dyDescent="0.3">
      <c r="A898" t="s">
        <v>933</v>
      </c>
      <c r="B898" t="s">
        <v>26</v>
      </c>
      <c r="C898">
        <v>3850000</v>
      </c>
      <c r="D898">
        <v>1503000.3</v>
      </c>
      <c r="E898">
        <v>4.9200000000000001E-2</v>
      </c>
      <c r="F898">
        <v>9.3799999999999994E-2</v>
      </c>
    </row>
    <row r="899" spans="1:6" x14ac:dyDescent="0.3">
      <c r="A899" t="s">
        <v>934</v>
      </c>
      <c r="B899" t="s">
        <v>32</v>
      </c>
      <c r="C899">
        <v>6140000</v>
      </c>
      <c r="D899">
        <v>5272.8</v>
      </c>
      <c r="E899">
        <v>2.2499999999999999E-2</v>
      </c>
      <c r="F899">
        <v>5.0999999999999997E-2</v>
      </c>
    </row>
    <row r="900" spans="1:6" x14ac:dyDescent="0.3">
      <c r="A900" t="s">
        <v>935</v>
      </c>
      <c r="B900" t="s">
        <v>24</v>
      </c>
      <c r="C900">
        <v>4850000</v>
      </c>
      <c r="D900">
        <v>434123.1</v>
      </c>
      <c r="E900">
        <v>3.15E-2</v>
      </c>
      <c r="F900">
        <v>5.0999999999999997E-2</v>
      </c>
    </row>
    <row r="901" spans="1:6" x14ac:dyDescent="0.3">
      <c r="A901" t="s">
        <v>936</v>
      </c>
      <c r="B901" t="s">
        <v>21</v>
      </c>
      <c r="C901">
        <v>3800000</v>
      </c>
      <c r="D901">
        <v>2465.6</v>
      </c>
      <c r="E901">
        <v>4.7000000000000002E-3</v>
      </c>
      <c r="F901">
        <v>8.1100000000000005E-2</v>
      </c>
    </row>
    <row r="902" spans="1:6" x14ac:dyDescent="0.3">
      <c r="A902" t="s">
        <v>937</v>
      </c>
      <c r="B902" t="s">
        <v>24</v>
      </c>
      <c r="C902">
        <v>3620000</v>
      </c>
      <c r="D902">
        <v>2326.1999999999998</v>
      </c>
      <c r="E902">
        <v>2.5999999999999999E-2</v>
      </c>
      <c r="F902">
        <v>5.1799999999999999E-2</v>
      </c>
    </row>
    <row r="903" spans="1:6" x14ac:dyDescent="0.3">
      <c r="A903" t="s">
        <v>938</v>
      </c>
      <c r="B903" t="s">
        <v>26</v>
      </c>
      <c r="C903">
        <v>4550000</v>
      </c>
      <c r="D903">
        <v>3883782.9</v>
      </c>
      <c r="E903">
        <v>3.7199999999999997E-2</v>
      </c>
      <c r="F903">
        <v>5.4600000000000003E-2</v>
      </c>
    </row>
    <row r="904" spans="1:6" x14ac:dyDescent="0.3">
      <c r="A904" t="s">
        <v>939</v>
      </c>
      <c r="B904" t="s">
        <v>26</v>
      </c>
      <c r="C904">
        <v>3460000</v>
      </c>
      <c r="D904">
        <v>35072.6</v>
      </c>
      <c r="E904">
        <v>1.4E-3</v>
      </c>
      <c r="F904">
        <v>6.54E-2</v>
      </c>
    </row>
    <row r="905" spans="1:6" x14ac:dyDescent="0.3">
      <c r="A905" t="s">
        <v>940</v>
      </c>
      <c r="B905" t="s">
        <v>30</v>
      </c>
      <c r="C905">
        <v>5500000</v>
      </c>
      <c r="D905">
        <v>2745128.1</v>
      </c>
      <c r="E905">
        <v>3.2300000000000002E-2</v>
      </c>
      <c r="F905">
        <v>9.5100000000000004E-2</v>
      </c>
    </row>
    <row r="906" spans="1:6" x14ac:dyDescent="0.3">
      <c r="A906" t="s">
        <v>941</v>
      </c>
      <c r="B906" t="s">
        <v>26</v>
      </c>
      <c r="C906">
        <v>3520000</v>
      </c>
      <c r="D906">
        <v>623</v>
      </c>
      <c r="E906">
        <v>2.4400000000000002E-2</v>
      </c>
      <c r="F906">
        <v>7.5899999999999995E-2</v>
      </c>
    </row>
    <row r="907" spans="1:6" x14ac:dyDescent="0.3">
      <c r="A907" t="s">
        <v>942</v>
      </c>
      <c r="B907" t="s">
        <v>53</v>
      </c>
      <c r="C907">
        <v>5800000</v>
      </c>
      <c r="D907">
        <v>2182968.4</v>
      </c>
      <c r="E907">
        <v>6.0299999999999999E-2</v>
      </c>
      <c r="F907">
        <v>7.5899999999999995E-2</v>
      </c>
    </row>
    <row r="908" spans="1:6" x14ac:dyDescent="0.3">
      <c r="A908" t="s">
        <v>943</v>
      </c>
      <c r="B908" t="s">
        <v>53</v>
      </c>
      <c r="C908">
        <v>5410000</v>
      </c>
      <c r="D908">
        <v>18238391</v>
      </c>
      <c r="E908">
        <v>2.4199999999999999E-2</v>
      </c>
      <c r="F908">
        <v>9.5100000000000004E-2</v>
      </c>
    </row>
    <row r="909" spans="1:6" x14ac:dyDescent="0.3">
      <c r="A909" t="s">
        <v>944</v>
      </c>
      <c r="B909" t="s">
        <v>26</v>
      </c>
      <c r="C909">
        <v>4160000</v>
      </c>
      <c r="D909">
        <v>14180.8</v>
      </c>
      <c r="E909">
        <v>1.3299999999999999E-2</v>
      </c>
      <c r="F909">
        <v>7.3599999999999999E-2</v>
      </c>
    </row>
    <row r="910" spans="1:6" x14ac:dyDescent="0.3">
      <c r="A910" t="s">
        <v>945</v>
      </c>
      <c r="B910" t="s">
        <v>92</v>
      </c>
      <c r="C910">
        <v>5240000</v>
      </c>
      <c r="D910">
        <v>1096032.1000000001</v>
      </c>
      <c r="E910">
        <v>2.9899999999999999E-2</v>
      </c>
      <c r="F910">
        <v>5.0999999999999997E-2</v>
      </c>
    </row>
    <row r="911" spans="1:6" x14ac:dyDescent="0.3">
      <c r="A911" t="s">
        <v>946</v>
      </c>
      <c r="B911" t="s">
        <v>26</v>
      </c>
      <c r="C911">
        <v>4000000</v>
      </c>
      <c r="D911">
        <v>57975.4</v>
      </c>
      <c r="E911">
        <v>3.2599999999999997E-2</v>
      </c>
      <c r="F911">
        <v>4.0899999999999999E-2</v>
      </c>
    </row>
    <row r="912" spans="1:6" x14ac:dyDescent="0.3">
      <c r="A912" t="s">
        <v>947</v>
      </c>
      <c r="B912" t="s">
        <v>24</v>
      </c>
      <c r="C912">
        <v>5070000</v>
      </c>
      <c r="D912">
        <v>4109.3</v>
      </c>
      <c r="E912">
        <v>1.0800000000000001E-2</v>
      </c>
      <c r="F912">
        <v>6.54E-2</v>
      </c>
    </row>
    <row r="913" spans="1:6" x14ac:dyDescent="0.3">
      <c r="A913" t="s">
        <v>948</v>
      </c>
      <c r="B913" t="s">
        <v>26</v>
      </c>
      <c r="C913">
        <v>3700000</v>
      </c>
      <c r="D913">
        <v>24581.8</v>
      </c>
      <c r="E913">
        <v>1.2800000000000001E-2</v>
      </c>
      <c r="F913">
        <v>7.2599999999999998E-2</v>
      </c>
    </row>
    <row r="914" spans="1:6" x14ac:dyDescent="0.3">
      <c r="A914" t="s">
        <v>949</v>
      </c>
      <c r="B914" t="s">
        <v>62</v>
      </c>
      <c r="C914">
        <v>4730000</v>
      </c>
      <c r="D914">
        <v>17554.8</v>
      </c>
      <c r="E914">
        <v>3.6999999999999998E-2</v>
      </c>
      <c r="F914">
        <v>9.3799999999999994E-2</v>
      </c>
    </row>
    <row r="915" spans="1:6" x14ac:dyDescent="0.3">
      <c r="A915" t="s">
        <v>950</v>
      </c>
      <c r="B915" t="s">
        <v>71</v>
      </c>
      <c r="C915">
        <v>4100000</v>
      </c>
      <c r="D915">
        <v>276047</v>
      </c>
      <c r="E915">
        <v>5.4199999999999998E-2</v>
      </c>
      <c r="F915">
        <v>9.3799999999999994E-2</v>
      </c>
    </row>
    <row r="916" spans="1:6" x14ac:dyDescent="0.3">
      <c r="A916" t="s">
        <v>951</v>
      </c>
      <c r="B916" t="s">
        <v>26</v>
      </c>
      <c r="C916">
        <v>4170000</v>
      </c>
      <c r="D916">
        <v>1615649.8</v>
      </c>
      <c r="E916">
        <v>3.7699999999999997E-2</v>
      </c>
      <c r="F916">
        <v>9.5100000000000004E-2</v>
      </c>
    </row>
    <row r="917" spans="1:6" x14ac:dyDescent="0.3">
      <c r="A917" t="s">
        <v>952</v>
      </c>
      <c r="B917" t="s">
        <v>24</v>
      </c>
      <c r="C917">
        <v>4420000</v>
      </c>
      <c r="D917">
        <v>3632.4</v>
      </c>
      <c r="E917">
        <v>3.1600000000000003E-2</v>
      </c>
      <c r="F917">
        <v>7.5899999999999995E-2</v>
      </c>
    </row>
    <row r="918" spans="1:6" x14ac:dyDescent="0.3">
      <c r="A918" t="s">
        <v>953</v>
      </c>
      <c r="B918" t="s">
        <v>26</v>
      </c>
      <c r="C918">
        <v>4160000</v>
      </c>
      <c r="D918">
        <v>6845.6</v>
      </c>
      <c r="E918">
        <v>4.9700000000000001E-2</v>
      </c>
      <c r="F918">
        <v>9.3799999999999994E-2</v>
      </c>
    </row>
    <row r="919" spans="1:6" x14ac:dyDescent="0.3">
      <c r="A919" t="s">
        <v>954</v>
      </c>
      <c r="B919" t="s">
        <v>92</v>
      </c>
      <c r="C919">
        <v>8180000</v>
      </c>
      <c r="D919">
        <v>94384.3</v>
      </c>
      <c r="E919">
        <v>2.8299999999999999E-2</v>
      </c>
      <c r="F919">
        <v>7.5899999999999995E-2</v>
      </c>
    </row>
    <row r="920" spans="1:6" x14ac:dyDescent="0.3">
      <c r="A920" t="s">
        <v>955</v>
      </c>
      <c r="B920" t="s">
        <v>50</v>
      </c>
      <c r="C920">
        <v>3770000</v>
      </c>
      <c r="D920">
        <v>900.4</v>
      </c>
      <c r="E920">
        <v>7.1999999999999998E-3</v>
      </c>
      <c r="F920">
        <v>8.1100000000000005E-2</v>
      </c>
    </row>
    <row r="921" spans="1:6" x14ac:dyDescent="0.3">
      <c r="A921" t="s">
        <v>956</v>
      </c>
      <c r="B921" t="s">
        <v>26</v>
      </c>
      <c r="C921">
        <v>3040000</v>
      </c>
      <c r="D921">
        <v>13913.1</v>
      </c>
      <c r="E921">
        <v>9.4999999999999998E-3</v>
      </c>
      <c r="F921">
        <v>8.2199999999999995E-2</v>
      </c>
    </row>
    <row r="922" spans="1:6" x14ac:dyDescent="0.3">
      <c r="A922" t="s">
        <v>957</v>
      </c>
      <c r="B922" t="s">
        <v>32</v>
      </c>
      <c r="C922">
        <v>5700000</v>
      </c>
      <c r="D922">
        <v>7378</v>
      </c>
      <c r="E922">
        <v>6.7000000000000002E-3</v>
      </c>
      <c r="F922">
        <v>6.54E-2</v>
      </c>
    </row>
    <row r="923" spans="1:6" x14ac:dyDescent="0.3">
      <c r="A923" t="s">
        <v>958</v>
      </c>
      <c r="B923" t="s">
        <v>53</v>
      </c>
      <c r="C923">
        <v>3570000</v>
      </c>
      <c r="D923">
        <v>20308.3</v>
      </c>
      <c r="E923">
        <v>3.2899999999999999E-2</v>
      </c>
      <c r="F923">
        <v>0.15160000000000001</v>
      </c>
    </row>
    <row r="924" spans="1:6" x14ac:dyDescent="0.3">
      <c r="A924" t="s">
        <v>959</v>
      </c>
      <c r="B924" t="s">
        <v>53</v>
      </c>
      <c r="C924">
        <v>3540000</v>
      </c>
      <c r="D924">
        <v>15896.3</v>
      </c>
      <c r="E924">
        <v>2.4799999999999999E-2</v>
      </c>
      <c r="F924">
        <v>0.17710000000000001</v>
      </c>
    </row>
    <row r="925" spans="1:6" x14ac:dyDescent="0.3">
      <c r="A925" t="s">
        <v>960</v>
      </c>
      <c r="B925" t="s">
        <v>71</v>
      </c>
      <c r="C925">
        <v>6210000</v>
      </c>
      <c r="D925">
        <v>46769.4</v>
      </c>
      <c r="E925">
        <v>6.6100000000000006E-2</v>
      </c>
      <c r="F925">
        <v>9.3799999999999994E-2</v>
      </c>
    </row>
    <row r="926" spans="1:6" x14ac:dyDescent="0.3">
      <c r="A926" t="s">
        <v>961</v>
      </c>
      <c r="B926" t="s">
        <v>24</v>
      </c>
      <c r="C926">
        <v>3780000</v>
      </c>
      <c r="D926">
        <v>1954.3</v>
      </c>
      <c r="E926">
        <v>4.4299999999999999E-2</v>
      </c>
      <c r="F926">
        <v>0.30099999999999999</v>
      </c>
    </row>
    <row r="927" spans="1:6" x14ac:dyDescent="0.3">
      <c r="A927" t="s">
        <v>962</v>
      </c>
      <c r="B927" t="s">
        <v>53</v>
      </c>
      <c r="C927">
        <v>3340000</v>
      </c>
      <c r="D927">
        <v>2850333.7</v>
      </c>
      <c r="E927">
        <v>3.9300000000000002E-2</v>
      </c>
      <c r="F927">
        <v>9.5100000000000004E-2</v>
      </c>
    </row>
    <row r="928" spans="1:6" x14ac:dyDescent="0.3">
      <c r="A928" t="s">
        <v>963</v>
      </c>
      <c r="B928" t="s">
        <v>26</v>
      </c>
      <c r="C928">
        <v>3540000</v>
      </c>
      <c r="D928">
        <v>94797.5</v>
      </c>
      <c r="E928">
        <v>2.9499999999999998E-2</v>
      </c>
      <c r="F928">
        <v>4.0899999999999999E-2</v>
      </c>
    </row>
    <row r="929" spans="1:6" x14ac:dyDescent="0.3">
      <c r="A929" t="s">
        <v>964</v>
      </c>
      <c r="B929" t="s">
        <v>26</v>
      </c>
      <c r="C929">
        <v>3390000</v>
      </c>
      <c r="D929">
        <v>11228.1</v>
      </c>
      <c r="E929">
        <v>4.4499999999999998E-2</v>
      </c>
      <c r="F929">
        <v>7.5899999999999995E-2</v>
      </c>
    </row>
    <row r="930" spans="1:6" x14ac:dyDescent="0.3">
      <c r="A930" t="s">
        <v>965</v>
      </c>
      <c r="B930" t="s">
        <v>287</v>
      </c>
      <c r="C930">
        <v>3430000</v>
      </c>
      <c r="D930">
        <v>15258.9</v>
      </c>
      <c r="E930">
        <v>6.3E-3</v>
      </c>
      <c r="F930">
        <v>0.10150000000000001</v>
      </c>
    </row>
    <row r="931" spans="1:6" x14ac:dyDescent="0.3">
      <c r="A931" t="s">
        <v>966</v>
      </c>
      <c r="B931" t="s">
        <v>214</v>
      </c>
      <c r="C931">
        <v>5440000</v>
      </c>
      <c r="D931">
        <v>238117.8</v>
      </c>
      <c r="E931">
        <v>2.3999999999999998E-3</v>
      </c>
      <c r="F931">
        <v>6.54E-2</v>
      </c>
    </row>
    <row r="932" spans="1:6" x14ac:dyDescent="0.3">
      <c r="A932" t="s">
        <v>967</v>
      </c>
      <c r="B932" t="s">
        <v>26</v>
      </c>
      <c r="C932">
        <v>3620000</v>
      </c>
      <c r="D932">
        <v>4032633.9</v>
      </c>
      <c r="E932">
        <v>8.0600000000000005E-2</v>
      </c>
      <c r="F932">
        <v>9.5100000000000004E-2</v>
      </c>
    </row>
    <row r="933" spans="1:6" x14ac:dyDescent="0.3">
      <c r="A933" t="s">
        <v>968</v>
      </c>
      <c r="B933" t="s">
        <v>26</v>
      </c>
      <c r="C933">
        <v>5360000</v>
      </c>
      <c r="D933">
        <v>474807.4</v>
      </c>
      <c r="E933">
        <v>1.38E-2</v>
      </c>
      <c r="F933">
        <v>4.6199999999999998E-2</v>
      </c>
    </row>
    <row r="934" spans="1:6" x14ac:dyDescent="0.3">
      <c r="A934" t="s">
        <v>969</v>
      </c>
      <c r="B934" t="s">
        <v>26</v>
      </c>
      <c r="C934">
        <v>20200000</v>
      </c>
      <c r="D934">
        <v>44219129.600000001</v>
      </c>
      <c r="E934">
        <v>1.6199999999999999E-2</v>
      </c>
      <c r="F934">
        <v>4.6199999999999998E-2</v>
      </c>
    </row>
    <row r="935" spans="1:6" x14ac:dyDescent="0.3">
      <c r="A935" t="s">
        <v>970</v>
      </c>
      <c r="B935" t="s">
        <v>26</v>
      </c>
      <c r="C935">
        <v>3420000</v>
      </c>
      <c r="D935">
        <v>14991.2</v>
      </c>
      <c r="E935">
        <v>3.9600000000000003E-2</v>
      </c>
      <c r="F935">
        <v>9.5100000000000004E-2</v>
      </c>
    </row>
    <row r="936" spans="1:6" x14ac:dyDescent="0.3">
      <c r="A936" t="s">
        <v>971</v>
      </c>
      <c r="B936" t="s">
        <v>26</v>
      </c>
      <c r="C936">
        <v>4890000</v>
      </c>
      <c r="D936">
        <v>108529.2</v>
      </c>
      <c r="E936">
        <v>0.02</v>
      </c>
      <c r="F936">
        <v>4.6199999999999998E-2</v>
      </c>
    </row>
    <row r="937" spans="1:6" x14ac:dyDescent="0.3">
      <c r="A937" t="s">
        <v>972</v>
      </c>
      <c r="B937" t="s">
        <v>88</v>
      </c>
      <c r="C937">
        <v>582000</v>
      </c>
      <c r="D937">
        <v>181.8</v>
      </c>
      <c r="E937">
        <v>1.7399999999999999E-2</v>
      </c>
      <c r="F937">
        <v>5.7599999999999998E-2</v>
      </c>
    </row>
    <row r="938" spans="1:6" x14ac:dyDescent="0.3">
      <c r="A938" t="s">
        <v>973</v>
      </c>
      <c r="B938" t="s">
        <v>30</v>
      </c>
      <c r="C938">
        <v>3830000</v>
      </c>
      <c r="D938">
        <v>735829.6</v>
      </c>
      <c r="E938">
        <v>2.76E-2</v>
      </c>
      <c r="F938">
        <v>9.5100000000000004E-2</v>
      </c>
    </row>
    <row r="939" spans="1:6" x14ac:dyDescent="0.3">
      <c r="A939" t="s">
        <v>974</v>
      </c>
      <c r="B939" t="s">
        <v>62</v>
      </c>
      <c r="C939">
        <v>3440000</v>
      </c>
      <c r="D939">
        <v>407384.4</v>
      </c>
      <c r="E939">
        <v>3.2399999999999998E-2</v>
      </c>
      <c r="F939">
        <v>9.5100000000000004E-2</v>
      </c>
    </row>
    <row r="940" spans="1:6" x14ac:dyDescent="0.3">
      <c r="A940" t="s">
        <v>975</v>
      </c>
      <c r="B940" t="s">
        <v>24</v>
      </c>
      <c r="C940">
        <v>3780000</v>
      </c>
      <c r="D940">
        <v>8671.7999999999993</v>
      </c>
      <c r="E940">
        <v>1.3899999999999999E-2</v>
      </c>
      <c r="F940">
        <v>0.1053</v>
      </c>
    </row>
    <row r="941" spans="1:6" x14ac:dyDescent="0.3">
      <c r="A941" t="s">
        <v>976</v>
      </c>
      <c r="B941" t="s">
        <v>62</v>
      </c>
      <c r="C941">
        <v>4590000</v>
      </c>
      <c r="D941">
        <v>405909.4</v>
      </c>
      <c r="E941">
        <v>3.7400000000000003E-2</v>
      </c>
      <c r="F941">
        <v>4.1200000000000001E-2</v>
      </c>
    </row>
    <row r="942" spans="1:6" x14ac:dyDescent="0.3">
      <c r="A942" t="s">
        <v>977</v>
      </c>
      <c r="B942" t="s">
        <v>490</v>
      </c>
      <c r="C942">
        <v>3300000</v>
      </c>
      <c r="D942">
        <v>57830.400000000001</v>
      </c>
      <c r="E942">
        <v>2.6700000000000002E-2</v>
      </c>
      <c r="F942">
        <v>8.4500000000000006E-2</v>
      </c>
    </row>
    <row r="943" spans="1:6" x14ac:dyDescent="0.3">
      <c r="A943" t="s">
        <v>978</v>
      </c>
      <c r="B943" t="s">
        <v>41</v>
      </c>
      <c r="C943">
        <v>3780000</v>
      </c>
      <c r="D943">
        <v>13751.1</v>
      </c>
      <c r="E943">
        <v>1.4999999999999999E-2</v>
      </c>
      <c r="F943">
        <v>7.2599999999999998E-2</v>
      </c>
    </row>
    <row r="944" spans="1:6" x14ac:dyDescent="0.3">
      <c r="A944" t="s">
        <v>979</v>
      </c>
      <c r="B944" t="s">
        <v>26</v>
      </c>
      <c r="C944">
        <v>3840000</v>
      </c>
      <c r="D944">
        <v>26062.7</v>
      </c>
      <c r="E944">
        <v>3.2099999999999997E-2</v>
      </c>
      <c r="F944">
        <v>5.3800000000000001E-2</v>
      </c>
    </row>
    <row r="945" spans="1:6" x14ac:dyDescent="0.3">
      <c r="A945" t="s">
        <v>980</v>
      </c>
      <c r="B945" t="s">
        <v>24</v>
      </c>
      <c r="C945">
        <v>3680000</v>
      </c>
      <c r="D945">
        <v>33854.800000000003</v>
      </c>
      <c r="E945">
        <v>2.1100000000000001E-2</v>
      </c>
      <c r="F945">
        <v>6.7199999999999996E-2</v>
      </c>
    </row>
    <row r="946" spans="1:6" x14ac:dyDescent="0.3">
      <c r="A946" t="s">
        <v>981</v>
      </c>
      <c r="B946" t="s">
        <v>74</v>
      </c>
      <c r="C946">
        <v>4450000</v>
      </c>
      <c r="D946">
        <v>194495</v>
      </c>
      <c r="E946">
        <v>3.3000000000000002E-2</v>
      </c>
      <c r="F946">
        <v>4.1200000000000001E-2</v>
      </c>
    </row>
    <row r="947" spans="1:6" x14ac:dyDescent="0.3">
      <c r="A947" t="s">
        <v>982</v>
      </c>
      <c r="B947" t="s">
        <v>26</v>
      </c>
      <c r="C947">
        <v>4680000</v>
      </c>
      <c r="D947">
        <v>3444.5</v>
      </c>
      <c r="E947">
        <v>1.6500000000000001E-2</v>
      </c>
      <c r="F947">
        <v>5.7599999999999998E-2</v>
      </c>
    </row>
    <row r="948" spans="1:6" x14ac:dyDescent="0.3">
      <c r="A948" t="s">
        <v>983</v>
      </c>
      <c r="B948" t="s">
        <v>21</v>
      </c>
      <c r="C948">
        <v>7650000</v>
      </c>
      <c r="D948">
        <v>816.6</v>
      </c>
      <c r="E948">
        <v>1.9099999999999999E-2</v>
      </c>
      <c r="F948">
        <v>6.08E-2</v>
      </c>
    </row>
    <row r="949" spans="1:6" x14ac:dyDescent="0.3">
      <c r="A949" t="s">
        <v>984</v>
      </c>
      <c r="B949" t="s">
        <v>41</v>
      </c>
      <c r="C949">
        <v>5280000</v>
      </c>
      <c r="D949">
        <v>778.6</v>
      </c>
      <c r="E949">
        <v>8.3000000000000001E-3</v>
      </c>
      <c r="F949">
        <v>8.1100000000000005E-2</v>
      </c>
    </row>
    <row r="950" spans="1:6" x14ac:dyDescent="0.3">
      <c r="A950" t="s">
        <v>985</v>
      </c>
      <c r="B950" t="s">
        <v>490</v>
      </c>
      <c r="C950">
        <v>4220000</v>
      </c>
      <c r="D950">
        <v>80393.7</v>
      </c>
      <c r="E950">
        <v>2.5399999999999999E-2</v>
      </c>
      <c r="F950">
        <v>5.0999999999999997E-2</v>
      </c>
    </row>
    <row r="951" spans="1:6" x14ac:dyDescent="0.3">
      <c r="A951" t="s">
        <v>986</v>
      </c>
      <c r="B951" t="s">
        <v>214</v>
      </c>
      <c r="C951">
        <v>3440000</v>
      </c>
      <c r="D951">
        <v>66690.8</v>
      </c>
      <c r="E951">
        <v>1.9800000000000002E-2</v>
      </c>
      <c r="F951">
        <v>5.1799999999999999E-2</v>
      </c>
    </row>
    <row r="952" spans="1:6" x14ac:dyDescent="0.3">
      <c r="A952" t="s">
        <v>987</v>
      </c>
      <c r="B952" t="s">
        <v>71</v>
      </c>
      <c r="C952">
        <v>3840000</v>
      </c>
      <c r="D952">
        <v>21538</v>
      </c>
      <c r="E952">
        <v>2.9700000000000001E-2</v>
      </c>
      <c r="F952">
        <v>9.3799999999999994E-2</v>
      </c>
    </row>
    <row r="953" spans="1:6" x14ac:dyDescent="0.3">
      <c r="A953" t="s">
        <v>988</v>
      </c>
      <c r="B953" t="s">
        <v>26</v>
      </c>
      <c r="C953">
        <v>3590000</v>
      </c>
      <c r="D953">
        <v>828.8</v>
      </c>
      <c r="E953">
        <v>5.5500000000000001E-2</v>
      </c>
      <c r="F953">
        <v>4.0899999999999999E-2</v>
      </c>
    </row>
    <row r="954" spans="1:6" x14ac:dyDescent="0.3">
      <c r="A954" t="s">
        <v>989</v>
      </c>
      <c r="B954" t="s">
        <v>88</v>
      </c>
      <c r="C954">
        <v>4130000</v>
      </c>
      <c r="D954">
        <v>1885</v>
      </c>
      <c r="E954">
        <v>9.3899999999999997E-2</v>
      </c>
      <c r="F954">
        <v>9.3799999999999994E-2</v>
      </c>
    </row>
    <row r="955" spans="1:6" x14ac:dyDescent="0.3">
      <c r="A955" t="s">
        <v>990</v>
      </c>
      <c r="B955" t="s">
        <v>214</v>
      </c>
      <c r="C955">
        <v>3780000</v>
      </c>
      <c r="D955">
        <v>46588.800000000003</v>
      </c>
      <c r="E955">
        <v>1.9300000000000001E-2</v>
      </c>
      <c r="F955">
        <v>0.1053</v>
      </c>
    </row>
    <row r="956" spans="1:6" x14ac:dyDescent="0.3">
      <c r="A956" t="s">
        <v>991</v>
      </c>
      <c r="B956" t="s">
        <v>26</v>
      </c>
      <c r="C956">
        <v>3470000</v>
      </c>
      <c r="D956">
        <v>405</v>
      </c>
      <c r="E956">
        <v>1.77E-2</v>
      </c>
      <c r="F956">
        <v>9.0899999999999995E-2</v>
      </c>
    </row>
    <row r="957" spans="1:6" x14ac:dyDescent="0.3">
      <c r="A957" t="s">
        <v>992</v>
      </c>
      <c r="B957" t="s">
        <v>88</v>
      </c>
      <c r="C957">
        <v>3990000</v>
      </c>
      <c r="D957">
        <v>13094.8</v>
      </c>
      <c r="E957">
        <v>1.35E-2</v>
      </c>
      <c r="F957">
        <v>0.13100000000000001</v>
      </c>
    </row>
    <row r="958" spans="1:6" x14ac:dyDescent="0.3">
      <c r="A958" t="s">
        <v>993</v>
      </c>
      <c r="B958" t="s">
        <v>92</v>
      </c>
      <c r="C958">
        <v>5090000</v>
      </c>
      <c r="D958">
        <v>106076</v>
      </c>
      <c r="E958">
        <v>1.09E-2</v>
      </c>
      <c r="F958">
        <v>5.8400000000000001E-2</v>
      </c>
    </row>
    <row r="959" spans="1:6" x14ac:dyDescent="0.3">
      <c r="A959" t="s">
        <v>994</v>
      </c>
      <c r="B959" t="s">
        <v>92</v>
      </c>
      <c r="C959">
        <v>3770000</v>
      </c>
      <c r="D959">
        <v>53829.7</v>
      </c>
      <c r="E959">
        <v>2.1000000000000001E-2</v>
      </c>
      <c r="F959">
        <v>7.5899999999999995E-2</v>
      </c>
    </row>
    <row r="960" spans="1:6" x14ac:dyDescent="0.3">
      <c r="A960" t="s">
        <v>995</v>
      </c>
      <c r="B960" t="s">
        <v>30</v>
      </c>
      <c r="C960">
        <v>5510000</v>
      </c>
      <c r="D960">
        <v>12920.8</v>
      </c>
      <c r="E960">
        <v>4.5999999999999999E-3</v>
      </c>
      <c r="F960">
        <v>8.1100000000000005E-2</v>
      </c>
    </row>
    <row r="961" spans="1:6" x14ac:dyDescent="0.3">
      <c r="A961" t="s">
        <v>996</v>
      </c>
      <c r="B961" t="s">
        <v>26</v>
      </c>
      <c r="C961">
        <v>3730000</v>
      </c>
      <c r="D961">
        <v>1443105</v>
      </c>
      <c r="E961">
        <v>3.4599999999999999E-2</v>
      </c>
      <c r="F961">
        <v>7.5899999999999995E-2</v>
      </c>
    </row>
    <row r="962" spans="1:6" x14ac:dyDescent="0.3">
      <c r="A962" t="s">
        <v>997</v>
      </c>
      <c r="B962" t="s">
        <v>53</v>
      </c>
      <c r="C962">
        <v>3760000</v>
      </c>
      <c r="D962">
        <v>1181</v>
      </c>
      <c r="E962">
        <v>6.7000000000000002E-3</v>
      </c>
      <c r="F962">
        <v>0.14710000000000001</v>
      </c>
    </row>
    <row r="963" spans="1:6" x14ac:dyDescent="0.3">
      <c r="A963" t="s">
        <v>998</v>
      </c>
      <c r="B963" t="s">
        <v>92</v>
      </c>
      <c r="C963">
        <v>3600000</v>
      </c>
      <c r="D963">
        <v>120435.4</v>
      </c>
      <c r="E963">
        <v>3.6700000000000003E-2</v>
      </c>
      <c r="F963">
        <v>5.3800000000000001E-2</v>
      </c>
    </row>
    <row r="964" spans="1:6" x14ac:dyDescent="0.3">
      <c r="A964" t="s">
        <v>999</v>
      </c>
      <c r="B964" t="s">
        <v>26</v>
      </c>
      <c r="C964">
        <v>3900000</v>
      </c>
      <c r="D964">
        <v>12010.7</v>
      </c>
      <c r="E964">
        <v>3.32E-2</v>
      </c>
      <c r="F964">
        <v>9.5100000000000004E-2</v>
      </c>
    </row>
    <row r="965" spans="1:6" x14ac:dyDescent="0.3">
      <c r="A965" t="s">
        <v>1000</v>
      </c>
      <c r="B965" t="s">
        <v>24</v>
      </c>
      <c r="C965">
        <v>3900000</v>
      </c>
      <c r="D965">
        <v>71657.100000000006</v>
      </c>
      <c r="E965">
        <v>5.7099999999999998E-2</v>
      </c>
      <c r="F965">
        <v>7.5899999999999995E-2</v>
      </c>
    </row>
    <row r="966" spans="1:6" x14ac:dyDescent="0.3">
      <c r="A966" t="s">
        <v>1001</v>
      </c>
      <c r="B966" t="s">
        <v>26</v>
      </c>
      <c r="C966">
        <v>3370000</v>
      </c>
      <c r="D966">
        <v>3873591</v>
      </c>
      <c r="E966">
        <v>1.7500000000000002E-2</v>
      </c>
      <c r="F966">
        <v>5.1799999999999999E-2</v>
      </c>
    </row>
    <row r="967" spans="1:6" x14ac:dyDescent="0.3">
      <c r="A967" t="s">
        <v>1002</v>
      </c>
      <c r="B967" t="s">
        <v>26</v>
      </c>
      <c r="C967">
        <v>4010000</v>
      </c>
      <c r="D967">
        <v>435305.5</v>
      </c>
      <c r="E967">
        <v>2.5999999999999999E-2</v>
      </c>
      <c r="F967">
        <v>5.1799999999999999E-2</v>
      </c>
    </row>
    <row r="968" spans="1:6" x14ac:dyDescent="0.3">
      <c r="A968" t="s">
        <v>1003</v>
      </c>
      <c r="B968" t="s">
        <v>88</v>
      </c>
      <c r="C968">
        <v>3840000</v>
      </c>
      <c r="D968">
        <v>938.8</v>
      </c>
      <c r="E968">
        <v>2.07E-2</v>
      </c>
      <c r="F968">
        <v>5.0999999999999997E-2</v>
      </c>
    </row>
    <row r="969" spans="1:6" x14ac:dyDescent="0.3">
      <c r="A969" t="s">
        <v>1004</v>
      </c>
      <c r="B969" t="s">
        <v>74</v>
      </c>
      <c r="C969">
        <v>3780000</v>
      </c>
      <c r="D969">
        <v>291888.7</v>
      </c>
      <c r="E969">
        <v>2.75E-2</v>
      </c>
      <c r="F969">
        <v>5.1799999999999999E-2</v>
      </c>
    </row>
    <row r="970" spans="1:6" x14ac:dyDescent="0.3">
      <c r="A970" t="s">
        <v>1005</v>
      </c>
      <c r="B970" t="s">
        <v>21</v>
      </c>
      <c r="C970">
        <v>5670000</v>
      </c>
      <c r="D970">
        <v>335789.2</v>
      </c>
      <c r="E970">
        <v>5.3199999999999997E-2</v>
      </c>
      <c r="F970">
        <v>9.3799999999999994E-2</v>
      </c>
    </row>
    <row r="971" spans="1:6" x14ac:dyDescent="0.3">
      <c r="A971" t="s">
        <v>1006</v>
      </c>
      <c r="B971" t="s">
        <v>26</v>
      </c>
      <c r="C971">
        <v>3980000</v>
      </c>
      <c r="D971">
        <v>155668.4</v>
      </c>
      <c r="E971">
        <v>5.5599999999999997E-2</v>
      </c>
      <c r="F971">
        <v>7.5899999999999995E-2</v>
      </c>
    </row>
    <row r="972" spans="1:6" x14ac:dyDescent="0.3">
      <c r="A972" t="s">
        <v>1007</v>
      </c>
      <c r="B972" t="s">
        <v>41</v>
      </c>
      <c r="C972">
        <v>3450000</v>
      </c>
      <c r="D972">
        <v>154479.1</v>
      </c>
      <c r="E972">
        <v>2.81E-2</v>
      </c>
      <c r="F972">
        <v>7.5899999999999995E-2</v>
      </c>
    </row>
    <row r="973" spans="1:6" x14ac:dyDescent="0.3">
      <c r="A973" t="s">
        <v>1008</v>
      </c>
      <c r="B973" t="s">
        <v>26</v>
      </c>
      <c r="C973">
        <v>3830000</v>
      </c>
      <c r="D973">
        <v>33816.699999999997</v>
      </c>
      <c r="E973">
        <v>6.7999999999999996E-3</v>
      </c>
      <c r="F973">
        <v>6.54E-2</v>
      </c>
    </row>
    <row r="974" spans="1:6" x14ac:dyDescent="0.3">
      <c r="A974" t="s">
        <v>1009</v>
      </c>
      <c r="B974" t="s">
        <v>50</v>
      </c>
      <c r="C974">
        <v>3520000</v>
      </c>
      <c r="D974">
        <v>145222.6</v>
      </c>
      <c r="E974">
        <v>4.1399999999999999E-2</v>
      </c>
      <c r="F974">
        <v>7.5899999999999995E-2</v>
      </c>
    </row>
    <row r="975" spans="1:6" x14ac:dyDescent="0.3">
      <c r="A975" t="s">
        <v>1010</v>
      </c>
      <c r="B975" t="s">
        <v>24</v>
      </c>
      <c r="C975">
        <v>3710000</v>
      </c>
      <c r="D975">
        <v>5427.4</v>
      </c>
      <c r="E975">
        <v>5.7299999999999997E-2</v>
      </c>
      <c r="F975">
        <v>9.3799999999999994E-2</v>
      </c>
    </row>
    <row r="976" spans="1:6" x14ac:dyDescent="0.3">
      <c r="A976" t="s">
        <v>1011</v>
      </c>
      <c r="B976" t="s">
        <v>30</v>
      </c>
      <c r="C976">
        <v>3930000</v>
      </c>
      <c r="D976">
        <v>1713.3</v>
      </c>
      <c r="E976">
        <v>9.2999999999999992E-3</v>
      </c>
      <c r="F976">
        <v>6.54E-2</v>
      </c>
    </row>
    <row r="977" spans="1:6" x14ac:dyDescent="0.3">
      <c r="A977" t="s">
        <v>1012</v>
      </c>
      <c r="B977" t="s">
        <v>26</v>
      </c>
      <c r="C977">
        <v>3230000</v>
      </c>
      <c r="D977">
        <v>56293.7</v>
      </c>
      <c r="E977">
        <v>4.19E-2</v>
      </c>
      <c r="F977">
        <v>9.5100000000000004E-2</v>
      </c>
    </row>
    <row r="978" spans="1:6" x14ac:dyDescent="0.3">
      <c r="A978" t="s">
        <v>1013</v>
      </c>
      <c r="B978" t="s">
        <v>26</v>
      </c>
      <c r="C978">
        <v>4180000</v>
      </c>
      <c r="D978">
        <v>3161192.2</v>
      </c>
      <c r="E978">
        <v>1.55E-2</v>
      </c>
      <c r="F978">
        <v>5.8500000000000003E-2</v>
      </c>
    </row>
    <row r="979" spans="1:6" x14ac:dyDescent="0.3">
      <c r="A979" t="s">
        <v>1014</v>
      </c>
      <c r="B979" t="s">
        <v>24</v>
      </c>
      <c r="C979">
        <v>3270000</v>
      </c>
      <c r="D979">
        <v>9133.2000000000007</v>
      </c>
      <c r="E979">
        <v>2.69E-2</v>
      </c>
      <c r="F979">
        <v>5.1799999999999999E-2</v>
      </c>
    </row>
    <row r="980" spans="1:6" x14ac:dyDescent="0.3">
      <c r="A980" t="s">
        <v>1015</v>
      </c>
      <c r="B980" t="s">
        <v>74</v>
      </c>
      <c r="C980">
        <v>4480000</v>
      </c>
      <c r="D980">
        <v>2020</v>
      </c>
      <c r="E980">
        <v>2.5000000000000001E-2</v>
      </c>
      <c r="F980">
        <v>7.2499999999999995E-2</v>
      </c>
    </row>
    <row r="981" spans="1:6" x14ac:dyDescent="0.3">
      <c r="A981" t="s">
        <v>1016</v>
      </c>
      <c r="B981" t="s">
        <v>53</v>
      </c>
      <c r="C981">
        <v>4040000</v>
      </c>
      <c r="D981">
        <v>1477613.4</v>
      </c>
      <c r="E981">
        <v>4.3200000000000002E-2</v>
      </c>
      <c r="F981">
        <v>9.5100000000000004E-2</v>
      </c>
    </row>
    <row r="982" spans="1:6" x14ac:dyDescent="0.3">
      <c r="A982" t="s">
        <v>1017</v>
      </c>
      <c r="B982" t="s">
        <v>26</v>
      </c>
      <c r="C982">
        <v>4880000</v>
      </c>
      <c r="D982">
        <v>984823.2</v>
      </c>
      <c r="E982">
        <v>1.6500000000000001E-2</v>
      </c>
      <c r="F982">
        <v>4.6199999999999998E-2</v>
      </c>
    </row>
    <row r="983" spans="1:6" x14ac:dyDescent="0.3">
      <c r="A983" t="s">
        <v>1018</v>
      </c>
      <c r="B983" t="s">
        <v>88</v>
      </c>
      <c r="C983">
        <v>3640000</v>
      </c>
      <c r="D983">
        <v>2376</v>
      </c>
      <c r="E983">
        <v>7.1199999999999999E-2</v>
      </c>
      <c r="F983">
        <v>9.3799999999999994E-2</v>
      </c>
    </row>
    <row r="984" spans="1:6" x14ac:dyDescent="0.3">
      <c r="A984" t="s">
        <v>1019</v>
      </c>
      <c r="B984" t="s">
        <v>74</v>
      </c>
      <c r="C984">
        <v>5030000</v>
      </c>
      <c r="D984">
        <v>28662.799999999999</v>
      </c>
      <c r="E984">
        <v>9.8799999999999999E-2</v>
      </c>
      <c r="F984">
        <v>7.5899999999999995E-2</v>
      </c>
    </row>
    <row r="985" spans="1:6" x14ac:dyDescent="0.3">
      <c r="A985" t="s">
        <v>1020</v>
      </c>
      <c r="B985" t="s">
        <v>26</v>
      </c>
      <c r="C985">
        <v>3820000</v>
      </c>
      <c r="D985">
        <v>83735.3</v>
      </c>
      <c r="E985">
        <v>1.5800000000000002E-2</v>
      </c>
      <c r="F985">
        <v>6.08E-2</v>
      </c>
    </row>
    <row r="986" spans="1:6" x14ac:dyDescent="0.3">
      <c r="A986" t="s">
        <v>1021</v>
      </c>
      <c r="B986" t="s">
        <v>92</v>
      </c>
      <c r="C986">
        <v>3370000</v>
      </c>
      <c r="D986">
        <v>5124.6000000000004</v>
      </c>
      <c r="E986">
        <v>2.9600000000000001E-2</v>
      </c>
      <c r="F986">
        <v>9.3799999999999994E-2</v>
      </c>
    </row>
    <row r="987" spans="1:6" x14ac:dyDescent="0.3">
      <c r="A987" t="s">
        <v>1022</v>
      </c>
      <c r="B987" t="s">
        <v>26</v>
      </c>
      <c r="C987">
        <v>3380000</v>
      </c>
      <c r="D987">
        <v>5333.5</v>
      </c>
      <c r="E987">
        <v>1.5299999999999999E-2</v>
      </c>
      <c r="F987">
        <v>0.14710000000000001</v>
      </c>
    </row>
    <row r="988" spans="1:6" x14ac:dyDescent="0.3">
      <c r="A988" t="s">
        <v>1023</v>
      </c>
      <c r="B988" t="s">
        <v>26</v>
      </c>
      <c r="C988">
        <v>4460000</v>
      </c>
      <c r="D988">
        <v>7101.9</v>
      </c>
      <c r="E988">
        <v>0.32429999999999998</v>
      </c>
      <c r="F988">
        <v>0.47660000000000002</v>
      </c>
    </row>
    <row r="989" spans="1:6" x14ac:dyDescent="0.3">
      <c r="A989" t="s">
        <v>1024</v>
      </c>
      <c r="B989" t="s">
        <v>26</v>
      </c>
      <c r="C989">
        <v>3740000</v>
      </c>
      <c r="D989">
        <v>3666.7</v>
      </c>
      <c r="E989">
        <v>4.6600000000000003E-2</v>
      </c>
      <c r="F989">
        <v>0.15160000000000001</v>
      </c>
    </row>
    <row r="990" spans="1:6" x14ac:dyDescent="0.3">
      <c r="A990" t="s">
        <v>1025</v>
      </c>
      <c r="B990" t="s">
        <v>88</v>
      </c>
      <c r="C990">
        <v>3250000</v>
      </c>
      <c r="D990">
        <v>7987.6</v>
      </c>
      <c r="E990">
        <v>5.4000000000000003E-3</v>
      </c>
      <c r="F990">
        <v>8.2199999999999995E-2</v>
      </c>
    </row>
    <row r="991" spans="1:6" x14ac:dyDescent="0.3">
      <c r="A991" t="s">
        <v>1026</v>
      </c>
      <c r="B991" t="s">
        <v>30</v>
      </c>
      <c r="C991">
        <v>3230000</v>
      </c>
      <c r="D991">
        <v>53996.5</v>
      </c>
      <c r="E991">
        <v>2.3800000000000002E-2</v>
      </c>
      <c r="F991">
        <v>4.6199999999999998E-2</v>
      </c>
    </row>
    <row r="992" spans="1:6" x14ac:dyDescent="0.3">
      <c r="A992" t="s">
        <v>1027</v>
      </c>
      <c r="B992" t="s">
        <v>21</v>
      </c>
      <c r="C992">
        <v>3290000</v>
      </c>
      <c r="D992">
        <v>223.1</v>
      </c>
      <c r="E992">
        <v>9.5999999999999992E-3</v>
      </c>
      <c r="F992">
        <v>6.54E-2</v>
      </c>
    </row>
    <row r="993" spans="1:6" x14ac:dyDescent="0.3">
      <c r="A993" t="s">
        <v>1028</v>
      </c>
      <c r="B993" t="s">
        <v>26</v>
      </c>
      <c r="C993">
        <v>4600000</v>
      </c>
      <c r="D993">
        <v>1177254</v>
      </c>
      <c r="E993">
        <v>1.9800000000000002E-2</v>
      </c>
      <c r="F993">
        <v>5.8500000000000003E-2</v>
      </c>
    </row>
    <row r="994" spans="1:6" x14ac:dyDescent="0.3">
      <c r="A994" t="s">
        <v>1029</v>
      </c>
      <c r="B994" t="s">
        <v>21</v>
      </c>
      <c r="C994">
        <v>3810000</v>
      </c>
      <c r="D994">
        <v>8570.2000000000007</v>
      </c>
      <c r="E994">
        <v>7.4000000000000003E-3</v>
      </c>
      <c r="F994">
        <v>8.1100000000000005E-2</v>
      </c>
    </row>
    <row r="995" spans="1:6" x14ac:dyDescent="0.3">
      <c r="A995" t="s">
        <v>1030</v>
      </c>
      <c r="B995" t="s">
        <v>41</v>
      </c>
      <c r="C995">
        <v>3130000</v>
      </c>
      <c r="D995">
        <v>42.8</v>
      </c>
      <c r="E995">
        <v>5.3E-3</v>
      </c>
      <c r="F995">
        <v>0.14649999999999999</v>
      </c>
    </row>
    <row r="996" spans="1:6" x14ac:dyDescent="0.3">
      <c r="A996" t="s">
        <v>1031</v>
      </c>
      <c r="B996" t="s">
        <v>30</v>
      </c>
      <c r="C996">
        <v>3430000</v>
      </c>
      <c r="D996">
        <v>2162.6999999999998</v>
      </c>
      <c r="E996">
        <v>1.41E-2</v>
      </c>
      <c r="F996">
        <v>8.5400000000000004E-2</v>
      </c>
    </row>
    <row r="997" spans="1:6" x14ac:dyDescent="0.3">
      <c r="A997" t="s">
        <v>1032</v>
      </c>
      <c r="B997" t="s">
        <v>26</v>
      </c>
      <c r="C997">
        <v>3410000</v>
      </c>
      <c r="D997">
        <v>6223.1</v>
      </c>
      <c r="E997">
        <v>4.2500000000000003E-2</v>
      </c>
      <c r="F997">
        <v>7.5899999999999995E-2</v>
      </c>
    </row>
    <row r="998" spans="1:6" x14ac:dyDescent="0.3">
      <c r="A998" t="s">
        <v>1033</v>
      </c>
      <c r="B998" t="s">
        <v>71</v>
      </c>
      <c r="C998">
        <v>3320000</v>
      </c>
      <c r="D998">
        <v>85541.8</v>
      </c>
      <c r="E998">
        <v>2.9899999999999999E-2</v>
      </c>
      <c r="F998">
        <v>0.11700000000000001</v>
      </c>
    </row>
    <row r="999" spans="1:6" x14ac:dyDescent="0.3">
      <c r="A999" t="s">
        <v>1034</v>
      </c>
      <c r="B999" t="s">
        <v>24</v>
      </c>
      <c r="C999">
        <v>3850000</v>
      </c>
      <c r="D999">
        <v>212028.2</v>
      </c>
      <c r="E999">
        <v>4.9599999999999998E-2</v>
      </c>
      <c r="F999">
        <v>7.5899999999999995E-2</v>
      </c>
    </row>
    <row r="1000" spans="1:6" x14ac:dyDescent="0.3">
      <c r="A1000" t="s">
        <v>1035</v>
      </c>
      <c r="B1000" t="s">
        <v>287</v>
      </c>
      <c r="C1000">
        <v>3100000</v>
      </c>
      <c r="D1000">
        <v>2364873</v>
      </c>
      <c r="E1000">
        <v>0.02</v>
      </c>
      <c r="F1000">
        <v>5.8500000000000003E-2</v>
      </c>
    </row>
    <row r="1001" spans="1:6" x14ac:dyDescent="0.3">
      <c r="A1001" t="s">
        <v>1036</v>
      </c>
      <c r="B1001" t="s">
        <v>92</v>
      </c>
      <c r="C1001">
        <v>3270000</v>
      </c>
      <c r="D1001">
        <v>890.9</v>
      </c>
      <c r="E1001">
        <v>3.95E-2</v>
      </c>
      <c r="F1001">
        <v>9.5100000000000004E-2</v>
      </c>
    </row>
    <row r="1002" spans="1:6" x14ac:dyDescent="0.3">
      <c r="A1002" t="s">
        <v>1037</v>
      </c>
      <c r="B1002" t="s">
        <v>74</v>
      </c>
      <c r="C1002">
        <v>4020000</v>
      </c>
      <c r="D1002">
        <v>9290.6</v>
      </c>
      <c r="E1002">
        <v>8.9999999999999993E-3</v>
      </c>
      <c r="F1002">
        <v>8.1100000000000005E-2</v>
      </c>
    </row>
    <row r="1003" spans="1:6" x14ac:dyDescent="0.3">
      <c r="A1003" t="s">
        <v>1038</v>
      </c>
      <c r="B1003" t="s">
        <v>24</v>
      </c>
      <c r="C1003">
        <v>4240000</v>
      </c>
      <c r="D1003">
        <v>400082.6</v>
      </c>
      <c r="E1003">
        <v>4.1599999999999998E-2</v>
      </c>
      <c r="F1003">
        <v>9.3799999999999994E-2</v>
      </c>
    </row>
    <row r="1004" spans="1:6" x14ac:dyDescent="0.3">
      <c r="A1004" t="s">
        <v>1039</v>
      </c>
      <c r="B1004" t="s">
        <v>26</v>
      </c>
      <c r="C1004">
        <v>3680000</v>
      </c>
      <c r="D1004">
        <v>280.39999999999998</v>
      </c>
      <c r="E1004">
        <v>3.0999999999999999E-3</v>
      </c>
      <c r="F1004">
        <v>0.1779</v>
      </c>
    </row>
    <row r="1005" spans="1:6" x14ac:dyDescent="0.3">
      <c r="A1005" t="s">
        <v>1040</v>
      </c>
      <c r="B1005" t="s">
        <v>26</v>
      </c>
      <c r="C1005">
        <v>3490000</v>
      </c>
      <c r="D1005">
        <v>21538.6</v>
      </c>
      <c r="E1005">
        <v>6.1000000000000004E-3</v>
      </c>
      <c r="F1005">
        <v>8.2199999999999995E-2</v>
      </c>
    </row>
    <row r="1006" spans="1:6" x14ac:dyDescent="0.3">
      <c r="A1006" t="s">
        <v>1041</v>
      </c>
      <c r="B1006" t="s">
        <v>92</v>
      </c>
      <c r="C1006">
        <v>3700000</v>
      </c>
      <c r="D1006">
        <v>17458.400000000001</v>
      </c>
      <c r="E1006">
        <v>1.49E-2</v>
      </c>
      <c r="F1006">
        <v>0.1053</v>
      </c>
    </row>
    <row r="1007" spans="1:6" x14ac:dyDescent="0.3">
      <c r="A1007" t="s">
        <v>1042</v>
      </c>
      <c r="B1007" t="s">
        <v>41</v>
      </c>
      <c r="C1007">
        <v>4150000</v>
      </c>
      <c r="D1007">
        <v>81273.2</v>
      </c>
      <c r="E1007">
        <v>1.83E-2</v>
      </c>
      <c r="F1007">
        <v>0.1053</v>
      </c>
    </row>
    <row r="1008" spans="1:6" x14ac:dyDescent="0.3">
      <c r="A1008" t="s">
        <v>1043</v>
      </c>
      <c r="B1008" t="s">
        <v>30</v>
      </c>
      <c r="C1008">
        <v>4340000</v>
      </c>
      <c r="D1008">
        <v>2363114</v>
      </c>
      <c r="E1008">
        <v>2.3E-3</v>
      </c>
      <c r="F1008">
        <v>6.54E-2</v>
      </c>
    </row>
    <row r="1009" spans="1:6" x14ac:dyDescent="0.3">
      <c r="A1009" t="s">
        <v>1044</v>
      </c>
      <c r="B1009" t="s">
        <v>32</v>
      </c>
      <c r="C1009">
        <v>3790000</v>
      </c>
      <c r="D1009">
        <v>15488.8</v>
      </c>
      <c r="E1009">
        <v>1.4999999999999999E-2</v>
      </c>
      <c r="F1009">
        <v>0.13270000000000001</v>
      </c>
    </row>
    <row r="1010" spans="1:6" x14ac:dyDescent="0.3">
      <c r="A1010" t="s">
        <v>1045</v>
      </c>
      <c r="B1010" t="s">
        <v>214</v>
      </c>
      <c r="C1010">
        <v>4000000</v>
      </c>
      <c r="D1010">
        <v>784860.6</v>
      </c>
      <c r="E1010">
        <v>2.24E-2</v>
      </c>
      <c r="F1010">
        <v>5.1799999999999999E-2</v>
      </c>
    </row>
    <row r="1011" spans="1:6" x14ac:dyDescent="0.3">
      <c r="A1011" t="s">
        <v>1046</v>
      </c>
      <c r="B1011" t="s">
        <v>21</v>
      </c>
      <c r="C1011">
        <v>3680000</v>
      </c>
      <c r="D1011">
        <v>1391.4</v>
      </c>
      <c r="E1011">
        <v>9.5999999999999992E-3</v>
      </c>
      <c r="F1011">
        <v>8.1100000000000005E-2</v>
      </c>
    </row>
    <row r="1012" spans="1:6" x14ac:dyDescent="0.3">
      <c r="A1012" t="s">
        <v>1047</v>
      </c>
      <c r="B1012" t="s">
        <v>92</v>
      </c>
      <c r="C1012">
        <v>319000</v>
      </c>
      <c r="D1012">
        <v>292137</v>
      </c>
      <c r="E1012">
        <v>2.0799999999999999E-2</v>
      </c>
      <c r="F1012">
        <v>9.5100000000000004E-2</v>
      </c>
    </row>
    <row r="1013" spans="1:6" x14ac:dyDescent="0.3">
      <c r="A1013" t="s">
        <v>1048</v>
      </c>
      <c r="B1013" t="s">
        <v>74</v>
      </c>
      <c r="C1013">
        <v>6090000</v>
      </c>
      <c r="D1013">
        <v>3851</v>
      </c>
      <c r="E1013">
        <v>2.3800000000000002E-2</v>
      </c>
      <c r="F1013">
        <v>5.0999999999999997E-2</v>
      </c>
    </row>
    <row r="1014" spans="1:6" x14ac:dyDescent="0.3">
      <c r="A1014" t="s">
        <v>1049</v>
      </c>
      <c r="B1014" t="s">
        <v>41</v>
      </c>
      <c r="C1014">
        <v>4030000</v>
      </c>
      <c r="D1014">
        <v>203813.3</v>
      </c>
      <c r="E1014">
        <v>0.11550000000000001</v>
      </c>
      <c r="F1014">
        <v>0.11700000000000001</v>
      </c>
    </row>
    <row r="1015" spans="1:6" x14ac:dyDescent="0.3">
      <c r="A1015" t="s">
        <v>1050</v>
      </c>
      <c r="B1015" t="s">
        <v>24</v>
      </c>
      <c r="C1015">
        <v>4940000</v>
      </c>
      <c r="D1015">
        <v>783717.4</v>
      </c>
      <c r="E1015">
        <v>3.56E-2</v>
      </c>
      <c r="F1015">
        <v>4.0899999999999999E-2</v>
      </c>
    </row>
    <row r="1016" spans="1:6" x14ac:dyDescent="0.3">
      <c r="A1016" t="s">
        <v>1051</v>
      </c>
      <c r="B1016" t="s">
        <v>74</v>
      </c>
      <c r="C1016">
        <v>4370000</v>
      </c>
      <c r="D1016">
        <v>10074</v>
      </c>
      <c r="E1016">
        <v>5.3199999999999997E-2</v>
      </c>
      <c r="F1016">
        <v>9.3799999999999994E-2</v>
      </c>
    </row>
    <row r="1017" spans="1:6" x14ac:dyDescent="0.3">
      <c r="A1017" t="s">
        <v>1052</v>
      </c>
      <c r="B1017" t="s">
        <v>30</v>
      </c>
      <c r="C1017">
        <v>6390000</v>
      </c>
      <c r="D1017">
        <v>2836666.6</v>
      </c>
      <c r="E1017">
        <v>2.3599999999999999E-2</v>
      </c>
      <c r="F1017">
        <v>4.0899999999999999E-2</v>
      </c>
    </row>
    <row r="1018" spans="1:6" x14ac:dyDescent="0.3">
      <c r="A1018" t="s">
        <v>1053</v>
      </c>
      <c r="B1018" t="s">
        <v>41</v>
      </c>
      <c r="C1018">
        <v>4300000</v>
      </c>
      <c r="D1018">
        <v>1263</v>
      </c>
      <c r="E1018">
        <v>1.8200000000000001E-2</v>
      </c>
      <c r="F1018">
        <v>0.1053</v>
      </c>
    </row>
    <row r="1019" spans="1:6" x14ac:dyDescent="0.3">
      <c r="A1019" t="s">
        <v>1054</v>
      </c>
      <c r="B1019" t="s">
        <v>26</v>
      </c>
      <c r="C1019">
        <v>3490000</v>
      </c>
      <c r="D1019">
        <v>14364.1</v>
      </c>
      <c r="E1019">
        <v>1.43E-2</v>
      </c>
      <c r="F1019">
        <v>7.3599999999999999E-2</v>
      </c>
    </row>
    <row r="1020" spans="1:6" x14ac:dyDescent="0.3">
      <c r="A1020" t="s">
        <v>1055</v>
      </c>
      <c r="B1020" t="s">
        <v>26</v>
      </c>
      <c r="C1020">
        <v>5290000</v>
      </c>
      <c r="D1020">
        <v>1551655.1</v>
      </c>
      <c r="F1020">
        <v>7.5899999999999995E-2</v>
      </c>
    </row>
    <row r="1021" spans="1:6" x14ac:dyDescent="0.3">
      <c r="A1021" t="s">
        <v>1056</v>
      </c>
      <c r="B1021" t="s">
        <v>26</v>
      </c>
      <c r="C1021">
        <v>3400000</v>
      </c>
      <c r="D1021">
        <v>217657.5</v>
      </c>
      <c r="E1021">
        <v>5.7200000000000001E-2</v>
      </c>
      <c r="F1021">
        <v>7.5899999999999995E-2</v>
      </c>
    </row>
    <row r="1022" spans="1:6" x14ac:dyDescent="0.3">
      <c r="A1022" t="s">
        <v>1057</v>
      </c>
      <c r="B1022" t="s">
        <v>287</v>
      </c>
      <c r="C1022">
        <v>3760000</v>
      </c>
      <c r="D1022">
        <v>19044.8</v>
      </c>
      <c r="E1022">
        <v>4.8300000000000003E-2</v>
      </c>
      <c r="F1022">
        <v>9.3799999999999994E-2</v>
      </c>
    </row>
    <row r="1023" spans="1:6" x14ac:dyDescent="0.3">
      <c r="A1023" t="s">
        <v>1058</v>
      </c>
      <c r="B1023" t="s">
        <v>41</v>
      </c>
      <c r="C1023">
        <v>4420000</v>
      </c>
      <c r="D1023">
        <v>1153092</v>
      </c>
      <c r="E1023">
        <v>3.39E-2</v>
      </c>
      <c r="F1023">
        <v>7.5899999999999995E-2</v>
      </c>
    </row>
    <row r="1024" spans="1:6" x14ac:dyDescent="0.3">
      <c r="A1024" t="s">
        <v>1059</v>
      </c>
      <c r="B1024" t="s">
        <v>41</v>
      </c>
      <c r="C1024">
        <v>3480000</v>
      </c>
      <c r="D1024">
        <v>319.5</v>
      </c>
      <c r="E1024">
        <v>4.4999999999999997E-3</v>
      </c>
      <c r="F1024">
        <v>0.16800000000000001</v>
      </c>
    </row>
    <row r="1025" spans="1:6" x14ac:dyDescent="0.3">
      <c r="A1025" t="s">
        <v>1060</v>
      </c>
      <c r="B1025" t="s">
        <v>88</v>
      </c>
      <c r="C1025">
        <v>3300000</v>
      </c>
      <c r="D1025">
        <v>159513.20000000001</v>
      </c>
      <c r="E1025">
        <v>5.96E-2</v>
      </c>
      <c r="F1025">
        <v>9.5100000000000004E-2</v>
      </c>
    </row>
    <row r="1026" spans="1:6" x14ac:dyDescent="0.3">
      <c r="A1026" t="s">
        <v>1061</v>
      </c>
      <c r="B1026" t="s">
        <v>41</v>
      </c>
      <c r="C1026">
        <v>5730000</v>
      </c>
      <c r="D1026">
        <v>2016.3</v>
      </c>
      <c r="E1026">
        <v>7.7999999999999996E-3</v>
      </c>
      <c r="F1026">
        <v>0.1452</v>
      </c>
    </row>
    <row r="1027" spans="1:6" x14ac:dyDescent="0.3">
      <c r="A1027" t="s">
        <v>1062</v>
      </c>
      <c r="B1027" t="s">
        <v>32</v>
      </c>
      <c r="C1027">
        <v>4280000</v>
      </c>
      <c r="D1027">
        <v>963217.3</v>
      </c>
      <c r="E1027">
        <v>3.5200000000000002E-2</v>
      </c>
      <c r="F1027">
        <v>7.5899999999999995E-2</v>
      </c>
    </row>
    <row r="1028" spans="1:6" x14ac:dyDescent="0.3">
      <c r="A1028" t="s">
        <v>1063</v>
      </c>
      <c r="B1028" t="s">
        <v>26</v>
      </c>
      <c r="C1028">
        <v>5700000</v>
      </c>
      <c r="D1028">
        <v>2157561.7999999998</v>
      </c>
      <c r="E1028">
        <v>2.7300000000000001E-2</v>
      </c>
      <c r="F1028">
        <v>6.7199999999999996E-2</v>
      </c>
    </row>
    <row r="1029" spans="1:6" x14ac:dyDescent="0.3">
      <c r="A1029" t="s">
        <v>1064</v>
      </c>
      <c r="B1029" t="s">
        <v>26</v>
      </c>
      <c r="C1029">
        <v>3910000</v>
      </c>
      <c r="D1029">
        <v>450383.8</v>
      </c>
      <c r="E1029">
        <v>8.3099999999999993E-2</v>
      </c>
      <c r="F1029">
        <v>6.7199999999999996E-2</v>
      </c>
    </row>
    <row r="1030" spans="1:6" x14ac:dyDescent="0.3">
      <c r="A1030" t="s">
        <v>1065</v>
      </c>
      <c r="B1030" t="s">
        <v>32</v>
      </c>
      <c r="C1030">
        <v>3050000</v>
      </c>
      <c r="D1030">
        <v>2958.1</v>
      </c>
      <c r="E1030">
        <v>9.5999999999999992E-3</v>
      </c>
      <c r="F1030">
        <v>0.18890000000000001</v>
      </c>
    </row>
    <row r="1031" spans="1:6" x14ac:dyDescent="0.3">
      <c r="A1031" t="s">
        <v>1066</v>
      </c>
      <c r="B1031" t="s">
        <v>41</v>
      </c>
      <c r="C1031">
        <v>3760000</v>
      </c>
      <c r="D1031">
        <v>29965.8</v>
      </c>
      <c r="E1031">
        <v>2.6100000000000002E-2</v>
      </c>
      <c r="F1031">
        <v>9.3799999999999994E-2</v>
      </c>
    </row>
    <row r="1032" spans="1:6" x14ac:dyDescent="0.3">
      <c r="A1032" t="s">
        <v>1067</v>
      </c>
      <c r="B1032" t="s">
        <v>74</v>
      </c>
      <c r="C1032">
        <v>3160000</v>
      </c>
      <c r="D1032">
        <v>22569.599999999999</v>
      </c>
      <c r="E1032">
        <v>2.0899999999999998E-2</v>
      </c>
      <c r="F1032">
        <v>5.4600000000000003E-2</v>
      </c>
    </row>
    <row r="1033" spans="1:6" x14ac:dyDescent="0.3">
      <c r="A1033" t="s">
        <v>1068</v>
      </c>
      <c r="B1033" t="s">
        <v>26</v>
      </c>
      <c r="C1033">
        <v>6700000</v>
      </c>
      <c r="D1033">
        <v>727659.5</v>
      </c>
      <c r="E1033">
        <v>2.5899999999999999E-2</v>
      </c>
      <c r="F1033">
        <v>7.5899999999999995E-2</v>
      </c>
    </row>
    <row r="1034" spans="1:6" x14ac:dyDescent="0.3">
      <c r="A1034" t="s">
        <v>1069</v>
      </c>
      <c r="B1034" t="s">
        <v>26</v>
      </c>
      <c r="C1034">
        <v>3310000</v>
      </c>
      <c r="D1034">
        <v>197635.3</v>
      </c>
      <c r="E1034">
        <v>3.09E-2</v>
      </c>
      <c r="F1034">
        <v>9.5100000000000004E-2</v>
      </c>
    </row>
    <row r="1035" spans="1:6" x14ac:dyDescent="0.3">
      <c r="A1035" t="s">
        <v>1070</v>
      </c>
      <c r="B1035" t="s">
        <v>26</v>
      </c>
      <c r="C1035">
        <v>11600000</v>
      </c>
      <c r="D1035">
        <v>2354674.6</v>
      </c>
      <c r="E1035">
        <v>6.3E-3</v>
      </c>
      <c r="F1035">
        <v>6.54E-2</v>
      </c>
    </row>
    <row r="1036" spans="1:6" x14ac:dyDescent="0.3">
      <c r="A1036" t="s">
        <v>1071</v>
      </c>
      <c r="B1036" t="s">
        <v>195</v>
      </c>
      <c r="C1036">
        <v>3730000</v>
      </c>
      <c r="D1036">
        <v>9274.6</v>
      </c>
      <c r="E1036">
        <v>8.0999999999999996E-3</v>
      </c>
      <c r="F1036">
        <v>8.1100000000000005E-2</v>
      </c>
    </row>
    <row r="1037" spans="1:6" x14ac:dyDescent="0.3">
      <c r="A1037" t="s">
        <v>1072</v>
      </c>
      <c r="B1037" t="s">
        <v>62</v>
      </c>
      <c r="C1037">
        <v>3100000</v>
      </c>
      <c r="D1037">
        <v>184882.4</v>
      </c>
      <c r="E1037">
        <v>3.2899999999999999E-2</v>
      </c>
      <c r="F1037">
        <v>9.5100000000000004E-2</v>
      </c>
    </row>
    <row r="1038" spans="1:6" x14ac:dyDescent="0.3">
      <c r="A1038" t="s">
        <v>1073</v>
      </c>
      <c r="B1038" t="s">
        <v>26</v>
      </c>
      <c r="C1038">
        <v>2990000</v>
      </c>
      <c r="D1038">
        <v>4172.3999999999996</v>
      </c>
      <c r="E1038">
        <v>2.5899999999999999E-2</v>
      </c>
      <c r="F1038">
        <v>7.5899999999999995E-2</v>
      </c>
    </row>
    <row r="1039" spans="1:6" x14ac:dyDescent="0.3">
      <c r="A1039" t="s">
        <v>1074</v>
      </c>
      <c r="B1039" t="s">
        <v>24</v>
      </c>
      <c r="C1039">
        <v>3790000</v>
      </c>
      <c r="D1039">
        <v>40978.400000000001</v>
      </c>
      <c r="E1039">
        <v>4.58E-2</v>
      </c>
      <c r="F1039">
        <v>7.5899999999999995E-2</v>
      </c>
    </row>
    <row r="1040" spans="1:6" x14ac:dyDescent="0.3">
      <c r="A1040" t="s">
        <v>1075</v>
      </c>
      <c r="B1040" t="s">
        <v>74</v>
      </c>
      <c r="C1040">
        <v>3140000</v>
      </c>
      <c r="D1040">
        <v>42987.5</v>
      </c>
      <c r="E1040">
        <v>7.0499999999999993E-2</v>
      </c>
      <c r="F1040">
        <v>9.3799999999999994E-2</v>
      </c>
    </row>
    <row r="1041" spans="1:6" x14ac:dyDescent="0.3">
      <c r="A1041" t="s">
        <v>1076</v>
      </c>
      <c r="B1041" t="s">
        <v>41</v>
      </c>
      <c r="C1041">
        <v>4030000</v>
      </c>
      <c r="D1041">
        <v>521.4</v>
      </c>
      <c r="E1041">
        <v>1.78E-2</v>
      </c>
      <c r="F1041">
        <v>0.1053</v>
      </c>
    </row>
    <row r="1042" spans="1:6" x14ac:dyDescent="0.3">
      <c r="A1042" t="s">
        <v>1077</v>
      </c>
      <c r="B1042" t="s">
        <v>24</v>
      </c>
      <c r="C1042">
        <v>4010000</v>
      </c>
      <c r="D1042">
        <v>71144.800000000003</v>
      </c>
      <c r="E1042">
        <v>1.8499999999999999E-2</v>
      </c>
      <c r="F1042">
        <v>5.8500000000000003E-2</v>
      </c>
    </row>
    <row r="1043" spans="1:6" x14ac:dyDescent="0.3">
      <c r="A1043" t="s">
        <v>1078</v>
      </c>
      <c r="B1043" t="s">
        <v>26</v>
      </c>
      <c r="C1043">
        <v>3040000</v>
      </c>
      <c r="D1043">
        <v>19805</v>
      </c>
      <c r="E1043">
        <v>8.0999999999999996E-3</v>
      </c>
      <c r="F1043">
        <v>0.19289999999999999</v>
      </c>
    </row>
    <row r="1044" spans="1:6" x14ac:dyDescent="0.3">
      <c r="A1044" t="s">
        <v>1079</v>
      </c>
      <c r="B1044" t="s">
        <v>92</v>
      </c>
      <c r="C1044">
        <v>3980000</v>
      </c>
      <c r="D1044">
        <v>1116711.5</v>
      </c>
      <c r="E1044">
        <v>1.9E-2</v>
      </c>
      <c r="F1044">
        <v>5.7599999999999998E-2</v>
      </c>
    </row>
    <row r="1045" spans="1:6" x14ac:dyDescent="0.3">
      <c r="A1045" t="s">
        <v>1080</v>
      </c>
      <c r="B1045" t="s">
        <v>30</v>
      </c>
      <c r="C1045">
        <v>3160000</v>
      </c>
      <c r="D1045">
        <v>55104.6</v>
      </c>
      <c r="E1045">
        <v>1.6899999999999998E-2</v>
      </c>
      <c r="F1045">
        <v>4.6199999999999998E-2</v>
      </c>
    </row>
    <row r="1046" spans="1:6" x14ac:dyDescent="0.3">
      <c r="A1046" t="s">
        <v>1081</v>
      </c>
      <c r="B1046" t="s">
        <v>81</v>
      </c>
      <c r="C1046">
        <v>4920000</v>
      </c>
      <c r="D1046">
        <v>884462.1</v>
      </c>
      <c r="E1046">
        <v>8.9999999999999993E-3</v>
      </c>
      <c r="F1046">
        <v>5.8400000000000001E-2</v>
      </c>
    </row>
    <row r="1047" spans="1:6" x14ac:dyDescent="0.3">
      <c r="A1047" t="s">
        <v>1082</v>
      </c>
      <c r="B1047" t="s">
        <v>26</v>
      </c>
      <c r="C1047">
        <v>2940000</v>
      </c>
      <c r="D1047">
        <v>1365.2</v>
      </c>
      <c r="E1047">
        <v>4.7899999999999998E-2</v>
      </c>
      <c r="F1047">
        <v>7.5899999999999995E-2</v>
      </c>
    </row>
    <row r="1048" spans="1:6" x14ac:dyDescent="0.3">
      <c r="A1048" t="s">
        <v>1083</v>
      </c>
      <c r="B1048" t="s">
        <v>26</v>
      </c>
      <c r="C1048">
        <v>5890000</v>
      </c>
      <c r="D1048">
        <v>375139.7</v>
      </c>
      <c r="E1048">
        <v>4.1500000000000002E-2</v>
      </c>
      <c r="F1048">
        <v>9.3799999999999994E-2</v>
      </c>
    </row>
    <row r="1049" spans="1:6" x14ac:dyDescent="0.3">
      <c r="A1049" t="s">
        <v>1084</v>
      </c>
      <c r="B1049" t="s">
        <v>92</v>
      </c>
      <c r="C1049">
        <v>4850000</v>
      </c>
      <c r="D1049">
        <v>2002057.2</v>
      </c>
      <c r="E1049">
        <v>2.3199999999999998E-2</v>
      </c>
      <c r="F1049">
        <v>4.0899999999999999E-2</v>
      </c>
    </row>
    <row r="1050" spans="1:6" x14ac:dyDescent="0.3">
      <c r="A1050" t="s">
        <v>1085</v>
      </c>
      <c r="B1050" t="s">
        <v>26</v>
      </c>
      <c r="C1050">
        <v>3160000</v>
      </c>
      <c r="D1050">
        <v>39631.800000000003</v>
      </c>
      <c r="E1050">
        <v>2.76E-2</v>
      </c>
      <c r="F1050">
        <v>4.0899999999999999E-2</v>
      </c>
    </row>
    <row r="1051" spans="1:6" x14ac:dyDescent="0.3">
      <c r="A1051" t="s">
        <v>1086</v>
      </c>
      <c r="B1051" t="s">
        <v>287</v>
      </c>
      <c r="C1051">
        <v>3700000</v>
      </c>
      <c r="D1051">
        <v>15635.5</v>
      </c>
      <c r="E1051">
        <v>3.5400000000000001E-2</v>
      </c>
      <c r="F1051">
        <v>8.43E-2</v>
      </c>
    </row>
    <row r="1052" spans="1:6" x14ac:dyDescent="0.3">
      <c r="A1052" t="s">
        <v>1087</v>
      </c>
      <c r="B1052" t="s">
        <v>26</v>
      </c>
      <c r="C1052">
        <v>4450000</v>
      </c>
      <c r="D1052">
        <v>577611.1</v>
      </c>
      <c r="E1052">
        <v>9.1000000000000004E-3</v>
      </c>
      <c r="F1052">
        <v>8.2199999999999995E-2</v>
      </c>
    </row>
    <row r="1053" spans="1:6" x14ac:dyDescent="0.3">
      <c r="A1053" t="s">
        <v>1088</v>
      </c>
      <c r="B1053" t="s">
        <v>28</v>
      </c>
      <c r="C1053">
        <v>3280000</v>
      </c>
      <c r="D1053">
        <v>2229026.4</v>
      </c>
      <c r="E1053">
        <v>9.7000000000000003E-3</v>
      </c>
      <c r="F1053">
        <v>0.18659999999999999</v>
      </c>
    </row>
    <row r="1054" spans="1:6" x14ac:dyDescent="0.3">
      <c r="A1054" t="s">
        <v>1089</v>
      </c>
      <c r="B1054" t="s">
        <v>287</v>
      </c>
      <c r="C1054">
        <v>3870000</v>
      </c>
      <c r="D1054">
        <v>5488.5</v>
      </c>
      <c r="E1054">
        <v>2.29E-2</v>
      </c>
      <c r="F1054">
        <v>9.3799999999999994E-2</v>
      </c>
    </row>
    <row r="1055" spans="1:6" x14ac:dyDescent="0.3">
      <c r="A1055" t="s">
        <v>1090</v>
      </c>
      <c r="B1055" t="s">
        <v>92</v>
      </c>
      <c r="C1055">
        <v>5340000</v>
      </c>
      <c r="D1055">
        <v>45917.599999999999</v>
      </c>
      <c r="E1055">
        <v>1.7299999999999999E-2</v>
      </c>
      <c r="F1055">
        <v>8.5400000000000004E-2</v>
      </c>
    </row>
    <row r="1056" spans="1:6" x14ac:dyDescent="0.3">
      <c r="A1056" t="s">
        <v>1091</v>
      </c>
      <c r="B1056" t="s">
        <v>50</v>
      </c>
      <c r="C1056">
        <v>3410000</v>
      </c>
      <c r="D1056">
        <v>128.80000000000001</v>
      </c>
      <c r="E1056">
        <v>4.0000000000000002E-4</v>
      </c>
      <c r="F1056">
        <v>0.26869999999999999</v>
      </c>
    </row>
    <row r="1057" spans="1:6" x14ac:dyDescent="0.3">
      <c r="A1057" t="s">
        <v>1092</v>
      </c>
      <c r="B1057" t="s">
        <v>32</v>
      </c>
      <c r="C1057">
        <v>4860000</v>
      </c>
      <c r="D1057">
        <v>6870020.4000000004</v>
      </c>
      <c r="E1057">
        <v>1.24E-2</v>
      </c>
      <c r="F1057">
        <v>0.1027</v>
      </c>
    </row>
    <row r="1058" spans="1:6" x14ac:dyDescent="0.3">
      <c r="A1058" t="s">
        <v>1093</v>
      </c>
      <c r="B1058" t="s">
        <v>41</v>
      </c>
      <c r="C1058">
        <v>3970000</v>
      </c>
      <c r="D1058">
        <v>3942.5</v>
      </c>
      <c r="E1058">
        <v>2.7300000000000001E-2</v>
      </c>
      <c r="F1058">
        <v>0.16880000000000001</v>
      </c>
    </row>
    <row r="1059" spans="1:6" x14ac:dyDescent="0.3">
      <c r="A1059" t="s">
        <v>1094</v>
      </c>
      <c r="B1059" t="s">
        <v>26</v>
      </c>
      <c r="C1059">
        <v>3900000</v>
      </c>
      <c r="D1059">
        <v>577781.69999999995</v>
      </c>
      <c r="E1059">
        <v>5.1499999999999997E-2</v>
      </c>
      <c r="F1059">
        <v>7.5899999999999995E-2</v>
      </c>
    </row>
    <row r="1060" spans="1:6" x14ac:dyDescent="0.3">
      <c r="A1060" t="s">
        <v>1095</v>
      </c>
      <c r="B1060" t="s">
        <v>287</v>
      </c>
      <c r="C1060">
        <v>3460000</v>
      </c>
      <c r="D1060">
        <v>22951115.300000001</v>
      </c>
      <c r="F1060">
        <v>9.3799999999999994E-2</v>
      </c>
    </row>
    <row r="1061" spans="1:6" x14ac:dyDescent="0.3">
      <c r="A1061" t="s">
        <v>1096</v>
      </c>
      <c r="B1061" t="s">
        <v>88</v>
      </c>
      <c r="C1061">
        <v>4330000</v>
      </c>
      <c r="D1061">
        <v>1566.8</v>
      </c>
      <c r="E1061">
        <v>0.1338</v>
      </c>
      <c r="F1061">
        <v>9.3799999999999994E-2</v>
      </c>
    </row>
    <row r="1062" spans="1:6" x14ac:dyDescent="0.3">
      <c r="A1062" t="s">
        <v>1097</v>
      </c>
      <c r="B1062" t="s">
        <v>26</v>
      </c>
      <c r="C1062">
        <v>3360000</v>
      </c>
      <c r="D1062">
        <v>90265.9</v>
      </c>
      <c r="E1062">
        <v>4.3999999999999997E-2</v>
      </c>
      <c r="F1062">
        <v>7.5899999999999995E-2</v>
      </c>
    </row>
    <row r="1063" spans="1:6" x14ac:dyDescent="0.3">
      <c r="A1063" t="s">
        <v>1098</v>
      </c>
      <c r="B1063" t="s">
        <v>32</v>
      </c>
      <c r="C1063">
        <v>4720000</v>
      </c>
      <c r="D1063">
        <v>250269.1</v>
      </c>
      <c r="E1063">
        <v>2.1999999999999999E-2</v>
      </c>
      <c r="F1063">
        <v>5.0999999999999997E-2</v>
      </c>
    </row>
    <row r="1064" spans="1:6" x14ac:dyDescent="0.3">
      <c r="A1064" t="s">
        <v>1099</v>
      </c>
      <c r="B1064" t="s">
        <v>92</v>
      </c>
      <c r="C1064">
        <v>6250000</v>
      </c>
      <c r="D1064">
        <v>185653.9</v>
      </c>
      <c r="E1064">
        <v>3.4799999999999998E-2</v>
      </c>
      <c r="F1064">
        <v>7.5899999999999995E-2</v>
      </c>
    </row>
    <row r="1065" spans="1:6" x14ac:dyDescent="0.3">
      <c r="A1065" t="s">
        <v>1100</v>
      </c>
      <c r="B1065" t="s">
        <v>26</v>
      </c>
      <c r="C1065">
        <v>3140000</v>
      </c>
      <c r="D1065">
        <v>379499.9</v>
      </c>
      <c r="E1065">
        <v>2.1399999999999999E-2</v>
      </c>
      <c r="F1065">
        <v>5.8500000000000003E-2</v>
      </c>
    </row>
    <row r="1066" spans="1:6" x14ac:dyDescent="0.3">
      <c r="A1066" t="s">
        <v>1101</v>
      </c>
      <c r="B1066" t="s">
        <v>26</v>
      </c>
      <c r="C1066">
        <v>4340000</v>
      </c>
      <c r="D1066">
        <v>281029.5</v>
      </c>
      <c r="E1066">
        <v>3.3000000000000002E-2</v>
      </c>
      <c r="F1066">
        <v>7.5899999999999995E-2</v>
      </c>
    </row>
    <row r="1067" spans="1:6" x14ac:dyDescent="0.3">
      <c r="A1067" t="s">
        <v>1102</v>
      </c>
      <c r="B1067" t="s">
        <v>53</v>
      </c>
      <c r="C1067">
        <v>3470000</v>
      </c>
      <c r="D1067">
        <v>566733.4</v>
      </c>
      <c r="E1067">
        <v>1.23E-2</v>
      </c>
      <c r="F1067">
        <v>8.5400000000000004E-2</v>
      </c>
    </row>
    <row r="1068" spans="1:6" x14ac:dyDescent="0.3">
      <c r="A1068" t="s">
        <v>1103</v>
      </c>
      <c r="B1068" t="s">
        <v>41</v>
      </c>
      <c r="C1068">
        <v>3400000</v>
      </c>
      <c r="D1068">
        <v>83389.5</v>
      </c>
      <c r="E1068">
        <v>5.1400000000000001E-2</v>
      </c>
      <c r="F1068">
        <v>7.5899999999999995E-2</v>
      </c>
    </row>
    <row r="1069" spans="1:6" x14ac:dyDescent="0.3">
      <c r="A1069" t="s">
        <v>1104</v>
      </c>
      <c r="B1069" t="s">
        <v>35</v>
      </c>
      <c r="C1069">
        <v>3230000</v>
      </c>
      <c r="D1069">
        <v>351036.9</v>
      </c>
      <c r="E1069">
        <v>3.2300000000000002E-2</v>
      </c>
      <c r="F1069">
        <v>9.5100000000000004E-2</v>
      </c>
    </row>
    <row r="1070" spans="1:6" x14ac:dyDescent="0.3">
      <c r="A1070" t="s">
        <v>1105</v>
      </c>
      <c r="B1070" t="s">
        <v>21</v>
      </c>
      <c r="C1070">
        <v>3610000</v>
      </c>
      <c r="D1070">
        <v>296468.3</v>
      </c>
      <c r="E1070">
        <v>8.6E-3</v>
      </c>
      <c r="F1070">
        <v>6.54E-2</v>
      </c>
    </row>
    <row r="1071" spans="1:6" x14ac:dyDescent="0.3">
      <c r="A1071" t="s">
        <v>1106</v>
      </c>
      <c r="B1071" t="s">
        <v>30</v>
      </c>
      <c r="C1071">
        <v>3080000</v>
      </c>
      <c r="D1071">
        <v>471448.5</v>
      </c>
      <c r="E1071">
        <v>3.3399999999999999E-2</v>
      </c>
      <c r="F1071">
        <v>4.0899999999999999E-2</v>
      </c>
    </row>
    <row r="1072" spans="1:6" x14ac:dyDescent="0.3">
      <c r="A1072" t="s">
        <v>1107</v>
      </c>
      <c r="B1072" t="s">
        <v>26</v>
      </c>
      <c r="C1072">
        <v>2910000</v>
      </c>
      <c r="D1072">
        <v>1621.3</v>
      </c>
      <c r="E1072">
        <v>4.3900000000000002E-2</v>
      </c>
      <c r="F1072">
        <v>7.5899999999999995E-2</v>
      </c>
    </row>
    <row r="1073" spans="1:6" x14ac:dyDescent="0.3">
      <c r="A1073" t="s">
        <v>1108</v>
      </c>
      <c r="B1073" t="s">
        <v>26</v>
      </c>
      <c r="C1073">
        <v>4260000</v>
      </c>
      <c r="D1073">
        <v>234462.8</v>
      </c>
      <c r="E1073">
        <v>2.8E-3</v>
      </c>
      <c r="F1073">
        <v>8.2199999999999995E-2</v>
      </c>
    </row>
    <row r="1074" spans="1:6" x14ac:dyDescent="0.3">
      <c r="A1074" t="s">
        <v>1109</v>
      </c>
      <c r="B1074" t="s">
        <v>26</v>
      </c>
      <c r="C1074">
        <v>1040000</v>
      </c>
      <c r="D1074">
        <v>28716.9</v>
      </c>
      <c r="E1074">
        <v>6.7900000000000002E-2</v>
      </c>
      <c r="F1074">
        <v>4.0899999999999999E-2</v>
      </c>
    </row>
    <row r="1075" spans="1:6" x14ac:dyDescent="0.3">
      <c r="A1075" t="s">
        <v>1110</v>
      </c>
      <c r="B1075" t="s">
        <v>88</v>
      </c>
      <c r="C1075">
        <v>3210000</v>
      </c>
      <c r="D1075">
        <v>7960.7</v>
      </c>
      <c r="E1075">
        <v>3.5099999999999999E-2</v>
      </c>
      <c r="F1075">
        <v>5.3800000000000001E-2</v>
      </c>
    </row>
    <row r="1076" spans="1:6" x14ac:dyDescent="0.3">
      <c r="A1076" t="s">
        <v>1111</v>
      </c>
      <c r="B1076" t="s">
        <v>26</v>
      </c>
      <c r="C1076">
        <v>2930000</v>
      </c>
      <c r="D1076">
        <v>10925.7</v>
      </c>
      <c r="E1076">
        <v>9.1000000000000004E-3</v>
      </c>
      <c r="F1076">
        <v>8.2199999999999995E-2</v>
      </c>
    </row>
    <row r="1077" spans="1:6" x14ac:dyDescent="0.3">
      <c r="A1077" t="s">
        <v>1112</v>
      </c>
      <c r="B1077" t="s">
        <v>53</v>
      </c>
      <c r="C1077">
        <v>3110000</v>
      </c>
      <c r="D1077">
        <v>4326.1000000000004</v>
      </c>
      <c r="E1077">
        <v>2.1299999999999999E-2</v>
      </c>
      <c r="F1077">
        <v>5.7599999999999998E-2</v>
      </c>
    </row>
    <row r="1078" spans="1:6" x14ac:dyDescent="0.3">
      <c r="A1078" t="s">
        <v>1113</v>
      </c>
      <c r="B1078" t="s">
        <v>35</v>
      </c>
      <c r="C1078">
        <v>3180000</v>
      </c>
      <c r="D1078">
        <v>37080.6</v>
      </c>
      <c r="E1078">
        <v>2.2200000000000001E-2</v>
      </c>
      <c r="F1078">
        <v>8.5400000000000004E-2</v>
      </c>
    </row>
    <row r="1079" spans="1:6" x14ac:dyDescent="0.3">
      <c r="A1079" t="s">
        <v>1114</v>
      </c>
      <c r="B1079" t="s">
        <v>92</v>
      </c>
      <c r="C1079">
        <v>3250000</v>
      </c>
      <c r="D1079">
        <v>24380.3</v>
      </c>
      <c r="E1079">
        <v>2.2200000000000001E-2</v>
      </c>
      <c r="F1079">
        <v>5.7599999999999998E-2</v>
      </c>
    </row>
    <row r="1080" spans="1:6" x14ac:dyDescent="0.3">
      <c r="A1080" t="s">
        <v>1115</v>
      </c>
      <c r="B1080" t="s">
        <v>92</v>
      </c>
      <c r="C1080">
        <v>3950000</v>
      </c>
      <c r="D1080">
        <v>59848.3</v>
      </c>
      <c r="E1080">
        <v>1.7500000000000002E-2</v>
      </c>
      <c r="F1080">
        <v>8.5400000000000004E-2</v>
      </c>
    </row>
    <row r="1081" spans="1:6" x14ac:dyDescent="0.3">
      <c r="A1081" t="s">
        <v>1116</v>
      </c>
      <c r="B1081" t="s">
        <v>24</v>
      </c>
      <c r="C1081">
        <v>3760000</v>
      </c>
      <c r="D1081">
        <v>60995.3</v>
      </c>
      <c r="E1081">
        <v>1.78E-2</v>
      </c>
      <c r="F1081">
        <v>9.3700000000000006E-2</v>
      </c>
    </row>
    <row r="1082" spans="1:6" x14ac:dyDescent="0.3">
      <c r="A1082" t="s">
        <v>1117</v>
      </c>
      <c r="B1082" t="s">
        <v>26</v>
      </c>
      <c r="C1082">
        <v>3090000</v>
      </c>
      <c r="D1082">
        <v>126361.5</v>
      </c>
      <c r="E1082">
        <v>3.9100000000000003E-2</v>
      </c>
      <c r="F1082">
        <v>9.5100000000000004E-2</v>
      </c>
    </row>
    <row r="1083" spans="1:6" x14ac:dyDescent="0.3">
      <c r="A1083" t="s">
        <v>1118</v>
      </c>
      <c r="B1083" t="s">
        <v>30</v>
      </c>
      <c r="C1083">
        <v>7470000</v>
      </c>
      <c r="D1083">
        <v>4648422.4000000004</v>
      </c>
      <c r="E1083">
        <v>1.5E-3</v>
      </c>
      <c r="F1083">
        <v>6.54E-2</v>
      </c>
    </row>
    <row r="1084" spans="1:6" x14ac:dyDescent="0.3">
      <c r="A1084" t="s">
        <v>1119</v>
      </c>
      <c r="B1084" t="s">
        <v>214</v>
      </c>
      <c r="C1084">
        <v>3290000</v>
      </c>
      <c r="D1084">
        <v>25465.5</v>
      </c>
      <c r="E1084">
        <v>2.24E-2</v>
      </c>
      <c r="F1084">
        <v>4.8800000000000003E-2</v>
      </c>
    </row>
    <row r="1085" spans="1:6" x14ac:dyDescent="0.3">
      <c r="A1085" t="s">
        <v>1120</v>
      </c>
      <c r="B1085" t="s">
        <v>88</v>
      </c>
      <c r="C1085">
        <v>4760000</v>
      </c>
      <c r="D1085">
        <v>139479.29999999999</v>
      </c>
      <c r="E1085">
        <v>3.8199999999999998E-2</v>
      </c>
      <c r="F1085">
        <v>9.3799999999999994E-2</v>
      </c>
    </row>
    <row r="1086" spans="1:6" x14ac:dyDescent="0.3">
      <c r="A1086" t="s">
        <v>1121</v>
      </c>
      <c r="B1086" t="s">
        <v>24</v>
      </c>
      <c r="C1086">
        <v>5150000</v>
      </c>
      <c r="D1086">
        <v>350681.7</v>
      </c>
      <c r="E1086">
        <v>9.2999999999999992E-3</v>
      </c>
      <c r="F1086">
        <v>8.1100000000000005E-2</v>
      </c>
    </row>
    <row r="1087" spans="1:6" x14ac:dyDescent="0.3">
      <c r="A1087" t="s">
        <v>1122</v>
      </c>
      <c r="B1087" t="s">
        <v>53</v>
      </c>
      <c r="C1087">
        <v>3380000</v>
      </c>
      <c r="D1087">
        <v>178843</v>
      </c>
      <c r="E1087">
        <v>4.0899999999999999E-2</v>
      </c>
      <c r="F1087">
        <v>7.5899999999999995E-2</v>
      </c>
    </row>
    <row r="1088" spans="1:6" x14ac:dyDescent="0.3">
      <c r="A1088" t="s">
        <v>1123</v>
      </c>
      <c r="B1088" t="s">
        <v>26</v>
      </c>
      <c r="C1088">
        <v>3150000</v>
      </c>
      <c r="D1088">
        <v>306054.8</v>
      </c>
      <c r="E1088">
        <v>7.1999999999999998E-3</v>
      </c>
      <c r="F1088">
        <v>0.2707</v>
      </c>
    </row>
    <row r="1089" spans="1:6" x14ac:dyDescent="0.3">
      <c r="A1089" t="s">
        <v>1124</v>
      </c>
      <c r="B1089" t="s">
        <v>26</v>
      </c>
      <c r="C1089">
        <v>3840000</v>
      </c>
      <c r="D1089">
        <v>1206.4000000000001</v>
      </c>
      <c r="E1089">
        <v>2.1899999999999999E-2</v>
      </c>
      <c r="F1089">
        <v>5.0999999999999997E-2</v>
      </c>
    </row>
    <row r="1090" spans="1:6" x14ac:dyDescent="0.3">
      <c r="A1090" t="s">
        <v>1125</v>
      </c>
      <c r="B1090" t="s">
        <v>92</v>
      </c>
      <c r="C1090">
        <v>4840000</v>
      </c>
      <c r="D1090">
        <v>58266.3</v>
      </c>
      <c r="E1090">
        <v>2.87E-2</v>
      </c>
      <c r="F1090">
        <v>5.0999999999999997E-2</v>
      </c>
    </row>
    <row r="1091" spans="1:6" x14ac:dyDescent="0.3">
      <c r="A1091" t="s">
        <v>1126</v>
      </c>
      <c r="B1091" t="s">
        <v>26</v>
      </c>
      <c r="C1091">
        <v>5520000</v>
      </c>
      <c r="D1091">
        <v>115439.9</v>
      </c>
      <c r="E1091">
        <v>4.5199999999999997E-2</v>
      </c>
      <c r="F1091">
        <v>7.5899999999999995E-2</v>
      </c>
    </row>
    <row r="1092" spans="1:6" x14ac:dyDescent="0.3">
      <c r="A1092" t="s">
        <v>1127</v>
      </c>
      <c r="B1092" t="s">
        <v>30</v>
      </c>
      <c r="C1092">
        <v>2950000</v>
      </c>
      <c r="D1092">
        <v>32387</v>
      </c>
      <c r="E1092">
        <v>4.07E-2</v>
      </c>
      <c r="F1092">
        <v>7.5899999999999995E-2</v>
      </c>
    </row>
    <row r="1093" spans="1:6" x14ac:dyDescent="0.3">
      <c r="A1093" t="s">
        <v>1128</v>
      </c>
      <c r="B1093" t="s">
        <v>26</v>
      </c>
      <c r="C1093">
        <v>3280000</v>
      </c>
      <c r="D1093">
        <v>7478.5</v>
      </c>
      <c r="E1093">
        <v>1.7100000000000001E-2</v>
      </c>
      <c r="F1093">
        <v>9.3700000000000006E-2</v>
      </c>
    </row>
    <row r="1094" spans="1:6" x14ac:dyDescent="0.3">
      <c r="A1094" t="s">
        <v>1129</v>
      </c>
      <c r="B1094" t="s">
        <v>214</v>
      </c>
      <c r="C1094">
        <v>3100000</v>
      </c>
      <c r="D1094">
        <v>28060.7</v>
      </c>
      <c r="E1094">
        <v>2.1000000000000001E-2</v>
      </c>
      <c r="F1094">
        <v>8.5400000000000004E-2</v>
      </c>
    </row>
    <row r="1095" spans="1:6" x14ac:dyDescent="0.3">
      <c r="A1095" t="s">
        <v>1130</v>
      </c>
      <c r="B1095" t="s">
        <v>71</v>
      </c>
      <c r="C1095">
        <v>10300000</v>
      </c>
      <c r="D1095">
        <v>4731431</v>
      </c>
      <c r="E1095">
        <v>2.64E-2</v>
      </c>
      <c r="F1095">
        <v>4.0899999999999999E-2</v>
      </c>
    </row>
    <row r="1096" spans="1:6" x14ac:dyDescent="0.3">
      <c r="A1096" t="s">
        <v>1131</v>
      </c>
      <c r="B1096" t="s">
        <v>32</v>
      </c>
      <c r="C1096">
        <v>3460000</v>
      </c>
      <c r="D1096">
        <v>679705.2</v>
      </c>
      <c r="E1096">
        <v>1.84E-2</v>
      </c>
      <c r="F1096">
        <v>4.6199999999999998E-2</v>
      </c>
    </row>
    <row r="1097" spans="1:6" x14ac:dyDescent="0.3">
      <c r="A1097" t="s">
        <v>1132</v>
      </c>
      <c r="B1097" t="s">
        <v>74</v>
      </c>
      <c r="C1097">
        <v>4180000</v>
      </c>
      <c r="D1097">
        <v>33279.599999999999</v>
      </c>
      <c r="E1097">
        <v>3.2000000000000001E-2</v>
      </c>
      <c r="F1097">
        <v>7.5899999999999995E-2</v>
      </c>
    </row>
    <row r="1098" spans="1:6" x14ac:dyDescent="0.3">
      <c r="A1098" t="s">
        <v>1133</v>
      </c>
      <c r="B1098" t="s">
        <v>88</v>
      </c>
      <c r="C1098">
        <v>2830000</v>
      </c>
      <c r="D1098">
        <v>18376.900000000001</v>
      </c>
      <c r="E1098">
        <v>8.3000000000000001E-3</v>
      </c>
      <c r="F1098">
        <v>0.10150000000000001</v>
      </c>
    </row>
    <row r="1099" spans="1:6" x14ac:dyDescent="0.3">
      <c r="A1099" t="s">
        <v>1134</v>
      </c>
      <c r="B1099" t="s">
        <v>41</v>
      </c>
      <c r="C1099">
        <v>4530000</v>
      </c>
      <c r="D1099">
        <v>159939.5</v>
      </c>
      <c r="E1099">
        <v>8.5099999999999995E-2</v>
      </c>
      <c r="F1099">
        <v>9.3799999999999994E-2</v>
      </c>
    </row>
    <row r="1100" spans="1:6" x14ac:dyDescent="0.3">
      <c r="A1100" t="s">
        <v>1135</v>
      </c>
      <c r="B1100" t="s">
        <v>24</v>
      </c>
      <c r="C1100">
        <v>2920000</v>
      </c>
      <c r="D1100">
        <v>177792.8</v>
      </c>
      <c r="E1100">
        <v>3.8999999999999998E-3</v>
      </c>
      <c r="F1100">
        <v>8.2199999999999995E-2</v>
      </c>
    </row>
    <row r="1101" spans="1:6" x14ac:dyDescent="0.3">
      <c r="A1101" t="s">
        <v>1136</v>
      </c>
      <c r="B1101" t="s">
        <v>41</v>
      </c>
      <c r="C1101">
        <v>5950000</v>
      </c>
      <c r="D1101">
        <v>1672.3</v>
      </c>
      <c r="E1101">
        <v>8.2000000000000007E-3</v>
      </c>
      <c r="F1101">
        <v>8.1100000000000005E-2</v>
      </c>
    </row>
    <row r="1102" spans="1:6" x14ac:dyDescent="0.3">
      <c r="A1102" t="s">
        <v>1137</v>
      </c>
      <c r="B1102" t="s">
        <v>74</v>
      </c>
      <c r="C1102">
        <v>3720000</v>
      </c>
      <c r="D1102">
        <v>70653.399999999994</v>
      </c>
      <c r="E1102">
        <v>1.11E-2</v>
      </c>
      <c r="F1102">
        <v>5.8400000000000001E-2</v>
      </c>
    </row>
    <row r="1103" spans="1:6" x14ac:dyDescent="0.3">
      <c r="A1103" t="s">
        <v>1138</v>
      </c>
      <c r="B1103" t="s">
        <v>26</v>
      </c>
      <c r="C1103">
        <v>4830000</v>
      </c>
      <c r="D1103">
        <v>178169.3</v>
      </c>
      <c r="E1103">
        <v>2.1899999999999999E-2</v>
      </c>
      <c r="F1103">
        <v>8.5400000000000004E-2</v>
      </c>
    </row>
    <row r="1104" spans="1:6" x14ac:dyDescent="0.3">
      <c r="A1104" t="s">
        <v>1139</v>
      </c>
      <c r="B1104" t="s">
        <v>26</v>
      </c>
      <c r="C1104">
        <v>6710000</v>
      </c>
      <c r="D1104">
        <v>10887.5</v>
      </c>
      <c r="F1104">
        <v>7.5899999999999995E-2</v>
      </c>
    </row>
    <row r="1105" spans="1:6" x14ac:dyDescent="0.3">
      <c r="A1105" t="s">
        <v>1140</v>
      </c>
      <c r="B1105" t="s">
        <v>26</v>
      </c>
      <c r="C1105">
        <v>5020000</v>
      </c>
      <c r="D1105">
        <v>711075.9</v>
      </c>
      <c r="E1105">
        <v>5.3999999999999999E-2</v>
      </c>
      <c r="F1105">
        <v>9.3799999999999994E-2</v>
      </c>
    </row>
    <row r="1106" spans="1:6" x14ac:dyDescent="0.3">
      <c r="A1106" t="s">
        <v>1141</v>
      </c>
      <c r="B1106" t="s">
        <v>26</v>
      </c>
      <c r="C1106">
        <v>4630000</v>
      </c>
      <c r="D1106">
        <v>5347522.0999999996</v>
      </c>
      <c r="E1106">
        <v>3.8600000000000002E-2</v>
      </c>
      <c r="F1106">
        <v>9.5100000000000004E-2</v>
      </c>
    </row>
    <row r="1107" spans="1:6" x14ac:dyDescent="0.3">
      <c r="A1107" t="s">
        <v>1142</v>
      </c>
      <c r="B1107" t="s">
        <v>26</v>
      </c>
      <c r="C1107">
        <v>3070000</v>
      </c>
      <c r="D1107">
        <v>23310.2</v>
      </c>
      <c r="E1107">
        <v>7.7999999999999996E-3</v>
      </c>
      <c r="F1107">
        <v>8.2199999999999995E-2</v>
      </c>
    </row>
    <row r="1108" spans="1:6" x14ac:dyDescent="0.3">
      <c r="A1108" t="s">
        <v>1143</v>
      </c>
      <c r="B1108" t="s">
        <v>26</v>
      </c>
      <c r="C1108">
        <v>2900000</v>
      </c>
      <c r="D1108">
        <v>41290.1</v>
      </c>
      <c r="E1108">
        <v>1.9300000000000001E-2</v>
      </c>
      <c r="F1108">
        <v>8.3299999999999999E-2</v>
      </c>
    </row>
    <row r="1109" spans="1:6" x14ac:dyDescent="0.3">
      <c r="A1109" t="s">
        <v>1144</v>
      </c>
      <c r="B1109" t="s">
        <v>26</v>
      </c>
      <c r="C1109">
        <v>2950000</v>
      </c>
      <c r="D1109">
        <v>15147.9</v>
      </c>
      <c r="E1109">
        <v>1.55E-2</v>
      </c>
      <c r="F1109">
        <v>4.6199999999999998E-2</v>
      </c>
    </row>
    <row r="1110" spans="1:6" x14ac:dyDescent="0.3">
      <c r="A1110" t="s">
        <v>1145</v>
      </c>
      <c r="B1110" t="s">
        <v>74</v>
      </c>
      <c r="C1110">
        <v>5500000</v>
      </c>
      <c r="D1110">
        <v>24359.5</v>
      </c>
      <c r="E1110">
        <v>3.5700000000000003E-2</v>
      </c>
      <c r="F1110">
        <v>9.3799999999999994E-2</v>
      </c>
    </row>
    <row r="1111" spans="1:6" x14ac:dyDescent="0.3">
      <c r="A1111" t="s">
        <v>1146</v>
      </c>
      <c r="B1111" t="s">
        <v>30</v>
      </c>
      <c r="C1111">
        <v>3060000</v>
      </c>
      <c r="D1111">
        <v>295152.59999999998</v>
      </c>
      <c r="E1111">
        <v>4.7699999999999999E-2</v>
      </c>
      <c r="F1111">
        <v>7.5899999999999995E-2</v>
      </c>
    </row>
    <row r="1112" spans="1:6" x14ac:dyDescent="0.3">
      <c r="A1112" t="s">
        <v>1147</v>
      </c>
      <c r="B1112" t="s">
        <v>214</v>
      </c>
      <c r="C1112">
        <v>2870000</v>
      </c>
      <c r="D1112">
        <v>141.30000000000001</v>
      </c>
      <c r="E1112">
        <v>2.3099999999999999E-2</v>
      </c>
      <c r="F1112">
        <v>5.7599999999999998E-2</v>
      </c>
    </row>
    <row r="1113" spans="1:6" x14ac:dyDescent="0.3">
      <c r="A1113" t="s">
        <v>1148</v>
      </c>
      <c r="B1113" t="s">
        <v>26</v>
      </c>
      <c r="C1113">
        <v>4500000</v>
      </c>
      <c r="D1113">
        <v>715743</v>
      </c>
      <c r="E1113">
        <v>8.6099999999999996E-2</v>
      </c>
      <c r="F1113">
        <v>7.5899999999999995E-2</v>
      </c>
    </row>
    <row r="1114" spans="1:6" x14ac:dyDescent="0.3">
      <c r="A1114" t="s">
        <v>1149</v>
      </c>
      <c r="B1114" t="s">
        <v>53</v>
      </c>
      <c r="C1114">
        <v>5270000</v>
      </c>
      <c r="D1114">
        <v>851670</v>
      </c>
      <c r="E1114">
        <v>1.17E-2</v>
      </c>
      <c r="F1114">
        <v>5.8400000000000001E-2</v>
      </c>
    </row>
    <row r="1115" spans="1:6" x14ac:dyDescent="0.3">
      <c r="A1115" t="s">
        <v>1150</v>
      </c>
      <c r="B1115" t="s">
        <v>88</v>
      </c>
      <c r="C1115">
        <v>3460000</v>
      </c>
      <c r="D1115">
        <v>4415.2</v>
      </c>
      <c r="E1115">
        <v>6.25E-2</v>
      </c>
      <c r="F1115">
        <v>9.3799999999999994E-2</v>
      </c>
    </row>
    <row r="1116" spans="1:6" x14ac:dyDescent="0.3">
      <c r="A1116" t="s">
        <v>1151</v>
      </c>
      <c r="B1116" t="s">
        <v>26</v>
      </c>
      <c r="C1116">
        <v>2930000</v>
      </c>
      <c r="D1116">
        <v>105566.39999999999</v>
      </c>
      <c r="E1116">
        <v>1.2800000000000001E-2</v>
      </c>
      <c r="F1116">
        <v>7.6499999999999999E-2</v>
      </c>
    </row>
    <row r="1117" spans="1:6" x14ac:dyDescent="0.3">
      <c r="A1117" t="s">
        <v>1152</v>
      </c>
      <c r="B1117" t="s">
        <v>26</v>
      </c>
      <c r="C1117">
        <v>2750000</v>
      </c>
      <c r="D1117">
        <v>13816.1</v>
      </c>
      <c r="E1117">
        <v>4.1700000000000001E-2</v>
      </c>
      <c r="F1117">
        <v>9.5100000000000004E-2</v>
      </c>
    </row>
    <row r="1118" spans="1:6" x14ac:dyDescent="0.3">
      <c r="A1118" t="s">
        <v>1153</v>
      </c>
      <c r="B1118" t="s">
        <v>24</v>
      </c>
      <c r="C1118">
        <v>3340000</v>
      </c>
      <c r="D1118">
        <v>169258</v>
      </c>
      <c r="E1118">
        <v>3.5900000000000001E-2</v>
      </c>
      <c r="F1118">
        <v>7.5899999999999995E-2</v>
      </c>
    </row>
    <row r="1119" spans="1:6" x14ac:dyDescent="0.3">
      <c r="A1119" t="s">
        <v>1154</v>
      </c>
      <c r="B1119" t="s">
        <v>41</v>
      </c>
      <c r="C1119">
        <v>2740000</v>
      </c>
      <c r="D1119">
        <v>785698.8</v>
      </c>
      <c r="E1119">
        <v>9.5999999999999992E-3</v>
      </c>
      <c r="F1119">
        <v>8.2199999999999995E-2</v>
      </c>
    </row>
    <row r="1120" spans="1:6" x14ac:dyDescent="0.3">
      <c r="A1120" t="s">
        <v>1155</v>
      </c>
      <c r="B1120" t="s">
        <v>50</v>
      </c>
      <c r="C1120">
        <v>2850000</v>
      </c>
      <c r="D1120">
        <v>95091</v>
      </c>
      <c r="E1120">
        <v>2.9899999999999999E-2</v>
      </c>
      <c r="F1120">
        <v>7.5899999999999995E-2</v>
      </c>
    </row>
    <row r="1121" spans="1:6" x14ac:dyDescent="0.3">
      <c r="A1121" t="s">
        <v>1156</v>
      </c>
      <c r="B1121" t="s">
        <v>32</v>
      </c>
      <c r="C1121">
        <v>3560000</v>
      </c>
      <c r="D1121">
        <v>36909.800000000003</v>
      </c>
      <c r="E1121">
        <v>1.01E-2</v>
      </c>
      <c r="F1121">
        <v>8.2199999999999995E-2</v>
      </c>
    </row>
    <row r="1122" spans="1:6" x14ac:dyDescent="0.3">
      <c r="A1122" t="s">
        <v>1157</v>
      </c>
      <c r="B1122" t="s">
        <v>81</v>
      </c>
      <c r="C1122">
        <v>3230000</v>
      </c>
      <c r="D1122">
        <v>9813</v>
      </c>
      <c r="E1122">
        <v>3.9600000000000003E-2</v>
      </c>
      <c r="F1122">
        <v>9.3799999999999994E-2</v>
      </c>
    </row>
    <row r="1123" spans="1:6" x14ac:dyDescent="0.3">
      <c r="A1123" t="s">
        <v>1158</v>
      </c>
      <c r="B1123" t="s">
        <v>32</v>
      </c>
      <c r="C1123">
        <v>3670000</v>
      </c>
      <c r="D1123">
        <v>31914.799999999999</v>
      </c>
      <c r="E1123">
        <v>1.8100000000000002E-2</v>
      </c>
      <c r="F1123">
        <v>4.6199999999999998E-2</v>
      </c>
    </row>
    <row r="1124" spans="1:6" x14ac:dyDescent="0.3">
      <c r="A1124" t="s">
        <v>1159</v>
      </c>
      <c r="B1124" t="s">
        <v>92</v>
      </c>
      <c r="C1124">
        <v>3030000</v>
      </c>
      <c r="D1124">
        <v>23907.9</v>
      </c>
      <c r="E1124">
        <v>2.1700000000000001E-2</v>
      </c>
      <c r="F1124">
        <v>5.3800000000000001E-2</v>
      </c>
    </row>
    <row r="1125" spans="1:6" x14ac:dyDescent="0.3">
      <c r="A1125" t="s">
        <v>1160</v>
      </c>
      <c r="B1125" t="s">
        <v>26</v>
      </c>
      <c r="C1125">
        <v>2590000</v>
      </c>
      <c r="D1125">
        <v>554.70000000000005</v>
      </c>
      <c r="E1125">
        <v>1.9E-2</v>
      </c>
      <c r="F1125">
        <v>0.4405</v>
      </c>
    </row>
    <row r="1126" spans="1:6" x14ac:dyDescent="0.3">
      <c r="A1126" t="s">
        <v>1161</v>
      </c>
      <c r="B1126" t="s">
        <v>41</v>
      </c>
      <c r="C1126">
        <v>3430000</v>
      </c>
      <c r="D1126">
        <v>10417.5</v>
      </c>
      <c r="E1126">
        <v>1.14E-2</v>
      </c>
      <c r="F1126">
        <v>9.11E-2</v>
      </c>
    </row>
    <row r="1127" spans="1:6" x14ac:dyDescent="0.3">
      <c r="A1127" t="s">
        <v>1162</v>
      </c>
      <c r="B1127" t="s">
        <v>41</v>
      </c>
      <c r="C1127">
        <v>6090000</v>
      </c>
      <c r="D1127">
        <v>5594.6</v>
      </c>
      <c r="E1127">
        <v>1.6500000000000001E-2</v>
      </c>
      <c r="F1127">
        <v>0.1053</v>
      </c>
    </row>
    <row r="1128" spans="1:6" x14ac:dyDescent="0.3">
      <c r="A1128" t="s">
        <v>1163</v>
      </c>
      <c r="B1128" t="s">
        <v>24</v>
      </c>
      <c r="C1128">
        <v>3350000</v>
      </c>
      <c r="D1128">
        <v>68270.399999999994</v>
      </c>
      <c r="E1128">
        <v>1.78E-2</v>
      </c>
      <c r="F1128">
        <v>6.08E-2</v>
      </c>
    </row>
    <row r="1129" spans="1:6" x14ac:dyDescent="0.3">
      <c r="A1129" t="s">
        <v>1164</v>
      </c>
      <c r="B1129" t="s">
        <v>26</v>
      </c>
      <c r="C1129">
        <v>4170000</v>
      </c>
      <c r="D1129">
        <v>90601.1</v>
      </c>
      <c r="F1129">
        <v>9.3799999999999994E-2</v>
      </c>
    </row>
    <row r="1130" spans="1:6" x14ac:dyDescent="0.3">
      <c r="A1130" t="s">
        <v>1165</v>
      </c>
      <c r="B1130" t="s">
        <v>88</v>
      </c>
      <c r="C1130">
        <v>4240000</v>
      </c>
      <c r="D1130">
        <v>198497</v>
      </c>
      <c r="E1130">
        <v>3.95E-2</v>
      </c>
      <c r="F1130">
        <v>4.0899999999999999E-2</v>
      </c>
    </row>
    <row r="1131" spans="1:6" x14ac:dyDescent="0.3">
      <c r="A1131" t="s">
        <v>1166</v>
      </c>
      <c r="B1131" t="s">
        <v>92</v>
      </c>
      <c r="C1131">
        <v>4550000</v>
      </c>
      <c r="D1131">
        <v>172549.6</v>
      </c>
      <c r="E1131">
        <v>9.2299999999999993E-2</v>
      </c>
      <c r="F1131">
        <v>4.3200000000000002E-2</v>
      </c>
    </row>
    <row r="1132" spans="1:6" x14ac:dyDescent="0.3">
      <c r="A1132" t="s">
        <v>1167</v>
      </c>
      <c r="B1132" t="s">
        <v>30</v>
      </c>
      <c r="C1132">
        <v>3510000</v>
      </c>
      <c r="D1132">
        <v>128910</v>
      </c>
      <c r="E1132">
        <v>6.83E-2</v>
      </c>
      <c r="F1132">
        <v>6.7199999999999996E-2</v>
      </c>
    </row>
    <row r="1133" spans="1:6" x14ac:dyDescent="0.3">
      <c r="A1133" t="s">
        <v>1168</v>
      </c>
      <c r="B1133" t="s">
        <v>41</v>
      </c>
      <c r="C1133">
        <v>3460000</v>
      </c>
      <c r="D1133">
        <v>275.89999999999998</v>
      </c>
      <c r="E1133">
        <v>3.7999999999999999E-2</v>
      </c>
      <c r="F1133">
        <v>9.3799999999999994E-2</v>
      </c>
    </row>
    <row r="1134" spans="1:6" x14ac:dyDescent="0.3">
      <c r="A1134" t="s">
        <v>1169</v>
      </c>
      <c r="B1134" t="s">
        <v>92</v>
      </c>
      <c r="C1134">
        <v>3230000</v>
      </c>
      <c r="D1134">
        <v>16158.9</v>
      </c>
      <c r="E1134">
        <v>1.0200000000000001E-2</v>
      </c>
      <c r="F1134">
        <v>6.8900000000000003E-2</v>
      </c>
    </row>
    <row r="1135" spans="1:6" x14ac:dyDescent="0.3">
      <c r="A1135" t="s">
        <v>1170</v>
      </c>
      <c r="B1135" t="s">
        <v>26</v>
      </c>
      <c r="C1135">
        <v>3190000</v>
      </c>
      <c r="D1135">
        <v>1216.7</v>
      </c>
      <c r="E1135">
        <v>1.21E-2</v>
      </c>
      <c r="F1135">
        <v>8.1100000000000005E-2</v>
      </c>
    </row>
    <row r="1136" spans="1:6" x14ac:dyDescent="0.3">
      <c r="A1136" t="s">
        <v>1171</v>
      </c>
      <c r="B1136" t="s">
        <v>50</v>
      </c>
      <c r="C1136">
        <v>3350000</v>
      </c>
      <c r="D1136">
        <v>926527.6</v>
      </c>
      <c r="E1136">
        <v>3.4799999999999998E-2</v>
      </c>
      <c r="F1136">
        <v>9.5100000000000004E-2</v>
      </c>
    </row>
    <row r="1137" spans="1:6" x14ac:dyDescent="0.3">
      <c r="A1137" t="s">
        <v>1172</v>
      </c>
      <c r="B1137" t="s">
        <v>21</v>
      </c>
      <c r="C1137">
        <v>3070000</v>
      </c>
      <c r="D1137">
        <v>286076.59999999998</v>
      </c>
      <c r="F1137">
        <v>5.1799999999999999E-2</v>
      </c>
    </row>
    <row r="1138" spans="1:6" x14ac:dyDescent="0.3">
      <c r="A1138" t="s">
        <v>1173</v>
      </c>
      <c r="B1138" t="s">
        <v>92</v>
      </c>
      <c r="C1138">
        <v>2760000</v>
      </c>
      <c r="D1138">
        <v>9697.5</v>
      </c>
      <c r="E1138">
        <v>7.9000000000000008E-3</v>
      </c>
      <c r="F1138">
        <v>0.2072</v>
      </c>
    </row>
    <row r="1139" spans="1:6" x14ac:dyDescent="0.3">
      <c r="A1139" t="s">
        <v>1174</v>
      </c>
      <c r="B1139" t="s">
        <v>88</v>
      </c>
      <c r="C1139">
        <v>2830000</v>
      </c>
      <c r="D1139">
        <v>11065.8</v>
      </c>
      <c r="E1139">
        <v>0.05</v>
      </c>
      <c r="F1139">
        <v>7.5899999999999995E-2</v>
      </c>
    </row>
    <row r="1140" spans="1:6" x14ac:dyDescent="0.3">
      <c r="A1140" t="s">
        <v>1175</v>
      </c>
      <c r="B1140" t="s">
        <v>24</v>
      </c>
      <c r="C1140">
        <v>3000000</v>
      </c>
      <c r="D1140">
        <v>6893</v>
      </c>
      <c r="E1140">
        <v>7.1000000000000004E-3</v>
      </c>
      <c r="F1140">
        <v>6.54E-2</v>
      </c>
    </row>
    <row r="1141" spans="1:6" x14ac:dyDescent="0.3">
      <c r="A1141" t="s">
        <v>1176</v>
      </c>
      <c r="B1141" t="s">
        <v>30</v>
      </c>
      <c r="C1141">
        <v>2950000</v>
      </c>
      <c r="D1141">
        <v>166147.20000000001</v>
      </c>
      <c r="E1141">
        <v>4.9000000000000002E-2</v>
      </c>
      <c r="F1141">
        <v>5.1799999999999999E-2</v>
      </c>
    </row>
    <row r="1142" spans="1:6" x14ac:dyDescent="0.3">
      <c r="A1142" t="s">
        <v>1177</v>
      </c>
      <c r="B1142" t="s">
        <v>53</v>
      </c>
      <c r="C1142">
        <v>3770000</v>
      </c>
      <c r="D1142">
        <v>65973.2</v>
      </c>
      <c r="E1142">
        <v>1.84E-2</v>
      </c>
      <c r="F1142">
        <v>0.1053</v>
      </c>
    </row>
    <row r="1143" spans="1:6" x14ac:dyDescent="0.3">
      <c r="A1143" t="s">
        <v>1178</v>
      </c>
      <c r="B1143" t="s">
        <v>74</v>
      </c>
      <c r="C1143">
        <v>3210000</v>
      </c>
      <c r="D1143">
        <v>2572.1999999999998</v>
      </c>
      <c r="E1143">
        <v>7.4000000000000003E-3</v>
      </c>
      <c r="F1143">
        <v>0.16950000000000001</v>
      </c>
    </row>
    <row r="1144" spans="1:6" x14ac:dyDescent="0.3">
      <c r="A1144" t="s">
        <v>1179</v>
      </c>
      <c r="B1144" t="s">
        <v>81</v>
      </c>
      <c r="C1144">
        <v>2850000</v>
      </c>
      <c r="D1144">
        <v>9004.2000000000007</v>
      </c>
      <c r="E1144">
        <v>2.7799999999999998E-2</v>
      </c>
      <c r="F1144">
        <v>9.5100000000000004E-2</v>
      </c>
    </row>
    <row r="1145" spans="1:6" x14ac:dyDescent="0.3">
      <c r="A1145" t="s">
        <v>1180</v>
      </c>
      <c r="B1145" t="s">
        <v>26</v>
      </c>
      <c r="C1145">
        <v>3250000</v>
      </c>
      <c r="D1145">
        <v>303100.40000000002</v>
      </c>
      <c r="E1145">
        <v>2.3800000000000002E-2</v>
      </c>
      <c r="F1145">
        <v>4.0899999999999999E-2</v>
      </c>
    </row>
    <row r="1146" spans="1:6" x14ac:dyDescent="0.3">
      <c r="A1146" t="s">
        <v>1181</v>
      </c>
      <c r="B1146" t="s">
        <v>26</v>
      </c>
      <c r="C1146">
        <v>4900000</v>
      </c>
      <c r="D1146">
        <v>66724.600000000006</v>
      </c>
      <c r="F1146">
        <v>5.0999999999999997E-2</v>
      </c>
    </row>
    <row r="1147" spans="1:6" x14ac:dyDescent="0.3">
      <c r="A1147" t="s">
        <v>1182</v>
      </c>
      <c r="B1147" t="s">
        <v>21</v>
      </c>
      <c r="C1147">
        <v>2660000</v>
      </c>
      <c r="D1147">
        <v>9812.4</v>
      </c>
      <c r="E1147">
        <v>6.0100000000000001E-2</v>
      </c>
      <c r="F1147">
        <v>9.3799999999999994E-2</v>
      </c>
    </row>
    <row r="1148" spans="1:6" x14ac:dyDescent="0.3">
      <c r="A1148" t="s">
        <v>1183</v>
      </c>
      <c r="B1148" t="s">
        <v>41</v>
      </c>
      <c r="C1148">
        <v>3210000</v>
      </c>
      <c r="D1148">
        <v>701355.4</v>
      </c>
      <c r="E1148">
        <v>2.46E-2</v>
      </c>
      <c r="F1148">
        <v>7.5899999999999995E-2</v>
      </c>
    </row>
    <row r="1149" spans="1:6" x14ac:dyDescent="0.3">
      <c r="A1149" t="s">
        <v>1184</v>
      </c>
      <c r="B1149" t="s">
        <v>53</v>
      </c>
      <c r="C1149">
        <v>274000</v>
      </c>
      <c r="D1149">
        <v>328442.40000000002</v>
      </c>
      <c r="E1149">
        <v>7.7799999999999994E-2</v>
      </c>
      <c r="F1149">
        <v>9.5100000000000004E-2</v>
      </c>
    </row>
    <row r="1150" spans="1:6" x14ac:dyDescent="0.3">
      <c r="A1150" t="s">
        <v>1185</v>
      </c>
      <c r="B1150" t="s">
        <v>41</v>
      </c>
      <c r="C1150">
        <v>3240000</v>
      </c>
      <c r="D1150">
        <v>437.7</v>
      </c>
      <c r="E1150">
        <v>1.1900000000000001E-2</v>
      </c>
      <c r="F1150">
        <v>0.22670000000000001</v>
      </c>
    </row>
    <row r="1151" spans="1:6" x14ac:dyDescent="0.3">
      <c r="A1151" t="s">
        <v>1186</v>
      </c>
      <c r="B1151" t="s">
        <v>88</v>
      </c>
      <c r="C1151">
        <v>6110000</v>
      </c>
      <c r="D1151">
        <v>150969.1</v>
      </c>
      <c r="E1151">
        <v>3.7999999999999999E-2</v>
      </c>
      <c r="F1151">
        <v>9.3799999999999994E-2</v>
      </c>
    </row>
    <row r="1152" spans="1:6" x14ac:dyDescent="0.3">
      <c r="A1152" t="s">
        <v>1187</v>
      </c>
      <c r="B1152" t="s">
        <v>53</v>
      </c>
      <c r="C1152">
        <v>2850000</v>
      </c>
      <c r="D1152">
        <v>623804.6</v>
      </c>
      <c r="E1152">
        <v>6.3299999999999995E-2</v>
      </c>
      <c r="F1152">
        <v>9.5100000000000004E-2</v>
      </c>
    </row>
    <row r="1153" spans="1:6" x14ac:dyDescent="0.3">
      <c r="A1153" t="s">
        <v>1188</v>
      </c>
      <c r="B1153" t="s">
        <v>24</v>
      </c>
      <c r="C1153">
        <v>3090000</v>
      </c>
      <c r="D1153">
        <v>1898.2</v>
      </c>
      <c r="E1153">
        <v>1.9199999999999998E-2</v>
      </c>
      <c r="F1153">
        <v>0.38319999999999999</v>
      </c>
    </row>
    <row r="1154" spans="1:6" x14ac:dyDescent="0.3">
      <c r="A1154" t="s">
        <v>1189</v>
      </c>
      <c r="B1154" t="s">
        <v>26</v>
      </c>
      <c r="C1154">
        <v>2870000</v>
      </c>
      <c r="D1154">
        <v>286291.20000000001</v>
      </c>
      <c r="E1154">
        <v>3.2599999999999997E-2</v>
      </c>
      <c r="F1154">
        <v>7.5899999999999995E-2</v>
      </c>
    </row>
    <row r="1155" spans="1:6" x14ac:dyDescent="0.3">
      <c r="A1155" t="s">
        <v>1190</v>
      </c>
      <c r="B1155" t="s">
        <v>41</v>
      </c>
      <c r="C1155">
        <v>3700000</v>
      </c>
      <c r="D1155">
        <v>4506.1000000000004</v>
      </c>
      <c r="E1155">
        <v>2.0400000000000001E-2</v>
      </c>
      <c r="F1155">
        <v>0.1053</v>
      </c>
    </row>
    <row r="1156" spans="1:6" x14ac:dyDescent="0.3">
      <c r="A1156" t="s">
        <v>1191</v>
      </c>
      <c r="B1156" t="s">
        <v>26</v>
      </c>
      <c r="C1156">
        <v>3290000</v>
      </c>
      <c r="D1156">
        <v>1461728</v>
      </c>
      <c r="E1156">
        <v>7.3000000000000001E-3</v>
      </c>
      <c r="F1156">
        <v>8.2199999999999995E-2</v>
      </c>
    </row>
    <row r="1157" spans="1:6" x14ac:dyDescent="0.3">
      <c r="A1157" t="s">
        <v>1192</v>
      </c>
      <c r="B1157" t="s">
        <v>26</v>
      </c>
      <c r="C1157">
        <v>4210000</v>
      </c>
      <c r="D1157">
        <v>501716.8</v>
      </c>
      <c r="E1157">
        <v>2.6200000000000001E-2</v>
      </c>
      <c r="F1157">
        <v>4.0899999999999999E-2</v>
      </c>
    </row>
    <row r="1158" spans="1:6" x14ac:dyDescent="0.3">
      <c r="A1158" t="s">
        <v>1193</v>
      </c>
      <c r="B1158" t="s">
        <v>26</v>
      </c>
      <c r="C1158">
        <v>3180000</v>
      </c>
      <c r="D1158">
        <v>39954.800000000003</v>
      </c>
      <c r="E1158">
        <v>2.5000000000000001E-2</v>
      </c>
      <c r="F1158">
        <v>5.1799999999999999E-2</v>
      </c>
    </row>
    <row r="1159" spans="1:6" x14ac:dyDescent="0.3">
      <c r="A1159" t="s">
        <v>1194</v>
      </c>
      <c r="B1159" t="s">
        <v>53</v>
      </c>
      <c r="C1159">
        <v>1620000</v>
      </c>
      <c r="D1159">
        <v>3127.5</v>
      </c>
      <c r="E1159">
        <v>2.4899999999999999E-2</v>
      </c>
      <c r="F1159">
        <v>9.5100000000000004E-2</v>
      </c>
    </row>
    <row r="1160" spans="1:6" x14ac:dyDescent="0.3">
      <c r="A1160" t="s">
        <v>1195</v>
      </c>
      <c r="B1160" t="s">
        <v>41</v>
      </c>
      <c r="C1160">
        <v>9220000</v>
      </c>
      <c r="D1160">
        <v>8967.4</v>
      </c>
      <c r="E1160">
        <v>1.8100000000000002E-2</v>
      </c>
      <c r="F1160">
        <v>5.7599999999999998E-2</v>
      </c>
    </row>
    <row r="1161" spans="1:6" x14ac:dyDescent="0.3">
      <c r="A1161" t="s">
        <v>1196</v>
      </c>
      <c r="B1161" t="s">
        <v>26</v>
      </c>
      <c r="C1161">
        <v>4590000</v>
      </c>
      <c r="D1161">
        <v>1290964.1000000001</v>
      </c>
      <c r="E1161">
        <v>2.0400000000000001E-2</v>
      </c>
      <c r="F1161">
        <v>4.6199999999999998E-2</v>
      </c>
    </row>
    <row r="1162" spans="1:6" x14ac:dyDescent="0.3">
      <c r="A1162" t="s">
        <v>1197</v>
      </c>
      <c r="B1162" t="s">
        <v>26</v>
      </c>
      <c r="C1162">
        <v>6410000</v>
      </c>
      <c r="D1162">
        <v>1069567</v>
      </c>
      <c r="E1162">
        <v>4.0899999999999999E-2</v>
      </c>
      <c r="F1162">
        <v>7.5899999999999995E-2</v>
      </c>
    </row>
    <row r="1163" spans="1:6" x14ac:dyDescent="0.3">
      <c r="A1163" t="s">
        <v>1198</v>
      </c>
      <c r="B1163" t="s">
        <v>26</v>
      </c>
      <c r="C1163">
        <v>3140000</v>
      </c>
      <c r="D1163">
        <v>158457.79999999999</v>
      </c>
      <c r="E1163">
        <v>7.0900000000000005E-2</v>
      </c>
      <c r="F1163">
        <v>9.3799999999999994E-2</v>
      </c>
    </row>
    <row r="1164" spans="1:6" x14ac:dyDescent="0.3">
      <c r="A1164" t="s">
        <v>1199</v>
      </c>
      <c r="B1164" t="s">
        <v>214</v>
      </c>
      <c r="C1164">
        <v>9550000</v>
      </c>
      <c r="D1164">
        <v>6761941.2000000002</v>
      </c>
      <c r="E1164">
        <v>1.18E-2</v>
      </c>
      <c r="F1164">
        <v>5.8400000000000001E-2</v>
      </c>
    </row>
    <row r="1165" spans="1:6" x14ac:dyDescent="0.3">
      <c r="A1165" t="s">
        <v>1200</v>
      </c>
      <c r="B1165" t="s">
        <v>26</v>
      </c>
      <c r="C1165">
        <v>2940000</v>
      </c>
      <c r="D1165">
        <v>15833.6</v>
      </c>
      <c r="E1165">
        <v>2.7199999999999998E-2</v>
      </c>
      <c r="F1165">
        <v>4.0899999999999999E-2</v>
      </c>
    </row>
    <row r="1166" spans="1:6" x14ac:dyDescent="0.3">
      <c r="A1166" t="s">
        <v>1201</v>
      </c>
      <c r="B1166" t="s">
        <v>26</v>
      </c>
      <c r="C1166">
        <v>3210000</v>
      </c>
      <c r="D1166">
        <v>1194.9000000000001</v>
      </c>
      <c r="E1166">
        <v>1.9599999999999999E-2</v>
      </c>
      <c r="F1166">
        <v>5.7599999999999998E-2</v>
      </c>
    </row>
    <row r="1167" spans="1:6" x14ac:dyDescent="0.3">
      <c r="A1167" t="s">
        <v>1202</v>
      </c>
      <c r="B1167" t="s">
        <v>41</v>
      </c>
      <c r="C1167">
        <v>2920000</v>
      </c>
      <c r="D1167">
        <v>53322.3</v>
      </c>
      <c r="E1167">
        <v>7.0800000000000002E-2</v>
      </c>
      <c r="F1167">
        <v>9.3799999999999994E-2</v>
      </c>
    </row>
    <row r="1168" spans="1:6" x14ac:dyDescent="0.3">
      <c r="A1168" t="s">
        <v>1203</v>
      </c>
      <c r="B1168" t="s">
        <v>24</v>
      </c>
      <c r="C1168">
        <v>3330000</v>
      </c>
      <c r="D1168">
        <v>6826</v>
      </c>
      <c r="E1168">
        <v>1.8100000000000002E-2</v>
      </c>
      <c r="F1168">
        <v>0.1053</v>
      </c>
    </row>
    <row r="1169" spans="1:6" x14ac:dyDescent="0.3">
      <c r="A1169" t="s">
        <v>1204</v>
      </c>
      <c r="B1169" t="s">
        <v>41</v>
      </c>
      <c r="C1169">
        <v>4530000</v>
      </c>
      <c r="D1169">
        <v>1233</v>
      </c>
      <c r="E1169">
        <v>1.34E-2</v>
      </c>
      <c r="F1169">
        <v>7.2599999999999998E-2</v>
      </c>
    </row>
    <row r="1170" spans="1:6" x14ac:dyDescent="0.3">
      <c r="A1170" t="s">
        <v>1205</v>
      </c>
      <c r="B1170" t="s">
        <v>88</v>
      </c>
      <c r="C1170">
        <v>222000</v>
      </c>
      <c r="D1170">
        <v>223.4</v>
      </c>
      <c r="E1170">
        <v>3.4000000000000002E-2</v>
      </c>
      <c r="F1170">
        <v>5.0999999999999997E-2</v>
      </c>
    </row>
    <row r="1171" spans="1:6" x14ac:dyDescent="0.3">
      <c r="A1171" t="s">
        <v>1206</v>
      </c>
      <c r="B1171" t="s">
        <v>74</v>
      </c>
      <c r="C1171">
        <v>3720000</v>
      </c>
      <c r="D1171">
        <v>75697.7</v>
      </c>
      <c r="E1171">
        <v>1.52E-2</v>
      </c>
      <c r="F1171">
        <v>7.5700000000000003E-2</v>
      </c>
    </row>
    <row r="1172" spans="1:6" x14ac:dyDescent="0.3">
      <c r="A1172" t="s">
        <v>1207</v>
      </c>
      <c r="B1172" t="s">
        <v>41</v>
      </c>
      <c r="C1172">
        <v>2730000</v>
      </c>
      <c r="D1172">
        <v>2165.9</v>
      </c>
      <c r="E1172">
        <v>1.5599999999999999E-2</v>
      </c>
      <c r="F1172">
        <v>0.1067</v>
      </c>
    </row>
    <row r="1173" spans="1:6" x14ac:dyDescent="0.3">
      <c r="A1173" t="s">
        <v>1208</v>
      </c>
      <c r="B1173" t="s">
        <v>35</v>
      </c>
      <c r="C1173">
        <v>3170000</v>
      </c>
      <c r="D1173">
        <v>14224.8</v>
      </c>
      <c r="E1173">
        <v>1.9800000000000002E-2</v>
      </c>
      <c r="F1173">
        <v>8.3299999999999999E-2</v>
      </c>
    </row>
    <row r="1174" spans="1:6" x14ac:dyDescent="0.3">
      <c r="A1174" t="s">
        <v>1209</v>
      </c>
      <c r="B1174" t="s">
        <v>41</v>
      </c>
      <c r="C1174">
        <v>4820000</v>
      </c>
      <c r="D1174">
        <v>935.6</v>
      </c>
      <c r="E1174">
        <v>1.29E-2</v>
      </c>
      <c r="F1174">
        <v>0.22670000000000001</v>
      </c>
    </row>
    <row r="1175" spans="1:6" x14ac:dyDescent="0.3">
      <c r="A1175" t="s">
        <v>1210</v>
      </c>
      <c r="B1175" t="s">
        <v>24</v>
      </c>
      <c r="C1175">
        <v>3450000</v>
      </c>
      <c r="D1175">
        <v>716.3</v>
      </c>
      <c r="E1175">
        <v>5.1400000000000001E-2</v>
      </c>
      <c r="F1175">
        <v>9.3799999999999994E-2</v>
      </c>
    </row>
    <row r="1176" spans="1:6" x14ac:dyDescent="0.3">
      <c r="A1176" t="s">
        <v>1211</v>
      </c>
      <c r="B1176" t="s">
        <v>92</v>
      </c>
      <c r="C1176">
        <v>4040000</v>
      </c>
      <c r="D1176">
        <v>648613.19999999995</v>
      </c>
      <c r="E1176">
        <v>3.8899999999999997E-2</v>
      </c>
      <c r="F1176">
        <v>4.0899999999999999E-2</v>
      </c>
    </row>
    <row r="1177" spans="1:6" x14ac:dyDescent="0.3">
      <c r="A1177" t="s">
        <v>1212</v>
      </c>
      <c r="B1177" t="s">
        <v>92</v>
      </c>
      <c r="C1177">
        <v>2740000</v>
      </c>
      <c r="D1177">
        <v>37172.800000000003</v>
      </c>
      <c r="E1177">
        <v>1.24E-2</v>
      </c>
      <c r="F1177">
        <v>8.5400000000000004E-2</v>
      </c>
    </row>
    <row r="1178" spans="1:6" x14ac:dyDescent="0.3">
      <c r="A1178" t="s">
        <v>1213</v>
      </c>
      <c r="B1178" t="s">
        <v>26</v>
      </c>
      <c r="C1178">
        <v>5680000</v>
      </c>
      <c r="D1178">
        <v>1006346.5</v>
      </c>
      <c r="E1178">
        <v>2.81E-2</v>
      </c>
      <c r="F1178">
        <v>5.1799999999999999E-2</v>
      </c>
    </row>
    <row r="1179" spans="1:6" x14ac:dyDescent="0.3">
      <c r="A1179" t="s">
        <v>1214</v>
      </c>
      <c r="B1179" t="s">
        <v>24</v>
      </c>
      <c r="C1179">
        <v>2680000</v>
      </c>
      <c r="D1179">
        <v>306.89999999999998</v>
      </c>
      <c r="E1179">
        <v>4.41E-2</v>
      </c>
      <c r="F1179">
        <v>5.0999999999999997E-2</v>
      </c>
    </row>
    <row r="1180" spans="1:6" x14ac:dyDescent="0.3">
      <c r="A1180" t="s">
        <v>1215</v>
      </c>
      <c r="B1180" t="s">
        <v>26</v>
      </c>
      <c r="C1180">
        <v>3960000</v>
      </c>
      <c r="D1180">
        <v>638917.19999999995</v>
      </c>
      <c r="E1180">
        <v>3.3500000000000002E-2</v>
      </c>
      <c r="F1180">
        <v>6.7199999999999996E-2</v>
      </c>
    </row>
    <row r="1181" spans="1:6" x14ac:dyDescent="0.3">
      <c r="A1181" t="s">
        <v>1216</v>
      </c>
      <c r="B1181" t="s">
        <v>26</v>
      </c>
      <c r="C1181">
        <v>4210000</v>
      </c>
      <c r="D1181">
        <v>23458</v>
      </c>
      <c r="E1181">
        <v>1.2999999999999999E-2</v>
      </c>
      <c r="F1181">
        <v>4.6199999999999998E-2</v>
      </c>
    </row>
    <row r="1182" spans="1:6" x14ac:dyDescent="0.3">
      <c r="A1182" t="s">
        <v>1217</v>
      </c>
      <c r="B1182" t="s">
        <v>92</v>
      </c>
      <c r="C1182">
        <v>2710000</v>
      </c>
      <c r="D1182">
        <v>5242.9</v>
      </c>
      <c r="E1182">
        <v>6.4699999999999994E-2</v>
      </c>
      <c r="F1182">
        <v>9.5100000000000004E-2</v>
      </c>
    </row>
    <row r="1183" spans="1:6" x14ac:dyDescent="0.3">
      <c r="A1183" t="s">
        <v>1218</v>
      </c>
      <c r="B1183" t="s">
        <v>26</v>
      </c>
      <c r="C1183">
        <v>2510000</v>
      </c>
      <c r="D1183">
        <v>567453.5</v>
      </c>
      <c r="F1183">
        <v>9.5100000000000004E-2</v>
      </c>
    </row>
    <row r="1184" spans="1:6" x14ac:dyDescent="0.3">
      <c r="A1184" t="s">
        <v>1219</v>
      </c>
      <c r="B1184" t="s">
        <v>21</v>
      </c>
      <c r="C1184">
        <v>3160000</v>
      </c>
      <c r="D1184">
        <v>5443.7</v>
      </c>
      <c r="E1184">
        <v>2.8400000000000002E-2</v>
      </c>
      <c r="F1184">
        <v>5.0999999999999997E-2</v>
      </c>
    </row>
    <row r="1185" spans="1:6" x14ac:dyDescent="0.3">
      <c r="A1185" t="s">
        <v>1220</v>
      </c>
      <c r="B1185" t="s">
        <v>24</v>
      </c>
      <c r="C1185">
        <v>2700000</v>
      </c>
      <c r="D1185">
        <v>7501.1</v>
      </c>
      <c r="E1185">
        <v>7.8E-2</v>
      </c>
      <c r="F1185">
        <v>9.3799999999999994E-2</v>
      </c>
    </row>
    <row r="1186" spans="1:6" x14ac:dyDescent="0.3">
      <c r="A1186" t="s">
        <v>1221</v>
      </c>
      <c r="B1186" t="s">
        <v>24</v>
      </c>
      <c r="C1186">
        <v>3050000</v>
      </c>
      <c r="D1186">
        <v>8482.7999999999993</v>
      </c>
      <c r="E1186">
        <v>0.1013</v>
      </c>
      <c r="F1186">
        <v>9.3799999999999994E-2</v>
      </c>
    </row>
    <row r="1187" spans="1:6" x14ac:dyDescent="0.3">
      <c r="A1187" t="s">
        <v>1222</v>
      </c>
      <c r="B1187" t="s">
        <v>88</v>
      </c>
      <c r="C1187">
        <v>5600000</v>
      </c>
      <c r="D1187">
        <v>4824.8</v>
      </c>
      <c r="E1187">
        <v>8.8499999999999995E-2</v>
      </c>
      <c r="F1187">
        <v>0.1043</v>
      </c>
    </row>
    <row r="1188" spans="1:6" x14ac:dyDescent="0.3">
      <c r="A1188" t="s">
        <v>1223</v>
      </c>
      <c r="B1188" t="s">
        <v>26</v>
      </c>
      <c r="C1188">
        <v>1380000</v>
      </c>
      <c r="D1188">
        <v>178240.2</v>
      </c>
      <c r="E1188">
        <v>3.2399999999999998E-2</v>
      </c>
      <c r="F1188">
        <v>4.3200000000000002E-2</v>
      </c>
    </row>
    <row r="1189" spans="1:6" x14ac:dyDescent="0.3">
      <c r="A1189" t="s">
        <v>1224</v>
      </c>
      <c r="B1189" t="s">
        <v>41</v>
      </c>
      <c r="C1189">
        <v>3000000</v>
      </c>
      <c r="D1189">
        <v>9859.7000000000007</v>
      </c>
      <c r="E1189">
        <v>1.5900000000000001E-2</v>
      </c>
      <c r="F1189">
        <v>0.1053</v>
      </c>
    </row>
    <row r="1190" spans="1:6" x14ac:dyDescent="0.3">
      <c r="A1190" t="s">
        <v>1225</v>
      </c>
      <c r="B1190" t="s">
        <v>26</v>
      </c>
      <c r="C1190">
        <v>3460000</v>
      </c>
      <c r="D1190">
        <v>1978706.6</v>
      </c>
      <c r="E1190">
        <v>5.1999999999999998E-2</v>
      </c>
      <c r="F1190">
        <v>9.5100000000000004E-2</v>
      </c>
    </row>
    <row r="1191" spans="1:6" x14ac:dyDescent="0.3">
      <c r="A1191" t="s">
        <v>1226</v>
      </c>
      <c r="B1191" t="s">
        <v>53</v>
      </c>
      <c r="C1191">
        <v>3180000</v>
      </c>
      <c r="D1191">
        <v>102353.60000000001</v>
      </c>
      <c r="E1191">
        <v>3.3599999999999998E-2</v>
      </c>
      <c r="F1191">
        <v>9.5100000000000004E-2</v>
      </c>
    </row>
    <row r="1192" spans="1:6" x14ac:dyDescent="0.3">
      <c r="A1192" t="s">
        <v>1227</v>
      </c>
      <c r="B1192" t="s">
        <v>30</v>
      </c>
      <c r="C1192">
        <v>2560000</v>
      </c>
      <c r="D1192">
        <v>13361.1</v>
      </c>
      <c r="E1192">
        <v>1.8599999999999998E-2</v>
      </c>
      <c r="F1192">
        <v>5.8500000000000003E-2</v>
      </c>
    </row>
    <row r="1193" spans="1:6" x14ac:dyDescent="0.3">
      <c r="A1193" t="s">
        <v>1228</v>
      </c>
      <c r="B1193" t="s">
        <v>21</v>
      </c>
      <c r="C1193">
        <v>2940000</v>
      </c>
      <c r="D1193">
        <v>30598.6</v>
      </c>
      <c r="E1193">
        <v>1.8100000000000002E-2</v>
      </c>
      <c r="F1193">
        <v>5.7599999999999998E-2</v>
      </c>
    </row>
    <row r="1194" spans="1:6" x14ac:dyDescent="0.3">
      <c r="A1194" t="s">
        <v>1229</v>
      </c>
      <c r="B1194" t="s">
        <v>26</v>
      </c>
      <c r="C1194">
        <v>3220000</v>
      </c>
      <c r="D1194">
        <v>1549</v>
      </c>
      <c r="E1194">
        <v>7.4999999999999997E-3</v>
      </c>
      <c r="F1194">
        <v>8.1100000000000005E-2</v>
      </c>
    </row>
    <row r="1195" spans="1:6" x14ac:dyDescent="0.3">
      <c r="A1195" t="s">
        <v>1230</v>
      </c>
      <c r="B1195" t="s">
        <v>24</v>
      </c>
      <c r="C1195">
        <v>3280000</v>
      </c>
      <c r="D1195">
        <v>2001.3</v>
      </c>
      <c r="E1195">
        <v>2.4400000000000002E-2</v>
      </c>
      <c r="F1195">
        <v>8.3299999999999999E-2</v>
      </c>
    </row>
    <row r="1196" spans="1:6" x14ac:dyDescent="0.3">
      <c r="A1196" t="s">
        <v>1231</v>
      </c>
      <c r="B1196" t="s">
        <v>50</v>
      </c>
      <c r="C1196">
        <v>3890000</v>
      </c>
      <c r="D1196">
        <v>21238.2</v>
      </c>
      <c r="E1196">
        <v>1.84E-2</v>
      </c>
      <c r="F1196">
        <v>5.7599999999999998E-2</v>
      </c>
    </row>
    <row r="1197" spans="1:6" x14ac:dyDescent="0.3">
      <c r="A1197" t="s">
        <v>1232</v>
      </c>
      <c r="B1197" t="s">
        <v>41</v>
      </c>
      <c r="C1197">
        <v>3080000</v>
      </c>
      <c r="D1197">
        <v>252.1</v>
      </c>
      <c r="E1197">
        <v>2.2599999999999999E-2</v>
      </c>
      <c r="F1197">
        <v>0.13719999999999999</v>
      </c>
    </row>
    <row r="1198" spans="1:6" x14ac:dyDescent="0.3">
      <c r="A1198" t="s">
        <v>1233</v>
      </c>
      <c r="B1198" t="s">
        <v>21</v>
      </c>
      <c r="C1198">
        <v>3100000</v>
      </c>
      <c r="D1198">
        <v>13420.1</v>
      </c>
      <c r="E1198">
        <v>1.5800000000000002E-2</v>
      </c>
      <c r="F1198">
        <v>0.22670000000000001</v>
      </c>
    </row>
    <row r="1199" spans="1:6" x14ac:dyDescent="0.3">
      <c r="A1199" t="s">
        <v>1234</v>
      </c>
      <c r="B1199" t="s">
        <v>41</v>
      </c>
      <c r="C1199">
        <v>3420000</v>
      </c>
      <c r="D1199">
        <v>6903.5</v>
      </c>
      <c r="E1199">
        <v>3.5000000000000003E-2</v>
      </c>
      <c r="F1199">
        <v>9.3799999999999994E-2</v>
      </c>
    </row>
    <row r="1200" spans="1:6" x14ac:dyDescent="0.3">
      <c r="A1200" t="s">
        <v>1235</v>
      </c>
      <c r="B1200" t="s">
        <v>26</v>
      </c>
      <c r="C1200">
        <v>4930000</v>
      </c>
      <c r="D1200">
        <v>1445166.2</v>
      </c>
      <c r="E1200">
        <v>3.2300000000000002E-2</v>
      </c>
      <c r="F1200">
        <v>5.0999999999999997E-2</v>
      </c>
    </row>
    <row r="1201" spans="1:6" x14ac:dyDescent="0.3">
      <c r="A1201" t="s">
        <v>1236</v>
      </c>
      <c r="B1201" t="s">
        <v>41</v>
      </c>
      <c r="C1201">
        <v>5010000</v>
      </c>
      <c r="D1201">
        <v>1079.9000000000001</v>
      </c>
      <c r="E1201">
        <v>8.3999999999999995E-3</v>
      </c>
      <c r="F1201">
        <v>8.1100000000000005E-2</v>
      </c>
    </row>
    <row r="1202" spans="1:6" x14ac:dyDescent="0.3">
      <c r="A1202" t="s">
        <v>1237</v>
      </c>
      <c r="B1202" t="s">
        <v>26</v>
      </c>
      <c r="C1202">
        <v>3310000</v>
      </c>
      <c r="D1202">
        <v>18445.400000000001</v>
      </c>
      <c r="E1202">
        <v>8.9999999999999993E-3</v>
      </c>
      <c r="F1202">
        <v>8.1100000000000005E-2</v>
      </c>
    </row>
    <row r="1203" spans="1:6" x14ac:dyDescent="0.3">
      <c r="A1203" t="s">
        <v>1238</v>
      </c>
      <c r="B1203" t="s">
        <v>24</v>
      </c>
      <c r="C1203">
        <v>4520000</v>
      </c>
      <c r="D1203">
        <v>152069.6</v>
      </c>
      <c r="E1203">
        <v>1.4800000000000001E-2</v>
      </c>
      <c r="F1203">
        <v>5.7599999999999998E-2</v>
      </c>
    </row>
    <row r="1204" spans="1:6" x14ac:dyDescent="0.3">
      <c r="A1204" t="s">
        <v>1239</v>
      </c>
      <c r="B1204" t="s">
        <v>62</v>
      </c>
      <c r="C1204">
        <v>4490000</v>
      </c>
      <c r="D1204">
        <v>813130.9</v>
      </c>
      <c r="E1204">
        <v>3.6400000000000002E-2</v>
      </c>
      <c r="F1204">
        <v>5.1400000000000001E-2</v>
      </c>
    </row>
    <row r="1205" spans="1:6" x14ac:dyDescent="0.3">
      <c r="A1205" t="s">
        <v>1240</v>
      </c>
      <c r="B1205" t="s">
        <v>26</v>
      </c>
      <c r="C1205">
        <v>2970000</v>
      </c>
      <c r="D1205">
        <v>27361</v>
      </c>
      <c r="E1205">
        <v>3.3700000000000001E-2</v>
      </c>
      <c r="F1205">
        <v>9.3799999999999994E-2</v>
      </c>
    </row>
    <row r="1206" spans="1:6" x14ac:dyDescent="0.3">
      <c r="A1206" t="s">
        <v>1241</v>
      </c>
      <c r="B1206" t="s">
        <v>26</v>
      </c>
      <c r="C1206">
        <v>3080000</v>
      </c>
      <c r="D1206">
        <v>2233.1999999999998</v>
      </c>
      <c r="E1206">
        <v>2.63E-2</v>
      </c>
      <c r="F1206">
        <v>0.38319999999999999</v>
      </c>
    </row>
    <row r="1207" spans="1:6" x14ac:dyDescent="0.3">
      <c r="A1207" t="s">
        <v>1242</v>
      </c>
      <c r="B1207" t="s">
        <v>92</v>
      </c>
      <c r="C1207">
        <v>2710000</v>
      </c>
      <c r="D1207">
        <v>895.9</v>
      </c>
      <c r="E1207">
        <v>3.7499999999999999E-2</v>
      </c>
      <c r="F1207">
        <v>7.5899999999999995E-2</v>
      </c>
    </row>
    <row r="1208" spans="1:6" x14ac:dyDescent="0.3">
      <c r="A1208" t="s">
        <v>1243</v>
      </c>
      <c r="B1208" t="s">
        <v>74</v>
      </c>
      <c r="C1208">
        <v>2860000</v>
      </c>
      <c r="D1208">
        <v>128734.9</v>
      </c>
      <c r="E1208">
        <v>0.01</v>
      </c>
      <c r="F1208">
        <v>0.18890000000000001</v>
      </c>
    </row>
    <row r="1209" spans="1:6" x14ac:dyDescent="0.3">
      <c r="A1209" t="s">
        <v>1244</v>
      </c>
      <c r="B1209" t="s">
        <v>26</v>
      </c>
      <c r="C1209">
        <v>2830000</v>
      </c>
      <c r="D1209">
        <v>95519.6</v>
      </c>
      <c r="E1209">
        <v>4.9200000000000001E-2</v>
      </c>
      <c r="F1209">
        <v>9.3799999999999994E-2</v>
      </c>
    </row>
    <row r="1210" spans="1:6" x14ac:dyDescent="0.3">
      <c r="A1210" t="s">
        <v>1245</v>
      </c>
      <c r="B1210" t="s">
        <v>88</v>
      </c>
      <c r="C1210">
        <v>3760000</v>
      </c>
      <c r="D1210">
        <v>65512.3</v>
      </c>
      <c r="E1210">
        <v>4.5199999999999997E-2</v>
      </c>
      <c r="F1210">
        <v>9.3799999999999994E-2</v>
      </c>
    </row>
    <row r="1211" spans="1:6" x14ac:dyDescent="0.3">
      <c r="A1211" t="s">
        <v>1246</v>
      </c>
      <c r="B1211" t="s">
        <v>195</v>
      </c>
      <c r="C1211">
        <v>2560000</v>
      </c>
      <c r="D1211">
        <v>50.2</v>
      </c>
      <c r="F1211">
        <v>7.5899999999999995E-2</v>
      </c>
    </row>
    <row r="1212" spans="1:6" x14ac:dyDescent="0.3">
      <c r="A1212" t="s">
        <v>1247</v>
      </c>
      <c r="B1212" t="s">
        <v>26</v>
      </c>
      <c r="C1212">
        <v>2820000</v>
      </c>
      <c r="D1212">
        <v>1023938.4</v>
      </c>
      <c r="E1212">
        <v>1.2500000000000001E-2</v>
      </c>
      <c r="F1212">
        <v>5.8500000000000003E-2</v>
      </c>
    </row>
    <row r="1213" spans="1:6" x14ac:dyDescent="0.3">
      <c r="A1213" t="s">
        <v>1248</v>
      </c>
      <c r="B1213" t="s">
        <v>24</v>
      </c>
      <c r="C1213">
        <v>2840000</v>
      </c>
      <c r="D1213">
        <v>1297.4000000000001</v>
      </c>
      <c r="E1213">
        <v>4.1300000000000003E-2</v>
      </c>
      <c r="F1213">
        <v>9.3799999999999994E-2</v>
      </c>
    </row>
    <row r="1214" spans="1:6" x14ac:dyDescent="0.3">
      <c r="A1214" t="s">
        <v>1249</v>
      </c>
      <c r="B1214" t="s">
        <v>35</v>
      </c>
      <c r="C1214">
        <v>2690000</v>
      </c>
      <c r="D1214">
        <v>48576.7</v>
      </c>
      <c r="E1214">
        <v>2.0799999999999999E-2</v>
      </c>
      <c r="F1214">
        <v>4.3200000000000002E-2</v>
      </c>
    </row>
    <row r="1215" spans="1:6" x14ac:dyDescent="0.3">
      <c r="A1215" t="s">
        <v>1250</v>
      </c>
      <c r="B1215" t="s">
        <v>26</v>
      </c>
      <c r="C1215">
        <v>3710000</v>
      </c>
      <c r="D1215">
        <v>31025.7</v>
      </c>
      <c r="E1215">
        <v>9.7000000000000003E-3</v>
      </c>
      <c r="F1215">
        <v>8.2199999999999995E-2</v>
      </c>
    </row>
    <row r="1216" spans="1:6" x14ac:dyDescent="0.3">
      <c r="A1216" t="s">
        <v>1251</v>
      </c>
      <c r="B1216" t="s">
        <v>92</v>
      </c>
      <c r="C1216">
        <v>2670000</v>
      </c>
      <c r="D1216">
        <v>12848.8</v>
      </c>
      <c r="E1216">
        <v>1.7899999999999999E-2</v>
      </c>
      <c r="F1216">
        <v>5.8500000000000003E-2</v>
      </c>
    </row>
    <row r="1217" spans="1:6" x14ac:dyDescent="0.3">
      <c r="A1217" t="s">
        <v>1252</v>
      </c>
      <c r="B1217" t="s">
        <v>62</v>
      </c>
      <c r="C1217">
        <v>2890000</v>
      </c>
      <c r="D1217">
        <v>21126.7</v>
      </c>
      <c r="E1217">
        <v>2.1999999999999999E-2</v>
      </c>
      <c r="F1217">
        <v>5.7599999999999998E-2</v>
      </c>
    </row>
    <row r="1218" spans="1:6" x14ac:dyDescent="0.3">
      <c r="A1218" t="s">
        <v>1253</v>
      </c>
      <c r="B1218" t="s">
        <v>26</v>
      </c>
      <c r="C1218">
        <v>6680000</v>
      </c>
      <c r="D1218">
        <v>1840751</v>
      </c>
      <c r="E1218">
        <v>4.6800000000000001E-2</v>
      </c>
      <c r="F1218">
        <v>4.0899999999999999E-2</v>
      </c>
    </row>
    <row r="1219" spans="1:6" x14ac:dyDescent="0.3">
      <c r="A1219" t="s">
        <v>1254</v>
      </c>
      <c r="B1219" t="s">
        <v>26</v>
      </c>
      <c r="C1219">
        <v>3410000</v>
      </c>
      <c r="D1219">
        <v>1994.9</v>
      </c>
      <c r="E1219">
        <v>3.56E-2</v>
      </c>
      <c r="F1219">
        <v>5.0999999999999997E-2</v>
      </c>
    </row>
    <row r="1220" spans="1:6" x14ac:dyDescent="0.3">
      <c r="A1220" t="s">
        <v>1255</v>
      </c>
      <c r="B1220" t="s">
        <v>26</v>
      </c>
      <c r="C1220">
        <v>3790000</v>
      </c>
      <c r="D1220">
        <v>186482</v>
      </c>
      <c r="E1220">
        <v>5.5199999999999999E-2</v>
      </c>
      <c r="F1220">
        <v>7.5899999999999995E-2</v>
      </c>
    </row>
    <row r="1221" spans="1:6" x14ac:dyDescent="0.3">
      <c r="A1221" t="s">
        <v>1256</v>
      </c>
      <c r="B1221" t="s">
        <v>26</v>
      </c>
      <c r="C1221">
        <v>4160000</v>
      </c>
      <c r="D1221">
        <v>208.6</v>
      </c>
      <c r="E1221">
        <v>3.7699999999999997E-2</v>
      </c>
      <c r="F1221">
        <v>9.3799999999999994E-2</v>
      </c>
    </row>
    <row r="1222" spans="1:6" x14ac:dyDescent="0.3">
      <c r="A1222" t="s">
        <v>1257</v>
      </c>
      <c r="B1222" t="s">
        <v>26</v>
      </c>
      <c r="C1222">
        <v>4970000</v>
      </c>
      <c r="D1222">
        <v>41555.5</v>
      </c>
      <c r="E1222">
        <v>3.73E-2</v>
      </c>
      <c r="F1222">
        <v>9.3799999999999994E-2</v>
      </c>
    </row>
    <row r="1223" spans="1:6" x14ac:dyDescent="0.3">
      <c r="A1223" t="s">
        <v>1258</v>
      </c>
      <c r="B1223" t="s">
        <v>92</v>
      </c>
      <c r="C1223">
        <v>3210000</v>
      </c>
      <c r="D1223">
        <v>795675.6</v>
      </c>
      <c r="E1223">
        <v>5.1000000000000004E-3</v>
      </c>
      <c r="F1223">
        <v>8.2199999999999995E-2</v>
      </c>
    </row>
    <row r="1224" spans="1:6" x14ac:dyDescent="0.3">
      <c r="A1224" t="s">
        <v>1259</v>
      </c>
      <c r="B1224" t="s">
        <v>24</v>
      </c>
      <c r="C1224">
        <v>3410000</v>
      </c>
      <c r="D1224">
        <v>2047337.2</v>
      </c>
      <c r="E1224">
        <v>2.7400000000000001E-2</v>
      </c>
      <c r="F1224">
        <v>4.0899999999999999E-2</v>
      </c>
    </row>
    <row r="1225" spans="1:6" x14ac:dyDescent="0.3">
      <c r="A1225" t="s">
        <v>1260</v>
      </c>
      <c r="B1225" t="s">
        <v>26</v>
      </c>
      <c r="C1225">
        <v>4520000</v>
      </c>
      <c r="D1225">
        <v>8495222.3000000007</v>
      </c>
      <c r="E1225">
        <v>3.8E-3</v>
      </c>
      <c r="F1225">
        <v>0.1027</v>
      </c>
    </row>
    <row r="1226" spans="1:6" x14ac:dyDescent="0.3">
      <c r="A1226" t="s">
        <v>1261</v>
      </c>
      <c r="B1226" t="s">
        <v>24</v>
      </c>
      <c r="C1226">
        <v>3550000</v>
      </c>
      <c r="D1226">
        <v>5581.5</v>
      </c>
      <c r="E1226">
        <v>2.7300000000000001E-2</v>
      </c>
      <c r="F1226">
        <v>7.2499999999999995E-2</v>
      </c>
    </row>
    <row r="1227" spans="1:6" x14ac:dyDescent="0.3">
      <c r="A1227" t="s">
        <v>1262</v>
      </c>
      <c r="B1227" t="s">
        <v>32</v>
      </c>
      <c r="C1227">
        <v>4340000</v>
      </c>
      <c r="D1227">
        <v>26818.3</v>
      </c>
      <c r="E1227">
        <v>1.2800000000000001E-2</v>
      </c>
      <c r="F1227">
        <v>7.2599999999999998E-2</v>
      </c>
    </row>
    <row r="1228" spans="1:6" x14ac:dyDescent="0.3">
      <c r="A1228" t="s">
        <v>1263</v>
      </c>
      <c r="B1228" t="s">
        <v>53</v>
      </c>
      <c r="C1228">
        <v>2590000</v>
      </c>
      <c r="D1228">
        <v>121558.7</v>
      </c>
      <c r="E1228">
        <v>3.9100000000000003E-2</v>
      </c>
      <c r="F1228">
        <v>9.5100000000000004E-2</v>
      </c>
    </row>
    <row r="1229" spans="1:6" x14ac:dyDescent="0.3">
      <c r="A1229" t="s">
        <v>1264</v>
      </c>
      <c r="B1229" t="s">
        <v>62</v>
      </c>
      <c r="C1229">
        <v>2980000</v>
      </c>
      <c r="D1229">
        <v>15997.5</v>
      </c>
      <c r="E1229">
        <v>4.9200000000000001E-2</v>
      </c>
      <c r="F1229">
        <v>7.5899999999999995E-2</v>
      </c>
    </row>
    <row r="1230" spans="1:6" x14ac:dyDescent="0.3">
      <c r="A1230" t="s">
        <v>1265</v>
      </c>
      <c r="B1230" t="s">
        <v>26</v>
      </c>
      <c r="C1230">
        <v>3640000</v>
      </c>
      <c r="D1230">
        <v>59114.9</v>
      </c>
      <c r="E1230">
        <v>5.7099999999999998E-2</v>
      </c>
      <c r="F1230">
        <v>7.5899999999999995E-2</v>
      </c>
    </row>
    <row r="1231" spans="1:6" x14ac:dyDescent="0.3">
      <c r="A1231" t="s">
        <v>1266</v>
      </c>
      <c r="B1231" t="s">
        <v>81</v>
      </c>
      <c r="C1231">
        <v>2520000</v>
      </c>
      <c r="D1231">
        <v>4491844.2</v>
      </c>
      <c r="E1231">
        <v>3.39E-2</v>
      </c>
      <c r="F1231">
        <v>5.79E-2</v>
      </c>
    </row>
    <row r="1232" spans="1:6" x14ac:dyDescent="0.3">
      <c r="A1232" t="s">
        <v>1267</v>
      </c>
      <c r="B1232" t="s">
        <v>24</v>
      </c>
      <c r="C1232">
        <v>3470000</v>
      </c>
      <c r="D1232">
        <v>10823.7</v>
      </c>
      <c r="E1232">
        <v>4.3499999999999997E-2</v>
      </c>
      <c r="F1232">
        <v>9.3799999999999994E-2</v>
      </c>
    </row>
    <row r="1233" spans="1:6" x14ac:dyDescent="0.3">
      <c r="A1233" t="s">
        <v>1268</v>
      </c>
      <c r="B1233" t="s">
        <v>24</v>
      </c>
      <c r="C1233">
        <v>2690000</v>
      </c>
      <c r="D1233">
        <v>1587.3</v>
      </c>
      <c r="E1233">
        <v>8.0199999999999994E-2</v>
      </c>
      <c r="F1233">
        <v>0.1226</v>
      </c>
    </row>
    <row r="1234" spans="1:6" x14ac:dyDescent="0.3">
      <c r="A1234" t="s">
        <v>1269</v>
      </c>
      <c r="B1234" t="s">
        <v>50</v>
      </c>
      <c r="C1234">
        <v>2770000</v>
      </c>
      <c r="D1234">
        <v>107734</v>
      </c>
      <c r="E1234">
        <v>2.35E-2</v>
      </c>
      <c r="F1234">
        <v>4.0899999999999999E-2</v>
      </c>
    </row>
    <row r="1235" spans="1:6" x14ac:dyDescent="0.3">
      <c r="A1235" t="s">
        <v>1270</v>
      </c>
      <c r="B1235" t="s">
        <v>53</v>
      </c>
      <c r="C1235">
        <v>3780000</v>
      </c>
      <c r="F1235">
        <v>7.5899999999999995E-2</v>
      </c>
    </row>
    <row r="1236" spans="1:6" x14ac:dyDescent="0.3">
      <c r="A1236" t="s">
        <v>1271</v>
      </c>
      <c r="B1236" t="s">
        <v>26</v>
      </c>
      <c r="C1236">
        <v>2480000</v>
      </c>
      <c r="D1236">
        <v>5651.8</v>
      </c>
      <c r="E1236">
        <v>5.4300000000000001E-2</v>
      </c>
      <c r="F1236">
        <v>0.11700000000000001</v>
      </c>
    </row>
    <row r="1237" spans="1:6" x14ac:dyDescent="0.3">
      <c r="A1237" t="s">
        <v>1272</v>
      </c>
      <c r="B1237" t="s">
        <v>287</v>
      </c>
      <c r="C1237">
        <v>3410000</v>
      </c>
      <c r="D1237">
        <v>69501</v>
      </c>
      <c r="E1237">
        <v>1.7999999999999999E-2</v>
      </c>
      <c r="F1237">
        <v>5.8500000000000003E-2</v>
      </c>
    </row>
    <row r="1238" spans="1:6" x14ac:dyDescent="0.3">
      <c r="A1238" t="s">
        <v>1273</v>
      </c>
      <c r="B1238" t="s">
        <v>92</v>
      </c>
      <c r="C1238">
        <v>2700000</v>
      </c>
      <c r="D1238">
        <v>8795.4</v>
      </c>
      <c r="E1238">
        <v>3.3000000000000002E-2</v>
      </c>
      <c r="F1238">
        <v>7.5899999999999995E-2</v>
      </c>
    </row>
    <row r="1239" spans="1:6" x14ac:dyDescent="0.3">
      <c r="A1239" t="s">
        <v>1274</v>
      </c>
      <c r="B1239" t="s">
        <v>41</v>
      </c>
      <c r="C1239">
        <v>4160000</v>
      </c>
      <c r="D1239">
        <v>35187.300000000003</v>
      </c>
      <c r="E1239">
        <v>1.21E-2</v>
      </c>
      <c r="F1239">
        <v>8.1100000000000005E-2</v>
      </c>
    </row>
    <row r="1240" spans="1:6" x14ac:dyDescent="0.3">
      <c r="A1240" t="s">
        <v>1275</v>
      </c>
      <c r="B1240" t="s">
        <v>26</v>
      </c>
      <c r="C1240">
        <v>2860000</v>
      </c>
      <c r="D1240">
        <v>1442964.6</v>
      </c>
      <c r="E1240">
        <v>5.1700000000000003E-2</v>
      </c>
      <c r="F1240">
        <v>5.1799999999999999E-2</v>
      </c>
    </row>
    <row r="1241" spans="1:6" x14ac:dyDescent="0.3">
      <c r="A1241" t="s">
        <v>1276</v>
      </c>
      <c r="B1241" t="s">
        <v>92</v>
      </c>
      <c r="C1241">
        <v>3620000</v>
      </c>
      <c r="D1241">
        <v>426173.3</v>
      </c>
      <c r="E1241">
        <v>1.7000000000000001E-2</v>
      </c>
      <c r="F1241">
        <v>4.6199999999999998E-2</v>
      </c>
    </row>
    <row r="1242" spans="1:6" x14ac:dyDescent="0.3">
      <c r="A1242" t="s">
        <v>1277</v>
      </c>
      <c r="B1242" t="s">
        <v>32</v>
      </c>
      <c r="C1242">
        <v>2890000</v>
      </c>
      <c r="D1242">
        <v>658</v>
      </c>
      <c r="E1242">
        <v>5.4800000000000001E-2</v>
      </c>
      <c r="F1242">
        <v>7.5899999999999995E-2</v>
      </c>
    </row>
    <row r="1243" spans="1:6" x14ac:dyDescent="0.3">
      <c r="A1243" t="s">
        <v>1278</v>
      </c>
      <c r="B1243" t="s">
        <v>41</v>
      </c>
      <c r="C1243">
        <v>2710000</v>
      </c>
      <c r="D1243">
        <v>21957.200000000001</v>
      </c>
      <c r="E1243">
        <v>5.57E-2</v>
      </c>
      <c r="F1243">
        <v>7.5899999999999995E-2</v>
      </c>
    </row>
    <row r="1244" spans="1:6" x14ac:dyDescent="0.3">
      <c r="A1244" t="s">
        <v>1279</v>
      </c>
      <c r="B1244" t="s">
        <v>32</v>
      </c>
      <c r="C1244">
        <v>2940000</v>
      </c>
      <c r="D1244">
        <v>19214.099999999999</v>
      </c>
      <c r="E1244">
        <v>1.9199999999999998E-2</v>
      </c>
      <c r="F1244">
        <v>8.5400000000000004E-2</v>
      </c>
    </row>
    <row r="1245" spans="1:6" x14ac:dyDescent="0.3">
      <c r="A1245" t="s">
        <v>1280</v>
      </c>
      <c r="B1245" t="s">
        <v>21</v>
      </c>
      <c r="C1245">
        <v>3430000</v>
      </c>
      <c r="D1245">
        <v>7713.5</v>
      </c>
      <c r="E1245">
        <v>8.2000000000000007E-3</v>
      </c>
      <c r="F1245">
        <v>8.1100000000000005E-2</v>
      </c>
    </row>
    <row r="1246" spans="1:6" x14ac:dyDescent="0.3">
      <c r="A1246" t="s">
        <v>1281</v>
      </c>
      <c r="B1246" t="s">
        <v>92</v>
      </c>
      <c r="C1246">
        <v>2950000</v>
      </c>
      <c r="D1246">
        <v>476577.6</v>
      </c>
      <c r="E1246">
        <v>4.7199999999999999E-2</v>
      </c>
      <c r="F1246">
        <v>5.0999999999999997E-2</v>
      </c>
    </row>
    <row r="1247" spans="1:6" x14ac:dyDescent="0.3">
      <c r="A1247" t="s">
        <v>1282</v>
      </c>
      <c r="B1247" t="s">
        <v>50</v>
      </c>
      <c r="C1247">
        <v>4350000</v>
      </c>
      <c r="D1247">
        <v>102335.9</v>
      </c>
      <c r="E1247">
        <v>4.5699999999999998E-2</v>
      </c>
      <c r="F1247">
        <v>6.4399999999999999E-2</v>
      </c>
    </row>
    <row r="1248" spans="1:6" x14ac:dyDescent="0.3">
      <c r="A1248" t="s">
        <v>1283</v>
      </c>
      <c r="B1248" t="s">
        <v>26</v>
      </c>
      <c r="C1248">
        <v>3350000</v>
      </c>
      <c r="D1248">
        <v>455</v>
      </c>
      <c r="E1248">
        <v>3.1E-2</v>
      </c>
      <c r="F1248">
        <v>5.0999999999999997E-2</v>
      </c>
    </row>
    <row r="1249" spans="1:6" x14ac:dyDescent="0.3">
      <c r="A1249" t="s">
        <v>1284</v>
      </c>
      <c r="B1249" t="s">
        <v>26</v>
      </c>
      <c r="C1249">
        <v>3200000</v>
      </c>
      <c r="D1249">
        <v>46442.400000000001</v>
      </c>
      <c r="E1249">
        <v>2.8899999999999999E-2</v>
      </c>
      <c r="F1249">
        <v>9.3799999999999994E-2</v>
      </c>
    </row>
    <row r="1250" spans="1:6" x14ac:dyDescent="0.3">
      <c r="A1250" t="s">
        <v>1285</v>
      </c>
      <c r="B1250" t="s">
        <v>24</v>
      </c>
      <c r="C1250">
        <v>2920000</v>
      </c>
      <c r="D1250">
        <v>10489.4</v>
      </c>
      <c r="E1250">
        <v>1.17E-2</v>
      </c>
      <c r="F1250">
        <v>6.54E-2</v>
      </c>
    </row>
    <row r="1251" spans="1:6" x14ac:dyDescent="0.3">
      <c r="A1251" t="s">
        <v>1286</v>
      </c>
      <c r="B1251" t="s">
        <v>26</v>
      </c>
      <c r="C1251">
        <v>2880000</v>
      </c>
      <c r="D1251">
        <v>34641.800000000003</v>
      </c>
      <c r="E1251">
        <v>4.99E-2</v>
      </c>
      <c r="F1251">
        <v>9.5100000000000004E-2</v>
      </c>
    </row>
    <row r="1252" spans="1:6" x14ac:dyDescent="0.3">
      <c r="A1252" t="s">
        <v>1287</v>
      </c>
      <c r="B1252" t="s">
        <v>30</v>
      </c>
      <c r="C1252">
        <v>2620000</v>
      </c>
      <c r="D1252">
        <v>1822.3</v>
      </c>
      <c r="E1252">
        <v>1.89E-2</v>
      </c>
      <c r="F1252">
        <v>8.5400000000000004E-2</v>
      </c>
    </row>
    <row r="1253" spans="1:6" x14ac:dyDescent="0.3">
      <c r="A1253" t="s">
        <v>1288</v>
      </c>
      <c r="B1253" t="s">
        <v>88</v>
      </c>
      <c r="C1253">
        <v>2780000</v>
      </c>
      <c r="D1253">
        <v>10035.4</v>
      </c>
      <c r="F1253">
        <v>9.3799999999999994E-2</v>
      </c>
    </row>
    <row r="1254" spans="1:6" x14ac:dyDescent="0.3">
      <c r="A1254" t="s">
        <v>1289</v>
      </c>
      <c r="B1254" t="s">
        <v>26</v>
      </c>
      <c r="C1254">
        <v>2640000</v>
      </c>
      <c r="D1254">
        <v>82519.7</v>
      </c>
      <c r="E1254">
        <v>5.1999999999999998E-2</v>
      </c>
      <c r="F1254">
        <v>9.3799999999999994E-2</v>
      </c>
    </row>
    <row r="1255" spans="1:6" x14ac:dyDescent="0.3">
      <c r="A1255" t="s">
        <v>1290</v>
      </c>
      <c r="B1255" t="s">
        <v>21</v>
      </c>
      <c r="C1255">
        <v>2880000</v>
      </c>
      <c r="D1255">
        <v>7249436.2999999998</v>
      </c>
      <c r="E1255">
        <v>1.2500000000000001E-2</v>
      </c>
      <c r="F1255">
        <v>0.1027</v>
      </c>
    </row>
    <row r="1256" spans="1:6" x14ac:dyDescent="0.3">
      <c r="A1256" t="s">
        <v>1291</v>
      </c>
      <c r="B1256" t="s">
        <v>74</v>
      </c>
      <c r="C1256">
        <v>3110000</v>
      </c>
      <c r="D1256">
        <v>54324.3</v>
      </c>
      <c r="E1256">
        <v>4.4499999999999998E-2</v>
      </c>
      <c r="F1256">
        <v>9.3799999999999994E-2</v>
      </c>
    </row>
    <row r="1257" spans="1:6" x14ac:dyDescent="0.3">
      <c r="A1257" t="s">
        <v>1292</v>
      </c>
      <c r="B1257" t="s">
        <v>92</v>
      </c>
      <c r="C1257">
        <v>3310000</v>
      </c>
      <c r="D1257">
        <v>9186.9</v>
      </c>
      <c r="E1257">
        <v>6.6E-3</v>
      </c>
      <c r="F1257">
        <v>6.54E-2</v>
      </c>
    </row>
    <row r="1258" spans="1:6" x14ac:dyDescent="0.3">
      <c r="A1258" t="s">
        <v>1293</v>
      </c>
      <c r="B1258" t="s">
        <v>26</v>
      </c>
      <c r="C1258">
        <v>5830000</v>
      </c>
      <c r="D1258">
        <v>431300.2</v>
      </c>
      <c r="E1258">
        <v>2.5899999999999999E-2</v>
      </c>
      <c r="F1258">
        <v>5.0999999999999997E-2</v>
      </c>
    </row>
    <row r="1259" spans="1:6" x14ac:dyDescent="0.3">
      <c r="A1259" t="s">
        <v>1294</v>
      </c>
      <c r="B1259" t="s">
        <v>41</v>
      </c>
      <c r="C1259">
        <v>4380000</v>
      </c>
      <c r="D1259">
        <v>1859.9</v>
      </c>
      <c r="E1259">
        <v>6.6E-3</v>
      </c>
      <c r="F1259">
        <v>8.1100000000000005E-2</v>
      </c>
    </row>
    <row r="1260" spans="1:6" x14ac:dyDescent="0.3">
      <c r="A1260" t="s">
        <v>1295</v>
      </c>
      <c r="B1260" t="s">
        <v>26</v>
      </c>
      <c r="C1260">
        <v>3980000</v>
      </c>
      <c r="D1260">
        <v>2986760.5</v>
      </c>
      <c r="E1260">
        <v>5.5500000000000001E-2</v>
      </c>
      <c r="F1260">
        <v>9.5100000000000004E-2</v>
      </c>
    </row>
    <row r="1261" spans="1:6" x14ac:dyDescent="0.3">
      <c r="A1261" t="s">
        <v>1296</v>
      </c>
      <c r="B1261" t="s">
        <v>30</v>
      </c>
      <c r="C1261">
        <v>5760000</v>
      </c>
      <c r="D1261">
        <v>13306368.9</v>
      </c>
      <c r="E1261">
        <v>4.0800000000000003E-2</v>
      </c>
      <c r="F1261">
        <v>9.5100000000000004E-2</v>
      </c>
    </row>
    <row r="1262" spans="1:6" x14ac:dyDescent="0.3">
      <c r="A1262" t="s">
        <v>1297</v>
      </c>
      <c r="B1262" t="s">
        <v>26</v>
      </c>
      <c r="C1262">
        <v>3280000</v>
      </c>
      <c r="D1262">
        <v>215282.7</v>
      </c>
      <c r="E1262">
        <v>5.96E-2</v>
      </c>
      <c r="F1262">
        <v>7.5899999999999995E-2</v>
      </c>
    </row>
    <row r="1263" spans="1:6" x14ac:dyDescent="0.3">
      <c r="A1263" t="s">
        <v>1298</v>
      </c>
      <c r="B1263" t="s">
        <v>26</v>
      </c>
      <c r="C1263">
        <v>2860000</v>
      </c>
      <c r="D1263">
        <v>8154.3</v>
      </c>
      <c r="E1263">
        <v>9.1999999999999998E-3</v>
      </c>
      <c r="F1263">
        <v>8.6599999999999996E-2</v>
      </c>
    </row>
    <row r="1264" spans="1:6" x14ac:dyDescent="0.3">
      <c r="A1264" t="s">
        <v>1299</v>
      </c>
      <c r="B1264" t="s">
        <v>24</v>
      </c>
      <c r="C1264">
        <v>2700000</v>
      </c>
      <c r="D1264">
        <v>5920.4</v>
      </c>
      <c r="E1264">
        <v>6.5199999999999994E-2</v>
      </c>
      <c r="F1264">
        <v>9.3799999999999994E-2</v>
      </c>
    </row>
    <row r="1265" spans="1:6" x14ac:dyDescent="0.3">
      <c r="A1265" t="s">
        <v>1300</v>
      </c>
      <c r="B1265" t="s">
        <v>41</v>
      </c>
      <c r="C1265">
        <v>4370000</v>
      </c>
      <c r="D1265">
        <v>4298.8</v>
      </c>
      <c r="E1265">
        <v>5.2600000000000001E-2</v>
      </c>
      <c r="F1265">
        <v>9.3799999999999994E-2</v>
      </c>
    </row>
    <row r="1266" spans="1:6" x14ac:dyDescent="0.3">
      <c r="A1266" t="s">
        <v>1301</v>
      </c>
      <c r="B1266" t="s">
        <v>30</v>
      </c>
      <c r="C1266">
        <v>4500000</v>
      </c>
      <c r="D1266">
        <v>49378579.399999999</v>
      </c>
      <c r="E1266">
        <v>7.4000000000000003E-3</v>
      </c>
      <c r="F1266">
        <v>8.2199999999999995E-2</v>
      </c>
    </row>
    <row r="1267" spans="1:6" x14ac:dyDescent="0.3">
      <c r="A1267" t="s">
        <v>1302</v>
      </c>
      <c r="B1267" t="s">
        <v>41</v>
      </c>
      <c r="C1267">
        <v>2830000</v>
      </c>
      <c r="D1267">
        <v>71146.600000000006</v>
      </c>
      <c r="E1267">
        <v>3.1600000000000003E-2</v>
      </c>
      <c r="F1267">
        <v>9.3799999999999994E-2</v>
      </c>
    </row>
    <row r="1268" spans="1:6" x14ac:dyDescent="0.3">
      <c r="A1268" t="s">
        <v>1303</v>
      </c>
      <c r="B1268" t="s">
        <v>214</v>
      </c>
      <c r="C1268">
        <v>1650000</v>
      </c>
      <c r="D1268">
        <v>74980.100000000006</v>
      </c>
      <c r="E1268">
        <v>4.4999999999999997E-3</v>
      </c>
      <c r="F1268">
        <v>6.54E-2</v>
      </c>
    </row>
    <row r="1269" spans="1:6" x14ac:dyDescent="0.3">
      <c r="A1269" t="s">
        <v>1304</v>
      </c>
      <c r="B1269" t="s">
        <v>26</v>
      </c>
      <c r="C1269">
        <v>3790000</v>
      </c>
      <c r="D1269">
        <v>5992337.9000000004</v>
      </c>
      <c r="E1269">
        <v>4.58E-2</v>
      </c>
      <c r="F1269">
        <v>4.0899999999999999E-2</v>
      </c>
    </row>
    <row r="1270" spans="1:6" x14ac:dyDescent="0.3">
      <c r="A1270" t="s">
        <v>1305</v>
      </c>
      <c r="B1270" t="s">
        <v>41</v>
      </c>
      <c r="C1270">
        <v>2990000</v>
      </c>
      <c r="D1270">
        <v>1165</v>
      </c>
      <c r="E1270">
        <v>2.29E-2</v>
      </c>
      <c r="F1270">
        <v>0.1053</v>
      </c>
    </row>
    <row r="1271" spans="1:6" x14ac:dyDescent="0.3">
      <c r="A1271" t="s">
        <v>1306</v>
      </c>
      <c r="B1271" t="s">
        <v>50</v>
      </c>
      <c r="C1271">
        <v>2540000</v>
      </c>
      <c r="D1271">
        <v>24143.599999999999</v>
      </c>
      <c r="E1271">
        <v>1.4200000000000001E-2</v>
      </c>
      <c r="F1271">
        <v>5.7599999999999998E-2</v>
      </c>
    </row>
    <row r="1272" spans="1:6" x14ac:dyDescent="0.3">
      <c r="A1272" t="s">
        <v>1307</v>
      </c>
      <c r="B1272" t="s">
        <v>30</v>
      </c>
      <c r="C1272">
        <v>2610000</v>
      </c>
      <c r="D1272">
        <v>259540.8</v>
      </c>
      <c r="E1272">
        <v>2.5000000000000001E-3</v>
      </c>
      <c r="F1272">
        <v>6.54E-2</v>
      </c>
    </row>
    <row r="1273" spans="1:6" x14ac:dyDescent="0.3">
      <c r="A1273" t="s">
        <v>1308</v>
      </c>
      <c r="B1273" t="s">
        <v>50</v>
      </c>
      <c r="C1273">
        <v>2550000</v>
      </c>
      <c r="D1273">
        <v>12678.1</v>
      </c>
      <c r="E1273">
        <v>1.15E-2</v>
      </c>
      <c r="F1273">
        <v>5.8400000000000001E-2</v>
      </c>
    </row>
    <row r="1274" spans="1:6" x14ac:dyDescent="0.3">
      <c r="A1274" t="s">
        <v>1309</v>
      </c>
      <c r="B1274" t="s">
        <v>26</v>
      </c>
      <c r="C1274">
        <v>2630000</v>
      </c>
      <c r="D1274">
        <v>94955.199999999997</v>
      </c>
      <c r="E1274">
        <v>1.2699999999999999E-2</v>
      </c>
      <c r="F1274">
        <v>5.8400000000000001E-2</v>
      </c>
    </row>
    <row r="1275" spans="1:6" x14ac:dyDescent="0.3">
      <c r="A1275" t="s">
        <v>1310</v>
      </c>
      <c r="B1275" t="s">
        <v>21</v>
      </c>
      <c r="C1275">
        <v>2770000</v>
      </c>
      <c r="D1275">
        <v>53.5</v>
      </c>
      <c r="E1275">
        <v>1.78E-2</v>
      </c>
      <c r="F1275">
        <v>0.13719999999999999</v>
      </c>
    </row>
    <row r="1276" spans="1:6" x14ac:dyDescent="0.3">
      <c r="A1276" t="s">
        <v>1311</v>
      </c>
      <c r="B1276" t="s">
        <v>50</v>
      </c>
      <c r="C1276">
        <v>2870000</v>
      </c>
      <c r="D1276">
        <v>283899.8</v>
      </c>
      <c r="E1276">
        <v>2.0400000000000001E-2</v>
      </c>
      <c r="F1276">
        <v>0.1053</v>
      </c>
    </row>
    <row r="1277" spans="1:6" x14ac:dyDescent="0.3">
      <c r="A1277" t="s">
        <v>1312</v>
      </c>
      <c r="B1277" t="s">
        <v>24</v>
      </c>
      <c r="C1277">
        <v>2820000</v>
      </c>
      <c r="D1277">
        <v>2782.9</v>
      </c>
      <c r="E1277">
        <v>2.3800000000000002E-2</v>
      </c>
      <c r="F1277">
        <v>0.1053</v>
      </c>
    </row>
    <row r="1278" spans="1:6" x14ac:dyDescent="0.3">
      <c r="A1278" t="s">
        <v>1313</v>
      </c>
      <c r="B1278" t="s">
        <v>32</v>
      </c>
      <c r="C1278">
        <v>2540000</v>
      </c>
      <c r="D1278">
        <v>74187.8</v>
      </c>
      <c r="E1278">
        <v>1.84E-2</v>
      </c>
      <c r="F1278">
        <v>5.8500000000000003E-2</v>
      </c>
    </row>
    <row r="1279" spans="1:6" x14ac:dyDescent="0.3">
      <c r="A1279" t="s">
        <v>1314</v>
      </c>
      <c r="B1279" t="s">
        <v>26</v>
      </c>
      <c r="C1279">
        <v>2530000</v>
      </c>
      <c r="D1279">
        <v>43961.2</v>
      </c>
      <c r="F1279">
        <v>4.0899999999999999E-2</v>
      </c>
    </row>
    <row r="1280" spans="1:6" x14ac:dyDescent="0.3">
      <c r="A1280" t="s">
        <v>1315</v>
      </c>
      <c r="B1280" t="s">
        <v>41</v>
      </c>
      <c r="C1280">
        <v>3070000</v>
      </c>
      <c r="D1280">
        <v>1211.2</v>
      </c>
      <c r="E1280">
        <v>2.3099999999999999E-2</v>
      </c>
      <c r="F1280">
        <v>0.1169</v>
      </c>
    </row>
    <row r="1281" spans="1:6" x14ac:dyDescent="0.3">
      <c r="A1281" t="s">
        <v>1316</v>
      </c>
      <c r="B1281" t="s">
        <v>21</v>
      </c>
      <c r="C1281">
        <v>4330000</v>
      </c>
      <c r="D1281">
        <v>2163.9</v>
      </c>
      <c r="E1281">
        <v>9.2999999999999992E-3</v>
      </c>
      <c r="F1281">
        <v>8.1100000000000005E-2</v>
      </c>
    </row>
    <row r="1282" spans="1:6" x14ac:dyDescent="0.3">
      <c r="A1282" t="s">
        <v>1317</v>
      </c>
      <c r="B1282" t="s">
        <v>21</v>
      </c>
      <c r="C1282">
        <v>4430000</v>
      </c>
      <c r="D1282">
        <v>417895.7</v>
      </c>
      <c r="E1282">
        <v>4.1700000000000001E-2</v>
      </c>
      <c r="F1282">
        <v>9.3799999999999994E-2</v>
      </c>
    </row>
    <row r="1283" spans="1:6" x14ac:dyDescent="0.3">
      <c r="A1283" t="s">
        <v>1318</v>
      </c>
      <c r="B1283" t="s">
        <v>26</v>
      </c>
      <c r="C1283">
        <v>2870000</v>
      </c>
      <c r="D1283">
        <v>81184.100000000006</v>
      </c>
      <c r="E1283">
        <v>5.0000000000000001E-3</v>
      </c>
      <c r="F1283">
        <v>0.10150000000000001</v>
      </c>
    </row>
    <row r="1284" spans="1:6" x14ac:dyDescent="0.3">
      <c r="A1284" t="s">
        <v>1319</v>
      </c>
      <c r="B1284" t="s">
        <v>53</v>
      </c>
      <c r="C1284">
        <v>3000000</v>
      </c>
      <c r="D1284">
        <v>280455.3</v>
      </c>
      <c r="E1284">
        <v>1.14E-2</v>
      </c>
      <c r="F1284">
        <v>0.1187</v>
      </c>
    </row>
    <row r="1285" spans="1:6" x14ac:dyDescent="0.3">
      <c r="A1285" t="s">
        <v>1320</v>
      </c>
      <c r="B1285" t="s">
        <v>24</v>
      </c>
      <c r="C1285">
        <v>2620000</v>
      </c>
      <c r="D1285">
        <v>6477.7</v>
      </c>
      <c r="E1285">
        <v>2.2599999999999999E-2</v>
      </c>
      <c r="F1285">
        <v>5.0999999999999997E-2</v>
      </c>
    </row>
    <row r="1286" spans="1:6" x14ac:dyDescent="0.3">
      <c r="A1286" t="s">
        <v>1321</v>
      </c>
      <c r="B1286" t="s">
        <v>26</v>
      </c>
      <c r="C1286">
        <v>5520000</v>
      </c>
      <c r="D1286">
        <v>8355.2000000000007</v>
      </c>
      <c r="E1286">
        <v>9.4E-2</v>
      </c>
      <c r="F1286">
        <v>9.3799999999999994E-2</v>
      </c>
    </row>
    <row r="1287" spans="1:6" x14ac:dyDescent="0.3">
      <c r="A1287" t="s">
        <v>1322</v>
      </c>
      <c r="B1287" t="s">
        <v>74</v>
      </c>
      <c r="C1287">
        <v>4480000</v>
      </c>
      <c r="D1287">
        <v>5369.3</v>
      </c>
      <c r="E1287">
        <v>5.6599999999999998E-2</v>
      </c>
      <c r="F1287">
        <v>9.3799999999999994E-2</v>
      </c>
    </row>
    <row r="1288" spans="1:6" x14ac:dyDescent="0.3">
      <c r="A1288" t="s">
        <v>1323</v>
      </c>
      <c r="B1288" t="s">
        <v>30</v>
      </c>
      <c r="C1288">
        <v>2760000</v>
      </c>
      <c r="D1288">
        <v>365963.4</v>
      </c>
      <c r="E1288">
        <v>1.4E-2</v>
      </c>
      <c r="F1288">
        <v>9.4899999999999998E-2</v>
      </c>
    </row>
    <row r="1289" spans="1:6" x14ac:dyDescent="0.3">
      <c r="A1289" t="s">
        <v>1324</v>
      </c>
      <c r="B1289" t="s">
        <v>26</v>
      </c>
      <c r="C1289">
        <v>2930000</v>
      </c>
      <c r="D1289">
        <v>10561</v>
      </c>
      <c r="E1289">
        <v>2.8500000000000001E-2</v>
      </c>
      <c r="F1289">
        <v>7.5899999999999995E-2</v>
      </c>
    </row>
    <row r="1290" spans="1:6" x14ac:dyDescent="0.3">
      <c r="A1290" t="s">
        <v>1325</v>
      </c>
      <c r="B1290" t="s">
        <v>24</v>
      </c>
      <c r="C1290">
        <v>3220000</v>
      </c>
      <c r="D1290">
        <v>78505.3</v>
      </c>
      <c r="E1290">
        <v>8.6999999999999994E-3</v>
      </c>
      <c r="F1290">
        <v>5.8400000000000001E-2</v>
      </c>
    </row>
    <row r="1291" spans="1:6" x14ac:dyDescent="0.3">
      <c r="A1291" t="s">
        <v>1326</v>
      </c>
      <c r="B1291" t="s">
        <v>62</v>
      </c>
      <c r="C1291">
        <v>2910000</v>
      </c>
      <c r="D1291">
        <v>257645</v>
      </c>
      <c r="E1291">
        <v>6.4399999999999999E-2</v>
      </c>
      <c r="F1291">
        <v>4.0899999999999999E-2</v>
      </c>
    </row>
    <row r="1292" spans="1:6" x14ac:dyDescent="0.3">
      <c r="A1292" t="s">
        <v>1327</v>
      </c>
      <c r="B1292" t="s">
        <v>53</v>
      </c>
      <c r="C1292">
        <v>2390000</v>
      </c>
      <c r="D1292">
        <v>13965.5</v>
      </c>
      <c r="E1292">
        <v>3.6299999999999999E-2</v>
      </c>
      <c r="F1292">
        <v>9.5100000000000004E-2</v>
      </c>
    </row>
    <row r="1293" spans="1:6" x14ac:dyDescent="0.3">
      <c r="A1293" t="s">
        <v>1328</v>
      </c>
      <c r="B1293" t="s">
        <v>41</v>
      </c>
      <c r="C1293">
        <v>3320000</v>
      </c>
      <c r="D1293">
        <v>72931.8</v>
      </c>
      <c r="E1293">
        <v>4.4600000000000001E-2</v>
      </c>
      <c r="F1293">
        <v>9.3799999999999994E-2</v>
      </c>
    </row>
    <row r="1294" spans="1:6" x14ac:dyDescent="0.3">
      <c r="A1294" t="s">
        <v>1329</v>
      </c>
      <c r="B1294" t="s">
        <v>26</v>
      </c>
      <c r="C1294">
        <v>2570000</v>
      </c>
      <c r="D1294">
        <v>436970.9</v>
      </c>
      <c r="E1294">
        <v>1.7999999999999999E-2</v>
      </c>
      <c r="F1294">
        <v>7.5700000000000003E-2</v>
      </c>
    </row>
    <row r="1295" spans="1:6" x14ac:dyDescent="0.3">
      <c r="A1295" t="s">
        <v>1330</v>
      </c>
      <c r="B1295" t="s">
        <v>41</v>
      </c>
      <c r="C1295">
        <v>2410000</v>
      </c>
      <c r="D1295">
        <v>20001.7</v>
      </c>
      <c r="E1295">
        <v>4.5900000000000003E-2</v>
      </c>
      <c r="F1295">
        <v>9.5100000000000004E-2</v>
      </c>
    </row>
    <row r="1296" spans="1:6" x14ac:dyDescent="0.3">
      <c r="A1296" t="s">
        <v>1331</v>
      </c>
      <c r="B1296" t="s">
        <v>24</v>
      </c>
      <c r="C1296">
        <v>3800000</v>
      </c>
      <c r="D1296">
        <v>86692.1</v>
      </c>
      <c r="E1296">
        <v>3.2599999999999997E-2</v>
      </c>
      <c r="F1296">
        <v>5.1799999999999999E-2</v>
      </c>
    </row>
    <row r="1297" spans="1:6" x14ac:dyDescent="0.3">
      <c r="A1297" t="s">
        <v>1332</v>
      </c>
      <c r="B1297" t="s">
        <v>26</v>
      </c>
      <c r="C1297">
        <v>2670000</v>
      </c>
      <c r="D1297">
        <v>70823.7</v>
      </c>
      <c r="E1297">
        <v>5.2200000000000003E-2</v>
      </c>
      <c r="F1297">
        <v>9.3799999999999994E-2</v>
      </c>
    </row>
    <row r="1298" spans="1:6" x14ac:dyDescent="0.3">
      <c r="A1298" t="s">
        <v>1333</v>
      </c>
      <c r="B1298" t="s">
        <v>26</v>
      </c>
      <c r="C1298">
        <v>6060000</v>
      </c>
      <c r="D1298">
        <v>3480023.6</v>
      </c>
      <c r="E1298">
        <v>2.6200000000000001E-2</v>
      </c>
      <c r="F1298">
        <v>5.1799999999999999E-2</v>
      </c>
    </row>
    <row r="1299" spans="1:6" x14ac:dyDescent="0.3">
      <c r="A1299" t="s">
        <v>1334</v>
      </c>
      <c r="B1299" t="s">
        <v>41</v>
      </c>
      <c r="C1299">
        <v>3760000</v>
      </c>
      <c r="D1299">
        <v>2128.8000000000002</v>
      </c>
      <c r="E1299">
        <v>1.55E-2</v>
      </c>
      <c r="F1299">
        <v>0.1525</v>
      </c>
    </row>
    <row r="1300" spans="1:6" x14ac:dyDescent="0.3">
      <c r="A1300" t="s">
        <v>1335</v>
      </c>
      <c r="B1300" t="s">
        <v>92</v>
      </c>
      <c r="C1300">
        <v>2520000</v>
      </c>
      <c r="D1300">
        <v>45248.6</v>
      </c>
      <c r="E1300">
        <v>1.44E-2</v>
      </c>
      <c r="F1300">
        <v>0.13100000000000001</v>
      </c>
    </row>
    <row r="1301" spans="1:6" x14ac:dyDescent="0.3">
      <c r="A1301" t="s">
        <v>1336</v>
      </c>
      <c r="B1301" t="s">
        <v>24</v>
      </c>
      <c r="C1301">
        <v>2450000</v>
      </c>
      <c r="D1301">
        <v>23793.1</v>
      </c>
      <c r="E1301">
        <v>5.1000000000000004E-3</v>
      </c>
      <c r="F1301">
        <v>6.54E-2</v>
      </c>
    </row>
    <row r="1302" spans="1:6" x14ac:dyDescent="0.3">
      <c r="A1302" t="s">
        <v>1337</v>
      </c>
      <c r="B1302" t="s">
        <v>74</v>
      </c>
      <c r="C1302">
        <v>2650000</v>
      </c>
      <c r="D1302">
        <v>44339.3</v>
      </c>
      <c r="E1302">
        <v>5.3199999999999997E-2</v>
      </c>
      <c r="F1302">
        <v>7.5899999999999995E-2</v>
      </c>
    </row>
    <row r="1303" spans="1:6" x14ac:dyDescent="0.3">
      <c r="A1303" t="s">
        <v>1338</v>
      </c>
      <c r="B1303" t="s">
        <v>30</v>
      </c>
      <c r="C1303">
        <v>2480000</v>
      </c>
      <c r="D1303">
        <v>176181.9</v>
      </c>
      <c r="E1303">
        <v>5.0700000000000002E-2</v>
      </c>
      <c r="F1303">
        <v>4.0899999999999999E-2</v>
      </c>
    </row>
    <row r="1304" spans="1:6" x14ac:dyDescent="0.3">
      <c r="A1304" t="s">
        <v>1339</v>
      </c>
      <c r="B1304" t="s">
        <v>41</v>
      </c>
      <c r="C1304">
        <v>4970000</v>
      </c>
      <c r="D1304">
        <v>6745.6</v>
      </c>
      <c r="E1304">
        <v>2.8400000000000002E-2</v>
      </c>
      <c r="F1304">
        <v>9.3799999999999994E-2</v>
      </c>
    </row>
    <row r="1305" spans="1:6" x14ac:dyDescent="0.3">
      <c r="A1305" t="s">
        <v>1340</v>
      </c>
      <c r="B1305" t="s">
        <v>88</v>
      </c>
      <c r="C1305">
        <v>2310000</v>
      </c>
      <c r="D1305">
        <v>3085</v>
      </c>
      <c r="E1305">
        <v>1.7600000000000001E-2</v>
      </c>
      <c r="F1305">
        <v>0.13100000000000001</v>
      </c>
    </row>
    <row r="1306" spans="1:6" x14ac:dyDescent="0.3">
      <c r="A1306" t="s">
        <v>1341</v>
      </c>
      <c r="B1306" t="s">
        <v>26</v>
      </c>
      <c r="C1306">
        <v>3740000</v>
      </c>
      <c r="D1306">
        <v>937993.9</v>
      </c>
      <c r="E1306">
        <v>4.5699999999999998E-2</v>
      </c>
      <c r="F1306">
        <v>4.0899999999999999E-2</v>
      </c>
    </row>
    <row r="1307" spans="1:6" x14ac:dyDescent="0.3">
      <c r="A1307" t="s">
        <v>1342</v>
      </c>
      <c r="B1307" t="s">
        <v>214</v>
      </c>
      <c r="C1307">
        <v>2420000</v>
      </c>
      <c r="D1307">
        <v>640197.4</v>
      </c>
      <c r="E1307">
        <v>5.0099999999999999E-2</v>
      </c>
      <c r="F1307">
        <v>9.5100000000000004E-2</v>
      </c>
    </row>
    <row r="1308" spans="1:6" x14ac:dyDescent="0.3">
      <c r="A1308" t="s">
        <v>1343</v>
      </c>
      <c r="B1308" t="s">
        <v>53</v>
      </c>
      <c r="C1308">
        <v>2500000</v>
      </c>
      <c r="D1308">
        <v>2878698.6</v>
      </c>
      <c r="E1308">
        <v>2.7900000000000001E-2</v>
      </c>
      <c r="F1308">
        <v>9.5100000000000004E-2</v>
      </c>
    </row>
    <row r="1309" spans="1:6" x14ac:dyDescent="0.3">
      <c r="A1309" t="s">
        <v>1344</v>
      </c>
      <c r="B1309" t="s">
        <v>26</v>
      </c>
      <c r="C1309">
        <v>3210000</v>
      </c>
      <c r="D1309">
        <v>5413.9</v>
      </c>
      <c r="E1309">
        <v>1.1599999999999999E-2</v>
      </c>
      <c r="F1309">
        <v>0.13270000000000001</v>
      </c>
    </row>
    <row r="1310" spans="1:6" x14ac:dyDescent="0.3">
      <c r="A1310" t="s">
        <v>1345</v>
      </c>
      <c r="B1310" t="s">
        <v>53</v>
      </c>
      <c r="C1310">
        <v>3220000</v>
      </c>
      <c r="D1310">
        <v>1887815.8</v>
      </c>
      <c r="E1310">
        <v>3.2199999999999999E-2</v>
      </c>
      <c r="F1310">
        <v>7.5899999999999995E-2</v>
      </c>
    </row>
    <row r="1311" spans="1:6" x14ac:dyDescent="0.3">
      <c r="A1311" t="s">
        <v>1346</v>
      </c>
      <c r="B1311" t="s">
        <v>88</v>
      </c>
      <c r="C1311">
        <v>3190000</v>
      </c>
      <c r="D1311">
        <v>1209</v>
      </c>
      <c r="E1311">
        <v>2.6100000000000002E-2</v>
      </c>
      <c r="F1311">
        <v>9.3799999999999994E-2</v>
      </c>
    </row>
    <row r="1312" spans="1:6" x14ac:dyDescent="0.3">
      <c r="A1312" t="s">
        <v>1347</v>
      </c>
      <c r="B1312" t="s">
        <v>53</v>
      </c>
      <c r="C1312">
        <v>2530000</v>
      </c>
      <c r="D1312">
        <v>10552.9</v>
      </c>
      <c r="E1312">
        <v>5.0200000000000002E-2</v>
      </c>
      <c r="F1312">
        <v>9.3799999999999994E-2</v>
      </c>
    </row>
    <row r="1313" spans="1:6" x14ac:dyDescent="0.3">
      <c r="A1313" t="s">
        <v>1348</v>
      </c>
      <c r="B1313" t="s">
        <v>26</v>
      </c>
      <c r="C1313">
        <v>5540000</v>
      </c>
      <c r="D1313">
        <v>2272694.9</v>
      </c>
      <c r="E1313">
        <v>2.2700000000000001E-2</v>
      </c>
      <c r="F1313">
        <v>4.0899999999999999E-2</v>
      </c>
    </row>
    <row r="1314" spans="1:6" x14ac:dyDescent="0.3">
      <c r="A1314" t="s">
        <v>1349</v>
      </c>
      <c r="B1314" t="s">
        <v>88</v>
      </c>
      <c r="C1314">
        <v>2390000</v>
      </c>
      <c r="D1314">
        <v>4541.2</v>
      </c>
      <c r="E1314">
        <v>1.4E-2</v>
      </c>
      <c r="F1314">
        <v>0.16039999999999999</v>
      </c>
    </row>
    <row r="1315" spans="1:6" x14ac:dyDescent="0.3">
      <c r="A1315" t="s">
        <v>1350</v>
      </c>
      <c r="B1315" t="s">
        <v>21</v>
      </c>
      <c r="C1315">
        <v>2640000</v>
      </c>
      <c r="D1315">
        <v>23336</v>
      </c>
      <c r="E1315">
        <v>5.3199999999999997E-2</v>
      </c>
      <c r="F1315">
        <v>7.5899999999999995E-2</v>
      </c>
    </row>
    <row r="1316" spans="1:6" x14ac:dyDescent="0.3">
      <c r="A1316" t="s">
        <v>1351</v>
      </c>
      <c r="B1316" t="s">
        <v>26</v>
      </c>
      <c r="C1316">
        <v>3350000</v>
      </c>
      <c r="D1316">
        <v>264579.20000000001</v>
      </c>
      <c r="E1316">
        <v>3.8399999999999997E-2</v>
      </c>
      <c r="F1316">
        <v>9.5100000000000004E-2</v>
      </c>
    </row>
    <row r="1317" spans="1:6" x14ac:dyDescent="0.3">
      <c r="A1317" t="s">
        <v>1352</v>
      </c>
      <c r="B1317" t="s">
        <v>26</v>
      </c>
      <c r="C1317">
        <v>3020000</v>
      </c>
      <c r="D1317">
        <v>1181703.7</v>
      </c>
      <c r="E1317">
        <v>6.8699999999999997E-2</v>
      </c>
      <c r="F1317">
        <v>9.5100000000000004E-2</v>
      </c>
    </row>
    <row r="1318" spans="1:6" x14ac:dyDescent="0.3">
      <c r="A1318" t="s">
        <v>1353</v>
      </c>
      <c r="B1318" t="s">
        <v>195</v>
      </c>
      <c r="C1318">
        <v>2950000</v>
      </c>
      <c r="D1318">
        <v>25359.3</v>
      </c>
      <c r="E1318">
        <v>2.06E-2</v>
      </c>
      <c r="F1318">
        <v>8.5400000000000004E-2</v>
      </c>
    </row>
    <row r="1319" spans="1:6" x14ac:dyDescent="0.3">
      <c r="A1319" t="s">
        <v>1354</v>
      </c>
      <c r="B1319" t="s">
        <v>24</v>
      </c>
      <c r="C1319">
        <v>2420000</v>
      </c>
      <c r="D1319">
        <v>32116.2</v>
      </c>
      <c r="E1319">
        <v>2.4400000000000002E-2</v>
      </c>
      <c r="F1319">
        <v>0.1053</v>
      </c>
    </row>
    <row r="1320" spans="1:6" x14ac:dyDescent="0.3">
      <c r="A1320" t="s">
        <v>1355</v>
      </c>
      <c r="B1320" t="s">
        <v>35</v>
      </c>
      <c r="C1320">
        <v>2950000</v>
      </c>
      <c r="D1320">
        <v>734296.4</v>
      </c>
      <c r="E1320">
        <v>4.6699999999999998E-2</v>
      </c>
      <c r="F1320">
        <v>4.0899999999999999E-2</v>
      </c>
    </row>
    <row r="1321" spans="1:6" x14ac:dyDescent="0.3">
      <c r="A1321" t="s">
        <v>1356</v>
      </c>
      <c r="B1321" t="s">
        <v>26</v>
      </c>
      <c r="C1321">
        <v>2280000</v>
      </c>
      <c r="D1321">
        <v>219190.2</v>
      </c>
      <c r="E1321">
        <v>4.0399999999999998E-2</v>
      </c>
      <c r="F1321">
        <v>9.5100000000000004E-2</v>
      </c>
    </row>
    <row r="1322" spans="1:6" x14ac:dyDescent="0.3">
      <c r="A1322" t="s">
        <v>1357</v>
      </c>
      <c r="B1322" t="s">
        <v>41</v>
      </c>
      <c r="C1322">
        <v>2520000</v>
      </c>
      <c r="D1322">
        <v>14475.9</v>
      </c>
      <c r="E1322">
        <v>1.4500000000000001E-2</v>
      </c>
      <c r="F1322">
        <v>5.7599999999999998E-2</v>
      </c>
    </row>
    <row r="1323" spans="1:6" x14ac:dyDescent="0.3">
      <c r="A1323" t="s">
        <v>1358</v>
      </c>
      <c r="B1323" t="s">
        <v>26</v>
      </c>
      <c r="C1323">
        <v>4870000</v>
      </c>
      <c r="D1323">
        <v>1077430.3</v>
      </c>
      <c r="E1323">
        <v>1.9199999999999998E-2</v>
      </c>
      <c r="F1323">
        <v>4.0899999999999999E-2</v>
      </c>
    </row>
    <row r="1324" spans="1:6" x14ac:dyDescent="0.3">
      <c r="A1324" t="s">
        <v>1359</v>
      </c>
      <c r="B1324" t="s">
        <v>26</v>
      </c>
      <c r="C1324">
        <v>2360000</v>
      </c>
      <c r="D1324">
        <v>63882</v>
      </c>
      <c r="E1324">
        <v>7.3800000000000004E-2</v>
      </c>
      <c r="F1324">
        <v>6.7199999999999996E-2</v>
      </c>
    </row>
    <row r="1325" spans="1:6" x14ac:dyDescent="0.3">
      <c r="A1325" t="s">
        <v>1360</v>
      </c>
      <c r="B1325" t="s">
        <v>30</v>
      </c>
      <c r="C1325">
        <v>4140000</v>
      </c>
      <c r="D1325">
        <v>694252.3</v>
      </c>
      <c r="E1325">
        <v>1.4500000000000001E-2</v>
      </c>
      <c r="F1325">
        <v>4.6199999999999998E-2</v>
      </c>
    </row>
    <row r="1326" spans="1:6" x14ac:dyDescent="0.3">
      <c r="A1326" t="s">
        <v>1361</v>
      </c>
      <c r="B1326" t="s">
        <v>30</v>
      </c>
      <c r="C1326">
        <v>2610000</v>
      </c>
      <c r="D1326">
        <v>187295.2</v>
      </c>
      <c r="E1326">
        <v>6.2E-2</v>
      </c>
      <c r="F1326">
        <v>7.5899999999999995E-2</v>
      </c>
    </row>
    <row r="1327" spans="1:6" x14ac:dyDescent="0.3">
      <c r="A1327" t="s">
        <v>1362</v>
      </c>
      <c r="B1327" t="s">
        <v>53</v>
      </c>
      <c r="C1327">
        <v>2610000</v>
      </c>
      <c r="D1327">
        <v>75696.100000000006</v>
      </c>
      <c r="E1327">
        <v>3.2300000000000002E-2</v>
      </c>
      <c r="F1327">
        <v>7.5899999999999995E-2</v>
      </c>
    </row>
    <row r="1328" spans="1:6" x14ac:dyDescent="0.3">
      <c r="A1328" t="s">
        <v>1363</v>
      </c>
      <c r="B1328" t="s">
        <v>26</v>
      </c>
      <c r="C1328">
        <v>2250000</v>
      </c>
      <c r="D1328">
        <v>12173.6</v>
      </c>
      <c r="E1328">
        <v>2.5499999999999998E-2</v>
      </c>
      <c r="F1328">
        <v>9.5100000000000004E-2</v>
      </c>
    </row>
    <row r="1329" spans="1:6" x14ac:dyDescent="0.3">
      <c r="A1329" t="s">
        <v>1364</v>
      </c>
      <c r="B1329" t="s">
        <v>26</v>
      </c>
      <c r="C1329">
        <v>3000000</v>
      </c>
      <c r="D1329">
        <v>61077.4</v>
      </c>
      <c r="E1329">
        <v>3.27E-2</v>
      </c>
      <c r="F1329">
        <v>7.5899999999999995E-2</v>
      </c>
    </row>
    <row r="1330" spans="1:6" x14ac:dyDescent="0.3">
      <c r="A1330" t="s">
        <v>1365</v>
      </c>
      <c r="B1330" t="s">
        <v>287</v>
      </c>
      <c r="C1330">
        <v>2400000</v>
      </c>
      <c r="D1330">
        <v>7910.1</v>
      </c>
      <c r="E1330">
        <v>4.3400000000000001E-2</v>
      </c>
      <c r="F1330">
        <v>9.3799999999999994E-2</v>
      </c>
    </row>
    <row r="1331" spans="1:6" x14ac:dyDescent="0.3">
      <c r="A1331" t="s">
        <v>1366</v>
      </c>
      <c r="B1331" t="s">
        <v>26</v>
      </c>
      <c r="C1331">
        <v>5050000</v>
      </c>
      <c r="D1331">
        <v>4346897.9000000004</v>
      </c>
      <c r="F1331">
        <v>4.0899999999999999E-2</v>
      </c>
    </row>
    <row r="1332" spans="1:6" x14ac:dyDescent="0.3">
      <c r="A1332" t="s">
        <v>1367</v>
      </c>
      <c r="B1332" t="s">
        <v>88</v>
      </c>
      <c r="C1332">
        <v>2920000</v>
      </c>
      <c r="D1332">
        <v>49484.6</v>
      </c>
      <c r="E1332">
        <v>5.8000000000000003E-2</v>
      </c>
      <c r="F1332">
        <v>0.1043</v>
      </c>
    </row>
    <row r="1333" spans="1:6" x14ac:dyDescent="0.3">
      <c r="A1333" t="s">
        <v>1368</v>
      </c>
      <c r="B1333" t="s">
        <v>26</v>
      </c>
      <c r="C1333">
        <v>4410000</v>
      </c>
      <c r="D1333">
        <v>138716.4</v>
      </c>
      <c r="E1333">
        <v>7.4999999999999997E-3</v>
      </c>
      <c r="F1333">
        <v>8.1100000000000005E-2</v>
      </c>
    </row>
    <row r="1334" spans="1:6" x14ac:dyDescent="0.3">
      <c r="A1334" t="s">
        <v>1369</v>
      </c>
      <c r="B1334" t="s">
        <v>41</v>
      </c>
      <c r="C1334">
        <v>3470000</v>
      </c>
      <c r="D1334">
        <v>14813.8</v>
      </c>
      <c r="E1334">
        <v>5.5999999999999999E-3</v>
      </c>
      <c r="F1334">
        <v>8.1100000000000005E-2</v>
      </c>
    </row>
    <row r="1335" spans="1:6" x14ac:dyDescent="0.3">
      <c r="A1335" t="s">
        <v>1370</v>
      </c>
      <c r="B1335" t="s">
        <v>41</v>
      </c>
      <c r="C1335">
        <v>2350000</v>
      </c>
      <c r="D1335">
        <v>9481.6</v>
      </c>
      <c r="E1335">
        <v>1.0200000000000001E-2</v>
      </c>
      <c r="F1335">
        <v>0.18659999999999999</v>
      </c>
    </row>
    <row r="1336" spans="1:6" x14ac:dyDescent="0.3">
      <c r="A1336" t="s">
        <v>1371</v>
      </c>
      <c r="B1336" t="s">
        <v>88</v>
      </c>
      <c r="C1336">
        <v>2380000</v>
      </c>
      <c r="D1336">
        <v>31975.200000000001</v>
      </c>
      <c r="E1336">
        <v>5.5599999999999997E-2</v>
      </c>
      <c r="F1336">
        <v>7.5899999999999995E-2</v>
      </c>
    </row>
    <row r="1337" spans="1:6" x14ac:dyDescent="0.3">
      <c r="A1337" t="s">
        <v>1372</v>
      </c>
      <c r="B1337" t="s">
        <v>26</v>
      </c>
      <c r="C1337">
        <v>2330000</v>
      </c>
      <c r="D1337">
        <v>7619.4</v>
      </c>
      <c r="E1337">
        <v>1.5800000000000002E-2</v>
      </c>
      <c r="F1337">
        <v>7.2599999999999998E-2</v>
      </c>
    </row>
    <row r="1338" spans="1:6" x14ac:dyDescent="0.3">
      <c r="A1338" t="s">
        <v>1373</v>
      </c>
      <c r="B1338" t="s">
        <v>26</v>
      </c>
      <c r="C1338">
        <v>3930000</v>
      </c>
      <c r="D1338">
        <v>146683.4</v>
      </c>
      <c r="E1338">
        <v>3.1300000000000001E-2</v>
      </c>
      <c r="F1338">
        <v>4.0899999999999999E-2</v>
      </c>
    </row>
    <row r="1339" spans="1:6" x14ac:dyDescent="0.3">
      <c r="A1339" t="s">
        <v>1374</v>
      </c>
      <c r="B1339" t="s">
        <v>41</v>
      </c>
      <c r="C1339">
        <v>3400000</v>
      </c>
      <c r="D1339">
        <v>669.1</v>
      </c>
      <c r="E1339">
        <v>5.8200000000000002E-2</v>
      </c>
      <c r="F1339">
        <v>0.2747</v>
      </c>
    </row>
    <row r="1340" spans="1:6" x14ac:dyDescent="0.3">
      <c r="A1340" t="s">
        <v>1375</v>
      </c>
      <c r="B1340" t="s">
        <v>53</v>
      </c>
      <c r="C1340">
        <v>3330000</v>
      </c>
      <c r="D1340">
        <v>60457.599999999999</v>
      </c>
      <c r="E1340">
        <v>1.77E-2</v>
      </c>
      <c r="F1340">
        <v>5.1999999999999998E-2</v>
      </c>
    </row>
    <row r="1341" spans="1:6" x14ac:dyDescent="0.3">
      <c r="A1341" t="s">
        <v>1376</v>
      </c>
      <c r="B1341" t="s">
        <v>26</v>
      </c>
      <c r="C1341">
        <v>5510000</v>
      </c>
      <c r="D1341">
        <v>2007826.7</v>
      </c>
      <c r="E1341">
        <v>8.0000000000000002E-3</v>
      </c>
      <c r="F1341">
        <v>6.54E-2</v>
      </c>
    </row>
    <row r="1342" spans="1:6" x14ac:dyDescent="0.3">
      <c r="A1342" t="s">
        <v>1377</v>
      </c>
      <c r="B1342" t="s">
        <v>26</v>
      </c>
      <c r="C1342">
        <v>2450000</v>
      </c>
      <c r="D1342">
        <v>188428.7</v>
      </c>
      <c r="E1342">
        <v>3.1899999999999998E-2</v>
      </c>
      <c r="F1342">
        <v>9.5100000000000004E-2</v>
      </c>
    </row>
    <row r="1343" spans="1:6" x14ac:dyDescent="0.3">
      <c r="A1343" t="s">
        <v>1378</v>
      </c>
      <c r="B1343" t="s">
        <v>26</v>
      </c>
      <c r="C1343">
        <v>2860000</v>
      </c>
      <c r="D1343">
        <v>2216304.2999999998</v>
      </c>
      <c r="E1343">
        <v>9.3600000000000003E-2</v>
      </c>
      <c r="F1343">
        <v>5.1799999999999999E-2</v>
      </c>
    </row>
    <row r="1344" spans="1:6" x14ac:dyDescent="0.3">
      <c r="A1344" t="s">
        <v>1379</v>
      </c>
      <c r="B1344" t="s">
        <v>35</v>
      </c>
      <c r="C1344">
        <v>2980000</v>
      </c>
      <c r="D1344">
        <v>44769.3</v>
      </c>
      <c r="E1344">
        <v>3.6900000000000002E-2</v>
      </c>
      <c r="F1344">
        <v>9.5100000000000004E-2</v>
      </c>
    </row>
    <row r="1345" spans="1:6" x14ac:dyDescent="0.3">
      <c r="A1345" t="s">
        <v>1380</v>
      </c>
      <c r="B1345" t="s">
        <v>26</v>
      </c>
      <c r="C1345">
        <v>2540000</v>
      </c>
      <c r="D1345">
        <v>306805.2</v>
      </c>
      <c r="E1345">
        <v>6.7900000000000002E-2</v>
      </c>
      <c r="F1345">
        <v>9.5100000000000004E-2</v>
      </c>
    </row>
    <row r="1346" spans="1:6" x14ac:dyDescent="0.3">
      <c r="A1346" t="s">
        <v>1381</v>
      </c>
      <c r="B1346" t="s">
        <v>24</v>
      </c>
      <c r="C1346">
        <v>2350000</v>
      </c>
      <c r="D1346">
        <v>1271.3</v>
      </c>
      <c r="E1346">
        <v>5.8999999999999999E-3</v>
      </c>
      <c r="F1346">
        <v>0.10150000000000001</v>
      </c>
    </row>
    <row r="1347" spans="1:6" x14ac:dyDescent="0.3">
      <c r="A1347" t="s">
        <v>1382</v>
      </c>
      <c r="B1347" t="s">
        <v>74</v>
      </c>
      <c r="C1347">
        <v>3440000</v>
      </c>
      <c r="D1347">
        <v>411.8</v>
      </c>
      <c r="E1347">
        <v>9.1600000000000001E-2</v>
      </c>
      <c r="F1347">
        <v>0.1226</v>
      </c>
    </row>
    <row r="1348" spans="1:6" x14ac:dyDescent="0.3">
      <c r="A1348" t="s">
        <v>1383</v>
      </c>
      <c r="B1348" t="s">
        <v>26</v>
      </c>
      <c r="C1348">
        <v>2520000</v>
      </c>
      <c r="D1348">
        <v>867667.7</v>
      </c>
      <c r="E1348">
        <v>3.1800000000000002E-2</v>
      </c>
      <c r="F1348">
        <v>9.5100000000000004E-2</v>
      </c>
    </row>
    <row r="1349" spans="1:6" x14ac:dyDescent="0.3">
      <c r="A1349" t="s">
        <v>1384</v>
      </c>
      <c r="B1349" t="s">
        <v>92</v>
      </c>
      <c r="C1349">
        <v>3310000</v>
      </c>
      <c r="D1349">
        <v>224625.2</v>
      </c>
      <c r="E1349">
        <v>2.5600000000000001E-2</v>
      </c>
      <c r="F1349">
        <v>9.5100000000000004E-2</v>
      </c>
    </row>
    <row r="1350" spans="1:6" x14ac:dyDescent="0.3">
      <c r="A1350" t="s">
        <v>1385</v>
      </c>
      <c r="B1350" t="s">
        <v>30</v>
      </c>
      <c r="C1350">
        <v>6960000</v>
      </c>
      <c r="D1350">
        <v>6743559.0999999996</v>
      </c>
      <c r="E1350">
        <v>2.58E-2</v>
      </c>
      <c r="F1350">
        <v>4.0899999999999999E-2</v>
      </c>
    </row>
    <row r="1351" spans="1:6" x14ac:dyDescent="0.3">
      <c r="A1351" t="s">
        <v>1386</v>
      </c>
      <c r="B1351" t="s">
        <v>88</v>
      </c>
      <c r="C1351">
        <v>2270000</v>
      </c>
      <c r="D1351">
        <v>1228.9000000000001</v>
      </c>
      <c r="E1351">
        <v>3.7100000000000001E-2</v>
      </c>
      <c r="F1351">
        <v>0.11700000000000001</v>
      </c>
    </row>
    <row r="1352" spans="1:6" x14ac:dyDescent="0.3">
      <c r="A1352" t="s">
        <v>1387</v>
      </c>
      <c r="B1352" t="s">
        <v>41</v>
      </c>
      <c r="C1352">
        <v>2340000</v>
      </c>
      <c r="D1352">
        <v>1603.9</v>
      </c>
      <c r="E1352">
        <v>1.78E-2</v>
      </c>
      <c r="F1352">
        <v>0.13100000000000001</v>
      </c>
    </row>
    <row r="1353" spans="1:6" x14ac:dyDescent="0.3">
      <c r="A1353" t="s">
        <v>1388</v>
      </c>
      <c r="B1353" t="s">
        <v>26</v>
      </c>
      <c r="C1353">
        <v>3090000</v>
      </c>
      <c r="D1353">
        <v>869253.1</v>
      </c>
      <c r="E1353">
        <v>3.0800000000000001E-2</v>
      </c>
      <c r="F1353">
        <v>8.4500000000000006E-2</v>
      </c>
    </row>
    <row r="1354" spans="1:6" x14ac:dyDescent="0.3">
      <c r="A1354" t="s">
        <v>1389</v>
      </c>
      <c r="B1354" t="s">
        <v>62</v>
      </c>
      <c r="C1354">
        <v>2260000</v>
      </c>
      <c r="D1354">
        <v>2417.4</v>
      </c>
      <c r="E1354">
        <v>8.6999999999999994E-3</v>
      </c>
      <c r="F1354">
        <v>8.2100000000000006E-2</v>
      </c>
    </row>
    <row r="1355" spans="1:6" x14ac:dyDescent="0.3">
      <c r="A1355" t="s">
        <v>1390</v>
      </c>
      <c r="B1355" t="s">
        <v>88</v>
      </c>
      <c r="C1355">
        <v>2910000</v>
      </c>
      <c r="D1355">
        <v>21825</v>
      </c>
      <c r="E1355">
        <v>3.15E-2</v>
      </c>
      <c r="F1355">
        <v>7.5899999999999995E-2</v>
      </c>
    </row>
    <row r="1356" spans="1:6" x14ac:dyDescent="0.3">
      <c r="A1356" t="s">
        <v>1391</v>
      </c>
      <c r="B1356" t="s">
        <v>24</v>
      </c>
      <c r="C1356">
        <v>3100000</v>
      </c>
      <c r="D1356">
        <v>17416.3</v>
      </c>
      <c r="E1356">
        <v>0.19889999999999999</v>
      </c>
      <c r="F1356">
        <v>9.3799999999999994E-2</v>
      </c>
    </row>
    <row r="1357" spans="1:6" x14ac:dyDescent="0.3">
      <c r="A1357" t="s">
        <v>1392</v>
      </c>
      <c r="B1357" t="s">
        <v>41</v>
      </c>
      <c r="C1357">
        <v>2280000</v>
      </c>
      <c r="F1357">
        <v>7.5899999999999995E-2</v>
      </c>
    </row>
    <row r="1358" spans="1:6" x14ac:dyDescent="0.3">
      <c r="A1358" t="s">
        <v>1393</v>
      </c>
      <c r="B1358" t="s">
        <v>92</v>
      </c>
      <c r="C1358">
        <v>3110000</v>
      </c>
      <c r="D1358">
        <v>199983</v>
      </c>
      <c r="E1358">
        <v>1.78E-2</v>
      </c>
      <c r="F1358">
        <v>0.1053</v>
      </c>
    </row>
    <row r="1359" spans="1:6" x14ac:dyDescent="0.3">
      <c r="A1359" t="s">
        <v>1394</v>
      </c>
      <c r="B1359" t="s">
        <v>26</v>
      </c>
      <c r="C1359">
        <v>2390000</v>
      </c>
      <c r="D1359">
        <v>351.1</v>
      </c>
      <c r="E1359">
        <v>2.3199999999999998E-2</v>
      </c>
      <c r="F1359">
        <v>0.1067</v>
      </c>
    </row>
    <row r="1360" spans="1:6" x14ac:dyDescent="0.3">
      <c r="A1360" t="s">
        <v>1395</v>
      </c>
      <c r="B1360" t="s">
        <v>26</v>
      </c>
      <c r="C1360">
        <v>2610000</v>
      </c>
      <c r="D1360">
        <v>96.9</v>
      </c>
      <c r="E1360">
        <v>8.0999999999999996E-3</v>
      </c>
      <c r="F1360">
        <v>0.1013</v>
      </c>
    </row>
    <row r="1361" spans="1:6" x14ac:dyDescent="0.3">
      <c r="A1361" t="s">
        <v>1396</v>
      </c>
      <c r="B1361" t="s">
        <v>26</v>
      </c>
      <c r="C1361">
        <v>4740000</v>
      </c>
      <c r="D1361">
        <v>417009.2</v>
      </c>
      <c r="E1361">
        <v>5.1499999999999997E-2</v>
      </c>
      <c r="F1361">
        <v>4.0899999999999999E-2</v>
      </c>
    </row>
    <row r="1362" spans="1:6" x14ac:dyDescent="0.3">
      <c r="A1362" t="s">
        <v>1397</v>
      </c>
      <c r="B1362" t="s">
        <v>26</v>
      </c>
      <c r="C1362">
        <v>2660000</v>
      </c>
      <c r="D1362">
        <v>1419746.3</v>
      </c>
      <c r="E1362">
        <v>3.2800000000000003E-2</v>
      </c>
      <c r="F1362">
        <v>5.1799999999999999E-2</v>
      </c>
    </row>
    <row r="1363" spans="1:6" x14ac:dyDescent="0.3">
      <c r="A1363" t="s">
        <v>1398</v>
      </c>
      <c r="B1363" t="s">
        <v>32</v>
      </c>
      <c r="C1363">
        <v>3360000</v>
      </c>
      <c r="D1363">
        <v>2091.6999999999998</v>
      </c>
      <c r="E1363">
        <v>2.2800000000000001E-2</v>
      </c>
      <c r="F1363">
        <v>0.16880000000000001</v>
      </c>
    </row>
    <row r="1364" spans="1:6" x14ac:dyDescent="0.3">
      <c r="A1364" t="s">
        <v>1399</v>
      </c>
      <c r="B1364" t="s">
        <v>92</v>
      </c>
      <c r="C1364">
        <v>3670000</v>
      </c>
      <c r="D1364">
        <v>954534.2</v>
      </c>
      <c r="E1364">
        <v>2.9399999999999999E-2</v>
      </c>
      <c r="F1364">
        <v>4.0899999999999999E-2</v>
      </c>
    </row>
    <row r="1365" spans="1:6" x14ac:dyDescent="0.3">
      <c r="A1365" t="s">
        <v>1400</v>
      </c>
      <c r="B1365" t="s">
        <v>62</v>
      </c>
      <c r="C1365">
        <v>3380000</v>
      </c>
      <c r="D1365">
        <v>108242.9</v>
      </c>
      <c r="E1365">
        <v>4.7800000000000002E-2</v>
      </c>
      <c r="F1365">
        <v>7.5899999999999995E-2</v>
      </c>
    </row>
    <row r="1366" spans="1:6" x14ac:dyDescent="0.3">
      <c r="A1366" t="s">
        <v>1401</v>
      </c>
      <c r="B1366" t="s">
        <v>74</v>
      </c>
      <c r="C1366">
        <v>2450000</v>
      </c>
      <c r="D1366">
        <v>42861.8</v>
      </c>
      <c r="E1366">
        <v>3.3300000000000003E-2</v>
      </c>
      <c r="F1366">
        <v>7.5899999999999995E-2</v>
      </c>
    </row>
    <row r="1367" spans="1:6" x14ac:dyDescent="0.3">
      <c r="A1367" t="s">
        <v>1402</v>
      </c>
      <c r="B1367" t="s">
        <v>30</v>
      </c>
      <c r="C1367">
        <v>3180000</v>
      </c>
      <c r="D1367">
        <v>438742.3</v>
      </c>
      <c r="E1367">
        <v>4.9000000000000002E-2</v>
      </c>
      <c r="F1367">
        <v>4.3200000000000002E-2</v>
      </c>
    </row>
    <row r="1368" spans="1:6" x14ac:dyDescent="0.3">
      <c r="A1368" t="s">
        <v>1403</v>
      </c>
      <c r="B1368" t="s">
        <v>214</v>
      </c>
      <c r="C1368">
        <v>2850000</v>
      </c>
      <c r="D1368">
        <v>292451.40000000002</v>
      </c>
      <c r="E1368">
        <v>2.6599999999999999E-2</v>
      </c>
      <c r="F1368">
        <v>9.3799999999999994E-2</v>
      </c>
    </row>
    <row r="1369" spans="1:6" x14ac:dyDescent="0.3">
      <c r="A1369" t="s">
        <v>1404</v>
      </c>
      <c r="B1369" t="s">
        <v>195</v>
      </c>
      <c r="C1369">
        <v>3320000</v>
      </c>
      <c r="D1369">
        <v>5983.4</v>
      </c>
      <c r="E1369">
        <v>9.1399999999999995E-2</v>
      </c>
      <c r="F1369">
        <v>6.7199999999999996E-2</v>
      </c>
    </row>
    <row r="1370" spans="1:6" x14ac:dyDescent="0.3">
      <c r="A1370" t="s">
        <v>1405</v>
      </c>
      <c r="B1370" t="s">
        <v>32</v>
      </c>
      <c r="C1370">
        <v>2420000</v>
      </c>
      <c r="D1370">
        <v>3045.9</v>
      </c>
      <c r="E1370">
        <v>1.9199999999999998E-2</v>
      </c>
      <c r="F1370">
        <v>0.1067</v>
      </c>
    </row>
    <row r="1371" spans="1:6" x14ac:dyDescent="0.3">
      <c r="A1371" t="s">
        <v>1406</v>
      </c>
      <c r="B1371" t="s">
        <v>50</v>
      </c>
      <c r="C1371">
        <v>2720000</v>
      </c>
      <c r="D1371">
        <v>278992.90000000002</v>
      </c>
      <c r="E1371">
        <v>2.3900000000000001E-2</v>
      </c>
      <c r="F1371">
        <v>4.0899999999999999E-2</v>
      </c>
    </row>
    <row r="1372" spans="1:6" x14ac:dyDescent="0.3">
      <c r="A1372" t="s">
        <v>1407</v>
      </c>
      <c r="B1372" t="s">
        <v>214</v>
      </c>
      <c r="C1372">
        <v>3010000</v>
      </c>
      <c r="D1372">
        <v>420626.2</v>
      </c>
      <c r="E1372">
        <v>2.35E-2</v>
      </c>
      <c r="F1372">
        <v>9.5100000000000004E-2</v>
      </c>
    </row>
    <row r="1373" spans="1:6" x14ac:dyDescent="0.3">
      <c r="A1373" t="s">
        <v>1408</v>
      </c>
      <c r="B1373" t="s">
        <v>26</v>
      </c>
      <c r="C1373">
        <v>3020000</v>
      </c>
      <c r="D1373">
        <v>122682.3</v>
      </c>
      <c r="E1373">
        <v>7.1000000000000004E-3</v>
      </c>
      <c r="F1373">
        <v>8.1100000000000005E-2</v>
      </c>
    </row>
    <row r="1374" spans="1:6" x14ac:dyDescent="0.3">
      <c r="A1374" t="s">
        <v>1409</v>
      </c>
      <c r="B1374" t="s">
        <v>26</v>
      </c>
      <c r="C1374">
        <v>8680000</v>
      </c>
      <c r="D1374">
        <v>320688.59999999998</v>
      </c>
      <c r="E1374">
        <v>9.8799999999999999E-2</v>
      </c>
      <c r="F1374">
        <v>7.5899999999999995E-2</v>
      </c>
    </row>
    <row r="1375" spans="1:6" x14ac:dyDescent="0.3">
      <c r="A1375" t="s">
        <v>1410</v>
      </c>
      <c r="B1375" t="s">
        <v>41</v>
      </c>
      <c r="C1375">
        <v>3220000</v>
      </c>
      <c r="D1375">
        <v>1381.8</v>
      </c>
      <c r="E1375">
        <v>3.0300000000000001E-2</v>
      </c>
      <c r="F1375">
        <v>9.3799999999999994E-2</v>
      </c>
    </row>
    <row r="1376" spans="1:6" x14ac:dyDescent="0.3">
      <c r="A1376" t="s">
        <v>1411</v>
      </c>
      <c r="B1376" t="s">
        <v>26</v>
      </c>
      <c r="C1376">
        <v>2540000</v>
      </c>
      <c r="D1376">
        <v>69716.399999999994</v>
      </c>
      <c r="E1376">
        <v>5.6899999999999999E-2</v>
      </c>
      <c r="F1376">
        <v>7.5899999999999995E-2</v>
      </c>
    </row>
    <row r="1377" spans="1:6" x14ac:dyDescent="0.3">
      <c r="A1377" t="s">
        <v>1412</v>
      </c>
      <c r="B1377" t="s">
        <v>24</v>
      </c>
      <c r="C1377">
        <v>2660000</v>
      </c>
      <c r="D1377">
        <v>163422.1</v>
      </c>
      <c r="E1377">
        <v>6.4799999999999996E-2</v>
      </c>
      <c r="F1377">
        <v>9.5100000000000004E-2</v>
      </c>
    </row>
    <row r="1378" spans="1:6" x14ac:dyDescent="0.3">
      <c r="A1378" t="s">
        <v>1413</v>
      </c>
      <c r="B1378" t="s">
        <v>92</v>
      </c>
      <c r="C1378">
        <v>2340000</v>
      </c>
      <c r="D1378">
        <v>3929.6</v>
      </c>
      <c r="E1378">
        <v>4.87E-2</v>
      </c>
      <c r="F1378">
        <v>7.5899999999999995E-2</v>
      </c>
    </row>
    <row r="1379" spans="1:6" x14ac:dyDescent="0.3">
      <c r="A1379" t="s">
        <v>1414</v>
      </c>
      <c r="B1379" t="s">
        <v>32</v>
      </c>
      <c r="C1379">
        <v>2860000</v>
      </c>
      <c r="D1379">
        <v>4557.1000000000004</v>
      </c>
      <c r="E1379">
        <v>4.4999999999999997E-3</v>
      </c>
      <c r="F1379">
        <v>8.1100000000000005E-2</v>
      </c>
    </row>
    <row r="1380" spans="1:6" x14ac:dyDescent="0.3">
      <c r="A1380" t="s">
        <v>1415</v>
      </c>
      <c r="B1380" t="s">
        <v>74</v>
      </c>
      <c r="C1380">
        <v>2470000</v>
      </c>
      <c r="D1380">
        <v>11221</v>
      </c>
      <c r="E1380">
        <v>4.5499999999999999E-2</v>
      </c>
      <c r="F1380">
        <v>9.3799999999999994E-2</v>
      </c>
    </row>
    <row r="1381" spans="1:6" x14ac:dyDescent="0.3">
      <c r="A1381" t="s">
        <v>1416</v>
      </c>
      <c r="B1381" t="s">
        <v>30</v>
      </c>
      <c r="C1381">
        <v>3510000</v>
      </c>
      <c r="D1381">
        <v>2187343.9</v>
      </c>
      <c r="E1381">
        <v>1.9300000000000001E-2</v>
      </c>
      <c r="F1381">
        <v>4.6199999999999998E-2</v>
      </c>
    </row>
    <row r="1382" spans="1:6" x14ac:dyDescent="0.3">
      <c r="A1382" t="s">
        <v>1417</v>
      </c>
      <c r="B1382" t="s">
        <v>26</v>
      </c>
      <c r="C1382">
        <v>2560000</v>
      </c>
      <c r="D1382">
        <v>15521.8</v>
      </c>
      <c r="E1382">
        <v>4.9500000000000002E-2</v>
      </c>
      <c r="F1382">
        <v>7.5899999999999995E-2</v>
      </c>
    </row>
    <row r="1383" spans="1:6" x14ac:dyDescent="0.3">
      <c r="A1383" t="s">
        <v>1418</v>
      </c>
      <c r="B1383" t="s">
        <v>88</v>
      </c>
      <c r="C1383">
        <v>2580000</v>
      </c>
      <c r="D1383">
        <v>2446.8000000000002</v>
      </c>
      <c r="E1383">
        <v>0.1048</v>
      </c>
      <c r="F1383">
        <v>9.3799999999999994E-2</v>
      </c>
    </row>
    <row r="1384" spans="1:6" x14ac:dyDescent="0.3">
      <c r="A1384" t="s">
        <v>1419</v>
      </c>
      <c r="B1384" t="s">
        <v>214</v>
      </c>
      <c r="C1384">
        <v>2880000</v>
      </c>
      <c r="D1384">
        <v>374574.7</v>
      </c>
      <c r="E1384">
        <v>7.4000000000000003E-3</v>
      </c>
      <c r="F1384">
        <v>6.54E-2</v>
      </c>
    </row>
    <row r="1385" spans="1:6" x14ac:dyDescent="0.3">
      <c r="A1385" t="s">
        <v>1420</v>
      </c>
      <c r="B1385" t="s">
        <v>26</v>
      </c>
      <c r="C1385">
        <v>3810000</v>
      </c>
      <c r="D1385">
        <v>986576.4</v>
      </c>
      <c r="E1385">
        <v>5.7999999999999996E-3</v>
      </c>
      <c r="F1385">
        <v>8.1100000000000005E-2</v>
      </c>
    </row>
    <row r="1386" spans="1:6" x14ac:dyDescent="0.3">
      <c r="A1386" t="s">
        <v>1421</v>
      </c>
      <c r="B1386" t="s">
        <v>92</v>
      </c>
      <c r="C1386">
        <v>2860000</v>
      </c>
      <c r="D1386">
        <v>190.1</v>
      </c>
      <c r="E1386">
        <v>1.8499999999999999E-2</v>
      </c>
      <c r="F1386">
        <v>0.13719999999999999</v>
      </c>
    </row>
    <row r="1387" spans="1:6" x14ac:dyDescent="0.3">
      <c r="A1387" t="s">
        <v>1422</v>
      </c>
      <c r="B1387" t="s">
        <v>21</v>
      </c>
      <c r="C1387">
        <v>3240000</v>
      </c>
      <c r="D1387">
        <v>3580.1</v>
      </c>
      <c r="E1387">
        <v>1.9699999999999999E-2</v>
      </c>
      <c r="F1387">
        <v>7.5700000000000003E-2</v>
      </c>
    </row>
    <row r="1388" spans="1:6" x14ac:dyDescent="0.3">
      <c r="A1388" t="s">
        <v>1423</v>
      </c>
      <c r="B1388" t="s">
        <v>41</v>
      </c>
      <c r="C1388">
        <v>2240000</v>
      </c>
      <c r="D1388">
        <v>311.3</v>
      </c>
      <c r="E1388">
        <v>3.9E-2</v>
      </c>
      <c r="F1388">
        <v>9.3799999999999994E-2</v>
      </c>
    </row>
    <row r="1389" spans="1:6" x14ac:dyDescent="0.3">
      <c r="A1389" t="s">
        <v>1424</v>
      </c>
      <c r="B1389" t="s">
        <v>26</v>
      </c>
      <c r="C1389">
        <v>2490000</v>
      </c>
      <c r="D1389">
        <v>181614.3</v>
      </c>
      <c r="E1389">
        <v>3.7699999999999997E-2</v>
      </c>
      <c r="F1389">
        <v>4.0899999999999999E-2</v>
      </c>
    </row>
    <row r="1390" spans="1:6" x14ac:dyDescent="0.3">
      <c r="A1390" t="s">
        <v>1425</v>
      </c>
      <c r="B1390" t="s">
        <v>287</v>
      </c>
      <c r="C1390">
        <v>2210000</v>
      </c>
      <c r="D1390">
        <v>2104.4</v>
      </c>
      <c r="E1390">
        <v>1.34E-2</v>
      </c>
      <c r="F1390">
        <v>7.2599999999999998E-2</v>
      </c>
    </row>
    <row r="1391" spans="1:6" x14ac:dyDescent="0.3">
      <c r="A1391" t="s">
        <v>1426</v>
      </c>
      <c r="B1391" t="s">
        <v>24</v>
      </c>
      <c r="C1391">
        <v>3450000</v>
      </c>
      <c r="D1391">
        <v>64299.5</v>
      </c>
      <c r="E1391">
        <v>2.4E-2</v>
      </c>
      <c r="F1391">
        <v>8.5400000000000004E-2</v>
      </c>
    </row>
    <row r="1392" spans="1:6" x14ac:dyDescent="0.3">
      <c r="A1392" t="s">
        <v>1427</v>
      </c>
      <c r="B1392" t="s">
        <v>26</v>
      </c>
      <c r="C1392">
        <v>2150000</v>
      </c>
      <c r="D1392">
        <v>5245.9</v>
      </c>
      <c r="E1392">
        <v>1.5599999999999999E-2</v>
      </c>
      <c r="F1392">
        <v>7.2599999999999998E-2</v>
      </c>
    </row>
    <row r="1393" spans="1:6" x14ac:dyDescent="0.3">
      <c r="A1393" t="s">
        <v>1428</v>
      </c>
      <c r="B1393" t="s">
        <v>62</v>
      </c>
      <c r="C1393">
        <v>4810000</v>
      </c>
      <c r="D1393">
        <v>290392.90000000002</v>
      </c>
      <c r="E1393">
        <v>5.1400000000000001E-2</v>
      </c>
      <c r="F1393">
        <v>7.5899999999999995E-2</v>
      </c>
    </row>
    <row r="1394" spans="1:6" x14ac:dyDescent="0.3">
      <c r="A1394" t="s">
        <v>1429</v>
      </c>
      <c r="B1394" t="s">
        <v>32</v>
      </c>
      <c r="C1394">
        <v>2920000</v>
      </c>
      <c r="D1394">
        <v>155448.20000000001</v>
      </c>
      <c r="E1394">
        <v>1.24E-2</v>
      </c>
      <c r="F1394">
        <v>8.1100000000000005E-2</v>
      </c>
    </row>
    <row r="1395" spans="1:6" x14ac:dyDescent="0.3">
      <c r="A1395" t="s">
        <v>1430</v>
      </c>
      <c r="B1395" t="s">
        <v>62</v>
      </c>
      <c r="C1395">
        <v>2720000</v>
      </c>
      <c r="D1395">
        <v>8274.5</v>
      </c>
      <c r="E1395">
        <v>2.81E-2</v>
      </c>
      <c r="F1395">
        <v>7.5899999999999995E-2</v>
      </c>
    </row>
    <row r="1396" spans="1:6" x14ac:dyDescent="0.3">
      <c r="A1396" t="s">
        <v>1431</v>
      </c>
      <c r="B1396" t="s">
        <v>26</v>
      </c>
      <c r="C1396">
        <v>3140000</v>
      </c>
      <c r="D1396">
        <v>3799721.7</v>
      </c>
      <c r="E1396">
        <v>4.5499999999999999E-2</v>
      </c>
      <c r="F1396">
        <v>7.5899999999999995E-2</v>
      </c>
    </row>
    <row r="1397" spans="1:6" x14ac:dyDescent="0.3">
      <c r="A1397" t="s">
        <v>1432</v>
      </c>
      <c r="B1397" t="s">
        <v>30</v>
      </c>
      <c r="C1397">
        <v>2190000</v>
      </c>
      <c r="D1397">
        <v>6951.2</v>
      </c>
      <c r="E1397">
        <v>2.8400000000000002E-2</v>
      </c>
      <c r="F1397">
        <v>9.5100000000000004E-2</v>
      </c>
    </row>
    <row r="1398" spans="1:6" x14ac:dyDescent="0.3">
      <c r="A1398" t="s">
        <v>1433</v>
      </c>
      <c r="B1398" t="s">
        <v>214</v>
      </c>
      <c r="C1398">
        <v>2380000</v>
      </c>
      <c r="D1398">
        <v>12007.5</v>
      </c>
      <c r="E1398">
        <v>2.6100000000000002E-2</v>
      </c>
      <c r="F1398">
        <v>7.5899999999999995E-2</v>
      </c>
    </row>
    <row r="1399" spans="1:6" x14ac:dyDescent="0.3">
      <c r="A1399" t="s">
        <v>1434</v>
      </c>
      <c r="B1399" t="s">
        <v>88</v>
      </c>
      <c r="C1399">
        <v>2390000</v>
      </c>
      <c r="D1399">
        <v>24291.9</v>
      </c>
      <c r="E1399">
        <v>3.0599999999999999E-2</v>
      </c>
      <c r="F1399">
        <v>9.5100000000000004E-2</v>
      </c>
    </row>
    <row r="1400" spans="1:6" x14ac:dyDescent="0.3">
      <c r="A1400" t="s">
        <v>1435</v>
      </c>
      <c r="B1400" t="s">
        <v>26</v>
      </c>
      <c r="C1400">
        <v>2200000</v>
      </c>
      <c r="D1400">
        <v>1688.4</v>
      </c>
      <c r="E1400">
        <v>7.0000000000000001E-3</v>
      </c>
      <c r="F1400">
        <v>8.1100000000000005E-2</v>
      </c>
    </row>
    <row r="1401" spans="1:6" x14ac:dyDescent="0.3">
      <c r="A1401" t="s">
        <v>1436</v>
      </c>
      <c r="B1401" t="s">
        <v>21</v>
      </c>
      <c r="C1401">
        <v>2180000</v>
      </c>
      <c r="D1401">
        <v>3988.4</v>
      </c>
      <c r="E1401">
        <v>3.0300000000000001E-2</v>
      </c>
      <c r="F1401">
        <v>9.5100000000000004E-2</v>
      </c>
    </row>
    <row r="1402" spans="1:6" x14ac:dyDescent="0.3">
      <c r="A1402" t="s">
        <v>1437</v>
      </c>
      <c r="B1402" t="s">
        <v>26</v>
      </c>
      <c r="C1402">
        <v>2580000</v>
      </c>
      <c r="D1402">
        <v>61680.9</v>
      </c>
      <c r="E1402">
        <v>6.6E-3</v>
      </c>
      <c r="F1402">
        <v>6.54E-2</v>
      </c>
    </row>
    <row r="1403" spans="1:6" x14ac:dyDescent="0.3">
      <c r="A1403" t="s">
        <v>1438</v>
      </c>
      <c r="B1403" t="s">
        <v>26</v>
      </c>
      <c r="C1403">
        <v>2750000</v>
      </c>
      <c r="D1403">
        <v>2066.1999999999998</v>
      </c>
      <c r="E1403">
        <v>1.14E-2</v>
      </c>
      <c r="F1403">
        <v>0.1013</v>
      </c>
    </row>
    <row r="1404" spans="1:6" x14ac:dyDescent="0.3">
      <c r="A1404" t="s">
        <v>1439</v>
      </c>
      <c r="B1404" t="s">
        <v>41</v>
      </c>
      <c r="C1404">
        <v>3140000</v>
      </c>
      <c r="D1404">
        <v>130944.5</v>
      </c>
      <c r="F1404">
        <v>5.0999999999999997E-2</v>
      </c>
    </row>
    <row r="1405" spans="1:6" x14ac:dyDescent="0.3">
      <c r="A1405" t="s">
        <v>1440</v>
      </c>
      <c r="B1405" t="s">
        <v>81</v>
      </c>
      <c r="C1405">
        <v>2530000</v>
      </c>
      <c r="D1405">
        <v>24578.9</v>
      </c>
      <c r="E1405">
        <v>1.84E-2</v>
      </c>
      <c r="F1405">
        <v>0.1053</v>
      </c>
    </row>
    <row r="1406" spans="1:6" x14ac:dyDescent="0.3">
      <c r="A1406" t="s">
        <v>1441</v>
      </c>
      <c r="B1406" t="s">
        <v>92</v>
      </c>
      <c r="C1406">
        <v>2190000</v>
      </c>
      <c r="D1406">
        <v>2994.8</v>
      </c>
      <c r="E1406">
        <v>2.24E-2</v>
      </c>
      <c r="F1406">
        <v>9.3700000000000006E-2</v>
      </c>
    </row>
    <row r="1407" spans="1:6" x14ac:dyDescent="0.3">
      <c r="A1407" t="s">
        <v>1442</v>
      </c>
      <c r="B1407" t="s">
        <v>30</v>
      </c>
      <c r="C1407">
        <v>2270000</v>
      </c>
      <c r="D1407">
        <v>365667.1</v>
      </c>
      <c r="E1407">
        <v>2.6700000000000002E-2</v>
      </c>
      <c r="F1407">
        <v>7.5899999999999995E-2</v>
      </c>
    </row>
    <row r="1408" spans="1:6" x14ac:dyDescent="0.3">
      <c r="A1408" t="s">
        <v>1443</v>
      </c>
      <c r="B1408" t="s">
        <v>26</v>
      </c>
      <c r="C1408">
        <v>3690000</v>
      </c>
      <c r="D1408">
        <v>8204953.5999999996</v>
      </c>
      <c r="E1408">
        <v>2.0400000000000001E-2</v>
      </c>
      <c r="F1408">
        <v>5.1799999999999999E-2</v>
      </c>
    </row>
    <row r="1409" spans="1:6" x14ac:dyDescent="0.3">
      <c r="A1409" t="s">
        <v>1444</v>
      </c>
      <c r="B1409" t="s">
        <v>62</v>
      </c>
      <c r="C1409">
        <v>2310000</v>
      </c>
      <c r="D1409">
        <v>24912.9</v>
      </c>
      <c r="E1409">
        <v>3.5499999999999997E-2</v>
      </c>
      <c r="F1409">
        <v>9.5100000000000004E-2</v>
      </c>
    </row>
    <row r="1410" spans="1:6" x14ac:dyDescent="0.3">
      <c r="A1410" t="s">
        <v>1445</v>
      </c>
      <c r="B1410" t="s">
        <v>26</v>
      </c>
      <c r="C1410">
        <v>2980000</v>
      </c>
      <c r="D1410">
        <v>63823.4</v>
      </c>
      <c r="E1410">
        <v>1.09E-2</v>
      </c>
      <c r="F1410">
        <v>0.18890000000000001</v>
      </c>
    </row>
    <row r="1411" spans="1:6" x14ac:dyDescent="0.3">
      <c r="A1411" t="s">
        <v>1446</v>
      </c>
      <c r="B1411" t="s">
        <v>88</v>
      </c>
      <c r="C1411">
        <v>2290000</v>
      </c>
      <c r="D1411">
        <v>29954.6</v>
      </c>
      <c r="E1411">
        <v>4.5999999999999999E-2</v>
      </c>
      <c r="F1411">
        <v>7.5899999999999995E-2</v>
      </c>
    </row>
    <row r="1412" spans="1:6" x14ac:dyDescent="0.3">
      <c r="A1412" t="s">
        <v>1447</v>
      </c>
      <c r="B1412" t="s">
        <v>26</v>
      </c>
      <c r="C1412">
        <v>3540000</v>
      </c>
      <c r="D1412">
        <v>31.9</v>
      </c>
      <c r="E1412">
        <v>2.0999999999999999E-3</v>
      </c>
      <c r="F1412">
        <v>0.26569999999999999</v>
      </c>
    </row>
    <row r="1413" spans="1:6" x14ac:dyDescent="0.3">
      <c r="A1413" t="s">
        <v>1448</v>
      </c>
      <c r="B1413" t="s">
        <v>92</v>
      </c>
      <c r="C1413">
        <v>2500000</v>
      </c>
      <c r="D1413">
        <v>58316</v>
      </c>
      <c r="E1413">
        <v>2.41E-2</v>
      </c>
      <c r="F1413">
        <v>7.5899999999999995E-2</v>
      </c>
    </row>
    <row r="1414" spans="1:6" x14ac:dyDescent="0.3">
      <c r="A1414" t="s">
        <v>1449</v>
      </c>
      <c r="B1414" t="s">
        <v>41</v>
      </c>
      <c r="C1414">
        <v>2790000</v>
      </c>
      <c r="D1414">
        <v>1943.2</v>
      </c>
      <c r="E1414">
        <v>2.8400000000000002E-2</v>
      </c>
      <c r="F1414">
        <v>0.1226</v>
      </c>
    </row>
    <row r="1415" spans="1:6" x14ac:dyDescent="0.3">
      <c r="A1415" t="s">
        <v>1450</v>
      </c>
      <c r="B1415" t="s">
        <v>287</v>
      </c>
      <c r="C1415">
        <v>4450000</v>
      </c>
      <c r="D1415">
        <v>293953.5</v>
      </c>
      <c r="E1415">
        <v>2.5499999999999998E-2</v>
      </c>
      <c r="F1415">
        <v>4.0899999999999999E-2</v>
      </c>
    </row>
    <row r="1416" spans="1:6" x14ac:dyDescent="0.3">
      <c r="A1416" t="s">
        <v>1451</v>
      </c>
      <c r="B1416" t="s">
        <v>53</v>
      </c>
      <c r="C1416">
        <v>2560000</v>
      </c>
      <c r="D1416">
        <v>19013.2</v>
      </c>
      <c r="E1416">
        <v>3.7499999999999999E-2</v>
      </c>
      <c r="F1416">
        <v>9.3799999999999994E-2</v>
      </c>
    </row>
    <row r="1417" spans="1:6" x14ac:dyDescent="0.3">
      <c r="A1417" t="s">
        <v>1452</v>
      </c>
      <c r="B1417" t="s">
        <v>26</v>
      </c>
      <c r="C1417">
        <v>17900000</v>
      </c>
      <c r="D1417">
        <v>805030.2</v>
      </c>
      <c r="E1417">
        <v>4.53E-2</v>
      </c>
      <c r="F1417">
        <v>0.1043</v>
      </c>
    </row>
    <row r="1418" spans="1:6" x14ac:dyDescent="0.3">
      <c r="A1418" t="s">
        <v>1453</v>
      </c>
      <c r="B1418" t="s">
        <v>195</v>
      </c>
      <c r="C1418">
        <v>2290000</v>
      </c>
      <c r="D1418">
        <v>3598.6</v>
      </c>
      <c r="E1418">
        <v>1.44E-2</v>
      </c>
      <c r="F1418">
        <v>0.16039999999999999</v>
      </c>
    </row>
    <row r="1419" spans="1:6" x14ac:dyDescent="0.3">
      <c r="A1419" t="s">
        <v>1454</v>
      </c>
      <c r="B1419" t="s">
        <v>41</v>
      </c>
      <c r="C1419">
        <v>2680000</v>
      </c>
      <c r="D1419">
        <v>614.5</v>
      </c>
      <c r="E1419">
        <v>0.1139</v>
      </c>
      <c r="F1419">
        <v>0.65790000000000004</v>
      </c>
    </row>
    <row r="1420" spans="1:6" x14ac:dyDescent="0.3">
      <c r="A1420" t="s">
        <v>1455</v>
      </c>
      <c r="B1420" t="s">
        <v>26</v>
      </c>
      <c r="C1420">
        <v>2080000</v>
      </c>
      <c r="D1420">
        <v>772.1</v>
      </c>
      <c r="E1420">
        <v>2.41E-2</v>
      </c>
      <c r="F1420">
        <v>9.5100000000000004E-2</v>
      </c>
    </row>
    <row r="1421" spans="1:6" x14ac:dyDescent="0.3">
      <c r="A1421" t="s">
        <v>1456</v>
      </c>
      <c r="B1421" t="s">
        <v>88</v>
      </c>
      <c r="C1421">
        <v>2250000</v>
      </c>
      <c r="D1421">
        <v>4965.5</v>
      </c>
      <c r="E1421">
        <v>5.7200000000000001E-2</v>
      </c>
      <c r="F1421">
        <v>7.5899999999999995E-2</v>
      </c>
    </row>
    <row r="1422" spans="1:6" x14ac:dyDescent="0.3">
      <c r="A1422" t="s">
        <v>1457</v>
      </c>
      <c r="B1422" t="s">
        <v>62</v>
      </c>
      <c r="C1422">
        <v>2150000</v>
      </c>
      <c r="D1422">
        <v>5171.3</v>
      </c>
      <c r="E1422">
        <v>1.7999999999999999E-2</v>
      </c>
      <c r="F1422">
        <v>0.1053</v>
      </c>
    </row>
    <row r="1423" spans="1:6" x14ac:dyDescent="0.3">
      <c r="A1423" t="s">
        <v>1458</v>
      </c>
      <c r="B1423" t="s">
        <v>71</v>
      </c>
      <c r="C1423">
        <v>2230000</v>
      </c>
      <c r="D1423">
        <v>28.1</v>
      </c>
      <c r="E1423">
        <v>1.77E-2</v>
      </c>
      <c r="F1423">
        <v>0.24099999999999999</v>
      </c>
    </row>
    <row r="1424" spans="1:6" x14ac:dyDescent="0.3">
      <c r="A1424" t="s">
        <v>1459</v>
      </c>
      <c r="B1424" t="s">
        <v>26</v>
      </c>
      <c r="C1424">
        <v>2410000</v>
      </c>
      <c r="D1424">
        <v>282839.40000000002</v>
      </c>
      <c r="E1424">
        <v>5.0900000000000001E-2</v>
      </c>
      <c r="F1424">
        <v>9.3799999999999994E-2</v>
      </c>
    </row>
    <row r="1425" spans="1:6" x14ac:dyDescent="0.3">
      <c r="A1425" t="s">
        <v>1460</v>
      </c>
      <c r="B1425" t="s">
        <v>21</v>
      </c>
      <c r="C1425">
        <v>3120000</v>
      </c>
      <c r="D1425">
        <v>7971106.7000000002</v>
      </c>
      <c r="E1425">
        <v>5.5999999999999999E-3</v>
      </c>
      <c r="F1425">
        <v>8.2199999999999995E-2</v>
      </c>
    </row>
    <row r="1426" spans="1:6" x14ac:dyDescent="0.3">
      <c r="A1426" t="s">
        <v>1461</v>
      </c>
      <c r="B1426" t="s">
        <v>26</v>
      </c>
      <c r="C1426">
        <v>2260000</v>
      </c>
      <c r="D1426">
        <v>1442.2</v>
      </c>
      <c r="F1426">
        <v>9.3799999999999994E-2</v>
      </c>
    </row>
    <row r="1427" spans="1:6" x14ac:dyDescent="0.3">
      <c r="A1427" t="s">
        <v>1462</v>
      </c>
      <c r="B1427" t="s">
        <v>26</v>
      </c>
      <c r="C1427">
        <v>2460000</v>
      </c>
      <c r="D1427">
        <v>133797.4</v>
      </c>
      <c r="E1427">
        <v>0.06</v>
      </c>
      <c r="F1427">
        <v>9.3799999999999994E-2</v>
      </c>
    </row>
    <row r="1428" spans="1:6" x14ac:dyDescent="0.3">
      <c r="A1428" t="s">
        <v>1463</v>
      </c>
      <c r="B1428" t="s">
        <v>26</v>
      </c>
      <c r="C1428">
        <v>2170000</v>
      </c>
      <c r="D1428">
        <v>59658.2</v>
      </c>
      <c r="E1428">
        <v>5.7700000000000001E-2</v>
      </c>
      <c r="F1428">
        <v>9.5100000000000004E-2</v>
      </c>
    </row>
    <row r="1429" spans="1:6" x14ac:dyDescent="0.3">
      <c r="A1429" t="s">
        <v>1464</v>
      </c>
      <c r="B1429" t="s">
        <v>71</v>
      </c>
      <c r="C1429">
        <v>2170000</v>
      </c>
      <c r="D1429">
        <v>19758.099999999999</v>
      </c>
      <c r="E1429">
        <v>1.6899999999999998E-2</v>
      </c>
      <c r="F1429">
        <v>5.8500000000000003E-2</v>
      </c>
    </row>
    <row r="1430" spans="1:6" x14ac:dyDescent="0.3">
      <c r="A1430" t="s">
        <v>1465</v>
      </c>
      <c r="B1430" t="s">
        <v>24</v>
      </c>
      <c r="C1430">
        <v>2200000</v>
      </c>
      <c r="D1430">
        <v>12927.2</v>
      </c>
      <c r="E1430">
        <v>5.5300000000000002E-2</v>
      </c>
      <c r="F1430">
        <v>4.3200000000000002E-2</v>
      </c>
    </row>
    <row r="1431" spans="1:6" x14ac:dyDescent="0.3">
      <c r="A1431" t="s">
        <v>1466</v>
      </c>
      <c r="B1431" t="s">
        <v>26</v>
      </c>
      <c r="C1431">
        <v>4510000</v>
      </c>
      <c r="D1431">
        <v>979067.8</v>
      </c>
      <c r="E1431">
        <v>2.2599999999999999E-2</v>
      </c>
      <c r="F1431">
        <v>5.1799999999999999E-2</v>
      </c>
    </row>
    <row r="1432" spans="1:6" x14ac:dyDescent="0.3">
      <c r="A1432" t="s">
        <v>1467</v>
      </c>
      <c r="B1432" t="s">
        <v>26</v>
      </c>
      <c r="C1432">
        <v>2090000</v>
      </c>
      <c r="D1432">
        <v>681.8</v>
      </c>
      <c r="E1432">
        <v>4.1200000000000001E-2</v>
      </c>
      <c r="F1432">
        <v>7.5899999999999995E-2</v>
      </c>
    </row>
    <row r="1433" spans="1:6" x14ac:dyDescent="0.3">
      <c r="A1433" t="s">
        <v>1468</v>
      </c>
      <c r="B1433" t="s">
        <v>21</v>
      </c>
      <c r="C1433">
        <v>2670000</v>
      </c>
      <c r="D1433">
        <v>1268490.8</v>
      </c>
      <c r="E1433">
        <v>6.7000000000000002E-3</v>
      </c>
      <c r="F1433">
        <v>8.2799999999999999E-2</v>
      </c>
    </row>
    <row r="1434" spans="1:6" x14ac:dyDescent="0.3">
      <c r="A1434" t="s">
        <v>1469</v>
      </c>
      <c r="B1434" t="s">
        <v>21</v>
      </c>
      <c r="C1434">
        <v>2420000</v>
      </c>
      <c r="D1434">
        <v>16079.6</v>
      </c>
      <c r="E1434">
        <v>3.8199999999999998E-2</v>
      </c>
      <c r="F1434">
        <v>5.0999999999999997E-2</v>
      </c>
    </row>
    <row r="1435" spans="1:6" x14ac:dyDescent="0.3">
      <c r="A1435" t="s">
        <v>1470</v>
      </c>
      <c r="B1435" t="s">
        <v>26</v>
      </c>
      <c r="C1435">
        <v>969000</v>
      </c>
      <c r="D1435">
        <v>652684.30000000005</v>
      </c>
      <c r="E1435">
        <v>3.3799999999999997E-2</v>
      </c>
      <c r="F1435">
        <v>9.5100000000000004E-2</v>
      </c>
    </row>
    <row r="1436" spans="1:6" x14ac:dyDescent="0.3">
      <c r="A1436" t="s">
        <v>1471</v>
      </c>
      <c r="B1436" t="s">
        <v>24</v>
      </c>
      <c r="C1436">
        <v>3030000</v>
      </c>
      <c r="D1436">
        <v>14253.4</v>
      </c>
      <c r="E1436">
        <v>1.21E-2</v>
      </c>
      <c r="F1436">
        <v>6.4699999999999994E-2</v>
      </c>
    </row>
    <row r="1437" spans="1:6" x14ac:dyDescent="0.3">
      <c r="A1437" t="s">
        <v>1472</v>
      </c>
      <c r="B1437" t="s">
        <v>26</v>
      </c>
      <c r="C1437">
        <v>2510000</v>
      </c>
      <c r="D1437">
        <v>255772.3</v>
      </c>
      <c r="E1437">
        <v>1.95E-2</v>
      </c>
      <c r="F1437">
        <v>5.8500000000000003E-2</v>
      </c>
    </row>
    <row r="1438" spans="1:6" x14ac:dyDescent="0.3">
      <c r="A1438" t="s">
        <v>1473</v>
      </c>
      <c r="B1438" t="s">
        <v>287</v>
      </c>
      <c r="C1438">
        <v>3160000</v>
      </c>
      <c r="D1438">
        <v>177072.6</v>
      </c>
      <c r="E1438">
        <v>1.24E-2</v>
      </c>
      <c r="F1438">
        <v>4.6199999999999998E-2</v>
      </c>
    </row>
    <row r="1439" spans="1:6" x14ac:dyDescent="0.3">
      <c r="A1439" t="s">
        <v>1474</v>
      </c>
      <c r="B1439" t="s">
        <v>30</v>
      </c>
      <c r="C1439">
        <v>4820000</v>
      </c>
      <c r="D1439">
        <v>6261576.5999999996</v>
      </c>
      <c r="E1439">
        <v>2.3199999999999998E-2</v>
      </c>
      <c r="F1439">
        <v>4.0899999999999999E-2</v>
      </c>
    </row>
    <row r="1440" spans="1:6" x14ac:dyDescent="0.3">
      <c r="A1440" t="s">
        <v>1475</v>
      </c>
      <c r="B1440" t="s">
        <v>50</v>
      </c>
      <c r="C1440">
        <v>2620000</v>
      </c>
      <c r="D1440">
        <v>117873.9</v>
      </c>
      <c r="E1440">
        <v>7.9600000000000004E-2</v>
      </c>
      <c r="F1440">
        <v>9.3799999999999994E-2</v>
      </c>
    </row>
    <row r="1441" spans="1:6" x14ac:dyDescent="0.3">
      <c r="A1441" t="s">
        <v>1476</v>
      </c>
      <c r="B1441" t="s">
        <v>41</v>
      </c>
      <c r="C1441">
        <v>2270000</v>
      </c>
      <c r="D1441">
        <v>507.6</v>
      </c>
      <c r="E1441">
        <v>2.0500000000000001E-2</v>
      </c>
      <c r="F1441">
        <v>4.6199999999999998E-2</v>
      </c>
    </row>
    <row r="1442" spans="1:6" x14ac:dyDescent="0.3">
      <c r="A1442" t="s">
        <v>1477</v>
      </c>
      <c r="B1442" t="s">
        <v>41</v>
      </c>
      <c r="C1442">
        <v>2430000</v>
      </c>
      <c r="D1442">
        <v>5371.8</v>
      </c>
      <c r="E1442">
        <v>6.5299999999999997E-2</v>
      </c>
      <c r="F1442">
        <v>9.3799999999999994E-2</v>
      </c>
    </row>
    <row r="1443" spans="1:6" x14ac:dyDescent="0.3">
      <c r="A1443" t="s">
        <v>1478</v>
      </c>
      <c r="B1443" t="s">
        <v>92</v>
      </c>
      <c r="C1443">
        <v>2490000</v>
      </c>
      <c r="D1443">
        <v>363369.4</v>
      </c>
      <c r="E1443">
        <v>3.5900000000000001E-2</v>
      </c>
      <c r="F1443">
        <v>4.0899999999999999E-2</v>
      </c>
    </row>
    <row r="1444" spans="1:6" x14ac:dyDescent="0.3">
      <c r="A1444" t="s">
        <v>1479</v>
      </c>
      <c r="B1444" t="s">
        <v>214</v>
      </c>
      <c r="C1444">
        <v>2330000</v>
      </c>
      <c r="D1444">
        <v>19706</v>
      </c>
      <c r="E1444">
        <v>1.24E-2</v>
      </c>
      <c r="F1444">
        <v>0.1187</v>
      </c>
    </row>
    <row r="1445" spans="1:6" x14ac:dyDescent="0.3">
      <c r="A1445" t="s">
        <v>1480</v>
      </c>
      <c r="B1445" t="s">
        <v>21</v>
      </c>
      <c r="C1445">
        <v>2210000</v>
      </c>
      <c r="D1445">
        <v>11258.7</v>
      </c>
      <c r="E1445">
        <v>2.4299999999999999E-2</v>
      </c>
      <c r="F1445">
        <v>4.0899999999999999E-2</v>
      </c>
    </row>
    <row r="1446" spans="1:6" x14ac:dyDescent="0.3">
      <c r="A1446" t="s">
        <v>1481</v>
      </c>
      <c r="B1446" t="s">
        <v>30</v>
      </c>
      <c r="C1446">
        <v>4560000</v>
      </c>
      <c r="D1446">
        <v>12366051.9</v>
      </c>
      <c r="E1446">
        <v>2.1299999999999999E-2</v>
      </c>
      <c r="F1446">
        <v>6.1600000000000002E-2</v>
      </c>
    </row>
    <row r="1447" spans="1:6" x14ac:dyDescent="0.3">
      <c r="A1447" t="s">
        <v>1482</v>
      </c>
      <c r="B1447" t="s">
        <v>24</v>
      </c>
      <c r="C1447">
        <v>2060000</v>
      </c>
      <c r="D1447">
        <v>274.10000000000002</v>
      </c>
      <c r="E1447">
        <v>1.6899999999999998E-2</v>
      </c>
      <c r="F1447">
        <v>5.8500000000000003E-2</v>
      </c>
    </row>
    <row r="1448" spans="1:6" x14ac:dyDescent="0.3">
      <c r="A1448" t="s">
        <v>1483</v>
      </c>
      <c r="B1448" t="s">
        <v>21</v>
      </c>
      <c r="C1448">
        <v>7120000</v>
      </c>
      <c r="D1448">
        <v>10700.1</v>
      </c>
      <c r="E1448">
        <v>1.8700000000000001E-2</v>
      </c>
      <c r="F1448">
        <v>5.7599999999999998E-2</v>
      </c>
    </row>
    <row r="1449" spans="1:6" x14ac:dyDescent="0.3">
      <c r="A1449" t="s">
        <v>1484</v>
      </c>
      <c r="B1449" t="s">
        <v>74</v>
      </c>
      <c r="C1449">
        <v>4010000</v>
      </c>
      <c r="D1449">
        <v>87658.3</v>
      </c>
      <c r="E1449">
        <v>2.3900000000000001E-2</v>
      </c>
      <c r="F1449">
        <v>5.0999999999999997E-2</v>
      </c>
    </row>
    <row r="1450" spans="1:6" x14ac:dyDescent="0.3">
      <c r="A1450" t="s">
        <v>1485</v>
      </c>
      <c r="B1450" t="s">
        <v>32</v>
      </c>
      <c r="C1450">
        <v>2720000</v>
      </c>
      <c r="D1450">
        <v>619.29999999999995</v>
      </c>
      <c r="E1450">
        <v>7.7999999999999996E-3</v>
      </c>
      <c r="F1450">
        <v>8.1100000000000005E-2</v>
      </c>
    </row>
    <row r="1451" spans="1:6" x14ac:dyDescent="0.3">
      <c r="A1451" t="s">
        <v>1486</v>
      </c>
      <c r="B1451" t="s">
        <v>21</v>
      </c>
      <c r="C1451">
        <v>2160000</v>
      </c>
      <c r="F1451">
        <v>7.5899999999999995E-2</v>
      </c>
    </row>
    <row r="1452" spans="1:6" x14ac:dyDescent="0.3">
      <c r="A1452" t="s">
        <v>1487</v>
      </c>
      <c r="B1452" t="s">
        <v>41</v>
      </c>
      <c r="C1452">
        <v>2350000</v>
      </c>
      <c r="D1452">
        <v>182658.2</v>
      </c>
      <c r="E1452">
        <v>4.8599999999999997E-2</v>
      </c>
      <c r="F1452">
        <v>9.5100000000000004E-2</v>
      </c>
    </row>
    <row r="1453" spans="1:6" x14ac:dyDescent="0.3">
      <c r="A1453" t="s">
        <v>1488</v>
      </c>
      <c r="B1453" t="s">
        <v>26</v>
      </c>
      <c r="C1453">
        <v>2100000</v>
      </c>
      <c r="D1453">
        <v>14636.6</v>
      </c>
      <c r="E1453">
        <v>3.5200000000000002E-2</v>
      </c>
      <c r="F1453">
        <v>4.0899999999999999E-2</v>
      </c>
    </row>
    <row r="1454" spans="1:6" x14ac:dyDescent="0.3">
      <c r="A1454" t="s">
        <v>1489</v>
      </c>
      <c r="B1454" t="s">
        <v>32</v>
      </c>
      <c r="C1454">
        <v>6190000</v>
      </c>
      <c r="D1454">
        <v>37036.9</v>
      </c>
      <c r="E1454">
        <v>1.24E-2</v>
      </c>
      <c r="F1454">
        <v>8.1100000000000005E-2</v>
      </c>
    </row>
    <row r="1455" spans="1:6" x14ac:dyDescent="0.3">
      <c r="A1455" t="s">
        <v>1490</v>
      </c>
      <c r="B1455" t="s">
        <v>88</v>
      </c>
      <c r="C1455">
        <v>2100000</v>
      </c>
      <c r="D1455">
        <v>20322.7</v>
      </c>
      <c r="E1455">
        <v>3.09E-2</v>
      </c>
      <c r="F1455">
        <v>9.5100000000000004E-2</v>
      </c>
    </row>
    <row r="1456" spans="1:6" x14ac:dyDescent="0.3">
      <c r="A1456" t="s">
        <v>1491</v>
      </c>
      <c r="B1456" t="s">
        <v>26</v>
      </c>
      <c r="C1456">
        <v>2320000</v>
      </c>
      <c r="D1456">
        <v>240953</v>
      </c>
      <c r="E1456">
        <v>2.69E-2</v>
      </c>
      <c r="F1456">
        <v>4.0899999999999999E-2</v>
      </c>
    </row>
    <row r="1457" spans="1:6" x14ac:dyDescent="0.3">
      <c r="A1457" t="s">
        <v>1492</v>
      </c>
      <c r="B1457" t="s">
        <v>26</v>
      </c>
      <c r="C1457">
        <v>2090000</v>
      </c>
      <c r="D1457">
        <v>1872.4</v>
      </c>
      <c r="E1457">
        <v>2.2100000000000002E-2</v>
      </c>
      <c r="F1457">
        <v>0.1067</v>
      </c>
    </row>
    <row r="1458" spans="1:6" x14ac:dyDescent="0.3">
      <c r="A1458" t="s">
        <v>1493</v>
      </c>
      <c r="B1458" t="s">
        <v>74</v>
      </c>
      <c r="C1458">
        <v>3020000</v>
      </c>
      <c r="D1458">
        <v>96.8</v>
      </c>
      <c r="E1458">
        <v>1.8100000000000002E-2</v>
      </c>
      <c r="F1458">
        <v>5.7599999999999998E-2</v>
      </c>
    </row>
    <row r="1459" spans="1:6" x14ac:dyDescent="0.3">
      <c r="A1459" t="s">
        <v>1494</v>
      </c>
      <c r="B1459" t="s">
        <v>214</v>
      </c>
      <c r="C1459">
        <v>1910000</v>
      </c>
      <c r="D1459">
        <v>5338</v>
      </c>
      <c r="E1459">
        <v>1.9900000000000001E-2</v>
      </c>
      <c r="F1459">
        <v>0.1067</v>
      </c>
    </row>
    <row r="1460" spans="1:6" x14ac:dyDescent="0.3">
      <c r="A1460" t="s">
        <v>1495</v>
      </c>
      <c r="B1460" t="s">
        <v>30</v>
      </c>
      <c r="C1460">
        <v>2630000</v>
      </c>
      <c r="D1460">
        <v>511165.7</v>
      </c>
      <c r="E1460">
        <v>3.15E-2</v>
      </c>
      <c r="F1460">
        <v>7.5899999999999995E-2</v>
      </c>
    </row>
    <row r="1461" spans="1:6" x14ac:dyDescent="0.3">
      <c r="A1461" t="s">
        <v>1496</v>
      </c>
      <c r="B1461" t="s">
        <v>62</v>
      </c>
      <c r="C1461">
        <v>2320000</v>
      </c>
      <c r="D1461">
        <v>109973.1</v>
      </c>
      <c r="E1461">
        <v>5.5399999999999998E-2</v>
      </c>
      <c r="F1461">
        <v>7.5899999999999995E-2</v>
      </c>
    </row>
    <row r="1462" spans="1:6" x14ac:dyDescent="0.3">
      <c r="A1462" t="s">
        <v>1497</v>
      </c>
      <c r="B1462" t="s">
        <v>214</v>
      </c>
      <c r="C1462">
        <v>2150000</v>
      </c>
      <c r="D1462">
        <v>62426.1</v>
      </c>
      <c r="E1462">
        <v>1.66E-2</v>
      </c>
      <c r="F1462">
        <v>0.1067</v>
      </c>
    </row>
    <row r="1463" spans="1:6" x14ac:dyDescent="0.3">
      <c r="A1463" t="s">
        <v>1498</v>
      </c>
      <c r="B1463" t="s">
        <v>26</v>
      </c>
      <c r="C1463">
        <v>2340000</v>
      </c>
      <c r="D1463">
        <v>173885.9</v>
      </c>
      <c r="E1463">
        <v>2.0299999999999999E-2</v>
      </c>
      <c r="F1463">
        <v>5.0999999999999997E-2</v>
      </c>
    </row>
    <row r="1464" spans="1:6" x14ac:dyDescent="0.3">
      <c r="A1464" t="s">
        <v>1499</v>
      </c>
      <c r="B1464" t="s">
        <v>21</v>
      </c>
      <c r="C1464">
        <v>2110000</v>
      </c>
      <c r="D1464">
        <v>33504700.699999999</v>
      </c>
      <c r="E1464">
        <v>4.7999999999999996E-3</v>
      </c>
      <c r="F1464">
        <v>0.1027</v>
      </c>
    </row>
    <row r="1465" spans="1:6" x14ac:dyDescent="0.3">
      <c r="A1465" t="s">
        <v>1500</v>
      </c>
      <c r="B1465" t="s">
        <v>21</v>
      </c>
      <c r="C1465">
        <v>2470000</v>
      </c>
      <c r="D1465">
        <v>94288.5</v>
      </c>
      <c r="E1465">
        <v>9.8500000000000004E-2</v>
      </c>
      <c r="F1465">
        <v>5.0999999999999997E-2</v>
      </c>
    </row>
    <row r="1466" spans="1:6" x14ac:dyDescent="0.3">
      <c r="A1466" t="s">
        <v>1501</v>
      </c>
      <c r="B1466" t="s">
        <v>62</v>
      </c>
      <c r="C1466">
        <v>2080000</v>
      </c>
      <c r="D1466">
        <v>180221.2</v>
      </c>
      <c r="E1466">
        <v>3.3599999999999998E-2</v>
      </c>
      <c r="F1466">
        <v>7.5899999999999995E-2</v>
      </c>
    </row>
    <row r="1467" spans="1:6" x14ac:dyDescent="0.3">
      <c r="A1467" t="s">
        <v>1502</v>
      </c>
      <c r="B1467" t="s">
        <v>26</v>
      </c>
      <c r="C1467">
        <v>2650000</v>
      </c>
      <c r="D1467">
        <v>1502351.4</v>
      </c>
      <c r="E1467">
        <v>3.7600000000000001E-2</v>
      </c>
      <c r="F1467">
        <v>4.1200000000000001E-2</v>
      </c>
    </row>
    <row r="1468" spans="1:6" x14ac:dyDescent="0.3">
      <c r="A1468" t="s">
        <v>1503</v>
      </c>
      <c r="B1468" t="s">
        <v>26</v>
      </c>
      <c r="C1468">
        <v>2070000</v>
      </c>
      <c r="D1468">
        <v>3753.9</v>
      </c>
      <c r="E1468">
        <v>1.6400000000000001E-2</v>
      </c>
      <c r="F1468">
        <v>0.1067</v>
      </c>
    </row>
    <row r="1469" spans="1:6" x14ac:dyDescent="0.3">
      <c r="A1469" t="s">
        <v>1504</v>
      </c>
      <c r="B1469" t="s">
        <v>26</v>
      </c>
      <c r="C1469">
        <v>2130000</v>
      </c>
      <c r="D1469">
        <v>98855.6</v>
      </c>
      <c r="E1469">
        <v>4.6800000000000001E-2</v>
      </c>
      <c r="F1469">
        <v>9.5100000000000004E-2</v>
      </c>
    </row>
    <row r="1470" spans="1:6" x14ac:dyDescent="0.3">
      <c r="A1470" t="s">
        <v>1505</v>
      </c>
      <c r="B1470" t="s">
        <v>26</v>
      </c>
      <c r="C1470">
        <v>3340000</v>
      </c>
      <c r="D1470">
        <v>5370.8</v>
      </c>
      <c r="E1470">
        <v>3.85E-2</v>
      </c>
      <c r="F1470">
        <v>7.5899999999999995E-2</v>
      </c>
    </row>
    <row r="1471" spans="1:6" x14ac:dyDescent="0.3">
      <c r="A1471" t="s">
        <v>1506</v>
      </c>
      <c r="B1471" t="s">
        <v>32</v>
      </c>
      <c r="C1471">
        <v>2910000</v>
      </c>
      <c r="D1471">
        <v>23433.8</v>
      </c>
      <c r="E1471">
        <v>4.02E-2</v>
      </c>
      <c r="F1471">
        <v>9.3799999999999994E-2</v>
      </c>
    </row>
    <row r="1472" spans="1:6" x14ac:dyDescent="0.3">
      <c r="A1472" t="s">
        <v>1507</v>
      </c>
      <c r="B1472" t="s">
        <v>88</v>
      </c>
      <c r="C1472">
        <v>2410000</v>
      </c>
      <c r="D1472">
        <v>8702.6</v>
      </c>
      <c r="E1472">
        <v>9.1300000000000006E-2</v>
      </c>
      <c r="F1472">
        <v>9.3799999999999994E-2</v>
      </c>
    </row>
    <row r="1473" spans="1:6" x14ac:dyDescent="0.3">
      <c r="A1473" t="s">
        <v>1508</v>
      </c>
      <c r="B1473" t="s">
        <v>74</v>
      </c>
      <c r="C1473">
        <v>2120000</v>
      </c>
      <c r="D1473">
        <v>2366.6999999999998</v>
      </c>
      <c r="E1473">
        <v>2.3599999999999999E-2</v>
      </c>
      <c r="F1473">
        <v>9.3799999999999994E-2</v>
      </c>
    </row>
    <row r="1474" spans="1:6" x14ac:dyDescent="0.3">
      <c r="A1474" t="s">
        <v>1509</v>
      </c>
      <c r="B1474" t="s">
        <v>50</v>
      </c>
      <c r="C1474">
        <v>2230000</v>
      </c>
      <c r="D1474">
        <v>9870.1</v>
      </c>
      <c r="E1474">
        <v>3.3700000000000001E-2</v>
      </c>
      <c r="F1474">
        <v>5.0999999999999997E-2</v>
      </c>
    </row>
    <row r="1475" spans="1:6" x14ac:dyDescent="0.3">
      <c r="A1475" t="s">
        <v>1510</v>
      </c>
      <c r="B1475" t="s">
        <v>32</v>
      </c>
      <c r="C1475">
        <v>2720000</v>
      </c>
      <c r="D1475">
        <v>7248.5</v>
      </c>
      <c r="E1475">
        <v>2.4299999999999999E-2</v>
      </c>
      <c r="F1475">
        <v>9.3799999999999994E-2</v>
      </c>
    </row>
    <row r="1476" spans="1:6" x14ac:dyDescent="0.3">
      <c r="A1476" t="s">
        <v>1511</v>
      </c>
      <c r="B1476" t="s">
        <v>62</v>
      </c>
      <c r="C1476">
        <v>2150000</v>
      </c>
      <c r="D1476">
        <v>773.6</v>
      </c>
      <c r="E1476">
        <v>3.9300000000000002E-2</v>
      </c>
      <c r="F1476">
        <v>9.3799999999999994E-2</v>
      </c>
    </row>
    <row r="1477" spans="1:6" x14ac:dyDescent="0.3">
      <c r="A1477" t="s">
        <v>1512</v>
      </c>
      <c r="B1477" t="s">
        <v>62</v>
      </c>
      <c r="C1477">
        <v>2030000</v>
      </c>
      <c r="D1477">
        <v>215.1</v>
      </c>
      <c r="E1477">
        <v>4.1700000000000001E-2</v>
      </c>
      <c r="F1477">
        <v>9.3799999999999994E-2</v>
      </c>
    </row>
    <row r="1478" spans="1:6" x14ac:dyDescent="0.3">
      <c r="A1478" t="s">
        <v>1513</v>
      </c>
      <c r="B1478" t="s">
        <v>74</v>
      </c>
      <c r="C1478">
        <v>3650000</v>
      </c>
      <c r="D1478">
        <v>39683.199999999997</v>
      </c>
      <c r="E1478">
        <v>7.9699999999999993E-2</v>
      </c>
      <c r="F1478">
        <v>9.3799999999999994E-2</v>
      </c>
    </row>
    <row r="1479" spans="1:6" x14ac:dyDescent="0.3">
      <c r="A1479" t="s">
        <v>1514</v>
      </c>
      <c r="B1479" t="s">
        <v>26</v>
      </c>
      <c r="C1479">
        <v>2060000</v>
      </c>
      <c r="D1479">
        <v>331987.3</v>
      </c>
      <c r="E1479">
        <v>2.0500000000000001E-2</v>
      </c>
      <c r="F1479">
        <v>5.1799999999999999E-2</v>
      </c>
    </row>
    <row r="1480" spans="1:6" x14ac:dyDescent="0.3">
      <c r="A1480" t="s">
        <v>1515</v>
      </c>
      <c r="B1480" t="s">
        <v>41</v>
      </c>
      <c r="C1480">
        <v>2350000</v>
      </c>
      <c r="D1480">
        <v>186371.20000000001</v>
      </c>
      <c r="E1480">
        <v>2.3999999999999998E-3</v>
      </c>
      <c r="F1480">
        <v>8.2199999999999995E-2</v>
      </c>
    </row>
    <row r="1481" spans="1:6" x14ac:dyDescent="0.3">
      <c r="A1481" t="s">
        <v>1516</v>
      </c>
      <c r="B1481" t="s">
        <v>35</v>
      </c>
      <c r="C1481">
        <v>2410000</v>
      </c>
      <c r="D1481">
        <v>8385.2000000000007</v>
      </c>
      <c r="E1481">
        <v>1.61E-2</v>
      </c>
      <c r="F1481">
        <v>0.1053</v>
      </c>
    </row>
    <row r="1482" spans="1:6" x14ac:dyDescent="0.3">
      <c r="A1482" t="s">
        <v>1517</v>
      </c>
      <c r="B1482" t="s">
        <v>30</v>
      </c>
      <c r="C1482">
        <v>2800000</v>
      </c>
      <c r="D1482">
        <v>90646.6</v>
      </c>
      <c r="E1482">
        <v>3.1600000000000003E-2</v>
      </c>
      <c r="F1482">
        <v>7.5899999999999995E-2</v>
      </c>
    </row>
    <row r="1483" spans="1:6" x14ac:dyDescent="0.3">
      <c r="A1483" t="s">
        <v>1518</v>
      </c>
      <c r="B1483" t="s">
        <v>214</v>
      </c>
      <c r="C1483">
        <v>3520000</v>
      </c>
      <c r="D1483">
        <v>469031.4</v>
      </c>
      <c r="E1483">
        <v>3.0000000000000001E-3</v>
      </c>
      <c r="F1483">
        <v>8.2100000000000006E-2</v>
      </c>
    </row>
    <row r="1484" spans="1:6" x14ac:dyDescent="0.3">
      <c r="A1484" t="s">
        <v>1519</v>
      </c>
      <c r="B1484" t="s">
        <v>26</v>
      </c>
      <c r="C1484">
        <v>2060000</v>
      </c>
      <c r="D1484">
        <v>1540.4</v>
      </c>
      <c r="E1484">
        <v>1.3599999999999999E-2</v>
      </c>
      <c r="F1484">
        <v>9.11E-2</v>
      </c>
    </row>
    <row r="1485" spans="1:6" x14ac:dyDescent="0.3">
      <c r="A1485" t="s">
        <v>1520</v>
      </c>
      <c r="B1485" t="s">
        <v>32</v>
      </c>
      <c r="C1485">
        <v>2080000</v>
      </c>
      <c r="D1485">
        <v>120.4</v>
      </c>
      <c r="E1485">
        <v>3.7000000000000002E-3</v>
      </c>
      <c r="F1485">
        <v>0.1779</v>
      </c>
    </row>
    <row r="1486" spans="1:6" x14ac:dyDescent="0.3">
      <c r="A1486" t="s">
        <v>1521</v>
      </c>
      <c r="B1486" t="s">
        <v>26</v>
      </c>
      <c r="C1486">
        <v>2250000</v>
      </c>
      <c r="D1486">
        <v>958213.5</v>
      </c>
      <c r="E1486">
        <v>3.5799999999999998E-2</v>
      </c>
      <c r="F1486">
        <v>4.0899999999999999E-2</v>
      </c>
    </row>
    <row r="1487" spans="1:6" x14ac:dyDescent="0.3">
      <c r="A1487" t="s">
        <v>1522</v>
      </c>
      <c r="B1487" t="s">
        <v>195</v>
      </c>
      <c r="C1487">
        <v>2450000</v>
      </c>
      <c r="D1487">
        <v>9453.1</v>
      </c>
      <c r="E1487">
        <v>4.1300000000000003E-2</v>
      </c>
      <c r="F1487">
        <v>9.3799999999999994E-2</v>
      </c>
    </row>
    <row r="1488" spans="1:6" x14ac:dyDescent="0.3">
      <c r="A1488" t="s">
        <v>1523</v>
      </c>
      <c r="B1488" t="s">
        <v>26</v>
      </c>
      <c r="C1488">
        <v>2360000</v>
      </c>
      <c r="D1488">
        <v>205570.3</v>
      </c>
      <c r="E1488">
        <v>3.73E-2</v>
      </c>
      <c r="F1488">
        <v>4.0899999999999999E-2</v>
      </c>
    </row>
    <row r="1489" spans="1:6" x14ac:dyDescent="0.3">
      <c r="A1489" t="s">
        <v>1524</v>
      </c>
      <c r="B1489" t="s">
        <v>30</v>
      </c>
      <c r="C1489">
        <v>2880000</v>
      </c>
      <c r="D1489">
        <v>4591.6000000000004</v>
      </c>
      <c r="E1489">
        <v>1.0200000000000001E-2</v>
      </c>
      <c r="F1489">
        <v>8.1100000000000005E-2</v>
      </c>
    </row>
    <row r="1490" spans="1:6" x14ac:dyDescent="0.3">
      <c r="A1490" t="s">
        <v>1525</v>
      </c>
      <c r="B1490" t="s">
        <v>26</v>
      </c>
      <c r="C1490">
        <v>5100000</v>
      </c>
      <c r="D1490">
        <v>153164.9</v>
      </c>
      <c r="F1490">
        <v>4.0899999999999999E-2</v>
      </c>
    </row>
    <row r="1491" spans="1:6" x14ac:dyDescent="0.3">
      <c r="A1491" t="s">
        <v>1526</v>
      </c>
      <c r="B1491" t="s">
        <v>30</v>
      </c>
      <c r="C1491">
        <v>3660000</v>
      </c>
      <c r="D1491">
        <v>474127</v>
      </c>
      <c r="E1491">
        <v>2.4500000000000001E-2</v>
      </c>
      <c r="F1491">
        <v>7.5899999999999995E-2</v>
      </c>
    </row>
    <row r="1492" spans="1:6" x14ac:dyDescent="0.3">
      <c r="A1492" t="s">
        <v>1527</v>
      </c>
      <c r="B1492" t="s">
        <v>26</v>
      </c>
      <c r="C1492">
        <v>2150000</v>
      </c>
      <c r="D1492">
        <v>1551.2</v>
      </c>
      <c r="E1492">
        <v>1.34E-2</v>
      </c>
      <c r="F1492">
        <v>7.2599999999999998E-2</v>
      </c>
    </row>
    <row r="1493" spans="1:6" x14ac:dyDescent="0.3">
      <c r="A1493" t="s">
        <v>1528</v>
      </c>
      <c r="B1493" t="s">
        <v>30</v>
      </c>
      <c r="C1493">
        <v>2660000</v>
      </c>
      <c r="D1493">
        <v>111167.7</v>
      </c>
      <c r="E1493">
        <v>4.9000000000000002E-2</v>
      </c>
      <c r="F1493">
        <v>5.0999999999999997E-2</v>
      </c>
    </row>
    <row r="1494" spans="1:6" x14ac:dyDescent="0.3">
      <c r="A1494" t="s">
        <v>1529</v>
      </c>
      <c r="B1494" t="s">
        <v>214</v>
      </c>
      <c r="C1494">
        <v>2180000</v>
      </c>
      <c r="D1494">
        <v>31695.599999999999</v>
      </c>
      <c r="E1494">
        <v>1.37E-2</v>
      </c>
      <c r="F1494">
        <v>4.6199999999999998E-2</v>
      </c>
    </row>
    <row r="1495" spans="1:6" x14ac:dyDescent="0.3">
      <c r="A1495" t="s">
        <v>1530</v>
      </c>
      <c r="B1495" t="s">
        <v>26</v>
      </c>
      <c r="C1495">
        <v>2910000</v>
      </c>
      <c r="D1495">
        <v>78775.100000000006</v>
      </c>
      <c r="E1495">
        <v>1.17E-2</v>
      </c>
      <c r="F1495">
        <v>6.54E-2</v>
      </c>
    </row>
    <row r="1496" spans="1:6" x14ac:dyDescent="0.3">
      <c r="A1496" t="s">
        <v>1531</v>
      </c>
      <c r="B1496" t="s">
        <v>62</v>
      </c>
      <c r="C1496">
        <v>2140000</v>
      </c>
      <c r="D1496">
        <v>57575.199999999997</v>
      </c>
      <c r="E1496">
        <v>3.2199999999999999E-2</v>
      </c>
      <c r="F1496">
        <v>7.5899999999999995E-2</v>
      </c>
    </row>
    <row r="1497" spans="1:6" x14ac:dyDescent="0.3">
      <c r="A1497" t="s">
        <v>1532</v>
      </c>
      <c r="B1497" t="s">
        <v>62</v>
      </c>
      <c r="C1497">
        <v>2050000</v>
      </c>
      <c r="D1497">
        <v>2858.6</v>
      </c>
      <c r="E1497">
        <v>2.98E-2</v>
      </c>
      <c r="F1497">
        <v>9.5100000000000004E-2</v>
      </c>
    </row>
    <row r="1498" spans="1:6" x14ac:dyDescent="0.3">
      <c r="A1498" t="s">
        <v>1533</v>
      </c>
      <c r="B1498" t="s">
        <v>26</v>
      </c>
      <c r="C1498">
        <v>2470000</v>
      </c>
      <c r="D1498">
        <v>2729.9</v>
      </c>
      <c r="E1498">
        <v>1.18E-2</v>
      </c>
      <c r="F1498">
        <v>5.7599999999999998E-2</v>
      </c>
    </row>
    <row r="1499" spans="1:6" x14ac:dyDescent="0.3">
      <c r="A1499" t="s">
        <v>1534</v>
      </c>
      <c r="B1499" t="s">
        <v>26</v>
      </c>
      <c r="C1499">
        <v>1990000</v>
      </c>
      <c r="D1499">
        <v>1129.3</v>
      </c>
      <c r="E1499">
        <v>3.2500000000000001E-2</v>
      </c>
      <c r="F1499">
        <v>7.5899999999999995E-2</v>
      </c>
    </row>
    <row r="1500" spans="1:6" x14ac:dyDescent="0.3">
      <c r="A1500" t="s">
        <v>1535</v>
      </c>
      <c r="B1500" t="s">
        <v>88</v>
      </c>
      <c r="C1500">
        <v>2220000</v>
      </c>
      <c r="D1500">
        <v>1304.8</v>
      </c>
      <c r="E1500">
        <v>1.5699999999999999E-2</v>
      </c>
      <c r="F1500">
        <v>7.6499999999999999E-2</v>
      </c>
    </row>
    <row r="1501" spans="1:6" x14ac:dyDescent="0.3">
      <c r="A1501" t="s">
        <v>1536</v>
      </c>
      <c r="B1501" t="s">
        <v>62</v>
      </c>
      <c r="C1501">
        <v>2210000</v>
      </c>
      <c r="D1501">
        <v>1253.9000000000001</v>
      </c>
      <c r="E1501">
        <v>3.39E-2</v>
      </c>
      <c r="F1501">
        <v>7.5899999999999995E-2</v>
      </c>
    </row>
    <row r="1502" spans="1:6" x14ac:dyDescent="0.3">
      <c r="A1502" t="s">
        <v>1537</v>
      </c>
      <c r="B1502" t="s">
        <v>71</v>
      </c>
      <c r="C1502">
        <v>2530000</v>
      </c>
      <c r="D1502">
        <v>168907.9</v>
      </c>
      <c r="E1502">
        <v>4.19E-2</v>
      </c>
      <c r="F1502">
        <v>9.3799999999999994E-2</v>
      </c>
    </row>
    <row r="1503" spans="1:6" x14ac:dyDescent="0.3">
      <c r="A1503" t="s">
        <v>1538</v>
      </c>
      <c r="B1503" t="s">
        <v>53</v>
      </c>
      <c r="C1503">
        <v>3080000</v>
      </c>
      <c r="D1503">
        <v>4130.5</v>
      </c>
      <c r="F1503">
        <v>4.0899999999999999E-2</v>
      </c>
    </row>
    <row r="1504" spans="1:6" x14ac:dyDescent="0.3">
      <c r="A1504" t="s">
        <v>1539</v>
      </c>
      <c r="B1504" t="s">
        <v>26</v>
      </c>
      <c r="C1504">
        <v>2690000</v>
      </c>
      <c r="D1504">
        <v>310597.3</v>
      </c>
      <c r="E1504">
        <v>2.47E-2</v>
      </c>
      <c r="F1504">
        <v>4.0899999999999999E-2</v>
      </c>
    </row>
    <row r="1505" spans="1:6" x14ac:dyDescent="0.3">
      <c r="A1505" t="s">
        <v>1540</v>
      </c>
      <c r="B1505" t="s">
        <v>26</v>
      </c>
      <c r="C1505">
        <v>2340000</v>
      </c>
      <c r="D1505">
        <v>200843.9</v>
      </c>
      <c r="E1505">
        <v>4.5999999999999999E-2</v>
      </c>
      <c r="F1505">
        <v>7.5899999999999995E-2</v>
      </c>
    </row>
    <row r="1506" spans="1:6" x14ac:dyDescent="0.3">
      <c r="A1506" t="s">
        <v>1541</v>
      </c>
      <c r="B1506" t="s">
        <v>26</v>
      </c>
      <c r="C1506">
        <v>2050000</v>
      </c>
      <c r="D1506">
        <v>34409.800000000003</v>
      </c>
      <c r="E1506">
        <v>3.8199999999999998E-2</v>
      </c>
      <c r="F1506">
        <v>4.0899999999999999E-2</v>
      </c>
    </row>
    <row r="1507" spans="1:6" x14ac:dyDescent="0.3">
      <c r="A1507" t="s">
        <v>1542</v>
      </c>
      <c r="B1507" t="s">
        <v>287</v>
      </c>
      <c r="C1507">
        <v>2010000</v>
      </c>
      <c r="D1507">
        <v>3567.8</v>
      </c>
      <c r="E1507">
        <v>1.17E-2</v>
      </c>
      <c r="F1507">
        <v>6.54E-2</v>
      </c>
    </row>
    <row r="1508" spans="1:6" x14ac:dyDescent="0.3">
      <c r="A1508" t="s">
        <v>1543</v>
      </c>
      <c r="B1508" t="s">
        <v>88</v>
      </c>
      <c r="C1508">
        <v>2340000</v>
      </c>
      <c r="D1508">
        <v>1460.4</v>
      </c>
      <c r="E1508">
        <v>3.5000000000000003E-2</v>
      </c>
      <c r="F1508">
        <v>9.3799999999999994E-2</v>
      </c>
    </row>
    <row r="1509" spans="1:6" x14ac:dyDescent="0.3">
      <c r="A1509" t="s">
        <v>1544</v>
      </c>
      <c r="B1509" t="s">
        <v>81</v>
      </c>
      <c r="C1509">
        <v>2350000</v>
      </c>
      <c r="D1509">
        <v>111469.5</v>
      </c>
      <c r="E1509">
        <v>3.4000000000000002E-2</v>
      </c>
      <c r="F1509">
        <v>9.3799999999999994E-2</v>
      </c>
    </row>
    <row r="1510" spans="1:6" x14ac:dyDescent="0.3">
      <c r="A1510" t="s">
        <v>1545</v>
      </c>
      <c r="B1510" t="s">
        <v>26</v>
      </c>
      <c r="C1510">
        <v>2700000</v>
      </c>
      <c r="D1510">
        <v>75117.100000000006</v>
      </c>
      <c r="F1510">
        <v>4.0899999999999999E-2</v>
      </c>
    </row>
    <row r="1511" spans="1:6" x14ac:dyDescent="0.3">
      <c r="A1511" t="s">
        <v>1546</v>
      </c>
      <c r="B1511" t="s">
        <v>74</v>
      </c>
      <c r="C1511">
        <v>4870000</v>
      </c>
      <c r="D1511">
        <v>2138.6</v>
      </c>
      <c r="E1511">
        <v>1.4800000000000001E-2</v>
      </c>
      <c r="F1511">
        <v>7.2599999999999998E-2</v>
      </c>
    </row>
    <row r="1512" spans="1:6" x14ac:dyDescent="0.3">
      <c r="A1512" t="s">
        <v>1547</v>
      </c>
      <c r="B1512" t="s">
        <v>24</v>
      </c>
      <c r="C1512">
        <v>2350000</v>
      </c>
      <c r="D1512">
        <v>4014.3</v>
      </c>
      <c r="E1512">
        <v>1.1299999999999999E-2</v>
      </c>
      <c r="F1512">
        <v>8.1100000000000005E-2</v>
      </c>
    </row>
    <row r="1513" spans="1:6" x14ac:dyDescent="0.3">
      <c r="A1513" t="s">
        <v>1548</v>
      </c>
      <c r="B1513" t="s">
        <v>92</v>
      </c>
      <c r="C1513">
        <v>2070000</v>
      </c>
      <c r="D1513">
        <v>11101.6</v>
      </c>
      <c r="E1513">
        <v>3.7600000000000001E-2</v>
      </c>
      <c r="F1513">
        <v>7.5899999999999995E-2</v>
      </c>
    </row>
    <row r="1514" spans="1:6" x14ac:dyDescent="0.3">
      <c r="A1514" t="s">
        <v>1549</v>
      </c>
      <c r="B1514" t="s">
        <v>214</v>
      </c>
      <c r="C1514">
        <v>2570000</v>
      </c>
      <c r="D1514">
        <v>3504.2</v>
      </c>
      <c r="E1514">
        <v>3.5000000000000001E-3</v>
      </c>
      <c r="F1514">
        <v>6.54E-2</v>
      </c>
    </row>
    <row r="1515" spans="1:6" x14ac:dyDescent="0.3">
      <c r="A1515" t="s">
        <v>1550</v>
      </c>
      <c r="B1515" t="s">
        <v>88</v>
      </c>
      <c r="C1515">
        <v>2140000</v>
      </c>
      <c r="D1515">
        <v>65504.2</v>
      </c>
      <c r="E1515">
        <v>7.4300000000000005E-2</v>
      </c>
      <c r="F1515">
        <v>9.3799999999999994E-2</v>
      </c>
    </row>
    <row r="1516" spans="1:6" x14ac:dyDescent="0.3">
      <c r="A1516" t="s">
        <v>1551</v>
      </c>
      <c r="B1516" t="s">
        <v>26</v>
      </c>
      <c r="C1516">
        <v>2270000</v>
      </c>
      <c r="D1516">
        <v>177871.5</v>
      </c>
      <c r="E1516">
        <v>2.01E-2</v>
      </c>
      <c r="F1516">
        <v>7.5899999999999995E-2</v>
      </c>
    </row>
    <row r="1517" spans="1:6" x14ac:dyDescent="0.3">
      <c r="A1517" t="s">
        <v>1552</v>
      </c>
      <c r="B1517" t="s">
        <v>21</v>
      </c>
      <c r="C1517">
        <v>2170000</v>
      </c>
      <c r="D1517">
        <v>5418.7</v>
      </c>
      <c r="E1517">
        <v>3.5200000000000002E-2</v>
      </c>
      <c r="F1517">
        <v>4.0899999999999999E-2</v>
      </c>
    </row>
    <row r="1518" spans="1:6" x14ac:dyDescent="0.3">
      <c r="A1518" t="s">
        <v>1553</v>
      </c>
      <c r="B1518" t="s">
        <v>92</v>
      </c>
      <c r="C1518">
        <v>2690000</v>
      </c>
      <c r="D1518">
        <v>1327492.3999999999</v>
      </c>
      <c r="E1518">
        <v>1.7500000000000002E-2</v>
      </c>
      <c r="F1518">
        <v>4.6199999999999998E-2</v>
      </c>
    </row>
    <row r="1519" spans="1:6" x14ac:dyDescent="0.3">
      <c r="A1519" t="s">
        <v>1554</v>
      </c>
      <c r="B1519" t="s">
        <v>26</v>
      </c>
      <c r="C1519">
        <v>976000</v>
      </c>
      <c r="D1519">
        <v>15815.2</v>
      </c>
      <c r="E1519">
        <v>6.4799999999999996E-2</v>
      </c>
      <c r="F1519">
        <v>6.7199999999999996E-2</v>
      </c>
    </row>
    <row r="1520" spans="1:6" x14ac:dyDescent="0.3">
      <c r="A1520" t="s">
        <v>1555</v>
      </c>
      <c r="B1520" t="s">
        <v>41</v>
      </c>
      <c r="C1520">
        <v>2850000</v>
      </c>
      <c r="D1520">
        <v>22066.7</v>
      </c>
      <c r="E1520">
        <v>4.1000000000000002E-2</v>
      </c>
      <c r="F1520">
        <v>9.3799999999999994E-2</v>
      </c>
    </row>
    <row r="1521" spans="1:6" x14ac:dyDescent="0.3">
      <c r="A1521" t="s">
        <v>1556</v>
      </c>
      <c r="B1521" t="s">
        <v>41</v>
      </c>
      <c r="C1521">
        <v>2880000</v>
      </c>
      <c r="D1521">
        <v>53355.4</v>
      </c>
      <c r="E1521">
        <v>6.2399999999999997E-2</v>
      </c>
      <c r="F1521">
        <v>9.3799999999999994E-2</v>
      </c>
    </row>
    <row r="1522" spans="1:6" x14ac:dyDescent="0.3">
      <c r="A1522" t="s">
        <v>1557</v>
      </c>
      <c r="B1522" t="s">
        <v>26</v>
      </c>
      <c r="C1522">
        <v>2860000</v>
      </c>
      <c r="D1522">
        <v>17314.3</v>
      </c>
      <c r="E1522">
        <v>5.8400000000000001E-2</v>
      </c>
      <c r="F1522">
        <v>9.3799999999999994E-2</v>
      </c>
    </row>
    <row r="1523" spans="1:6" x14ac:dyDescent="0.3">
      <c r="A1523" t="s">
        <v>1558</v>
      </c>
      <c r="B1523" t="s">
        <v>24</v>
      </c>
      <c r="C1523">
        <v>2930000</v>
      </c>
      <c r="D1523">
        <v>327922.59999999998</v>
      </c>
      <c r="E1523">
        <v>4.2599999999999999E-2</v>
      </c>
      <c r="F1523">
        <v>4.0899999999999999E-2</v>
      </c>
    </row>
    <row r="1524" spans="1:6" x14ac:dyDescent="0.3">
      <c r="A1524" t="s">
        <v>1559</v>
      </c>
      <c r="B1524" t="s">
        <v>26</v>
      </c>
      <c r="C1524">
        <v>3980000</v>
      </c>
      <c r="D1524">
        <v>2213.1999999999998</v>
      </c>
      <c r="E1524">
        <v>2.4899999999999999E-2</v>
      </c>
      <c r="F1524">
        <v>9.3799999999999994E-2</v>
      </c>
    </row>
    <row r="1525" spans="1:6" x14ac:dyDescent="0.3">
      <c r="A1525" t="s">
        <v>1560</v>
      </c>
      <c r="B1525" t="s">
        <v>41</v>
      </c>
      <c r="C1525">
        <v>3200000</v>
      </c>
      <c r="D1525">
        <v>11260.9</v>
      </c>
      <c r="E1525">
        <v>4.2200000000000001E-2</v>
      </c>
      <c r="F1525">
        <v>7.5899999999999995E-2</v>
      </c>
    </row>
    <row r="1526" spans="1:6" x14ac:dyDescent="0.3">
      <c r="A1526" t="s">
        <v>1561</v>
      </c>
      <c r="B1526" t="s">
        <v>26</v>
      </c>
      <c r="C1526">
        <v>2530000</v>
      </c>
      <c r="D1526">
        <v>30592.3</v>
      </c>
      <c r="E1526">
        <v>1.18E-2</v>
      </c>
      <c r="F1526">
        <v>0.1187</v>
      </c>
    </row>
    <row r="1527" spans="1:6" x14ac:dyDescent="0.3">
      <c r="A1527" t="s">
        <v>1562</v>
      </c>
      <c r="B1527" t="s">
        <v>26</v>
      </c>
      <c r="C1527">
        <v>2100000</v>
      </c>
      <c r="D1527">
        <v>5645.9</v>
      </c>
      <c r="E1527">
        <v>2.8899999999999999E-2</v>
      </c>
      <c r="F1527">
        <v>7.5899999999999995E-2</v>
      </c>
    </row>
    <row r="1528" spans="1:6" x14ac:dyDescent="0.3">
      <c r="A1528" t="s">
        <v>1563</v>
      </c>
      <c r="B1528" t="s">
        <v>26</v>
      </c>
      <c r="C1528">
        <v>2260000</v>
      </c>
      <c r="D1528">
        <v>328927.8</v>
      </c>
      <c r="E1528">
        <v>1.66E-2</v>
      </c>
      <c r="F1528">
        <v>4.6199999999999998E-2</v>
      </c>
    </row>
    <row r="1529" spans="1:6" x14ac:dyDescent="0.3">
      <c r="A1529" t="s">
        <v>1564</v>
      </c>
      <c r="B1529" t="s">
        <v>30</v>
      </c>
      <c r="C1529">
        <v>3290000</v>
      </c>
      <c r="D1529">
        <v>3675247.3</v>
      </c>
      <c r="E1529">
        <v>1.95E-2</v>
      </c>
      <c r="F1529">
        <v>4.6199999999999998E-2</v>
      </c>
    </row>
    <row r="1530" spans="1:6" x14ac:dyDescent="0.3">
      <c r="A1530" t="s">
        <v>1565</v>
      </c>
      <c r="B1530" t="s">
        <v>41</v>
      </c>
      <c r="C1530">
        <v>2190000</v>
      </c>
      <c r="D1530">
        <v>4069.8</v>
      </c>
      <c r="F1530">
        <v>9.3799999999999994E-2</v>
      </c>
    </row>
    <row r="1531" spans="1:6" x14ac:dyDescent="0.3">
      <c r="A1531" t="s">
        <v>1566</v>
      </c>
      <c r="B1531" t="s">
        <v>24</v>
      </c>
      <c r="C1531">
        <v>2190000</v>
      </c>
      <c r="D1531">
        <v>49983.9</v>
      </c>
      <c r="E1531">
        <v>0.05</v>
      </c>
      <c r="F1531">
        <v>9.5100000000000004E-2</v>
      </c>
    </row>
    <row r="1532" spans="1:6" x14ac:dyDescent="0.3">
      <c r="A1532" t="s">
        <v>1567</v>
      </c>
      <c r="B1532" t="s">
        <v>62</v>
      </c>
      <c r="C1532">
        <v>2620000</v>
      </c>
      <c r="D1532">
        <v>8562.6</v>
      </c>
      <c r="E1532">
        <v>5.28E-2</v>
      </c>
      <c r="F1532">
        <v>7.5899999999999995E-2</v>
      </c>
    </row>
    <row r="1533" spans="1:6" x14ac:dyDescent="0.3">
      <c r="A1533" t="s">
        <v>1568</v>
      </c>
      <c r="B1533" t="s">
        <v>92</v>
      </c>
      <c r="C1533">
        <v>2400000</v>
      </c>
      <c r="D1533">
        <v>41414.1</v>
      </c>
      <c r="E1533">
        <v>1.7899999999999999E-2</v>
      </c>
      <c r="F1533">
        <v>7.5700000000000003E-2</v>
      </c>
    </row>
    <row r="1534" spans="1:6" x14ac:dyDescent="0.3">
      <c r="A1534" t="s">
        <v>1569</v>
      </c>
      <c r="B1534" t="s">
        <v>214</v>
      </c>
      <c r="C1534">
        <v>2140000</v>
      </c>
      <c r="D1534">
        <v>379362.2</v>
      </c>
      <c r="E1534">
        <v>6.1000000000000004E-3</v>
      </c>
      <c r="F1534">
        <v>0.14710000000000001</v>
      </c>
    </row>
    <row r="1535" spans="1:6" x14ac:dyDescent="0.3">
      <c r="A1535" t="s">
        <v>1570</v>
      </c>
      <c r="B1535" t="s">
        <v>88</v>
      </c>
      <c r="C1535">
        <v>2000000</v>
      </c>
      <c r="D1535">
        <v>576.29999999999995</v>
      </c>
      <c r="E1535">
        <v>3.5299999999999998E-2</v>
      </c>
      <c r="F1535">
        <v>9.5100000000000004E-2</v>
      </c>
    </row>
    <row r="1536" spans="1:6" x14ac:dyDescent="0.3">
      <c r="A1536" t="s">
        <v>1571</v>
      </c>
      <c r="B1536" t="s">
        <v>26</v>
      </c>
      <c r="C1536">
        <v>2890000</v>
      </c>
      <c r="D1536">
        <v>93827.9</v>
      </c>
      <c r="E1536">
        <v>5.7099999999999998E-2</v>
      </c>
      <c r="F1536">
        <v>7.5899999999999995E-2</v>
      </c>
    </row>
    <row r="1537" spans="1:6" x14ac:dyDescent="0.3">
      <c r="A1537" t="s">
        <v>1572</v>
      </c>
      <c r="B1537" t="s">
        <v>30</v>
      </c>
      <c r="C1537">
        <v>2630000</v>
      </c>
      <c r="D1537">
        <v>315076.09999999998</v>
      </c>
      <c r="E1537">
        <v>6.6E-3</v>
      </c>
      <c r="F1537">
        <v>8.2100000000000006E-2</v>
      </c>
    </row>
    <row r="1538" spans="1:6" x14ac:dyDescent="0.3">
      <c r="A1538" t="s">
        <v>1573</v>
      </c>
      <c r="B1538" t="s">
        <v>53</v>
      </c>
      <c r="C1538">
        <v>1960000</v>
      </c>
      <c r="D1538">
        <v>117608.1</v>
      </c>
      <c r="F1538">
        <v>5.1799999999999999E-2</v>
      </c>
    </row>
    <row r="1539" spans="1:6" x14ac:dyDescent="0.3">
      <c r="A1539" t="s">
        <v>1574</v>
      </c>
      <c r="B1539" t="s">
        <v>26</v>
      </c>
      <c r="C1539">
        <v>2230000</v>
      </c>
      <c r="D1539">
        <v>186462.2</v>
      </c>
      <c r="E1539">
        <v>3.9899999999999998E-2</v>
      </c>
      <c r="F1539">
        <v>7.5899999999999995E-2</v>
      </c>
    </row>
    <row r="1540" spans="1:6" x14ac:dyDescent="0.3">
      <c r="A1540" t="s">
        <v>1575</v>
      </c>
      <c r="B1540" t="s">
        <v>26</v>
      </c>
      <c r="C1540">
        <v>1410000</v>
      </c>
      <c r="D1540">
        <v>133102.6</v>
      </c>
      <c r="E1540">
        <v>3.0499999999999999E-2</v>
      </c>
      <c r="F1540">
        <v>7.5899999999999995E-2</v>
      </c>
    </row>
    <row r="1541" spans="1:6" x14ac:dyDescent="0.3">
      <c r="A1541" t="s">
        <v>1576</v>
      </c>
      <c r="B1541" t="s">
        <v>92</v>
      </c>
      <c r="C1541">
        <v>2270000</v>
      </c>
      <c r="D1541">
        <v>15650.9</v>
      </c>
      <c r="E1541">
        <v>1.6799999999999999E-2</v>
      </c>
      <c r="F1541">
        <v>0.1053</v>
      </c>
    </row>
    <row r="1542" spans="1:6" x14ac:dyDescent="0.3">
      <c r="A1542" t="s">
        <v>1577</v>
      </c>
      <c r="B1542" t="s">
        <v>26</v>
      </c>
      <c r="C1542">
        <v>3060000</v>
      </c>
      <c r="D1542">
        <v>128968.1</v>
      </c>
      <c r="E1542">
        <v>1.1900000000000001E-2</v>
      </c>
      <c r="F1542">
        <v>7.2599999999999998E-2</v>
      </c>
    </row>
    <row r="1543" spans="1:6" x14ac:dyDescent="0.3">
      <c r="A1543" t="s">
        <v>1578</v>
      </c>
      <c r="B1543" t="s">
        <v>21</v>
      </c>
      <c r="C1543">
        <v>2430000</v>
      </c>
      <c r="D1543">
        <v>25696.5</v>
      </c>
      <c r="E1543">
        <v>3.0200000000000001E-2</v>
      </c>
      <c r="F1543">
        <v>7.5899999999999995E-2</v>
      </c>
    </row>
    <row r="1544" spans="1:6" x14ac:dyDescent="0.3">
      <c r="A1544" t="s">
        <v>1579</v>
      </c>
      <c r="B1544" t="s">
        <v>214</v>
      </c>
      <c r="C1544">
        <v>2090000</v>
      </c>
      <c r="D1544">
        <v>3420.3</v>
      </c>
      <c r="E1544">
        <v>2.2700000000000001E-2</v>
      </c>
      <c r="F1544">
        <v>9.3799999999999994E-2</v>
      </c>
    </row>
    <row r="1545" spans="1:6" x14ac:dyDescent="0.3">
      <c r="A1545" t="s">
        <v>1580</v>
      </c>
      <c r="B1545" t="s">
        <v>92</v>
      </c>
      <c r="C1545">
        <v>2210000</v>
      </c>
      <c r="D1545">
        <v>98430.7</v>
      </c>
      <c r="E1545">
        <v>2.4500000000000001E-2</v>
      </c>
      <c r="F1545">
        <v>5.1799999999999999E-2</v>
      </c>
    </row>
    <row r="1546" spans="1:6" x14ac:dyDescent="0.3">
      <c r="A1546" t="s">
        <v>1581</v>
      </c>
      <c r="B1546" t="s">
        <v>26</v>
      </c>
      <c r="C1546">
        <v>2420000</v>
      </c>
      <c r="D1546">
        <v>2386088.1</v>
      </c>
      <c r="E1546">
        <v>3.2800000000000003E-2</v>
      </c>
      <c r="F1546">
        <v>9.5100000000000004E-2</v>
      </c>
    </row>
    <row r="1547" spans="1:6" x14ac:dyDescent="0.3">
      <c r="A1547" t="s">
        <v>1582</v>
      </c>
      <c r="B1547" t="s">
        <v>50</v>
      </c>
      <c r="C1547">
        <v>3100000</v>
      </c>
      <c r="D1547">
        <v>26023.1</v>
      </c>
      <c r="E1547">
        <v>7.1000000000000004E-3</v>
      </c>
      <c r="F1547">
        <v>8.1100000000000005E-2</v>
      </c>
    </row>
    <row r="1548" spans="1:6" x14ac:dyDescent="0.3">
      <c r="A1548" t="s">
        <v>1583</v>
      </c>
      <c r="B1548" t="s">
        <v>92</v>
      </c>
      <c r="C1548">
        <v>2770000</v>
      </c>
      <c r="D1548">
        <v>143996.1</v>
      </c>
      <c r="E1548">
        <v>3.09E-2</v>
      </c>
      <c r="F1548">
        <v>7.5899999999999995E-2</v>
      </c>
    </row>
    <row r="1549" spans="1:6" x14ac:dyDescent="0.3">
      <c r="A1549" t="s">
        <v>1584</v>
      </c>
      <c r="B1549" t="s">
        <v>62</v>
      </c>
      <c r="C1549">
        <v>2260000</v>
      </c>
      <c r="D1549">
        <v>5491.7</v>
      </c>
      <c r="E1549">
        <v>7.1999999999999998E-3</v>
      </c>
      <c r="F1549">
        <v>8.1100000000000005E-2</v>
      </c>
    </row>
    <row r="1550" spans="1:6" x14ac:dyDescent="0.3">
      <c r="A1550" t="s">
        <v>1585</v>
      </c>
      <c r="B1550" t="s">
        <v>53</v>
      </c>
      <c r="C1550">
        <v>2470000</v>
      </c>
      <c r="D1550">
        <v>1633027.4</v>
      </c>
      <c r="E1550">
        <v>2.0799999999999999E-2</v>
      </c>
      <c r="F1550">
        <v>5.1799999999999999E-2</v>
      </c>
    </row>
    <row r="1551" spans="1:6" x14ac:dyDescent="0.3">
      <c r="A1551" t="s">
        <v>1586</v>
      </c>
      <c r="B1551" t="s">
        <v>26</v>
      </c>
      <c r="C1551">
        <v>2140000</v>
      </c>
      <c r="D1551">
        <v>48396.800000000003</v>
      </c>
      <c r="E1551">
        <v>3.04E-2</v>
      </c>
      <c r="F1551">
        <v>7.5899999999999995E-2</v>
      </c>
    </row>
    <row r="1552" spans="1:6" x14ac:dyDescent="0.3">
      <c r="A1552" t="s">
        <v>1587</v>
      </c>
      <c r="B1552" t="s">
        <v>214</v>
      </c>
      <c r="C1552">
        <v>2030000</v>
      </c>
      <c r="D1552">
        <v>9895777.6999999993</v>
      </c>
      <c r="E1552">
        <v>3.5099999999999999E-2</v>
      </c>
      <c r="F1552">
        <v>5.4600000000000003E-2</v>
      </c>
    </row>
    <row r="1553" spans="1:6" x14ac:dyDescent="0.3">
      <c r="A1553" t="s">
        <v>1588</v>
      </c>
      <c r="B1553" t="s">
        <v>24</v>
      </c>
      <c r="C1553">
        <v>2300000</v>
      </c>
      <c r="D1553">
        <v>11896.3</v>
      </c>
      <c r="E1553">
        <v>3.5000000000000003E-2</v>
      </c>
      <c r="F1553">
        <v>5.3800000000000001E-2</v>
      </c>
    </row>
    <row r="1554" spans="1:6" x14ac:dyDescent="0.3">
      <c r="A1554" t="s">
        <v>1589</v>
      </c>
      <c r="B1554" t="s">
        <v>214</v>
      </c>
      <c r="C1554">
        <v>2060000</v>
      </c>
      <c r="D1554">
        <v>11620.1</v>
      </c>
      <c r="E1554">
        <v>8.3000000000000001E-3</v>
      </c>
      <c r="F1554">
        <v>0.1187</v>
      </c>
    </row>
    <row r="1555" spans="1:6" x14ac:dyDescent="0.3">
      <c r="A1555" t="s">
        <v>1590</v>
      </c>
      <c r="B1555" t="s">
        <v>26</v>
      </c>
      <c r="C1555">
        <v>276000</v>
      </c>
      <c r="D1555">
        <v>614059.19999999995</v>
      </c>
      <c r="F1555">
        <v>5.1799999999999999E-2</v>
      </c>
    </row>
    <row r="1556" spans="1:6" x14ac:dyDescent="0.3">
      <c r="A1556" t="s">
        <v>1591</v>
      </c>
      <c r="B1556" t="s">
        <v>24</v>
      </c>
      <c r="C1556">
        <v>3030000</v>
      </c>
      <c r="D1556">
        <v>1178.4000000000001</v>
      </c>
      <c r="E1556">
        <v>0.12609999999999999</v>
      </c>
      <c r="F1556">
        <v>9.3799999999999994E-2</v>
      </c>
    </row>
    <row r="1557" spans="1:6" x14ac:dyDescent="0.3">
      <c r="A1557" t="s">
        <v>1592</v>
      </c>
      <c r="B1557" t="s">
        <v>62</v>
      </c>
      <c r="C1557">
        <v>2090000</v>
      </c>
      <c r="D1557">
        <v>35395.1</v>
      </c>
      <c r="E1557">
        <v>5.3400000000000003E-2</v>
      </c>
      <c r="F1557">
        <v>7.5899999999999995E-2</v>
      </c>
    </row>
    <row r="1558" spans="1:6" x14ac:dyDescent="0.3">
      <c r="A1558" t="s">
        <v>1593</v>
      </c>
      <c r="B1558" t="s">
        <v>26</v>
      </c>
      <c r="C1558">
        <v>2120000</v>
      </c>
      <c r="D1558">
        <v>12911.4</v>
      </c>
      <c r="E1558">
        <v>3.2300000000000002E-2</v>
      </c>
      <c r="F1558">
        <v>7.5899999999999995E-2</v>
      </c>
    </row>
    <row r="1559" spans="1:6" x14ac:dyDescent="0.3">
      <c r="A1559" t="s">
        <v>1594</v>
      </c>
      <c r="B1559" t="s">
        <v>24</v>
      </c>
      <c r="C1559">
        <v>2420000</v>
      </c>
      <c r="D1559">
        <v>26082.9</v>
      </c>
      <c r="E1559">
        <v>3.3700000000000001E-2</v>
      </c>
      <c r="F1559">
        <v>5.0999999999999997E-2</v>
      </c>
    </row>
    <row r="1560" spans="1:6" x14ac:dyDescent="0.3">
      <c r="A1560" t="s">
        <v>1595</v>
      </c>
      <c r="B1560" t="s">
        <v>30</v>
      </c>
      <c r="C1560">
        <v>3390000</v>
      </c>
      <c r="D1560">
        <v>26896.1</v>
      </c>
      <c r="E1560">
        <v>1.06E-2</v>
      </c>
      <c r="F1560">
        <v>8.1100000000000005E-2</v>
      </c>
    </row>
    <row r="1561" spans="1:6" x14ac:dyDescent="0.3">
      <c r="A1561" t="s">
        <v>1596</v>
      </c>
      <c r="B1561" t="s">
        <v>214</v>
      </c>
      <c r="C1561">
        <v>2030000</v>
      </c>
      <c r="D1561">
        <v>99883.1</v>
      </c>
      <c r="E1561">
        <v>1.9199999999999998E-2</v>
      </c>
      <c r="F1561">
        <v>9.5000000000000001E-2</v>
      </c>
    </row>
    <row r="1562" spans="1:6" x14ac:dyDescent="0.3">
      <c r="A1562" t="s">
        <v>1597</v>
      </c>
      <c r="B1562" t="s">
        <v>26</v>
      </c>
      <c r="C1562">
        <v>2300000</v>
      </c>
      <c r="D1562">
        <v>1319.4</v>
      </c>
      <c r="E1562">
        <v>9.2999999999999992E-3</v>
      </c>
      <c r="F1562">
        <v>0.15920000000000001</v>
      </c>
    </row>
    <row r="1563" spans="1:6" x14ac:dyDescent="0.3">
      <c r="A1563" t="s">
        <v>1598</v>
      </c>
      <c r="B1563" t="s">
        <v>53</v>
      </c>
      <c r="C1563">
        <v>2400000</v>
      </c>
      <c r="D1563">
        <v>54222.9</v>
      </c>
      <c r="E1563">
        <v>5.0000000000000001E-3</v>
      </c>
      <c r="F1563">
        <v>6.54E-2</v>
      </c>
    </row>
    <row r="1564" spans="1:6" x14ac:dyDescent="0.3">
      <c r="A1564" t="s">
        <v>1599</v>
      </c>
      <c r="B1564" t="s">
        <v>28</v>
      </c>
      <c r="C1564">
        <v>2320000</v>
      </c>
      <c r="D1564">
        <v>7970.8</v>
      </c>
      <c r="E1564">
        <v>1.06E-2</v>
      </c>
      <c r="F1564">
        <v>6.54E-2</v>
      </c>
    </row>
    <row r="1565" spans="1:6" x14ac:dyDescent="0.3">
      <c r="A1565" t="s">
        <v>1600</v>
      </c>
      <c r="B1565" t="s">
        <v>41</v>
      </c>
      <c r="C1565">
        <v>2830000</v>
      </c>
      <c r="D1565">
        <v>3488.5</v>
      </c>
      <c r="E1565">
        <v>1.8100000000000002E-2</v>
      </c>
      <c r="F1565">
        <v>0.57140000000000002</v>
      </c>
    </row>
    <row r="1566" spans="1:6" x14ac:dyDescent="0.3">
      <c r="A1566" t="s">
        <v>1601</v>
      </c>
      <c r="B1566" t="s">
        <v>24</v>
      </c>
      <c r="C1566">
        <v>2170000</v>
      </c>
      <c r="D1566">
        <v>396566.9</v>
      </c>
      <c r="E1566">
        <v>4.7300000000000002E-2</v>
      </c>
      <c r="F1566">
        <v>7.5899999999999995E-2</v>
      </c>
    </row>
    <row r="1567" spans="1:6" x14ac:dyDescent="0.3">
      <c r="A1567" t="s">
        <v>1602</v>
      </c>
      <c r="B1567" t="s">
        <v>26</v>
      </c>
      <c r="C1567">
        <v>1980000</v>
      </c>
      <c r="D1567">
        <v>278.7</v>
      </c>
      <c r="E1567">
        <v>1.01E-2</v>
      </c>
      <c r="F1567">
        <v>0.13900000000000001</v>
      </c>
    </row>
    <row r="1568" spans="1:6" x14ac:dyDescent="0.3">
      <c r="A1568" t="s">
        <v>1603</v>
      </c>
      <c r="B1568" t="s">
        <v>26</v>
      </c>
      <c r="C1568">
        <v>3140000</v>
      </c>
      <c r="D1568">
        <v>48428.6</v>
      </c>
      <c r="E1568">
        <v>1.0800000000000001E-2</v>
      </c>
      <c r="F1568">
        <v>8.1100000000000005E-2</v>
      </c>
    </row>
    <row r="1569" spans="1:6" x14ac:dyDescent="0.3">
      <c r="A1569" t="s">
        <v>1604</v>
      </c>
      <c r="B1569" t="s">
        <v>92</v>
      </c>
      <c r="C1569">
        <v>2460000</v>
      </c>
      <c r="D1569">
        <v>15380.9</v>
      </c>
      <c r="E1569">
        <v>2.5899999999999999E-2</v>
      </c>
      <c r="F1569">
        <v>0.33110000000000001</v>
      </c>
    </row>
    <row r="1570" spans="1:6" x14ac:dyDescent="0.3">
      <c r="A1570" t="s">
        <v>1605</v>
      </c>
      <c r="B1570" t="s">
        <v>92</v>
      </c>
      <c r="C1570">
        <v>2530000</v>
      </c>
      <c r="D1570">
        <v>43242.1</v>
      </c>
      <c r="E1570">
        <v>1.67E-2</v>
      </c>
      <c r="F1570">
        <v>9.5000000000000001E-2</v>
      </c>
    </row>
    <row r="1571" spans="1:6" x14ac:dyDescent="0.3">
      <c r="A1571" t="s">
        <v>1606</v>
      </c>
      <c r="B1571" t="s">
        <v>41</v>
      </c>
      <c r="C1571">
        <v>2110000</v>
      </c>
      <c r="D1571">
        <v>15591.8</v>
      </c>
      <c r="E1571">
        <v>6.8999999999999999E-3</v>
      </c>
      <c r="F1571">
        <v>0.10150000000000001</v>
      </c>
    </row>
    <row r="1572" spans="1:6" x14ac:dyDescent="0.3">
      <c r="A1572" t="s">
        <v>1607</v>
      </c>
      <c r="B1572" t="s">
        <v>28</v>
      </c>
      <c r="C1572">
        <v>2070000</v>
      </c>
      <c r="D1572">
        <v>91830.2</v>
      </c>
      <c r="E1572">
        <v>4.1999999999999997E-3</v>
      </c>
      <c r="F1572">
        <v>8.2199999999999995E-2</v>
      </c>
    </row>
    <row r="1573" spans="1:6" x14ac:dyDescent="0.3">
      <c r="A1573" t="s">
        <v>1608</v>
      </c>
      <c r="B1573" t="s">
        <v>24</v>
      </c>
      <c r="C1573">
        <v>1470000</v>
      </c>
      <c r="D1573">
        <v>5402971.4000000004</v>
      </c>
      <c r="E1573">
        <v>2.4500000000000001E-2</v>
      </c>
      <c r="F1573">
        <v>4.0899999999999999E-2</v>
      </c>
    </row>
    <row r="1574" spans="1:6" x14ac:dyDescent="0.3">
      <c r="A1574" t="s">
        <v>1609</v>
      </c>
      <c r="B1574" t="s">
        <v>214</v>
      </c>
      <c r="C1574">
        <v>1970000</v>
      </c>
      <c r="D1574">
        <v>2082.3000000000002</v>
      </c>
      <c r="E1574">
        <v>6.8999999999999999E-3</v>
      </c>
      <c r="F1574">
        <v>8.2199999999999995E-2</v>
      </c>
    </row>
    <row r="1575" spans="1:6" x14ac:dyDescent="0.3">
      <c r="A1575" t="s">
        <v>1610</v>
      </c>
      <c r="B1575" t="s">
        <v>62</v>
      </c>
      <c r="C1575">
        <v>2400000</v>
      </c>
      <c r="D1575">
        <v>4344.8</v>
      </c>
      <c r="E1575">
        <v>9.9000000000000008E-3</v>
      </c>
      <c r="F1575">
        <v>8.1100000000000005E-2</v>
      </c>
    </row>
    <row r="1576" spans="1:6" x14ac:dyDescent="0.3">
      <c r="A1576" t="s">
        <v>1611</v>
      </c>
      <c r="B1576" t="s">
        <v>62</v>
      </c>
      <c r="C1576">
        <v>2090000</v>
      </c>
      <c r="D1576">
        <v>2394.6999999999998</v>
      </c>
      <c r="E1576">
        <v>9.6299999999999997E-2</v>
      </c>
      <c r="F1576">
        <v>9.3799999999999994E-2</v>
      </c>
    </row>
    <row r="1577" spans="1:6" x14ac:dyDescent="0.3">
      <c r="A1577" t="s">
        <v>1612</v>
      </c>
      <c r="B1577" t="s">
        <v>26</v>
      </c>
      <c r="C1577">
        <v>1930000</v>
      </c>
      <c r="D1577">
        <v>1771</v>
      </c>
      <c r="E1577">
        <v>7.7999999999999996E-3</v>
      </c>
      <c r="F1577">
        <v>0.14710000000000001</v>
      </c>
    </row>
    <row r="1578" spans="1:6" x14ac:dyDescent="0.3">
      <c r="A1578" t="s">
        <v>1613</v>
      </c>
      <c r="B1578" t="s">
        <v>92</v>
      </c>
      <c r="C1578">
        <v>2270000</v>
      </c>
      <c r="D1578">
        <v>92780.4</v>
      </c>
      <c r="E1578">
        <v>3.8899999999999997E-2</v>
      </c>
      <c r="F1578">
        <v>9.3799999999999994E-2</v>
      </c>
    </row>
    <row r="1579" spans="1:6" x14ac:dyDescent="0.3">
      <c r="A1579" t="s">
        <v>1614</v>
      </c>
      <c r="B1579" t="s">
        <v>24</v>
      </c>
      <c r="C1579">
        <v>3290000</v>
      </c>
      <c r="D1579">
        <v>393.2</v>
      </c>
      <c r="E1579">
        <v>7.1000000000000004E-3</v>
      </c>
      <c r="F1579">
        <v>8.1100000000000005E-2</v>
      </c>
    </row>
    <row r="1580" spans="1:6" x14ac:dyDescent="0.3">
      <c r="A1580" t="s">
        <v>1615</v>
      </c>
      <c r="B1580" t="s">
        <v>41</v>
      </c>
      <c r="C1580">
        <v>1940000</v>
      </c>
      <c r="D1580">
        <v>6022.2</v>
      </c>
      <c r="E1580">
        <v>4.3E-3</v>
      </c>
      <c r="F1580">
        <v>0.10150000000000001</v>
      </c>
    </row>
    <row r="1581" spans="1:6" x14ac:dyDescent="0.3">
      <c r="A1581" t="s">
        <v>1616</v>
      </c>
      <c r="B1581" t="s">
        <v>41</v>
      </c>
      <c r="C1581">
        <v>1810000</v>
      </c>
      <c r="D1581">
        <v>15655.4</v>
      </c>
      <c r="E1581">
        <v>2.8500000000000001E-2</v>
      </c>
      <c r="F1581">
        <v>0.11700000000000001</v>
      </c>
    </row>
    <row r="1582" spans="1:6" x14ac:dyDescent="0.3">
      <c r="A1582" t="s">
        <v>1617</v>
      </c>
      <c r="B1582" t="s">
        <v>30</v>
      </c>
      <c r="C1582">
        <v>2110000</v>
      </c>
      <c r="D1582">
        <v>1822244.5</v>
      </c>
      <c r="E1582">
        <v>2.4199999999999999E-2</v>
      </c>
      <c r="F1582">
        <v>5.1799999999999999E-2</v>
      </c>
    </row>
    <row r="1583" spans="1:6" x14ac:dyDescent="0.3">
      <c r="A1583" t="s">
        <v>1618</v>
      </c>
      <c r="B1583" t="s">
        <v>26</v>
      </c>
      <c r="C1583">
        <v>2180000</v>
      </c>
      <c r="D1583">
        <v>250156.5</v>
      </c>
      <c r="E1583">
        <v>3.15E-2</v>
      </c>
      <c r="F1583">
        <v>4.0899999999999999E-2</v>
      </c>
    </row>
    <row r="1584" spans="1:6" x14ac:dyDescent="0.3">
      <c r="A1584" t="s">
        <v>1619</v>
      </c>
      <c r="B1584" t="s">
        <v>53</v>
      </c>
      <c r="C1584">
        <v>5030000</v>
      </c>
      <c r="D1584">
        <v>27273.7</v>
      </c>
      <c r="E1584">
        <v>2.23E-2</v>
      </c>
      <c r="F1584">
        <v>5.0999999999999997E-2</v>
      </c>
    </row>
    <row r="1585" spans="1:6" x14ac:dyDescent="0.3">
      <c r="A1585" t="s">
        <v>1620</v>
      </c>
      <c r="B1585" t="s">
        <v>30</v>
      </c>
      <c r="C1585">
        <v>2080000</v>
      </c>
      <c r="D1585">
        <v>38422.1</v>
      </c>
      <c r="E1585">
        <v>1.8700000000000001E-2</v>
      </c>
      <c r="F1585">
        <v>9.3700000000000006E-2</v>
      </c>
    </row>
    <row r="1586" spans="1:6" x14ac:dyDescent="0.3">
      <c r="A1586" t="s">
        <v>1621</v>
      </c>
      <c r="B1586" t="s">
        <v>24</v>
      </c>
      <c r="C1586">
        <v>2900000</v>
      </c>
      <c r="D1586">
        <v>343404.4</v>
      </c>
      <c r="E1586">
        <v>1.8700000000000001E-2</v>
      </c>
      <c r="F1586">
        <v>4.6199999999999998E-2</v>
      </c>
    </row>
    <row r="1587" spans="1:6" x14ac:dyDescent="0.3">
      <c r="A1587" t="s">
        <v>1622</v>
      </c>
      <c r="B1587" t="s">
        <v>26</v>
      </c>
      <c r="C1587">
        <v>1900000</v>
      </c>
      <c r="D1587">
        <v>5057.8</v>
      </c>
      <c r="E1587">
        <v>3.7699999999999997E-2</v>
      </c>
      <c r="F1587">
        <v>9.5100000000000004E-2</v>
      </c>
    </row>
    <row r="1588" spans="1:6" x14ac:dyDescent="0.3">
      <c r="A1588" t="s">
        <v>1623</v>
      </c>
      <c r="B1588" t="s">
        <v>92</v>
      </c>
      <c r="C1588">
        <v>2750000</v>
      </c>
      <c r="D1588">
        <v>15026</v>
      </c>
      <c r="E1588">
        <v>1.11E-2</v>
      </c>
      <c r="F1588">
        <v>5.8400000000000001E-2</v>
      </c>
    </row>
    <row r="1589" spans="1:6" x14ac:dyDescent="0.3">
      <c r="A1589" t="s">
        <v>1624</v>
      </c>
      <c r="B1589" t="s">
        <v>53</v>
      </c>
      <c r="C1589">
        <v>2230000</v>
      </c>
      <c r="D1589">
        <v>13864.3</v>
      </c>
      <c r="E1589">
        <v>1.67E-2</v>
      </c>
      <c r="F1589">
        <v>5.7599999999999998E-2</v>
      </c>
    </row>
    <row r="1590" spans="1:6" x14ac:dyDescent="0.3">
      <c r="A1590" t="s">
        <v>1625</v>
      </c>
      <c r="B1590" t="s">
        <v>35</v>
      </c>
      <c r="C1590">
        <v>2660000</v>
      </c>
      <c r="D1590">
        <v>252104.7</v>
      </c>
      <c r="E1590">
        <v>5.6599999999999998E-2</v>
      </c>
      <c r="F1590">
        <v>7.5899999999999995E-2</v>
      </c>
    </row>
    <row r="1591" spans="1:6" x14ac:dyDescent="0.3">
      <c r="A1591" t="s">
        <v>1626</v>
      </c>
      <c r="B1591" t="s">
        <v>24</v>
      </c>
      <c r="C1591">
        <v>1930000</v>
      </c>
      <c r="D1591">
        <v>1047.5999999999999</v>
      </c>
      <c r="E1591">
        <v>1.2999999999999999E-2</v>
      </c>
      <c r="F1591">
        <v>6.1600000000000002E-2</v>
      </c>
    </row>
    <row r="1592" spans="1:6" x14ac:dyDescent="0.3">
      <c r="A1592" t="s">
        <v>1627</v>
      </c>
      <c r="B1592" t="s">
        <v>26</v>
      </c>
      <c r="C1592">
        <v>5890000</v>
      </c>
      <c r="D1592">
        <v>2354574.2999999998</v>
      </c>
      <c r="E1592">
        <v>5.6899999999999999E-2</v>
      </c>
      <c r="F1592">
        <v>4.0899999999999999E-2</v>
      </c>
    </row>
    <row r="1593" spans="1:6" x14ac:dyDescent="0.3">
      <c r="A1593" t="s">
        <v>1628</v>
      </c>
      <c r="B1593" t="s">
        <v>92</v>
      </c>
      <c r="C1593">
        <v>2230000</v>
      </c>
      <c r="D1593">
        <v>25917.4</v>
      </c>
      <c r="E1593">
        <v>1.12E-2</v>
      </c>
      <c r="F1593">
        <v>8.1100000000000005E-2</v>
      </c>
    </row>
    <row r="1594" spans="1:6" x14ac:dyDescent="0.3">
      <c r="A1594" t="s">
        <v>1629</v>
      </c>
      <c r="B1594" t="s">
        <v>81</v>
      </c>
      <c r="C1594">
        <v>1920000</v>
      </c>
      <c r="D1594">
        <v>78488.5</v>
      </c>
      <c r="E1594">
        <v>4.1500000000000002E-2</v>
      </c>
      <c r="F1594">
        <v>7.5899999999999995E-2</v>
      </c>
    </row>
    <row r="1595" spans="1:6" x14ac:dyDescent="0.3">
      <c r="A1595" t="s">
        <v>1630</v>
      </c>
      <c r="B1595" t="s">
        <v>24</v>
      </c>
      <c r="C1595">
        <v>2190000</v>
      </c>
      <c r="D1595">
        <v>14220</v>
      </c>
      <c r="E1595">
        <v>1.06E-2</v>
      </c>
      <c r="F1595">
        <v>6.54E-2</v>
      </c>
    </row>
    <row r="1596" spans="1:6" x14ac:dyDescent="0.3">
      <c r="A1596" t="s">
        <v>1631</v>
      </c>
      <c r="B1596" t="s">
        <v>30</v>
      </c>
      <c r="C1596">
        <v>2490000</v>
      </c>
      <c r="D1596">
        <v>188126</v>
      </c>
      <c r="E1596">
        <v>7.3099999999999998E-2</v>
      </c>
      <c r="F1596">
        <v>9.3799999999999994E-2</v>
      </c>
    </row>
    <row r="1597" spans="1:6" x14ac:dyDescent="0.3">
      <c r="A1597" t="s">
        <v>1632</v>
      </c>
      <c r="B1597" t="s">
        <v>92</v>
      </c>
      <c r="C1597">
        <v>1960000</v>
      </c>
      <c r="D1597">
        <v>7936.5</v>
      </c>
      <c r="E1597">
        <v>1.3899999999999999E-2</v>
      </c>
      <c r="F1597">
        <v>0.1192</v>
      </c>
    </row>
    <row r="1598" spans="1:6" x14ac:dyDescent="0.3">
      <c r="A1598" t="s">
        <v>1633</v>
      </c>
      <c r="B1598" t="s">
        <v>71</v>
      </c>
      <c r="C1598">
        <v>2090000</v>
      </c>
      <c r="D1598">
        <v>73068.7</v>
      </c>
      <c r="E1598">
        <v>2.9100000000000001E-2</v>
      </c>
      <c r="F1598">
        <v>9.3799999999999994E-2</v>
      </c>
    </row>
    <row r="1599" spans="1:6" x14ac:dyDescent="0.3">
      <c r="A1599" t="s">
        <v>1634</v>
      </c>
      <c r="B1599" t="s">
        <v>30</v>
      </c>
      <c r="C1599">
        <v>2830000</v>
      </c>
      <c r="D1599">
        <v>975787.6</v>
      </c>
      <c r="E1599">
        <v>2.5899999999999999E-2</v>
      </c>
      <c r="F1599">
        <v>5.8500000000000003E-2</v>
      </c>
    </row>
    <row r="1600" spans="1:6" x14ac:dyDescent="0.3">
      <c r="A1600" t="s">
        <v>1635</v>
      </c>
      <c r="B1600" t="s">
        <v>92</v>
      </c>
      <c r="C1600">
        <v>2150000</v>
      </c>
      <c r="D1600">
        <v>13384.5</v>
      </c>
      <c r="E1600">
        <v>4.02E-2</v>
      </c>
      <c r="F1600">
        <v>9.3799999999999994E-2</v>
      </c>
    </row>
    <row r="1601" spans="1:6" x14ac:dyDescent="0.3">
      <c r="A1601" t="s">
        <v>1636</v>
      </c>
      <c r="B1601" t="s">
        <v>26</v>
      </c>
      <c r="C1601">
        <v>6450000</v>
      </c>
      <c r="D1601">
        <v>2136237.7000000002</v>
      </c>
      <c r="E1601">
        <v>1.46E-2</v>
      </c>
      <c r="F1601">
        <v>4.6199999999999998E-2</v>
      </c>
    </row>
    <row r="1602" spans="1:6" x14ac:dyDescent="0.3">
      <c r="A1602" t="s">
        <v>1637</v>
      </c>
      <c r="B1602" t="s">
        <v>30</v>
      </c>
      <c r="C1602">
        <v>2550000</v>
      </c>
      <c r="D1602">
        <v>202523</v>
      </c>
      <c r="E1602">
        <v>6.4999999999999997E-3</v>
      </c>
      <c r="F1602">
        <v>0.1187</v>
      </c>
    </row>
    <row r="1603" spans="1:6" x14ac:dyDescent="0.3">
      <c r="A1603" t="s">
        <v>1638</v>
      </c>
      <c r="B1603" t="s">
        <v>24</v>
      </c>
      <c r="C1603">
        <v>1960000</v>
      </c>
      <c r="D1603">
        <v>1371104.7</v>
      </c>
      <c r="E1603">
        <v>1.5800000000000002E-2</v>
      </c>
      <c r="F1603">
        <v>5.8500000000000003E-2</v>
      </c>
    </row>
    <row r="1604" spans="1:6" x14ac:dyDescent="0.3">
      <c r="A1604" t="s">
        <v>1639</v>
      </c>
      <c r="B1604" t="s">
        <v>26</v>
      </c>
      <c r="C1604">
        <v>1970000</v>
      </c>
      <c r="D1604">
        <v>8028.2</v>
      </c>
      <c r="E1604">
        <v>1.37E-2</v>
      </c>
      <c r="F1604">
        <v>7.2599999999999998E-2</v>
      </c>
    </row>
    <row r="1605" spans="1:6" x14ac:dyDescent="0.3">
      <c r="A1605" t="s">
        <v>1640</v>
      </c>
      <c r="B1605" t="s">
        <v>24</v>
      </c>
      <c r="C1605">
        <v>2590000</v>
      </c>
      <c r="D1605">
        <v>111660785.90000001</v>
      </c>
      <c r="E1605">
        <v>7.7999999999999996E-3</v>
      </c>
      <c r="F1605">
        <v>8.2199999999999995E-2</v>
      </c>
    </row>
    <row r="1606" spans="1:6" x14ac:dyDescent="0.3">
      <c r="A1606" t="s">
        <v>1641</v>
      </c>
      <c r="B1606" t="s">
        <v>53</v>
      </c>
      <c r="C1606">
        <v>2380000</v>
      </c>
      <c r="D1606">
        <v>6788.7</v>
      </c>
      <c r="E1606">
        <v>4.2099999999999999E-2</v>
      </c>
      <c r="F1606">
        <v>7.5899999999999995E-2</v>
      </c>
    </row>
    <row r="1607" spans="1:6" x14ac:dyDescent="0.3">
      <c r="A1607" t="s">
        <v>1642</v>
      </c>
      <c r="B1607" t="s">
        <v>26</v>
      </c>
      <c r="C1607">
        <v>2010000</v>
      </c>
      <c r="D1607">
        <v>11029.2</v>
      </c>
      <c r="E1607">
        <v>1.37E-2</v>
      </c>
      <c r="F1607">
        <v>9.3700000000000006E-2</v>
      </c>
    </row>
    <row r="1608" spans="1:6" x14ac:dyDescent="0.3">
      <c r="A1608" t="s">
        <v>1643</v>
      </c>
      <c r="B1608" t="s">
        <v>41</v>
      </c>
      <c r="C1608">
        <v>2450000</v>
      </c>
      <c r="D1608">
        <v>25722.799999999999</v>
      </c>
      <c r="E1608">
        <v>7.4899999999999994E-2</v>
      </c>
      <c r="F1608">
        <v>9.3799999999999994E-2</v>
      </c>
    </row>
    <row r="1609" spans="1:6" x14ac:dyDescent="0.3">
      <c r="A1609" t="s">
        <v>1644</v>
      </c>
      <c r="B1609" t="s">
        <v>26</v>
      </c>
      <c r="C1609">
        <v>2230000</v>
      </c>
      <c r="D1609">
        <v>228068.5</v>
      </c>
      <c r="E1609">
        <v>6.13E-2</v>
      </c>
      <c r="F1609">
        <v>7.5899999999999995E-2</v>
      </c>
    </row>
    <row r="1610" spans="1:6" x14ac:dyDescent="0.3">
      <c r="A1610" t="s">
        <v>1645</v>
      </c>
      <c r="B1610" t="s">
        <v>26</v>
      </c>
      <c r="C1610">
        <v>3280000</v>
      </c>
      <c r="D1610">
        <v>476342</v>
      </c>
      <c r="E1610">
        <v>2.35E-2</v>
      </c>
      <c r="F1610">
        <v>4.0899999999999999E-2</v>
      </c>
    </row>
    <row r="1611" spans="1:6" x14ac:dyDescent="0.3">
      <c r="A1611" t="s">
        <v>1646</v>
      </c>
      <c r="B1611" t="s">
        <v>26</v>
      </c>
      <c r="C1611">
        <v>2070000</v>
      </c>
      <c r="D1611">
        <v>5176.6000000000004</v>
      </c>
      <c r="E1611">
        <v>1.5800000000000002E-2</v>
      </c>
      <c r="F1611">
        <v>4.6199999999999998E-2</v>
      </c>
    </row>
    <row r="1612" spans="1:6" x14ac:dyDescent="0.3">
      <c r="A1612" t="s">
        <v>1647</v>
      </c>
      <c r="B1612" t="s">
        <v>62</v>
      </c>
      <c r="C1612">
        <v>2030000</v>
      </c>
      <c r="D1612">
        <v>1036.5</v>
      </c>
      <c r="F1612">
        <v>9.3799999999999994E-2</v>
      </c>
    </row>
    <row r="1613" spans="1:6" x14ac:dyDescent="0.3">
      <c r="A1613" t="s">
        <v>1648</v>
      </c>
      <c r="B1613" t="s">
        <v>214</v>
      </c>
      <c r="C1613">
        <v>2430000</v>
      </c>
      <c r="D1613">
        <v>104934.1</v>
      </c>
      <c r="E1613">
        <v>4.5499999999999999E-2</v>
      </c>
      <c r="F1613">
        <v>7.5899999999999995E-2</v>
      </c>
    </row>
    <row r="1614" spans="1:6" x14ac:dyDescent="0.3">
      <c r="A1614" t="s">
        <v>1649</v>
      </c>
      <c r="B1614" t="s">
        <v>26</v>
      </c>
      <c r="C1614">
        <v>2930000</v>
      </c>
      <c r="D1614">
        <v>14469.9</v>
      </c>
      <c r="E1614">
        <v>8.0299999999999996E-2</v>
      </c>
      <c r="F1614">
        <v>7.5899999999999995E-2</v>
      </c>
    </row>
    <row r="1615" spans="1:6" x14ac:dyDescent="0.3">
      <c r="A1615" t="s">
        <v>1650</v>
      </c>
      <c r="B1615" t="s">
        <v>26</v>
      </c>
      <c r="C1615">
        <v>1870000</v>
      </c>
      <c r="D1615">
        <v>52812.5</v>
      </c>
      <c r="E1615">
        <v>3.7499999999999999E-2</v>
      </c>
      <c r="F1615">
        <v>7.5899999999999995E-2</v>
      </c>
    </row>
    <row r="1616" spans="1:6" x14ac:dyDescent="0.3">
      <c r="A1616" t="s">
        <v>1651</v>
      </c>
      <c r="B1616" t="s">
        <v>26</v>
      </c>
      <c r="C1616">
        <v>2290000</v>
      </c>
      <c r="D1616">
        <v>34740</v>
      </c>
      <c r="E1616">
        <v>6.4999999999999997E-3</v>
      </c>
      <c r="F1616">
        <v>6.54E-2</v>
      </c>
    </row>
    <row r="1617" spans="1:6" x14ac:dyDescent="0.3">
      <c r="A1617" t="s">
        <v>1652</v>
      </c>
      <c r="B1617" t="s">
        <v>214</v>
      </c>
      <c r="C1617">
        <v>2860000</v>
      </c>
      <c r="D1617">
        <v>20733</v>
      </c>
      <c r="E1617">
        <v>2.2100000000000002E-2</v>
      </c>
      <c r="F1617">
        <v>0.1308</v>
      </c>
    </row>
    <row r="1618" spans="1:6" x14ac:dyDescent="0.3">
      <c r="A1618" t="s">
        <v>1653</v>
      </c>
      <c r="B1618" t="s">
        <v>26</v>
      </c>
      <c r="C1618">
        <v>2470000</v>
      </c>
      <c r="D1618">
        <v>25224.3</v>
      </c>
      <c r="E1618">
        <v>1.23E-2</v>
      </c>
      <c r="F1618">
        <v>5.8400000000000001E-2</v>
      </c>
    </row>
    <row r="1619" spans="1:6" x14ac:dyDescent="0.3">
      <c r="A1619" t="s">
        <v>1654</v>
      </c>
      <c r="B1619" t="s">
        <v>62</v>
      </c>
      <c r="C1619">
        <v>2150000</v>
      </c>
      <c r="D1619">
        <v>2450.4</v>
      </c>
      <c r="F1619">
        <v>7.5899999999999995E-2</v>
      </c>
    </row>
    <row r="1620" spans="1:6" x14ac:dyDescent="0.3">
      <c r="A1620" t="s">
        <v>1655</v>
      </c>
      <c r="B1620" t="s">
        <v>214</v>
      </c>
      <c r="C1620">
        <v>5580000</v>
      </c>
      <c r="D1620">
        <v>5346058.9000000004</v>
      </c>
      <c r="E1620">
        <v>9.4000000000000004E-3</v>
      </c>
      <c r="F1620">
        <v>6.54E-2</v>
      </c>
    </row>
    <row r="1621" spans="1:6" x14ac:dyDescent="0.3">
      <c r="A1621" t="s">
        <v>1656</v>
      </c>
      <c r="B1621" t="s">
        <v>26</v>
      </c>
      <c r="C1621">
        <v>1830000</v>
      </c>
      <c r="D1621">
        <v>2945</v>
      </c>
      <c r="E1621">
        <v>1.0200000000000001E-2</v>
      </c>
      <c r="F1621">
        <v>0.14710000000000001</v>
      </c>
    </row>
    <row r="1622" spans="1:6" x14ac:dyDescent="0.3">
      <c r="A1622" t="s">
        <v>1657</v>
      </c>
      <c r="B1622" t="s">
        <v>26</v>
      </c>
      <c r="C1622">
        <v>1970000</v>
      </c>
      <c r="D1622">
        <v>2135.9</v>
      </c>
      <c r="E1622">
        <v>3.5200000000000002E-2</v>
      </c>
      <c r="F1622">
        <v>7.5899999999999995E-2</v>
      </c>
    </row>
    <row r="1623" spans="1:6" x14ac:dyDescent="0.3">
      <c r="A1623" t="s">
        <v>1658</v>
      </c>
      <c r="B1623" t="s">
        <v>214</v>
      </c>
      <c r="C1623">
        <v>2250000</v>
      </c>
      <c r="D1623">
        <v>45374.1</v>
      </c>
      <c r="E1623">
        <v>3.7199999999999997E-2</v>
      </c>
      <c r="F1623">
        <v>9.3799999999999994E-2</v>
      </c>
    </row>
    <row r="1624" spans="1:6" x14ac:dyDescent="0.3">
      <c r="A1624" t="s">
        <v>1659</v>
      </c>
      <c r="B1624" t="s">
        <v>71</v>
      </c>
      <c r="C1624">
        <v>1920000</v>
      </c>
      <c r="D1624">
        <v>517.70000000000005</v>
      </c>
      <c r="E1624">
        <v>4.6600000000000003E-2</v>
      </c>
      <c r="F1624">
        <v>9.3799999999999994E-2</v>
      </c>
    </row>
    <row r="1625" spans="1:6" x14ac:dyDescent="0.3">
      <c r="A1625" t="s">
        <v>1660</v>
      </c>
      <c r="B1625" t="s">
        <v>26</v>
      </c>
      <c r="C1625">
        <v>2210000</v>
      </c>
      <c r="D1625">
        <v>1008167.6</v>
      </c>
      <c r="E1625">
        <v>7.4999999999999997E-3</v>
      </c>
      <c r="F1625">
        <v>8.2199999999999995E-2</v>
      </c>
    </row>
    <row r="1626" spans="1:6" x14ac:dyDescent="0.3">
      <c r="A1626" t="s">
        <v>1661</v>
      </c>
      <c r="B1626" t="s">
        <v>62</v>
      </c>
      <c r="C1626">
        <v>3050000</v>
      </c>
      <c r="D1626">
        <v>59120.6</v>
      </c>
      <c r="E1626">
        <v>2.93E-2</v>
      </c>
      <c r="F1626">
        <v>6.7199999999999996E-2</v>
      </c>
    </row>
    <row r="1627" spans="1:6" x14ac:dyDescent="0.3">
      <c r="A1627" t="s">
        <v>1662</v>
      </c>
      <c r="B1627" t="s">
        <v>41</v>
      </c>
      <c r="C1627">
        <v>1960000</v>
      </c>
      <c r="D1627">
        <v>3836.9</v>
      </c>
      <c r="E1627">
        <v>7.0000000000000007E-2</v>
      </c>
      <c r="F1627">
        <v>9.3799999999999994E-2</v>
      </c>
    </row>
    <row r="1628" spans="1:6" x14ac:dyDescent="0.3">
      <c r="A1628" t="s">
        <v>1663</v>
      </c>
      <c r="B1628" t="s">
        <v>195</v>
      </c>
      <c r="C1628">
        <v>2110000</v>
      </c>
      <c r="D1628">
        <v>38544.400000000001</v>
      </c>
      <c r="E1628">
        <v>2.2100000000000002E-2</v>
      </c>
      <c r="F1628">
        <v>5.8000000000000003E-2</v>
      </c>
    </row>
    <row r="1629" spans="1:6" x14ac:dyDescent="0.3">
      <c r="A1629" t="s">
        <v>1664</v>
      </c>
      <c r="B1629" t="s">
        <v>53</v>
      </c>
      <c r="C1629">
        <v>2240000</v>
      </c>
      <c r="D1629">
        <v>16365.3</v>
      </c>
      <c r="E1629">
        <v>6.6799999999999998E-2</v>
      </c>
      <c r="F1629">
        <v>7.5899999999999995E-2</v>
      </c>
    </row>
    <row r="1630" spans="1:6" x14ac:dyDescent="0.3">
      <c r="A1630" t="s">
        <v>1665</v>
      </c>
      <c r="B1630" t="s">
        <v>26</v>
      </c>
      <c r="C1630">
        <v>2310000</v>
      </c>
      <c r="D1630">
        <v>36591.5</v>
      </c>
      <c r="E1630">
        <v>6.8999999999999999E-3</v>
      </c>
      <c r="F1630">
        <v>8.1100000000000005E-2</v>
      </c>
    </row>
    <row r="1631" spans="1:6" x14ac:dyDescent="0.3">
      <c r="A1631" t="s">
        <v>1666</v>
      </c>
      <c r="B1631" t="s">
        <v>30</v>
      </c>
      <c r="C1631">
        <v>2050000</v>
      </c>
      <c r="D1631">
        <v>75847.100000000006</v>
      </c>
      <c r="E1631">
        <v>2.6100000000000002E-2</v>
      </c>
      <c r="F1631">
        <v>9.5100000000000004E-2</v>
      </c>
    </row>
    <row r="1632" spans="1:6" x14ac:dyDescent="0.3">
      <c r="A1632" t="s">
        <v>1667</v>
      </c>
      <c r="B1632" t="s">
        <v>53</v>
      </c>
      <c r="C1632">
        <v>2100000</v>
      </c>
      <c r="D1632">
        <v>464288.9</v>
      </c>
      <c r="E1632">
        <v>6.6E-3</v>
      </c>
      <c r="F1632">
        <v>6.54E-2</v>
      </c>
    </row>
    <row r="1633" spans="1:6" x14ac:dyDescent="0.3">
      <c r="A1633" t="s">
        <v>1668</v>
      </c>
      <c r="B1633" t="s">
        <v>74</v>
      </c>
      <c r="C1633">
        <v>2120000</v>
      </c>
      <c r="D1633">
        <v>177322.1</v>
      </c>
      <c r="E1633">
        <v>5.3999999999999999E-2</v>
      </c>
      <c r="F1633">
        <v>7.5899999999999995E-2</v>
      </c>
    </row>
    <row r="1634" spans="1:6" x14ac:dyDescent="0.3">
      <c r="A1634" t="s">
        <v>1669</v>
      </c>
      <c r="B1634" t="s">
        <v>195</v>
      </c>
      <c r="C1634">
        <v>2080000</v>
      </c>
      <c r="D1634">
        <v>1376.4</v>
      </c>
      <c r="E1634">
        <v>8.6999999999999994E-3</v>
      </c>
      <c r="F1634">
        <v>0.10580000000000001</v>
      </c>
    </row>
    <row r="1635" spans="1:6" x14ac:dyDescent="0.3">
      <c r="A1635" t="s">
        <v>1670</v>
      </c>
      <c r="B1635" t="s">
        <v>24</v>
      </c>
      <c r="C1635">
        <v>2850000</v>
      </c>
      <c r="D1635">
        <v>240275.8</v>
      </c>
      <c r="E1635">
        <v>2.9000000000000001E-2</v>
      </c>
      <c r="F1635">
        <v>7.5899999999999995E-2</v>
      </c>
    </row>
    <row r="1636" spans="1:6" x14ac:dyDescent="0.3">
      <c r="A1636" t="s">
        <v>1671</v>
      </c>
      <c r="B1636" t="s">
        <v>26</v>
      </c>
      <c r="C1636">
        <v>2030000</v>
      </c>
      <c r="D1636">
        <v>10144.5</v>
      </c>
      <c r="F1636">
        <v>5.0999999999999997E-2</v>
      </c>
    </row>
    <row r="1637" spans="1:6" x14ac:dyDescent="0.3">
      <c r="A1637" t="s">
        <v>1672</v>
      </c>
      <c r="B1637" t="s">
        <v>30</v>
      </c>
      <c r="C1637">
        <v>1910000</v>
      </c>
      <c r="D1637">
        <v>545682.30000000005</v>
      </c>
      <c r="E1637">
        <v>2.2499999999999999E-2</v>
      </c>
      <c r="F1637">
        <v>4.0899999999999999E-2</v>
      </c>
    </row>
    <row r="1638" spans="1:6" x14ac:dyDescent="0.3">
      <c r="A1638" t="s">
        <v>1673</v>
      </c>
      <c r="B1638" t="s">
        <v>41</v>
      </c>
      <c r="C1638">
        <v>2170000</v>
      </c>
      <c r="D1638">
        <v>105638.3</v>
      </c>
      <c r="E1638">
        <v>2.29E-2</v>
      </c>
      <c r="F1638">
        <v>9.3799999999999994E-2</v>
      </c>
    </row>
    <row r="1639" spans="1:6" x14ac:dyDescent="0.3">
      <c r="A1639" t="s">
        <v>1674</v>
      </c>
      <c r="B1639" t="s">
        <v>26</v>
      </c>
      <c r="C1639">
        <v>2350000</v>
      </c>
      <c r="D1639">
        <v>89325</v>
      </c>
      <c r="E1639">
        <v>3.4500000000000003E-2</v>
      </c>
      <c r="F1639">
        <v>9.3799999999999994E-2</v>
      </c>
    </row>
    <row r="1640" spans="1:6" x14ac:dyDescent="0.3">
      <c r="A1640" t="s">
        <v>1675</v>
      </c>
      <c r="B1640" t="s">
        <v>32</v>
      </c>
      <c r="C1640">
        <v>2630000</v>
      </c>
      <c r="D1640">
        <v>267603.90000000002</v>
      </c>
      <c r="E1640">
        <v>5.0000000000000001E-3</v>
      </c>
      <c r="F1640">
        <v>8.2199999999999995E-2</v>
      </c>
    </row>
    <row r="1641" spans="1:6" x14ac:dyDescent="0.3">
      <c r="A1641" t="s">
        <v>1676</v>
      </c>
      <c r="B1641" t="s">
        <v>214</v>
      </c>
      <c r="C1641">
        <v>2290000</v>
      </c>
      <c r="D1641">
        <v>194345.2</v>
      </c>
      <c r="E1641">
        <v>1.7399999999999999E-2</v>
      </c>
      <c r="F1641">
        <v>5.8500000000000003E-2</v>
      </c>
    </row>
    <row r="1642" spans="1:6" x14ac:dyDescent="0.3">
      <c r="A1642" t="s">
        <v>1677</v>
      </c>
      <c r="B1642" t="s">
        <v>92</v>
      </c>
      <c r="C1642">
        <v>2080000</v>
      </c>
      <c r="D1642">
        <v>36576.5</v>
      </c>
      <c r="E1642">
        <v>1.9599999999999999E-2</v>
      </c>
      <c r="F1642">
        <v>8.5400000000000004E-2</v>
      </c>
    </row>
    <row r="1643" spans="1:6" x14ac:dyDescent="0.3">
      <c r="A1643" t="s">
        <v>1678</v>
      </c>
      <c r="B1643" t="s">
        <v>24</v>
      </c>
      <c r="C1643">
        <v>2340000</v>
      </c>
      <c r="D1643">
        <v>1904</v>
      </c>
      <c r="E1643">
        <v>3.3799999999999997E-2</v>
      </c>
      <c r="F1643">
        <v>9.3799999999999994E-2</v>
      </c>
    </row>
    <row r="1644" spans="1:6" x14ac:dyDescent="0.3">
      <c r="A1644" t="s">
        <v>1679</v>
      </c>
      <c r="B1644" t="s">
        <v>50</v>
      </c>
      <c r="C1644">
        <v>2270000</v>
      </c>
      <c r="D1644">
        <v>114439.8</v>
      </c>
      <c r="E1644">
        <v>1.21E-2</v>
      </c>
      <c r="F1644">
        <v>7.7499999999999999E-2</v>
      </c>
    </row>
    <row r="1645" spans="1:6" x14ac:dyDescent="0.3">
      <c r="A1645" t="s">
        <v>1680</v>
      </c>
      <c r="B1645" t="s">
        <v>26</v>
      </c>
      <c r="C1645">
        <v>2320000</v>
      </c>
      <c r="D1645">
        <v>3432.7</v>
      </c>
      <c r="E1645">
        <v>1.9300000000000001E-2</v>
      </c>
      <c r="F1645">
        <v>8.5400000000000004E-2</v>
      </c>
    </row>
    <row r="1646" spans="1:6" x14ac:dyDescent="0.3">
      <c r="A1646" t="s">
        <v>1681</v>
      </c>
      <c r="B1646" t="s">
        <v>62</v>
      </c>
      <c r="C1646">
        <v>3470000</v>
      </c>
      <c r="D1646">
        <v>103083.4</v>
      </c>
      <c r="E1646">
        <v>2.0799999999999999E-2</v>
      </c>
      <c r="F1646">
        <v>4.6199999999999998E-2</v>
      </c>
    </row>
    <row r="1647" spans="1:6" x14ac:dyDescent="0.3">
      <c r="A1647" t="s">
        <v>1682</v>
      </c>
      <c r="B1647" t="s">
        <v>92</v>
      </c>
      <c r="C1647">
        <v>1830000</v>
      </c>
      <c r="D1647">
        <v>558</v>
      </c>
      <c r="E1647">
        <v>2.9399999999999999E-2</v>
      </c>
      <c r="F1647">
        <v>7.5899999999999995E-2</v>
      </c>
    </row>
    <row r="1648" spans="1:6" x14ac:dyDescent="0.3">
      <c r="A1648" t="s">
        <v>1683</v>
      </c>
      <c r="B1648" t="s">
        <v>41</v>
      </c>
      <c r="C1648">
        <v>3180000</v>
      </c>
      <c r="D1648">
        <v>4023.7</v>
      </c>
      <c r="E1648">
        <v>9.3399999999999997E-2</v>
      </c>
      <c r="F1648">
        <v>0.15160000000000001</v>
      </c>
    </row>
    <row r="1649" spans="1:6" x14ac:dyDescent="0.3">
      <c r="A1649" t="s">
        <v>1684</v>
      </c>
      <c r="B1649" t="s">
        <v>26</v>
      </c>
      <c r="C1649">
        <v>3620000</v>
      </c>
      <c r="D1649">
        <v>839862.5</v>
      </c>
      <c r="E1649">
        <v>3.5400000000000001E-2</v>
      </c>
      <c r="F1649">
        <v>4.0899999999999999E-2</v>
      </c>
    </row>
    <row r="1650" spans="1:6" x14ac:dyDescent="0.3">
      <c r="A1650" t="s">
        <v>1685</v>
      </c>
      <c r="B1650" t="s">
        <v>41</v>
      </c>
      <c r="C1650">
        <v>2210000</v>
      </c>
      <c r="D1650">
        <v>709.8</v>
      </c>
      <c r="E1650">
        <v>1.2500000000000001E-2</v>
      </c>
      <c r="F1650">
        <v>8.1100000000000005E-2</v>
      </c>
    </row>
    <row r="1651" spans="1:6" x14ac:dyDescent="0.3">
      <c r="A1651" t="s">
        <v>1686</v>
      </c>
      <c r="B1651" t="s">
        <v>26</v>
      </c>
      <c r="C1651">
        <v>2790000</v>
      </c>
      <c r="D1651">
        <v>57913.1</v>
      </c>
      <c r="E1651">
        <v>2.81E-2</v>
      </c>
      <c r="F1651">
        <v>9.3799999999999994E-2</v>
      </c>
    </row>
    <row r="1652" spans="1:6" x14ac:dyDescent="0.3">
      <c r="A1652" t="s">
        <v>1687</v>
      </c>
      <c r="B1652" t="s">
        <v>81</v>
      </c>
      <c r="C1652">
        <v>2340000</v>
      </c>
      <c r="D1652">
        <v>84317.2</v>
      </c>
      <c r="E1652">
        <v>1.1000000000000001E-3</v>
      </c>
      <c r="F1652">
        <v>6.54E-2</v>
      </c>
    </row>
    <row r="1653" spans="1:6" x14ac:dyDescent="0.3">
      <c r="A1653" t="s">
        <v>1688</v>
      </c>
      <c r="B1653" t="s">
        <v>26</v>
      </c>
      <c r="C1653">
        <v>2100000</v>
      </c>
      <c r="D1653">
        <v>139709.1</v>
      </c>
      <c r="E1653">
        <v>3.4799999999999998E-2</v>
      </c>
      <c r="F1653">
        <v>5.1799999999999999E-2</v>
      </c>
    </row>
    <row r="1654" spans="1:6" x14ac:dyDescent="0.3">
      <c r="A1654" t="s">
        <v>1689</v>
      </c>
      <c r="B1654" t="s">
        <v>24</v>
      </c>
      <c r="C1654">
        <v>1780000</v>
      </c>
      <c r="D1654">
        <v>40593.4</v>
      </c>
      <c r="E1654">
        <v>1.72E-2</v>
      </c>
      <c r="F1654">
        <v>5.8500000000000003E-2</v>
      </c>
    </row>
    <row r="1655" spans="1:6" x14ac:dyDescent="0.3">
      <c r="A1655" t="s">
        <v>1690</v>
      </c>
      <c r="B1655" t="s">
        <v>41</v>
      </c>
      <c r="C1655">
        <v>2070000</v>
      </c>
      <c r="D1655">
        <v>15115.3</v>
      </c>
      <c r="E1655">
        <v>5.5899999999999998E-2</v>
      </c>
      <c r="F1655">
        <v>9.3799999999999994E-2</v>
      </c>
    </row>
    <row r="1656" spans="1:6" x14ac:dyDescent="0.3">
      <c r="A1656" t="s">
        <v>1691</v>
      </c>
      <c r="B1656" t="s">
        <v>26</v>
      </c>
      <c r="C1656">
        <v>1820000</v>
      </c>
      <c r="D1656">
        <v>1350491.4</v>
      </c>
      <c r="E1656">
        <v>6.0100000000000001E-2</v>
      </c>
      <c r="F1656">
        <v>9.5100000000000004E-2</v>
      </c>
    </row>
    <row r="1657" spans="1:6" x14ac:dyDescent="0.3">
      <c r="A1657" t="s">
        <v>1692</v>
      </c>
      <c r="B1657" t="s">
        <v>41</v>
      </c>
      <c r="C1657">
        <v>2670000</v>
      </c>
      <c r="D1657">
        <v>6340.5</v>
      </c>
      <c r="E1657">
        <v>7.3000000000000001E-3</v>
      </c>
      <c r="F1657">
        <v>8.1100000000000005E-2</v>
      </c>
    </row>
    <row r="1658" spans="1:6" x14ac:dyDescent="0.3">
      <c r="A1658" t="s">
        <v>1693</v>
      </c>
      <c r="B1658" t="s">
        <v>41</v>
      </c>
      <c r="C1658">
        <v>2290000</v>
      </c>
      <c r="D1658">
        <v>8738.1</v>
      </c>
      <c r="E1658">
        <v>2.4500000000000001E-2</v>
      </c>
      <c r="F1658">
        <v>0.1053</v>
      </c>
    </row>
    <row r="1659" spans="1:6" x14ac:dyDescent="0.3">
      <c r="A1659" t="s">
        <v>1694</v>
      </c>
      <c r="B1659" t="s">
        <v>62</v>
      </c>
      <c r="C1659">
        <v>1870000</v>
      </c>
      <c r="D1659">
        <v>221909.8</v>
      </c>
      <c r="E1659">
        <v>2.3E-3</v>
      </c>
      <c r="F1659">
        <v>9.1499999999999998E-2</v>
      </c>
    </row>
    <row r="1660" spans="1:6" x14ac:dyDescent="0.3">
      <c r="A1660" t="s">
        <v>1695</v>
      </c>
      <c r="B1660" t="s">
        <v>88</v>
      </c>
      <c r="C1660">
        <v>2410000</v>
      </c>
      <c r="D1660">
        <v>29672</v>
      </c>
      <c r="E1660">
        <v>4.99E-2</v>
      </c>
      <c r="F1660">
        <v>9.3799999999999994E-2</v>
      </c>
    </row>
    <row r="1661" spans="1:6" x14ac:dyDescent="0.3">
      <c r="A1661" t="s">
        <v>1696</v>
      </c>
      <c r="B1661" t="s">
        <v>41</v>
      </c>
      <c r="C1661">
        <v>2310000</v>
      </c>
      <c r="D1661">
        <v>8409.7000000000007</v>
      </c>
      <c r="E1661">
        <v>8.2100000000000006E-2</v>
      </c>
      <c r="F1661">
        <v>9.3799999999999994E-2</v>
      </c>
    </row>
    <row r="1662" spans="1:6" x14ac:dyDescent="0.3">
      <c r="A1662" t="s">
        <v>1697</v>
      </c>
      <c r="B1662" t="s">
        <v>62</v>
      </c>
      <c r="C1662">
        <v>2630000</v>
      </c>
      <c r="D1662">
        <v>231264</v>
      </c>
      <c r="F1662">
        <v>4.0899999999999999E-2</v>
      </c>
    </row>
    <row r="1663" spans="1:6" x14ac:dyDescent="0.3">
      <c r="A1663" t="s">
        <v>1698</v>
      </c>
      <c r="B1663" t="s">
        <v>21</v>
      </c>
      <c r="C1663">
        <v>4090000</v>
      </c>
      <c r="D1663">
        <v>891.5</v>
      </c>
      <c r="F1663">
        <v>4.0899999999999999E-2</v>
      </c>
    </row>
    <row r="1664" spans="1:6" x14ac:dyDescent="0.3">
      <c r="A1664" t="s">
        <v>1699</v>
      </c>
      <c r="B1664" t="s">
        <v>92</v>
      </c>
      <c r="C1664">
        <v>1890000</v>
      </c>
      <c r="D1664">
        <v>7229</v>
      </c>
      <c r="E1664">
        <v>3.0499999999999999E-2</v>
      </c>
      <c r="F1664">
        <v>9.3799999999999994E-2</v>
      </c>
    </row>
    <row r="1665" spans="1:6" x14ac:dyDescent="0.3">
      <c r="A1665" t="s">
        <v>1700</v>
      </c>
      <c r="B1665" t="s">
        <v>26</v>
      </c>
      <c r="C1665">
        <v>2480000</v>
      </c>
      <c r="D1665">
        <v>1258056.6000000001</v>
      </c>
      <c r="E1665">
        <v>8.4000000000000005E-2</v>
      </c>
      <c r="F1665">
        <v>0.1241</v>
      </c>
    </row>
    <row r="1666" spans="1:6" x14ac:dyDescent="0.3">
      <c r="A1666" t="s">
        <v>1701</v>
      </c>
      <c r="B1666" t="s">
        <v>71</v>
      </c>
      <c r="C1666">
        <v>1830000</v>
      </c>
      <c r="D1666">
        <v>43324.4</v>
      </c>
      <c r="E1666">
        <v>2.01E-2</v>
      </c>
      <c r="F1666">
        <v>9.3799999999999994E-2</v>
      </c>
    </row>
    <row r="1667" spans="1:6" x14ac:dyDescent="0.3">
      <c r="A1667" t="s">
        <v>1702</v>
      </c>
      <c r="B1667" t="s">
        <v>28</v>
      </c>
      <c r="C1667">
        <v>3000000</v>
      </c>
      <c r="D1667">
        <v>1957228.7</v>
      </c>
      <c r="E1667">
        <v>2.7799999999999998E-2</v>
      </c>
      <c r="F1667">
        <v>4.0899999999999999E-2</v>
      </c>
    </row>
    <row r="1668" spans="1:6" x14ac:dyDescent="0.3">
      <c r="A1668" t="s">
        <v>1703</v>
      </c>
      <c r="B1668" t="s">
        <v>41</v>
      </c>
      <c r="C1668">
        <v>1780000</v>
      </c>
      <c r="D1668">
        <v>58022.5</v>
      </c>
      <c r="E1668">
        <v>1.5699999999999999E-2</v>
      </c>
      <c r="F1668">
        <v>0.13900000000000001</v>
      </c>
    </row>
    <row r="1669" spans="1:6" x14ac:dyDescent="0.3">
      <c r="A1669" t="s">
        <v>1704</v>
      </c>
      <c r="B1669" t="s">
        <v>41</v>
      </c>
      <c r="C1669">
        <v>2310000</v>
      </c>
      <c r="D1669">
        <v>348.7</v>
      </c>
      <c r="E1669">
        <v>2.7300000000000001E-2</v>
      </c>
      <c r="F1669">
        <v>9.3799999999999994E-2</v>
      </c>
    </row>
    <row r="1670" spans="1:6" x14ac:dyDescent="0.3">
      <c r="A1670" t="s">
        <v>1705</v>
      </c>
      <c r="B1670" t="s">
        <v>26</v>
      </c>
      <c r="C1670">
        <v>2370000</v>
      </c>
      <c r="D1670">
        <v>1269873.8</v>
      </c>
      <c r="E1670">
        <v>2.5999999999999999E-2</v>
      </c>
      <c r="F1670">
        <v>4.0899999999999999E-2</v>
      </c>
    </row>
    <row r="1671" spans="1:6" x14ac:dyDescent="0.3">
      <c r="A1671" t="s">
        <v>1706</v>
      </c>
      <c r="B1671" t="s">
        <v>26</v>
      </c>
      <c r="C1671">
        <v>1930000</v>
      </c>
      <c r="D1671">
        <v>53404.4</v>
      </c>
      <c r="E1671">
        <v>3.9199999999999999E-2</v>
      </c>
      <c r="F1671">
        <v>7.5899999999999995E-2</v>
      </c>
    </row>
    <row r="1672" spans="1:6" x14ac:dyDescent="0.3">
      <c r="A1672" t="s">
        <v>1707</v>
      </c>
      <c r="B1672" t="s">
        <v>26</v>
      </c>
      <c r="C1672">
        <v>5090000</v>
      </c>
      <c r="D1672">
        <v>59061.3</v>
      </c>
      <c r="E1672">
        <v>8.2000000000000007E-3</v>
      </c>
      <c r="F1672">
        <v>8.1100000000000005E-2</v>
      </c>
    </row>
    <row r="1673" spans="1:6" x14ac:dyDescent="0.3">
      <c r="A1673" t="s">
        <v>1708</v>
      </c>
      <c r="B1673" t="s">
        <v>26</v>
      </c>
      <c r="C1673">
        <v>2460000</v>
      </c>
      <c r="D1673">
        <v>85415.4</v>
      </c>
      <c r="E1673">
        <v>4.0399999999999998E-2</v>
      </c>
      <c r="F1673">
        <v>7.5899999999999995E-2</v>
      </c>
    </row>
    <row r="1674" spans="1:6" x14ac:dyDescent="0.3">
      <c r="A1674" t="s">
        <v>1709</v>
      </c>
      <c r="B1674" t="s">
        <v>26</v>
      </c>
      <c r="C1674">
        <v>2110000</v>
      </c>
      <c r="D1674">
        <v>61913.599999999999</v>
      </c>
      <c r="E1674">
        <v>2.92E-2</v>
      </c>
      <c r="F1674">
        <v>9.3799999999999994E-2</v>
      </c>
    </row>
    <row r="1675" spans="1:6" x14ac:dyDescent="0.3">
      <c r="A1675" t="s">
        <v>1710</v>
      </c>
      <c r="B1675" t="s">
        <v>81</v>
      </c>
      <c r="C1675">
        <v>2450000</v>
      </c>
      <c r="D1675">
        <v>150223.70000000001</v>
      </c>
      <c r="E1675">
        <v>4.6300000000000001E-2</v>
      </c>
      <c r="F1675">
        <v>9.3799999999999994E-2</v>
      </c>
    </row>
    <row r="1676" spans="1:6" x14ac:dyDescent="0.3">
      <c r="A1676" t="s">
        <v>1711</v>
      </c>
      <c r="B1676" t="s">
        <v>26</v>
      </c>
      <c r="C1676">
        <v>2520000</v>
      </c>
      <c r="D1676">
        <v>2370230.6</v>
      </c>
      <c r="E1676">
        <v>1.2699999999999999E-2</v>
      </c>
      <c r="F1676">
        <v>4.6199999999999998E-2</v>
      </c>
    </row>
    <row r="1677" spans="1:6" x14ac:dyDescent="0.3">
      <c r="A1677" t="s">
        <v>1712</v>
      </c>
      <c r="B1677" t="s">
        <v>71</v>
      </c>
      <c r="C1677">
        <v>4350000</v>
      </c>
      <c r="D1677">
        <v>10098.5</v>
      </c>
      <c r="E1677">
        <v>6.8999999999999999E-3</v>
      </c>
      <c r="F1677">
        <v>8.1100000000000005E-2</v>
      </c>
    </row>
    <row r="1678" spans="1:6" x14ac:dyDescent="0.3">
      <c r="A1678" t="s">
        <v>1713</v>
      </c>
      <c r="B1678" t="s">
        <v>26</v>
      </c>
      <c r="C1678">
        <v>1870000</v>
      </c>
      <c r="D1678">
        <v>3998.8</v>
      </c>
      <c r="E1678">
        <v>1.37E-2</v>
      </c>
      <c r="F1678">
        <v>9.4899999999999998E-2</v>
      </c>
    </row>
    <row r="1679" spans="1:6" x14ac:dyDescent="0.3">
      <c r="A1679" t="s">
        <v>1714</v>
      </c>
      <c r="B1679" t="s">
        <v>26</v>
      </c>
      <c r="C1679">
        <v>2930000</v>
      </c>
      <c r="D1679">
        <v>242943.3</v>
      </c>
      <c r="E1679">
        <v>3.39E-2</v>
      </c>
      <c r="F1679">
        <v>4.0899999999999999E-2</v>
      </c>
    </row>
    <row r="1680" spans="1:6" x14ac:dyDescent="0.3">
      <c r="A1680" t="s">
        <v>1715</v>
      </c>
      <c r="B1680" t="s">
        <v>26</v>
      </c>
      <c r="C1680">
        <v>4590000</v>
      </c>
      <c r="D1680">
        <v>4280087.5</v>
      </c>
      <c r="E1680">
        <v>2.9899999999999999E-2</v>
      </c>
      <c r="F1680">
        <v>9.5100000000000004E-2</v>
      </c>
    </row>
    <row r="1681" spans="1:6" x14ac:dyDescent="0.3">
      <c r="A1681" t="s">
        <v>1716</v>
      </c>
      <c r="B1681" t="s">
        <v>41</v>
      </c>
      <c r="C1681">
        <v>2520000</v>
      </c>
      <c r="D1681">
        <v>7763.5</v>
      </c>
      <c r="E1681">
        <v>4.9500000000000002E-2</v>
      </c>
      <c r="F1681">
        <v>9.3799999999999994E-2</v>
      </c>
    </row>
    <row r="1682" spans="1:6" x14ac:dyDescent="0.3">
      <c r="A1682" t="s">
        <v>1717</v>
      </c>
      <c r="B1682" t="s">
        <v>26</v>
      </c>
      <c r="C1682">
        <v>1920000</v>
      </c>
      <c r="D1682">
        <v>628882</v>
      </c>
      <c r="E1682">
        <v>7.2999999999999995E-2</v>
      </c>
      <c r="F1682">
        <v>5.1799999999999999E-2</v>
      </c>
    </row>
    <row r="1683" spans="1:6" x14ac:dyDescent="0.3">
      <c r="A1683" t="s">
        <v>1718</v>
      </c>
      <c r="B1683" t="s">
        <v>41</v>
      </c>
      <c r="C1683">
        <v>1950000</v>
      </c>
      <c r="D1683">
        <v>1063.9000000000001</v>
      </c>
      <c r="E1683">
        <v>1.11E-2</v>
      </c>
      <c r="F1683">
        <v>7.2599999999999998E-2</v>
      </c>
    </row>
    <row r="1684" spans="1:6" x14ac:dyDescent="0.3">
      <c r="A1684" t="s">
        <v>1719</v>
      </c>
      <c r="B1684" t="s">
        <v>28</v>
      </c>
      <c r="C1684">
        <v>2670000</v>
      </c>
      <c r="D1684">
        <v>1982.7</v>
      </c>
      <c r="E1684">
        <v>1.9300000000000001E-2</v>
      </c>
      <c r="F1684">
        <v>8.5400000000000004E-2</v>
      </c>
    </row>
    <row r="1685" spans="1:6" x14ac:dyDescent="0.3">
      <c r="A1685" t="s">
        <v>1720</v>
      </c>
      <c r="B1685" t="s">
        <v>32</v>
      </c>
      <c r="C1685">
        <v>2300000</v>
      </c>
      <c r="D1685">
        <v>29802.799999999999</v>
      </c>
      <c r="E1685">
        <v>1.6E-2</v>
      </c>
      <c r="F1685">
        <v>0.1013</v>
      </c>
    </row>
    <row r="1686" spans="1:6" x14ac:dyDescent="0.3">
      <c r="A1686" t="s">
        <v>1721</v>
      </c>
      <c r="B1686" t="s">
        <v>490</v>
      </c>
      <c r="C1686">
        <v>1820000</v>
      </c>
      <c r="D1686">
        <v>464</v>
      </c>
      <c r="E1686">
        <v>3.5000000000000001E-3</v>
      </c>
      <c r="F1686">
        <v>8.1100000000000005E-2</v>
      </c>
    </row>
    <row r="1687" spans="1:6" x14ac:dyDescent="0.3">
      <c r="A1687" t="s">
        <v>1722</v>
      </c>
      <c r="B1687" t="s">
        <v>53</v>
      </c>
      <c r="C1687">
        <v>1890000</v>
      </c>
      <c r="D1687">
        <v>101235.5</v>
      </c>
      <c r="E1687">
        <v>3.9399999999999998E-2</v>
      </c>
      <c r="F1687">
        <v>9.5100000000000004E-2</v>
      </c>
    </row>
    <row r="1688" spans="1:6" x14ac:dyDescent="0.3">
      <c r="A1688" t="s">
        <v>1723</v>
      </c>
      <c r="B1688" t="s">
        <v>50</v>
      </c>
      <c r="C1688">
        <v>1890000</v>
      </c>
      <c r="D1688">
        <v>2297</v>
      </c>
      <c r="E1688">
        <v>6.7000000000000002E-3</v>
      </c>
      <c r="F1688">
        <v>0.10150000000000001</v>
      </c>
    </row>
    <row r="1689" spans="1:6" x14ac:dyDescent="0.3">
      <c r="A1689" t="s">
        <v>1724</v>
      </c>
      <c r="B1689" t="s">
        <v>32</v>
      </c>
      <c r="C1689">
        <v>2040000</v>
      </c>
      <c r="D1689">
        <v>7624.3</v>
      </c>
      <c r="E1689">
        <v>1.7000000000000001E-2</v>
      </c>
      <c r="F1689">
        <v>0.13719999999999999</v>
      </c>
    </row>
    <row r="1690" spans="1:6" x14ac:dyDescent="0.3">
      <c r="A1690" t="s">
        <v>1725</v>
      </c>
      <c r="B1690" t="s">
        <v>88</v>
      </c>
      <c r="C1690">
        <v>3270000</v>
      </c>
      <c r="D1690">
        <v>113944.4</v>
      </c>
      <c r="E1690">
        <v>4.4299999999999999E-2</v>
      </c>
      <c r="F1690">
        <v>9.3799999999999994E-2</v>
      </c>
    </row>
    <row r="1691" spans="1:6" x14ac:dyDescent="0.3">
      <c r="A1691" t="s">
        <v>1726</v>
      </c>
      <c r="B1691" t="s">
        <v>41</v>
      </c>
      <c r="C1691">
        <v>2020000</v>
      </c>
      <c r="D1691">
        <v>224.7</v>
      </c>
      <c r="E1691">
        <v>1.0200000000000001E-2</v>
      </c>
      <c r="F1691">
        <v>7.2599999999999998E-2</v>
      </c>
    </row>
    <row r="1692" spans="1:6" x14ac:dyDescent="0.3">
      <c r="A1692" t="s">
        <v>1727</v>
      </c>
      <c r="B1692" t="s">
        <v>88</v>
      </c>
      <c r="C1692">
        <v>2030000</v>
      </c>
      <c r="D1692">
        <v>18394.5</v>
      </c>
      <c r="E1692">
        <v>4.4400000000000002E-2</v>
      </c>
      <c r="F1692">
        <v>9.3799999999999994E-2</v>
      </c>
    </row>
    <row r="1693" spans="1:6" x14ac:dyDescent="0.3">
      <c r="A1693" t="s">
        <v>1728</v>
      </c>
      <c r="B1693" t="s">
        <v>26</v>
      </c>
      <c r="C1693">
        <v>3140000</v>
      </c>
      <c r="D1693">
        <v>236277.3</v>
      </c>
      <c r="E1693">
        <v>5.2999999999999999E-2</v>
      </c>
      <c r="F1693">
        <v>7.5899999999999995E-2</v>
      </c>
    </row>
    <row r="1694" spans="1:6" x14ac:dyDescent="0.3">
      <c r="A1694" t="s">
        <v>1729</v>
      </c>
      <c r="B1694" t="s">
        <v>50</v>
      </c>
      <c r="C1694">
        <v>1970000</v>
      </c>
      <c r="D1694">
        <v>2566.9</v>
      </c>
      <c r="E1694">
        <v>9.2999999999999992E-3</v>
      </c>
      <c r="F1694">
        <v>8.1100000000000005E-2</v>
      </c>
    </row>
    <row r="1695" spans="1:6" x14ac:dyDescent="0.3">
      <c r="A1695" t="s">
        <v>1730</v>
      </c>
      <c r="B1695" t="s">
        <v>92</v>
      </c>
      <c r="C1695">
        <v>1780000</v>
      </c>
      <c r="D1695">
        <v>6860</v>
      </c>
      <c r="E1695">
        <v>6.3E-3</v>
      </c>
      <c r="F1695">
        <v>8.2199999999999995E-2</v>
      </c>
    </row>
    <row r="1696" spans="1:6" x14ac:dyDescent="0.3">
      <c r="A1696" t="s">
        <v>1731</v>
      </c>
      <c r="B1696" t="s">
        <v>92</v>
      </c>
      <c r="C1696">
        <v>1800000</v>
      </c>
      <c r="D1696">
        <v>4887.6000000000004</v>
      </c>
      <c r="E1696">
        <v>2.7400000000000001E-2</v>
      </c>
      <c r="F1696">
        <v>9.5100000000000004E-2</v>
      </c>
    </row>
    <row r="1697" spans="1:6" x14ac:dyDescent="0.3">
      <c r="A1697" t="s">
        <v>1732</v>
      </c>
      <c r="B1697" t="s">
        <v>92</v>
      </c>
      <c r="C1697">
        <v>2520000</v>
      </c>
      <c r="D1697">
        <v>364964.4</v>
      </c>
      <c r="E1697">
        <v>2.01E-2</v>
      </c>
      <c r="F1697">
        <v>4.6199999999999998E-2</v>
      </c>
    </row>
    <row r="1698" spans="1:6" x14ac:dyDescent="0.3">
      <c r="A1698" t="s">
        <v>1733</v>
      </c>
      <c r="B1698" t="s">
        <v>62</v>
      </c>
      <c r="C1698">
        <v>1710000</v>
      </c>
      <c r="D1698">
        <v>6826</v>
      </c>
      <c r="E1698">
        <v>1.55E-2</v>
      </c>
      <c r="F1698">
        <v>5.8500000000000003E-2</v>
      </c>
    </row>
    <row r="1699" spans="1:6" x14ac:dyDescent="0.3">
      <c r="A1699" t="s">
        <v>1734</v>
      </c>
      <c r="B1699" t="s">
        <v>214</v>
      </c>
      <c r="C1699">
        <v>1770000</v>
      </c>
      <c r="D1699">
        <v>4148.8999999999996</v>
      </c>
      <c r="E1699">
        <v>1.0500000000000001E-2</v>
      </c>
      <c r="F1699">
        <v>8.2199999999999995E-2</v>
      </c>
    </row>
    <row r="1700" spans="1:6" x14ac:dyDescent="0.3">
      <c r="A1700" t="s">
        <v>1735</v>
      </c>
      <c r="B1700" t="s">
        <v>88</v>
      </c>
      <c r="C1700">
        <v>2880000</v>
      </c>
      <c r="D1700">
        <v>5344.1</v>
      </c>
      <c r="E1700">
        <v>3.8800000000000001E-2</v>
      </c>
      <c r="F1700">
        <v>7.5899999999999995E-2</v>
      </c>
    </row>
    <row r="1701" spans="1:6" x14ac:dyDescent="0.3">
      <c r="A1701" t="s">
        <v>1736</v>
      </c>
      <c r="B1701" t="s">
        <v>74</v>
      </c>
      <c r="C1701">
        <v>2040000</v>
      </c>
      <c r="D1701">
        <v>36594.400000000001</v>
      </c>
      <c r="E1701">
        <v>0.1045</v>
      </c>
      <c r="F1701">
        <v>9.3799999999999994E-2</v>
      </c>
    </row>
    <row r="1702" spans="1:6" x14ac:dyDescent="0.3">
      <c r="A1702" t="s">
        <v>1737</v>
      </c>
      <c r="B1702" t="s">
        <v>41</v>
      </c>
      <c r="C1702">
        <v>2100000</v>
      </c>
      <c r="D1702">
        <v>169705.1</v>
      </c>
      <c r="E1702">
        <v>1.43E-2</v>
      </c>
      <c r="F1702">
        <v>5.1999999999999998E-2</v>
      </c>
    </row>
    <row r="1703" spans="1:6" x14ac:dyDescent="0.3">
      <c r="A1703" t="s">
        <v>1738</v>
      </c>
      <c r="B1703" t="s">
        <v>26</v>
      </c>
      <c r="C1703">
        <v>1940000</v>
      </c>
      <c r="D1703">
        <v>71824.899999999994</v>
      </c>
      <c r="E1703">
        <v>4.3700000000000003E-2</v>
      </c>
      <c r="F1703">
        <v>7.5899999999999995E-2</v>
      </c>
    </row>
    <row r="1704" spans="1:6" x14ac:dyDescent="0.3">
      <c r="A1704" t="s">
        <v>1739</v>
      </c>
      <c r="B1704" t="s">
        <v>53</v>
      </c>
      <c r="C1704">
        <v>2740000</v>
      </c>
      <c r="D1704">
        <v>8375.7000000000007</v>
      </c>
      <c r="E1704">
        <v>4.1200000000000001E-2</v>
      </c>
      <c r="F1704">
        <v>9.3799999999999994E-2</v>
      </c>
    </row>
    <row r="1705" spans="1:6" x14ac:dyDescent="0.3">
      <c r="A1705" t="s">
        <v>1740</v>
      </c>
      <c r="B1705" t="s">
        <v>24</v>
      </c>
      <c r="C1705">
        <v>1180000</v>
      </c>
      <c r="D1705">
        <v>9259.6</v>
      </c>
      <c r="E1705">
        <v>6.4399999999999999E-2</v>
      </c>
      <c r="F1705">
        <v>7.5899999999999995E-2</v>
      </c>
    </row>
    <row r="1706" spans="1:6" x14ac:dyDescent="0.3">
      <c r="A1706" t="s">
        <v>1741</v>
      </c>
      <c r="B1706" t="s">
        <v>88</v>
      </c>
      <c r="C1706">
        <v>2400000</v>
      </c>
      <c r="D1706">
        <v>1621.9</v>
      </c>
      <c r="E1706">
        <v>0.1234</v>
      </c>
      <c r="F1706">
        <v>9.3799999999999994E-2</v>
      </c>
    </row>
    <row r="1707" spans="1:6" x14ac:dyDescent="0.3">
      <c r="A1707" t="s">
        <v>1742</v>
      </c>
      <c r="B1707" t="s">
        <v>26</v>
      </c>
      <c r="C1707">
        <v>1970000</v>
      </c>
      <c r="D1707">
        <v>141112.20000000001</v>
      </c>
      <c r="E1707">
        <v>7.1800000000000003E-2</v>
      </c>
      <c r="F1707">
        <v>6.7199999999999996E-2</v>
      </c>
    </row>
    <row r="1708" spans="1:6" x14ac:dyDescent="0.3">
      <c r="A1708" t="s">
        <v>1743</v>
      </c>
      <c r="B1708" t="s">
        <v>74</v>
      </c>
      <c r="C1708">
        <v>1790000</v>
      </c>
      <c r="D1708">
        <v>107420.9</v>
      </c>
      <c r="E1708">
        <v>1.52E-2</v>
      </c>
      <c r="F1708">
        <v>5.7599999999999998E-2</v>
      </c>
    </row>
    <row r="1709" spans="1:6" x14ac:dyDescent="0.3">
      <c r="A1709" t="s">
        <v>1744</v>
      </c>
      <c r="B1709" t="s">
        <v>32</v>
      </c>
      <c r="C1709">
        <v>3190000</v>
      </c>
      <c r="D1709">
        <v>65435.4</v>
      </c>
      <c r="E1709">
        <v>1.38E-2</v>
      </c>
      <c r="F1709">
        <v>0.18659999999999999</v>
      </c>
    </row>
    <row r="1710" spans="1:6" x14ac:dyDescent="0.3">
      <c r="A1710" t="s">
        <v>1745</v>
      </c>
      <c r="B1710" t="s">
        <v>92</v>
      </c>
      <c r="C1710">
        <v>2370000</v>
      </c>
      <c r="D1710">
        <v>132174.29999999999</v>
      </c>
      <c r="E1710">
        <v>1.7399999999999999E-2</v>
      </c>
      <c r="F1710">
        <v>9.3700000000000006E-2</v>
      </c>
    </row>
    <row r="1711" spans="1:6" x14ac:dyDescent="0.3">
      <c r="A1711" t="s">
        <v>1746</v>
      </c>
      <c r="B1711" t="s">
        <v>287</v>
      </c>
      <c r="C1711">
        <v>1810000</v>
      </c>
      <c r="D1711">
        <v>106224.8</v>
      </c>
      <c r="E1711">
        <v>1.8100000000000002E-2</v>
      </c>
      <c r="F1711">
        <v>5.8500000000000003E-2</v>
      </c>
    </row>
    <row r="1712" spans="1:6" x14ac:dyDescent="0.3">
      <c r="A1712" t="s">
        <v>1747</v>
      </c>
      <c r="B1712" t="s">
        <v>26</v>
      </c>
      <c r="C1712">
        <v>1840000</v>
      </c>
      <c r="D1712">
        <v>9575.1</v>
      </c>
      <c r="E1712">
        <v>3.56E-2</v>
      </c>
      <c r="F1712">
        <v>8.3299999999999999E-2</v>
      </c>
    </row>
    <row r="1713" spans="1:6" x14ac:dyDescent="0.3">
      <c r="A1713" t="s">
        <v>1748</v>
      </c>
      <c r="B1713" t="s">
        <v>53</v>
      </c>
      <c r="C1713">
        <v>3320000</v>
      </c>
      <c r="D1713">
        <v>317191.8</v>
      </c>
      <c r="F1713">
        <v>4.0899999999999999E-2</v>
      </c>
    </row>
    <row r="1714" spans="1:6" x14ac:dyDescent="0.3">
      <c r="A1714" t="s">
        <v>1749</v>
      </c>
      <c r="B1714" t="s">
        <v>81</v>
      </c>
      <c r="C1714">
        <v>1820000</v>
      </c>
      <c r="D1714">
        <v>19929</v>
      </c>
      <c r="E1714">
        <v>4.5600000000000002E-2</v>
      </c>
      <c r="F1714">
        <v>9.3799999999999994E-2</v>
      </c>
    </row>
    <row r="1715" spans="1:6" x14ac:dyDescent="0.3">
      <c r="A1715" t="s">
        <v>1750</v>
      </c>
      <c r="B1715" t="s">
        <v>35</v>
      </c>
      <c r="C1715">
        <v>2030000</v>
      </c>
      <c r="D1715">
        <v>348430.7</v>
      </c>
      <c r="E1715">
        <v>1.9199999999999998E-2</v>
      </c>
      <c r="F1715">
        <v>8.5400000000000004E-2</v>
      </c>
    </row>
    <row r="1716" spans="1:6" x14ac:dyDescent="0.3">
      <c r="A1716" t="s">
        <v>1751</v>
      </c>
      <c r="B1716" t="s">
        <v>26</v>
      </c>
      <c r="C1716">
        <v>1780000</v>
      </c>
      <c r="D1716">
        <v>2268913.2999999998</v>
      </c>
      <c r="E1716">
        <v>3.5999999999999997E-2</v>
      </c>
      <c r="F1716">
        <v>5.1799999999999999E-2</v>
      </c>
    </row>
    <row r="1717" spans="1:6" x14ac:dyDescent="0.3">
      <c r="A1717" t="s">
        <v>1752</v>
      </c>
      <c r="B1717" t="s">
        <v>41</v>
      </c>
      <c r="C1717">
        <v>2090000</v>
      </c>
      <c r="D1717">
        <v>1903.9</v>
      </c>
      <c r="E1717">
        <v>1.5299999999999999E-2</v>
      </c>
      <c r="F1717">
        <v>5.7599999999999998E-2</v>
      </c>
    </row>
    <row r="1718" spans="1:6" x14ac:dyDescent="0.3">
      <c r="A1718" t="s">
        <v>1753</v>
      </c>
      <c r="B1718" t="s">
        <v>24</v>
      </c>
      <c r="C1718">
        <v>1900000</v>
      </c>
      <c r="D1718">
        <v>4989.8</v>
      </c>
      <c r="E1718">
        <v>3.7699999999999997E-2</v>
      </c>
      <c r="F1718">
        <v>5.3800000000000001E-2</v>
      </c>
    </row>
    <row r="1719" spans="1:6" x14ac:dyDescent="0.3">
      <c r="A1719" t="s">
        <v>1754</v>
      </c>
      <c r="B1719" t="s">
        <v>26</v>
      </c>
      <c r="C1719">
        <v>255000</v>
      </c>
      <c r="D1719">
        <v>10643</v>
      </c>
      <c r="E1719">
        <v>3.32E-2</v>
      </c>
      <c r="F1719">
        <v>9.5100000000000004E-2</v>
      </c>
    </row>
    <row r="1720" spans="1:6" x14ac:dyDescent="0.3">
      <c r="A1720" t="s">
        <v>1755</v>
      </c>
      <c r="B1720" t="s">
        <v>50</v>
      </c>
      <c r="C1720">
        <v>3630000</v>
      </c>
      <c r="D1720">
        <v>48078.2</v>
      </c>
      <c r="E1720">
        <v>2.5600000000000001E-2</v>
      </c>
      <c r="F1720">
        <v>7.5899999999999995E-2</v>
      </c>
    </row>
    <row r="1721" spans="1:6" x14ac:dyDescent="0.3">
      <c r="A1721" t="s">
        <v>1756</v>
      </c>
      <c r="B1721" t="s">
        <v>32</v>
      </c>
      <c r="C1721">
        <v>1960000</v>
      </c>
      <c r="D1721">
        <v>118858.5</v>
      </c>
      <c r="E1721">
        <v>2.6800000000000001E-2</v>
      </c>
      <c r="F1721">
        <v>5.4600000000000003E-2</v>
      </c>
    </row>
    <row r="1722" spans="1:6" x14ac:dyDescent="0.3">
      <c r="A1722" t="s">
        <v>1757</v>
      </c>
      <c r="B1722" t="s">
        <v>26</v>
      </c>
      <c r="C1722">
        <v>2050000</v>
      </c>
      <c r="D1722">
        <v>378395.2</v>
      </c>
      <c r="E1722">
        <v>2.2800000000000001E-2</v>
      </c>
      <c r="F1722">
        <v>4.6199999999999998E-2</v>
      </c>
    </row>
    <row r="1723" spans="1:6" x14ac:dyDescent="0.3">
      <c r="A1723" t="s">
        <v>1758</v>
      </c>
      <c r="B1723" t="s">
        <v>81</v>
      </c>
      <c r="C1723">
        <v>1770000</v>
      </c>
      <c r="D1723">
        <v>68434</v>
      </c>
      <c r="E1723">
        <v>5.79E-2</v>
      </c>
      <c r="F1723">
        <v>9.5100000000000004E-2</v>
      </c>
    </row>
    <row r="1724" spans="1:6" x14ac:dyDescent="0.3">
      <c r="A1724" t="s">
        <v>1759</v>
      </c>
      <c r="B1724" t="s">
        <v>24</v>
      </c>
      <c r="C1724">
        <v>3700000</v>
      </c>
      <c r="D1724">
        <v>294599.2</v>
      </c>
      <c r="E1724">
        <v>3.8199999999999998E-2</v>
      </c>
      <c r="F1724">
        <v>7.5899999999999995E-2</v>
      </c>
    </row>
    <row r="1725" spans="1:6" x14ac:dyDescent="0.3">
      <c r="A1725" t="s">
        <v>1760</v>
      </c>
      <c r="B1725" t="s">
        <v>62</v>
      </c>
      <c r="C1725">
        <v>2170000</v>
      </c>
      <c r="D1725">
        <v>64648.9</v>
      </c>
      <c r="E1725">
        <v>3.1300000000000001E-2</v>
      </c>
      <c r="F1725">
        <v>4.0899999999999999E-2</v>
      </c>
    </row>
    <row r="1726" spans="1:6" x14ac:dyDescent="0.3">
      <c r="A1726" t="s">
        <v>1761</v>
      </c>
      <c r="B1726" t="s">
        <v>26</v>
      </c>
      <c r="C1726">
        <v>2710000</v>
      </c>
      <c r="D1726">
        <v>5349.6</v>
      </c>
      <c r="E1726">
        <v>3.9100000000000003E-2</v>
      </c>
      <c r="F1726">
        <v>9.5100000000000004E-2</v>
      </c>
    </row>
    <row r="1727" spans="1:6" x14ac:dyDescent="0.3">
      <c r="A1727" t="s">
        <v>1762</v>
      </c>
      <c r="B1727" t="s">
        <v>92</v>
      </c>
      <c r="C1727">
        <v>2020000</v>
      </c>
      <c r="D1727">
        <v>3806.2</v>
      </c>
      <c r="E1727">
        <v>1.09E-2</v>
      </c>
      <c r="F1727">
        <v>6.54E-2</v>
      </c>
    </row>
    <row r="1728" spans="1:6" x14ac:dyDescent="0.3">
      <c r="A1728" t="s">
        <v>1763</v>
      </c>
      <c r="B1728" t="s">
        <v>50</v>
      </c>
      <c r="C1728">
        <v>2570000</v>
      </c>
      <c r="D1728">
        <v>4849.5</v>
      </c>
      <c r="E1728">
        <v>2.2200000000000001E-2</v>
      </c>
      <c r="F1728">
        <v>0.11700000000000001</v>
      </c>
    </row>
    <row r="1729" spans="1:6" x14ac:dyDescent="0.3">
      <c r="A1729" t="s">
        <v>1764</v>
      </c>
      <c r="B1729" t="s">
        <v>71</v>
      </c>
      <c r="C1729">
        <v>1810000</v>
      </c>
      <c r="D1729">
        <v>20551</v>
      </c>
      <c r="E1729">
        <v>4.3999999999999997E-2</v>
      </c>
      <c r="F1729">
        <v>9.3799999999999994E-2</v>
      </c>
    </row>
    <row r="1730" spans="1:6" x14ac:dyDescent="0.3">
      <c r="A1730" t="s">
        <v>1765</v>
      </c>
      <c r="B1730" t="s">
        <v>88</v>
      </c>
      <c r="C1730">
        <v>2010000</v>
      </c>
      <c r="D1730">
        <v>866.2</v>
      </c>
      <c r="E1730">
        <v>5.7000000000000002E-3</v>
      </c>
      <c r="F1730">
        <v>8.1100000000000005E-2</v>
      </c>
    </row>
    <row r="1731" spans="1:6" x14ac:dyDescent="0.3">
      <c r="A1731" t="s">
        <v>1766</v>
      </c>
      <c r="B1731" t="s">
        <v>26</v>
      </c>
      <c r="C1731">
        <v>1670000</v>
      </c>
      <c r="D1731">
        <v>694.8</v>
      </c>
      <c r="F1731">
        <v>9.5100000000000004E-2</v>
      </c>
    </row>
    <row r="1732" spans="1:6" x14ac:dyDescent="0.3">
      <c r="A1732" t="s">
        <v>1767</v>
      </c>
      <c r="B1732" t="s">
        <v>24</v>
      </c>
      <c r="C1732">
        <v>2270000</v>
      </c>
      <c r="D1732">
        <v>1650.9</v>
      </c>
      <c r="E1732">
        <v>5.6899999999999999E-2</v>
      </c>
      <c r="F1732">
        <v>9.3799999999999994E-2</v>
      </c>
    </row>
    <row r="1733" spans="1:6" x14ac:dyDescent="0.3">
      <c r="A1733" t="s">
        <v>1768</v>
      </c>
      <c r="B1733" t="s">
        <v>26</v>
      </c>
      <c r="C1733">
        <v>2190000</v>
      </c>
      <c r="D1733">
        <v>28435.7</v>
      </c>
      <c r="E1733">
        <v>3.6499999999999998E-2</v>
      </c>
      <c r="F1733">
        <v>9.3799999999999994E-2</v>
      </c>
    </row>
    <row r="1734" spans="1:6" x14ac:dyDescent="0.3">
      <c r="A1734" t="s">
        <v>1769</v>
      </c>
      <c r="B1734" t="s">
        <v>88</v>
      </c>
      <c r="C1734">
        <v>2030000</v>
      </c>
      <c r="D1734">
        <v>186154.2</v>
      </c>
      <c r="E1734">
        <v>3.7400000000000003E-2</v>
      </c>
      <c r="F1734">
        <v>7.5899999999999995E-2</v>
      </c>
    </row>
    <row r="1735" spans="1:6" x14ac:dyDescent="0.3">
      <c r="A1735" t="s">
        <v>1770</v>
      </c>
      <c r="B1735" t="s">
        <v>26</v>
      </c>
      <c r="C1735">
        <v>1980000</v>
      </c>
      <c r="D1735">
        <v>127405.8</v>
      </c>
      <c r="E1735">
        <v>7.1999999999999998E-3</v>
      </c>
      <c r="F1735">
        <v>6.54E-2</v>
      </c>
    </row>
    <row r="1736" spans="1:6" x14ac:dyDescent="0.3">
      <c r="A1736" t="s">
        <v>1771</v>
      </c>
      <c r="B1736" t="s">
        <v>32</v>
      </c>
      <c r="C1736">
        <v>3000000</v>
      </c>
      <c r="D1736">
        <v>2949.7</v>
      </c>
      <c r="E1736">
        <v>8.6999999999999994E-3</v>
      </c>
      <c r="F1736">
        <v>6.54E-2</v>
      </c>
    </row>
    <row r="1737" spans="1:6" x14ac:dyDescent="0.3">
      <c r="A1737" t="s">
        <v>1772</v>
      </c>
      <c r="B1737" t="s">
        <v>71</v>
      </c>
      <c r="C1737">
        <v>1750000</v>
      </c>
      <c r="D1737">
        <v>7038.7</v>
      </c>
      <c r="E1737">
        <v>2.5499999999999998E-2</v>
      </c>
      <c r="F1737">
        <v>7.5899999999999995E-2</v>
      </c>
    </row>
    <row r="1738" spans="1:6" x14ac:dyDescent="0.3">
      <c r="A1738" t="s">
        <v>1773</v>
      </c>
      <c r="B1738" t="s">
        <v>26</v>
      </c>
      <c r="C1738">
        <v>1960000</v>
      </c>
      <c r="D1738">
        <v>995319</v>
      </c>
      <c r="E1738">
        <v>4.2599999999999999E-2</v>
      </c>
      <c r="F1738">
        <v>5.1799999999999999E-2</v>
      </c>
    </row>
    <row r="1739" spans="1:6" x14ac:dyDescent="0.3">
      <c r="A1739" t="s">
        <v>1774</v>
      </c>
      <c r="B1739" t="s">
        <v>41</v>
      </c>
      <c r="C1739">
        <v>2280000</v>
      </c>
      <c r="D1739">
        <v>513.20000000000005</v>
      </c>
      <c r="E1739">
        <v>1.37E-2</v>
      </c>
      <c r="F1739">
        <v>8.1100000000000005E-2</v>
      </c>
    </row>
    <row r="1740" spans="1:6" x14ac:dyDescent="0.3">
      <c r="A1740" t="s">
        <v>1775</v>
      </c>
      <c r="B1740" t="s">
        <v>24</v>
      </c>
      <c r="C1740">
        <v>2750000</v>
      </c>
      <c r="D1740">
        <v>318491.90000000002</v>
      </c>
      <c r="E1740">
        <v>5.4000000000000003E-3</v>
      </c>
      <c r="F1740">
        <v>8.1100000000000005E-2</v>
      </c>
    </row>
    <row r="1741" spans="1:6" x14ac:dyDescent="0.3">
      <c r="A1741" t="s">
        <v>1776</v>
      </c>
      <c r="B1741" t="s">
        <v>26</v>
      </c>
      <c r="C1741">
        <v>1700000</v>
      </c>
      <c r="D1741">
        <v>15111</v>
      </c>
      <c r="E1741">
        <v>8.2000000000000003E-2</v>
      </c>
      <c r="F1741">
        <v>9.5100000000000004E-2</v>
      </c>
    </row>
    <row r="1742" spans="1:6" x14ac:dyDescent="0.3">
      <c r="A1742" t="s">
        <v>1777</v>
      </c>
      <c r="B1742" t="s">
        <v>26</v>
      </c>
      <c r="C1742">
        <v>3420000</v>
      </c>
      <c r="D1742">
        <v>76324.899999999994</v>
      </c>
      <c r="E1742">
        <v>1.23E-2</v>
      </c>
      <c r="F1742">
        <v>0.13089999999999999</v>
      </c>
    </row>
    <row r="1743" spans="1:6" x14ac:dyDescent="0.3">
      <c r="A1743" t="s">
        <v>1778</v>
      </c>
      <c r="B1743" t="s">
        <v>41</v>
      </c>
      <c r="C1743">
        <v>2810000</v>
      </c>
      <c r="D1743">
        <v>32011.7</v>
      </c>
      <c r="E1743">
        <v>2.06E-2</v>
      </c>
      <c r="F1743">
        <v>5.7599999999999998E-2</v>
      </c>
    </row>
    <row r="1744" spans="1:6" x14ac:dyDescent="0.3">
      <c r="A1744" t="s">
        <v>1779</v>
      </c>
      <c r="B1744" t="s">
        <v>26</v>
      </c>
      <c r="C1744">
        <v>2660000</v>
      </c>
      <c r="D1744">
        <v>71753</v>
      </c>
      <c r="E1744">
        <v>4.0000000000000001E-3</v>
      </c>
      <c r="F1744">
        <v>6.54E-2</v>
      </c>
    </row>
    <row r="1745" spans="1:6" x14ac:dyDescent="0.3">
      <c r="A1745" t="s">
        <v>1780</v>
      </c>
      <c r="B1745" t="s">
        <v>26</v>
      </c>
      <c r="C1745">
        <v>1740000</v>
      </c>
      <c r="D1745">
        <v>167097.20000000001</v>
      </c>
      <c r="E1745">
        <v>2.4E-2</v>
      </c>
      <c r="F1745">
        <v>4.0899999999999999E-2</v>
      </c>
    </row>
    <row r="1746" spans="1:6" x14ac:dyDescent="0.3">
      <c r="A1746" t="s">
        <v>1781</v>
      </c>
      <c r="B1746" t="s">
        <v>26</v>
      </c>
      <c r="C1746">
        <v>1710000</v>
      </c>
      <c r="D1746">
        <v>263141.3</v>
      </c>
      <c r="E1746">
        <v>6.5000000000000002E-2</v>
      </c>
      <c r="F1746">
        <v>4.0899999999999999E-2</v>
      </c>
    </row>
    <row r="1747" spans="1:6" x14ac:dyDescent="0.3">
      <c r="A1747" t="s">
        <v>1782</v>
      </c>
      <c r="B1747" t="s">
        <v>71</v>
      </c>
      <c r="C1747">
        <v>1720000</v>
      </c>
      <c r="D1747">
        <v>7215.1</v>
      </c>
      <c r="E1747">
        <v>2.1399999999999999E-2</v>
      </c>
      <c r="F1747">
        <v>9.5100000000000004E-2</v>
      </c>
    </row>
    <row r="1748" spans="1:6" x14ac:dyDescent="0.3">
      <c r="A1748" t="s">
        <v>1783</v>
      </c>
      <c r="B1748" t="s">
        <v>92</v>
      </c>
      <c r="C1748">
        <v>2020000</v>
      </c>
      <c r="D1748">
        <v>28727.8</v>
      </c>
      <c r="E1748">
        <v>2.3599999999999999E-2</v>
      </c>
      <c r="F1748">
        <v>9.3799999999999994E-2</v>
      </c>
    </row>
    <row r="1749" spans="1:6" x14ac:dyDescent="0.3">
      <c r="A1749" t="s">
        <v>1784</v>
      </c>
      <c r="B1749" t="s">
        <v>287</v>
      </c>
      <c r="C1749">
        <v>2140000</v>
      </c>
      <c r="D1749">
        <v>4858.2</v>
      </c>
      <c r="E1749">
        <v>1.0800000000000001E-2</v>
      </c>
      <c r="F1749">
        <v>8.1100000000000005E-2</v>
      </c>
    </row>
    <row r="1750" spans="1:6" x14ac:dyDescent="0.3">
      <c r="A1750" t="s">
        <v>1785</v>
      </c>
      <c r="B1750" t="s">
        <v>32</v>
      </c>
      <c r="C1750">
        <v>2230000</v>
      </c>
      <c r="D1750">
        <v>31105.8</v>
      </c>
      <c r="E1750">
        <v>1.67E-2</v>
      </c>
      <c r="F1750">
        <v>0.38319999999999999</v>
      </c>
    </row>
    <row r="1751" spans="1:6" x14ac:dyDescent="0.3">
      <c r="A1751" t="s">
        <v>1786</v>
      </c>
      <c r="B1751" t="s">
        <v>41</v>
      </c>
      <c r="C1751">
        <v>1840000</v>
      </c>
      <c r="D1751">
        <v>15657.4</v>
      </c>
      <c r="E1751">
        <v>5.5999999999999999E-3</v>
      </c>
      <c r="F1751">
        <v>8.1100000000000005E-2</v>
      </c>
    </row>
    <row r="1752" spans="1:6" x14ac:dyDescent="0.3">
      <c r="A1752" t="s">
        <v>1787</v>
      </c>
      <c r="B1752" t="s">
        <v>74</v>
      </c>
      <c r="C1752">
        <v>2670000</v>
      </c>
      <c r="D1752">
        <v>149286.39999999999</v>
      </c>
      <c r="E1752">
        <v>7.6300000000000007E-2</v>
      </c>
      <c r="F1752">
        <v>9.3799999999999994E-2</v>
      </c>
    </row>
    <row r="1753" spans="1:6" x14ac:dyDescent="0.3">
      <c r="A1753" t="s">
        <v>1788</v>
      </c>
      <c r="B1753" t="s">
        <v>26</v>
      </c>
      <c r="C1753">
        <v>1850000</v>
      </c>
      <c r="D1753">
        <v>55079.5</v>
      </c>
      <c r="E1753">
        <v>4.6699999999999998E-2</v>
      </c>
      <c r="F1753">
        <v>4.1200000000000001E-2</v>
      </c>
    </row>
    <row r="1754" spans="1:6" x14ac:dyDescent="0.3">
      <c r="A1754" t="s">
        <v>1789</v>
      </c>
      <c r="B1754" t="s">
        <v>26</v>
      </c>
      <c r="C1754">
        <v>2070000</v>
      </c>
      <c r="D1754">
        <v>225667.20000000001</v>
      </c>
      <c r="E1754">
        <v>2.46E-2</v>
      </c>
      <c r="F1754">
        <v>9.5100000000000004E-2</v>
      </c>
    </row>
    <row r="1755" spans="1:6" x14ac:dyDescent="0.3">
      <c r="A1755" t="s">
        <v>1790</v>
      </c>
      <c r="B1755" t="s">
        <v>214</v>
      </c>
      <c r="C1755">
        <v>1990000</v>
      </c>
      <c r="D1755">
        <v>436686.8</v>
      </c>
      <c r="E1755">
        <v>1.6500000000000001E-2</v>
      </c>
      <c r="F1755">
        <v>6.1600000000000002E-2</v>
      </c>
    </row>
    <row r="1756" spans="1:6" x14ac:dyDescent="0.3">
      <c r="A1756" t="s">
        <v>1791</v>
      </c>
      <c r="B1756" t="s">
        <v>41</v>
      </c>
      <c r="C1756">
        <v>2020000</v>
      </c>
      <c r="D1756">
        <v>2938.4</v>
      </c>
      <c r="E1756">
        <v>5.7599999999999998E-2</v>
      </c>
      <c r="F1756">
        <v>9.3799999999999994E-2</v>
      </c>
    </row>
    <row r="1757" spans="1:6" x14ac:dyDescent="0.3">
      <c r="A1757" t="s">
        <v>1792</v>
      </c>
      <c r="B1757" t="s">
        <v>88</v>
      </c>
      <c r="C1757">
        <v>1720000</v>
      </c>
      <c r="D1757">
        <v>17614</v>
      </c>
      <c r="E1757">
        <v>8.6400000000000005E-2</v>
      </c>
      <c r="F1757">
        <v>9.5100000000000004E-2</v>
      </c>
    </row>
    <row r="1758" spans="1:6" x14ac:dyDescent="0.3">
      <c r="A1758" t="s">
        <v>1793</v>
      </c>
      <c r="B1758" t="s">
        <v>50</v>
      </c>
      <c r="C1758">
        <v>1960000</v>
      </c>
      <c r="D1758">
        <v>141452</v>
      </c>
      <c r="E1758">
        <v>7.1000000000000004E-3</v>
      </c>
      <c r="F1758">
        <v>0.10150000000000001</v>
      </c>
    </row>
    <row r="1759" spans="1:6" x14ac:dyDescent="0.3">
      <c r="A1759" t="s">
        <v>1794</v>
      </c>
      <c r="B1759" t="s">
        <v>26</v>
      </c>
      <c r="C1759">
        <v>1910000</v>
      </c>
      <c r="D1759">
        <v>368022</v>
      </c>
      <c r="E1759">
        <v>7.4000000000000003E-3</v>
      </c>
      <c r="F1759">
        <v>6.54E-2</v>
      </c>
    </row>
    <row r="1760" spans="1:6" x14ac:dyDescent="0.3">
      <c r="A1760" t="s">
        <v>1795</v>
      </c>
      <c r="B1760" t="s">
        <v>214</v>
      </c>
      <c r="C1760">
        <v>2080000</v>
      </c>
      <c r="D1760">
        <v>77154.899999999994</v>
      </c>
      <c r="E1760">
        <v>1.0500000000000001E-2</v>
      </c>
      <c r="F1760">
        <v>0.10680000000000001</v>
      </c>
    </row>
    <row r="1761" spans="1:6" x14ac:dyDescent="0.3">
      <c r="A1761" t="s">
        <v>1796</v>
      </c>
      <c r="B1761" t="s">
        <v>24</v>
      </c>
      <c r="C1761">
        <v>2250000</v>
      </c>
      <c r="D1761">
        <v>17821.599999999999</v>
      </c>
      <c r="E1761">
        <v>1.7299999999999999E-2</v>
      </c>
      <c r="F1761">
        <v>5.7599999999999998E-2</v>
      </c>
    </row>
    <row r="1762" spans="1:6" x14ac:dyDescent="0.3">
      <c r="A1762" t="s">
        <v>1797</v>
      </c>
      <c r="B1762" t="s">
        <v>26</v>
      </c>
      <c r="C1762">
        <v>1750000</v>
      </c>
      <c r="D1762">
        <v>1841.3</v>
      </c>
      <c r="E1762">
        <v>7.4499999999999997E-2</v>
      </c>
      <c r="F1762">
        <v>9.5100000000000004E-2</v>
      </c>
    </row>
    <row r="1763" spans="1:6" x14ac:dyDescent="0.3">
      <c r="A1763" t="s">
        <v>1798</v>
      </c>
      <c r="B1763" t="s">
        <v>88</v>
      </c>
      <c r="C1763">
        <v>2550000</v>
      </c>
      <c r="D1763">
        <v>24500.7</v>
      </c>
      <c r="E1763">
        <v>5.4800000000000001E-2</v>
      </c>
      <c r="F1763">
        <v>7.5899999999999995E-2</v>
      </c>
    </row>
    <row r="1764" spans="1:6" x14ac:dyDescent="0.3">
      <c r="A1764" t="s">
        <v>1799</v>
      </c>
      <c r="B1764" t="s">
        <v>30</v>
      </c>
      <c r="C1764">
        <v>5180000</v>
      </c>
      <c r="D1764">
        <v>28335</v>
      </c>
      <c r="F1764">
        <v>9.3799999999999994E-2</v>
      </c>
    </row>
    <row r="1765" spans="1:6" x14ac:dyDescent="0.3">
      <c r="A1765" t="s">
        <v>1800</v>
      </c>
      <c r="B1765" t="s">
        <v>88</v>
      </c>
      <c r="C1765">
        <v>2490000</v>
      </c>
      <c r="D1765">
        <v>111340.9</v>
      </c>
      <c r="E1765">
        <v>4.8800000000000003E-2</v>
      </c>
      <c r="F1765">
        <v>9.3799999999999994E-2</v>
      </c>
    </row>
    <row r="1766" spans="1:6" x14ac:dyDescent="0.3">
      <c r="A1766" t="s">
        <v>1801</v>
      </c>
      <c r="B1766" t="s">
        <v>53</v>
      </c>
      <c r="C1766">
        <v>2440000</v>
      </c>
      <c r="D1766">
        <v>14689.4</v>
      </c>
      <c r="E1766">
        <v>5.1999999999999998E-3</v>
      </c>
      <c r="F1766">
        <v>8.2199999999999995E-2</v>
      </c>
    </row>
    <row r="1767" spans="1:6" x14ac:dyDescent="0.3">
      <c r="A1767" t="s">
        <v>1802</v>
      </c>
      <c r="B1767" t="s">
        <v>26</v>
      </c>
      <c r="C1767">
        <v>2270000</v>
      </c>
      <c r="D1767">
        <v>2524.6999999999998</v>
      </c>
      <c r="E1767">
        <v>9.1300000000000006E-2</v>
      </c>
      <c r="F1767">
        <v>0.2747</v>
      </c>
    </row>
    <row r="1768" spans="1:6" x14ac:dyDescent="0.3">
      <c r="A1768" t="s">
        <v>1803</v>
      </c>
      <c r="B1768" t="s">
        <v>26</v>
      </c>
      <c r="C1768">
        <v>2110000</v>
      </c>
      <c r="D1768">
        <v>567146.19999999995</v>
      </c>
      <c r="E1768">
        <v>2.4299999999999999E-2</v>
      </c>
      <c r="F1768">
        <v>5.1799999999999999E-2</v>
      </c>
    </row>
    <row r="1769" spans="1:6" x14ac:dyDescent="0.3">
      <c r="A1769" t="s">
        <v>1804</v>
      </c>
      <c r="B1769" t="s">
        <v>92</v>
      </c>
      <c r="C1769">
        <v>1670000</v>
      </c>
      <c r="D1769">
        <v>263.8</v>
      </c>
      <c r="E1769">
        <v>7.1000000000000004E-3</v>
      </c>
      <c r="F1769">
        <v>8.1100000000000005E-2</v>
      </c>
    </row>
    <row r="1770" spans="1:6" x14ac:dyDescent="0.3">
      <c r="A1770" t="s">
        <v>1805</v>
      </c>
      <c r="B1770" t="s">
        <v>41</v>
      </c>
      <c r="C1770">
        <v>2730000</v>
      </c>
      <c r="D1770">
        <v>1217.3</v>
      </c>
      <c r="E1770">
        <v>2.3300000000000001E-2</v>
      </c>
      <c r="F1770">
        <v>9.3799999999999994E-2</v>
      </c>
    </row>
    <row r="1771" spans="1:6" x14ac:dyDescent="0.3">
      <c r="A1771" t="s">
        <v>1806</v>
      </c>
      <c r="B1771" t="s">
        <v>30</v>
      </c>
      <c r="C1771">
        <v>2430000</v>
      </c>
      <c r="D1771">
        <v>5282.3</v>
      </c>
      <c r="E1771">
        <v>8.8999999999999999E-3</v>
      </c>
      <c r="F1771">
        <v>8.1100000000000005E-2</v>
      </c>
    </row>
    <row r="1772" spans="1:6" x14ac:dyDescent="0.3">
      <c r="A1772" t="s">
        <v>1807</v>
      </c>
      <c r="B1772" t="s">
        <v>62</v>
      </c>
      <c r="C1772">
        <v>1890000</v>
      </c>
      <c r="D1772">
        <v>10782.6</v>
      </c>
      <c r="E1772">
        <v>1.83E-2</v>
      </c>
      <c r="F1772">
        <v>4.6199999999999998E-2</v>
      </c>
    </row>
    <row r="1773" spans="1:6" x14ac:dyDescent="0.3">
      <c r="A1773" t="s">
        <v>1808</v>
      </c>
      <c r="B1773" t="s">
        <v>50</v>
      </c>
      <c r="C1773">
        <v>1960000</v>
      </c>
      <c r="D1773">
        <v>88319.2</v>
      </c>
      <c r="E1773">
        <v>5.3499999999999999E-2</v>
      </c>
      <c r="F1773">
        <v>7.5899999999999995E-2</v>
      </c>
    </row>
    <row r="1774" spans="1:6" x14ac:dyDescent="0.3">
      <c r="A1774" t="s">
        <v>1809</v>
      </c>
      <c r="B1774" t="s">
        <v>195</v>
      </c>
      <c r="C1774">
        <v>3450000</v>
      </c>
      <c r="D1774">
        <v>7325.8</v>
      </c>
      <c r="E1774">
        <v>2.9899999999999999E-2</v>
      </c>
      <c r="F1774">
        <v>7.5899999999999995E-2</v>
      </c>
    </row>
    <row r="1775" spans="1:6" x14ac:dyDescent="0.3">
      <c r="A1775" t="s">
        <v>1810</v>
      </c>
      <c r="B1775" t="s">
        <v>26</v>
      </c>
      <c r="C1775">
        <v>2310000</v>
      </c>
      <c r="F1775">
        <v>7.5899999999999995E-2</v>
      </c>
    </row>
    <row r="1776" spans="1:6" x14ac:dyDescent="0.3">
      <c r="A1776" t="s">
        <v>1811</v>
      </c>
      <c r="B1776" t="s">
        <v>41</v>
      </c>
      <c r="C1776">
        <v>1840000</v>
      </c>
      <c r="D1776">
        <v>4012.9</v>
      </c>
      <c r="E1776">
        <v>1.7100000000000001E-2</v>
      </c>
      <c r="F1776">
        <v>6.08E-2</v>
      </c>
    </row>
    <row r="1777" spans="1:6" x14ac:dyDescent="0.3">
      <c r="A1777" t="s">
        <v>1812</v>
      </c>
      <c r="B1777" t="s">
        <v>92</v>
      </c>
      <c r="C1777">
        <v>2640000</v>
      </c>
      <c r="D1777">
        <v>25068.5</v>
      </c>
      <c r="E1777">
        <v>5.7999999999999996E-3</v>
      </c>
      <c r="F1777">
        <v>0.18659999999999999</v>
      </c>
    </row>
    <row r="1778" spans="1:6" x14ac:dyDescent="0.3">
      <c r="A1778" t="s">
        <v>1813</v>
      </c>
      <c r="B1778" t="s">
        <v>26</v>
      </c>
      <c r="C1778">
        <v>1710000</v>
      </c>
      <c r="D1778">
        <v>46448.7</v>
      </c>
      <c r="E1778">
        <v>4.2299999999999997E-2</v>
      </c>
      <c r="F1778">
        <v>5.4600000000000003E-2</v>
      </c>
    </row>
    <row r="1779" spans="1:6" x14ac:dyDescent="0.3">
      <c r="A1779" t="s">
        <v>1814</v>
      </c>
      <c r="B1779" t="s">
        <v>24</v>
      </c>
      <c r="C1779">
        <v>1800000</v>
      </c>
      <c r="D1779">
        <v>56905.7</v>
      </c>
      <c r="E1779">
        <v>1.4800000000000001E-2</v>
      </c>
      <c r="F1779">
        <v>8.5400000000000004E-2</v>
      </c>
    </row>
    <row r="1780" spans="1:6" x14ac:dyDescent="0.3">
      <c r="A1780" t="s">
        <v>1815</v>
      </c>
      <c r="B1780" t="s">
        <v>24</v>
      </c>
      <c r="C1780">
        <v>1990000</v>
      </c>
      <c r="D1780">
        <v>37055.199999999997</v>
      </c>
      <c r="E1780">
        <v>7.0499999999999993E-2</v>
      </c>
      <c r="F1780">
        <v>6.7199999999999996E-2</v>
      </c>
    </row>
    <row r="1781" spans="1:6" x14ac:dyDescent="0.3">
      <c r="A1781" t="s">
        <v>1816</v>
      </c>
      <c r="B1781" t="s">
        <v>92</v>
      </c>
      <c r="C1781">
        <v>1650000</v>
      </c>
      <c r="D1781">
        <v>414.7</v>
      </c>
      <c r="E1781">
        <v>1.14E-2</v>
      </c>
      <c r="F1781">
        <v>7.3599999999999999E-2</v>
      </c>
    </row>
    <row r="1782" spans="1:6" x14ac:dyDescent="0.3">
      <c r="A1782" t="s">
        <v>1817</v>
      </c>
      <c r="B1782" t="s">
        <v>92</v>
      </c>
      <c r="C1782">
        <v>2060000</v>
      </c>
      <c r="D1782">
        <v>3767.1</v>
      </c>
      <c r="E1782">
        <v>1.3899999999999999E-2</v>
      </c>
      <c r="F1782">
        <v>0.1187</v>
      </c>
    </row>
    <row r="1783" spans="1:6" x14ac:dyDescent="0.3">
      <c r="A1783" t="s">
        <v>1818</v>
      </c>
      <c r="B1783" t="s">
        <v>24</v>
      </c>
      <c r="C1783">
        <v>2550000</v>
      </c>
      <c r="D1783">
        <v>219447.8</v>
      </c>
      <c r="E1783">
        <v>3.8800000000000001E-2</v>
      </c>
      <c r="F1783">
        <v>9.5100000000000004E-2</v>
      </c>
    </row>
    <row r="1784" spans="1:6" x14ac:dyDescent="0.3">
      <c r="A1784" t="s">
        <v>1819</v>
      </c>
      <c r="B1784" t="s">
        <v>26</v>
      </c>
      <c r="C1784">
        <v>1820000</v>
      </c>
      <c r="D1784">
        <v>96571.1</v>
      </c>
      <c r="E1784">
        <v>6.1199999999999997E-2</v>
      </c>
      <c r="F1784">
        <v>4.0899999999999999E-2</v>
      </c>
    </row>
    <row r="1785" spans="1:6" x14ac:dyDescent="0.3">
      <c r="A1785" t="s">
        <v>1820</v>
      </c>
      <c r="B1785" t="s">
        <v>26</v>
      </c>
      <c r="C1785">
        <v>1770000</v>
      </c>
      <c r="D1785">
        <v>205405.3</v>
      </c>
      <c r="E1785">
        <v>3.5099999999999999E-2</v>
      </c>
      <c r="F1785">
        <v>7.5899999999999995E-2</v>
      </c>
    </row>
    <row r="1786" spans="1:6" x14ac:dyDescent="0.3">
      <c r="A1786" t="s">
        <v>1821</v>
      </c>
      <c r="B1786" t="s">
        <v>88</v>
      </c>
      <c r="C1786">
        <v>1650000</v>
      </c>
      <c r="D1786">
        <v>6820.9</v>
      </c>
      <c r="E1786">
        <v>0.02</v>
      </c>
      <c r="F1786">
        <v>0.1067</v>
      </c>
    </row>
    <row r="1787" spans="1:6" x14ac:dyDescent="0.3">
      <c r="A1787" t="s">
        <v>1822</v>
      </c>
      <c r="B1787" t="s">
        <v>26</v>
      </c>
      <c r="C1787">
        <v>1050000</v>
      </c>
      <c r="D1787">
        <v>150.5</v>
      </c>
      <c r="E1787">
        <v>5.2499999999999998E-2</v>
      </c>
      <c r="F1787">
        <v>7.5899999999999995E-2</v>
      </c>
    </row>
    <row r="1788" spans="1:6" x14ac:dyDescent="0.3">
      <c r="A1788" t="s">
        <v>1823</v>
      </c>
      <c r="B1788" t="s">
        <v>88</v>
      </c>
      <c r="C1788">
        <v>2020000</v>
      </c>
      <c r="D1788">
        <v>13324.3</v>
      </c>
      <c r="E1788">
        <v>4.8500000000000001E-2</v>
      </c>
      <c r="F1788">
        <v>9.3799999999999994E-2</v>
      </c>
    </row>
    <row r="1789" spans="1:6" x14ac:dyDescent="0.3">
      <c r="A1789" t="s">
        <v>1824</v>
      </c>
      <c r="B1789" t="s">
        <v>88</v>
      </c>
      <c r="C1789">
        <v>1790000</v>
      </c>
      <c r="D1789">
        <v>54707.6</v>
      </c>
      <c r="E1789">
        <v>2.4799999999999999E-2</v>
      </c>
      <c r="F1789">
        <v>4.0899999999999999E-2</v>
      </c>
    </row>
    <row r="1790" spans="1:6" x14ac:dyDescent="0.3">
      <c r="A1790" t="s">
        <v>1825</v>
      </c>
      <c r="B1790" t="s">
        <v>24</v>
      </c>
      <c r="C1790">
        <v>2140000</v>
      </c>
      <c r="D1790">
        <v>7165.1</v>
      </c>
      <c r="E1790">
        <v>1.41E-2</v>
      </c>
      <c r="F1790">
        <v>6.1600000000000002E-2</v>
      </c>
    </row>
    <row r="1791" spans="1:6" x14ac:dyDescent="0.3">
      <c r="A1791" t="s">
        <v>1826</v>
      </c>
      <c r="B1791" t="s">
        <v>26</v>
      </c>
      <c r="C1791">
        <v>1980000</v>
      </c>
      <c r="D1791">
        <v>3149.2</v>
      </c>
      <c r="E1791">
        <v>2.07E-2</v>
      </c>
      <c r="F1791">
        <v>9.3799999999999994E-2</v>
      </c>
    </row>
    <row r="1792" spans="1:6" x14ac:dyDescent="0.3">
      <c r="A1792" t="s">
        <v>1827</v>
      </c>
      <c r="B1792" t="s">
        <v>26</v>
      </c>
      <c r="C1792">
        <v>3030000</v>
      </c>
      <c r="D1792">
        <v>49221.7</v>
      </c>
      <c r="E1792">
        <v>1.89E-2</v>
      </c>
      <c r="F1792">
        <v>4.6199999999999998E-2</v>
      </c>
    </row>
    <row r="1793" spans="1:6" x14ac:dyDescent="0.3">
      <c r="A1793" t="s">
        <v>1828</v>
      </c>
      <c r="B1793" t="s">
        <v>26</v>
      </c>
      <c r="C1793">
        <v>1990000</v>
      </c>
      <c r="D1793">
        <v>21383</v>
      </c>
      <c r="E1793">
        <v>3.3399999999999999E-2</v>
      </c>
      <c r="F1793">
        <v>7.5899999999999995E-2</v>
      </c>
    </row>
    <row r="1794" spans="1:6" x14ac:dyDescent="0.3">
      <c r="A1794" t="s">
        <v>1829</v>
      </c>
      <c r="B1794" t="s">
        <v>26</v>
      </c>
      <c r="C1794">
        <v>1770000</v>
      </c>
      <c r="D1794">
        <v>227994.3</v>
      </c>
      <c r="E1794">
        <v>2.1399999999999999E-2</v>
      </c>
      <c r="F1794">
        <v>0.11700000000000001</v>
      </c>
    </row>
    <row r="1795" spans="1:6" x14ac:dyDescent="0.3">
      <c r="A1795" t="s">
        <v>1830</v>
      </c>
      <c r="B1795" t="s">
        <v>26</v>
      </c>
      <c r="C1795">
        <v>1850000</v>
      </c>
      <c r="D1795">
        <v>57779.5</v>
      </c>
      <c r="E1795">
        <v>4.2700000000000002E-2</v>
      </c>
      <c r="F1795">
        <v>7.5899999999999995E-2</v>
      </c>
    </row>
    <row r="1796" spans="1:6" x14ac:dyDescent="0.3">
      <c r="A1796" t="s">
        <v>1831</v>
      </c>
      <c r="B1796" t="s">
        <v>88</v>
      </c>
      <c r="C1796">
        <v>1710000</v>
      </c>
      <c r="D1796">
        <v>322</v>
      </c>
      <c r="E1796">
        <v>3.4000000000000002E-2</v>
      </c>
      <c r="F1796">
        <v>7.5899999999999995E-2</v>
      </c>
    </row>
    <row r="1797" spans="1:6" x14ac:dyDescent="0.3">
      <c r="A1797" t="s">
        <v>1832</v>
      </c>
      <c r="B1797" t="s">
        <v>287</v>
      </c>
      <c r="C1797">
        <v>1260000</v>
      </c>
      <c r="D1797">
        <v>128038.3</v>
      </c>
      <c r="E1797">
        <v>2.8400000000000002E-2</v>
      </c>
      <c r="F1797">
        <v>4.0899999999999999E-2</v>
      </c>
    </row>
    <row r="1798" spans="1:6" x14ac:dyDescent="0.3">
      <c r="A1798" t="s">
        <v>1833</v>
      </c>
      <c r="B1798" t="s">
        <v>26</v>
      </c>
      <c r="C1798">
        <v>1750000</v>
      </c>
      <c r="D1798">
        <v>2242.6</v>
      </c>
      <c r="E1798">
        <v>7.6E-3</v>
      </c>
      <c r="F1798">
        <v>8.2199999999999995E-2</v>
      </c>
    </row>
    <row r="1799" spans="1:6" x14ac:dyDescent="0.3">
      <c r="A1799" t="s">
        <v>1834</v>
      </c>
      <c r="B1799" t="s">
        <v>92</v>
      </c>
      <c r="C1799">
        <v>4030000</v>
      </c>
      <c r="D1799">
        <v>379590.1</v>
      </c>
      <c r="E1799">
        <v>2.98E-2</v>
      </c>
      <c r="F1799">
        <v>5.0999999999999997E-2</v>
      </c>
    </row>
    <row r="1800" spans="1:6" x14ac:dyDescent="0.3">
      <c r="A1800" t="s">
        <v>1835</v>
      </c>
      <c r="B1800" t="s">
        <v>74</v>
      </c>
      <c r="C1800">
        <v>1680000</v>
      </c>
      <c r="D1800">
        <v>17651.7</v>
      </c>
      <c r="E1800">
        <v>9.5999999999999992E-3</v>
      </c>
      <c r="F1800">
        <v>8.2199999999999995E-2</v>
      </c>
    </row>
    <row r="1801" spans="1:6" x14ac:dyDescent="0.3">
      <c r="A1801" t="s">
        <v>1836</v>
      </c>
      <c r="B1801" t="s">
        <v>21</v>
      </c>
      <c r="C1801">
        <v>2510000</v>
      </c>
      <c r="D1801">
        <v>446555.2</v>
      </c>
      <c r="E1801">
        <v>1.1599999999999999E-2</v>
      </c>
      <c r="F1801">
        <v>5.8400000000000001E-2</v>
      </c>
    </row>
    <row r="1802" spans="1:6" x14ac:dyDescent="0.3">
      <c r="A1802" t="s">
        <v>1837</v>
      </c>
      <c r="B1802" t="s">
        <v>41</v>
      </c>
      <c r="C1802">
        <v>1720000</v>
      </c>
      <c r="D1802">
        <v>1157549.7</v>
      </c>
      <c r="E1802">
        <v>1.9400000000000001E-2</v>
      </c>
      <c r="F1802">
        <v>4.6199999999999998E-2</v>
      </c>
    </row>
    <row r="1803" spans="1:6" x14ac:dyDescent="0.3">
      <c r="A1803" t="s">
        <v>1838</v>
      </c>
      <c r="B1803" t="s">
        <v>24</v>
      </c>
      <c r="C1803">
        <v>1860000</v>
      </c>
      <c r="D1803">
        <v>949.2</v>
      </c>
      <c r="E1803">
        <v>0.1118</v>
      </c>
      <c r="F1803">
        <v>9.3799999999999994E-2</v>
      </c>
    </row>
    <row r="1804" spans="1:6" x14ac:dyDescent="0.3">
      <c r="A1804" t="s">
        <v>1839</v>
      </c>
      <c r="B1804" t="s">
        <v>21</v>
      </c>
      <c r="C1804">
        <v>1930000</v>
      </c>
      <c r="D1804">
        <v>889842.9</v>
      </c>
      <c r="E1804">
        <v>1.5299999999999999E-2</v>
      </c>
      <c r="F1804">
        <v>4.6199999999999998E-2</v>
      </c>
    </row>
    <row r="1805" spans="1:6" x14ac:dyDescent="0.3">
      <c r="A1805" t="s">
        <v>1840</v>
      </c>
      <c r="B1805" t="s">
        <v>88</v>
      </c>
      <c r="C1805">
        <v>3200000</v>
      </c>
      <c r="D1805">
        <v>61993.5</v>
      </c>
      <c r="E1805">
        <v>2.1700000000000001E-2</v>
      </c>
      <c r="F1805">
        <v>7.5899999999999995E-2</v>
      </c>
    </row>
    <row r="1806" spans="1:6" x14ac:dyDescent="0.3">
      <c r="A1806" t="s">
        <v>1841</v>
      </c>
      <c r="B1806" t="s">
        <v>53</v>
      </c>
      <c r="C1806">
        <v>1890000</v>
      </c>
      <c r="D1806">
        <v>176453.9</v>
      </c>
      <c r="E1806">
        <v>8.3199999999999996E-2</v>
      </c>
      <c r="F1806">
        <v>0.11700000000000001</v>
      </c>
    </row>
    <row r="1807" spans="1:6" x14ac:dyDescent="0.3">
      <c r="A1807" t="s">
        <v>1842</v>
      </c>
      <c r="B1807" t="s">
        <v>62</v>
      </c>
      <c r="C1807">
        <v>2780000</v>
      </c>
      <c r="D1807">
        <v>124941.1</v>
      </c>
      <c r="E1807">
        <v>4.4400000000000002E-2</v>
      </c>
      <c r="F1807">
        <v>7.5899999999999995E-2</v>
      </c>
    </row>
    <row r="1808" spans="1:6" x14ac:dyDescent="0.3">
      <c r="A1808" t="s">
        <v>1843</v>
      </c>
      <c r="B1808" t="s">
        <v>53</v>
      </c>
      <c r="C1808">
        <v>2360000</v>
      </c>
      <c r="D1808">
        <v>57986</v>
      </c>
      <c r="E1808">
        <v>5.28E-2</v>
      </c>
      <c r="F1808">
        <v>7.5899999999999995E-2</v>
      </c>
    </row>
    <row r="1809" spans="1:6" x14ac:dyDescent="0.3">
      <c r="A1809" t="s">
        <v>1844</v>
      </c>
      <c r="B1809" t="s">
        <v>26</v>
      </c>
      <c r="C1809">
        <v>2020000</v>
      </c>
      <c r="D1809">
        <v>2195.6</v>
      </c>
      <c r="E1809">
        <v>4.0300000000000002E-2</v>
      </c>
      <c r="F1809">
        <v>9.3799999999999994E-2</v>
      </c>
    </row>
    <row r="1810" spans="1:6" x14ac:dyDescent="0.3">
      <c r="A1810" t="s">
        <v>1845</v>
      </c>
      <c r="B1810" t="s">
        <v>41</v>
      </c>
      <c r="C1810">
        <v>1910000</v>
      </c>
      <c r="D1810">
        <v>2944</v>
      </c>
      <c r="E1810">
        <v>1.1299999999999999E-2</v>
      </c>
      <c r="F1810">
        <v>6.4699999999999994E-2</v>
      </c>
    </row>
    <row r="1811" spans="1:6" x14ac:dyDescent="0.3">
      <c r="A1811" t="s">
        <v>1846</v>
      </c>
      <c r="B1811" t="s">
        <v>30</v>
      </c>
      <c r="C1811">
        <v>3960000</v>
      </c>
      <c r="D1811">
        <v>407074.2</v>
      </c>
      <c r="E1811">
        <v>3.61E-2</v>
      </c>
      <c r="F1811">
        <v>4.3200000000000002E-2</v>
      </c>
    </row>
    <row r="1812" spans="1:6" x14ac:dyDescent="0.3">
      <c r="A1812" t="s">
        <v>1847</v>
      </c>
      <c r="B1812" t="s">
        <v>24</v>
      </c>
      <c r="C1812">
        <v>2140000</v>
      </c>
      <c r="D1812">
        <v>1426.6</v>
      </c>
      <c r="E1812">
        <v>8.3999999999999995E-3</v>
      </c>
      <c r="F1812">
        <v>8.2100000000000006E-2</v>
      </c>
    </row>
    <row r="1813" spans="1:6" x14ac:dyDescent="0.3">
      <c r="A1813" t="s">
        <v>1848</v>
      </c>
      <c r="B1813" t="s">
        <v>53</v>
      </c>
      <c r="C1813">
        <v>2350000</v>
      </c>
      <c r="D1813">
        <v>609622.1</v>
      </c>
      <c r="E1813">
        <v>7.0300000000000001E-2</v>
      </c>
      <c r="F1813">
        <v>4.0899999999999999E-2</v>
      </c>
    </row>
    <row r="1814" spans="1:6" x14ac:dyDescent="0.3">
      <c r="A1814" t="s">
        <v>1849</v>
      </c>
      <c r="B1814" t="s">
        <v>214</v>
      </c>
      <c r="C1814">
        <v>1870000</v>
      </c>
      <c r="D1814">
        <v>559538.80000000005</v>
      </c>
      <c r="E1814">
        <v>9.1999999999999998E-3</v>
      </c>
      <c r="F1814">
        <v>8.2199999999999995E-2</v>
      </c>
    </row>
    <row r="1815" spans="1:6" x14ac:dyDescent="0.3">
      <c r="A1815" t="s">
        <v>1850</v>
      </c>
      <c r="B1815" t="s">
        <v>24</v>
      </c>
      <c r="C1815">
        <v>2200000</v>
      </c>
      <c r="D1815">
        <v>3441.2</v>
      </c>
      <c r="E1815">
        <v>0.1118</v>
      </c>
      <c r="F1815">
        <v>9.3799999999999994E-2</v>
      </c>
    </row>
    <row r="1816" spans="1:6" x14ac:dyDescent="0.3">
      <c r="A1816" t="s">
        <v>1851</v>
      </c>
      <c r="B1816" t="s">
        <v>41</v>
      </c>
      <c r="C1816">
        <v>1740000</v>
      </c>
      <c r="D1816">
        <v>24720.6</v>
      </c>
      <c r="E1816">
        <v>4.2099999999999999E-2</v>
      </c>
      <c r="F1816">
        <v>9.3799999999999994E-2</v>
      </c>
    </row>
    <row r="1817" spans="1:6" x14ac:dyDescent="0.3">
      <c r="A1817" t="s">
        <v>1852</v>
      </c>
      <c r="B1817" t="s">
        <v>26</v>
      </c>
      <c r="C1817">
        <v>1990000</v>
      </c>
      <c r="D1817">
        <v>495871.7</v>
      </c>
      <c r="E1817">
        <v>5.28E-2</v>
      </c>
      <c r="F1817">
        <v>5.0999999999999997E-2</v>
      </c>
    </row>
    <row r="1818" spans="1:6" x14ac:dyDescent="0.3">
      <c r="A1818" t="s">
        <v>1853</v>
      </c>
      <c r="B1818" t="s">
        <v>26</v>
      </c>
      <c r="C1818">
        <v>1890000</v>
      </c>
      <c r="D1818">
        <v>30505.599999999999</v>
      </c>
      <c r="E1818">
        <v>5.1799999999999999E-2</v>
      </c>
      <c r="F1818">
        <v>5.1799999999999999E-2</v>
      </c>
    </row>
    <row r="1819" spans="1:6" x14ac:dyDescent="0.3">
      <c r="A1819" t="s">
        <v>1854</v>
      </c>
      <c r="B1819" t="s">
        <v>81</v>
      </c>
      <c r="C1819">
        <v>2130000</v>
      </c>
      <c r="D1819">
        <v>133125.70000000001</v>
      </c>
      <c r="E1819">
        <v>3.1899999999999998E-2</v>
      </c>
      <c r="F1819">
        <v>7.5899999999999995E-2</v>
      </c>
    </row>
    <row r="1820" spans="1:6" x14ac:dyDescent="0.3">
      <c r="A1820" t="s">
        <v>1855</v>
      </c>
      <c r="B1820" t="s">
        <v>26</v>
      </c>
      <c r="C1820">
        <v>3150000</v>
      </c>
      <c r="D1820">
        <v>470512</v>
      </c>
      <c r="E1820">
        <v>3.9100000000000003E-2</v>
      </c>
      <c r="F1820">
        <v>4.0899999999999999E-2</v>
      </c>
    </row>
    <row r="1821" spans="1:6" x14ac:dyDescent="0.3">
      <c r="A1821" t="s">
        <v>1856</v>
      </c>
      <c r="B1821" t="s">
        <v>26</v>
      </c>
      <c r="C1821">
        <v>2170000</v>
      </c>
      <c r="D1821">
        <v>39399.800000000003</v>
      </c>
      <c r="E1821">
        <v>5.1400000000000001E-2</v>
      </c>
      <c r="F1821">
        <v>7.5899999999999995E-2</v>
      </c>
    </row>
    <row r="1822" spans="1:6" x14ac:dyDescent="0.3">
      <c r="A1822" t="s">
        <v>1857</v>
      </c>
      <c r="B1822" t="s">
        <v>26</v>
      </c>
      <c r="C1822">
        <v>981000</v>
      </c>
      <c r="D1822">
        <v>11084.1</v>
      </c>
      <c r="E1822">
        <v>1.9099999999999999E-2</v>
      </c>
      <c r="F1822">
        <v>0.1067</v>
      </c>
    </row>
    <row r="1823" spans="1:6" x14ac:dyDescent="0.3">
      <c r="A1823" t="s">
        <v>1858</v>
      </c>
      <c r="B1823" t="s">
        <v>41</v>
      </c>
      <c r="C1823">
        <v>1920000</v>
      </c>
      <c r="D1823">
        <v>258563.3</v>
      </c>
      <c r="E1823">
        <v>1.8200000000000001E-2</v>
      </c>
      <c r="F1823">
        <v>4.6199999999999998E-2</v>
      </c>
    </row>
    <row r="1824" spans="1:6" x14ac:dyDescent="0.3">
      <c r="A1824" t="s">
        <v>1859</v>
      </c>
      <c r="B1824" t="s">
        <v>26</v>
      </c>
      <c r="C1824">
        <v>1800000</v>
      </c>
      <c r="D1824">
        <v>39199.199999999997</v>
      </c>
      <c r="E1824">
        <v>1.7899999999999999E-2</v>
      </c>
      <c r="F1824">
        <v>4.6199999999999998E-2</v>
      </c>
    </row>
    <row r="1825" spans="1:6" x14ac:dyDescent="0.3">
      <c r="A1825" t="s">
        <v>1860</v>
      </c>
      <c r="B1825" t="s">
        <v>26</v>
      </c>
      <c r="C1825">
        <v>2320000</v>
      </c>
      <c r="D1825">
        <v>1208632.3</v>
      </c>
      <c r="E1825">
        <v>2.0500000000000001E-2</v>
      </c>
      <c r="F1825">
        <v>4.6199999999999998E-2</v>
      </c>
    </row>
    <row r="1826" spans="1:6" x14ac:dyDescent="0.3">
      <c r="A1826" t="s">
        <v>1861</v>
      </c>
      <c r="B1826" t="s">
        <v>26</v>
      </c>
      <c r="C1826">
        <v>1790000</v>
      </c>
      <c r="D1826">
        <v>187735.2</v>
      </c>
      <c r="E1826">
        <v>1.6400000000000001E-2</v>
      </c>
      <c r="F1826">
        <v>4.6199999999999998E-2</v>
      </c>
    </row>
    <row r="1827" spans="1:6" x14ac:dyDescent="0.3">
      <c r="A1827" t="s">
        <v>1862</v>
      </c>
      <c r="B1827" t="s">
        <v>92</v>
      </c>
      <c r="C1827">
        <v>1980000</v>
      </c>
      <c r="D1827">
        <v>133608.6</v>
      </c>
      <c r="E1827">
        <v>2.7699999999999999E-2</v>
      </c>
      <c r="F1827">
        <v>7.5899999999999995E-2</v>
      </c>
    </row>
    <row r="1828" spans="1:6" x14ac:dyDescent="0.3">
      <c r="A1828" t="s">
        <v>1863</v>
      </c>
      <c r="B1828" t="s">
        <v>74</v>
      </c>
      <c r="C1828">
        <v>1620000</v>
      </c>
      <c r="D1828">
        <v>398.6</v>
      </c>
      <c r="E1828">
        <v>1.6E-2</v>
      </c>
      <c r="F1828">
        <v>5.8500000000000003E-2</v>
      </c>
    </row>
    <row r="1829" spans="1:6" x14ac:dyDescent="0.3">
      <c r="A1829" t="s">
        <v>1864</v>
      </c>
      <c r="B1829" t="s">
        <v>26</v>
      </c>
      <c r="C1829">
        <v>1720000</v>
      </c>
      <c r="D1829">
        <v>40101.1</v>
      </c>
      <c r="E1829">
        <v>5.91E-2</v>
      </c>
      <c r="F1829">
        <v>9.5100000000000004E-2</v>
      </c>
    </row>
    <row r="1830" spans="1:6" x14ac:dyDescent="0.3">
      <c r="A1830" t="s">
        <v>1865</v>
      </c>
      <c r="B1830" t="s">
        <v>26</v>
      </c>
      <c r="C1830">
        <v>2300000</v>
      </c>
      <c r="D1830">
        <v>208105.60000000001</v>
      </c>
      <c r="E1830">
        <v>2.3400000000000001E-2</v>
      </c>
      <c r="F1830">
        <v>4.0899999999999999E-2</v>
      </c>
    </row>
    <row r="1831" spans="1:6" x14ac:dyDescent="0.3">
      <c r="A1831" t="s">
        <v>1866</v>
      </c>
      <c r="B1831" t="s">
        <v>26</v>
      </c>
      <c r="C1831">
        <v>2070000</v>
      </c>
      <c r="D1831">
        <v>14336.8</v>
      </c>
      <c r="E1831">
        <v>4.2299999999999997E-2</v>
      </c>
      <c r="F1831">
        <v>0.1168</v>
      </c>
    </row>
    <row r="1832" spans="1:6" x14ac:dyDescent="0.3">
      <c r="A1832" t="s">
        <v>1867</v>
      </c>
      <c r="B1832" t="s">
        <v>41</v>
      </c>
      <c r="C1832">
        <v>1930000</v>
      </c>
      <c r="D1832">
        <v>14490.1</v>
      </c>
      <c r="E1832">
        <v>4.2999999999999997E-2</v>
      </c>
      <c r="F1832">
        <v>9.3799999999999994E-2</v>
      </c>
    </row>
    <row r="1833" spans="1:6" x14ac:dyDescent="0.3">
      <c r="A1833" t="s">
        <v>1868</v>
      </c>
      <c r="B1833" t="s">
        <v>53</v>
      </c>
      <c r="C1833">
        <v>1840000</v>
      </c>
      <c r="D1833">
        <v>22743</v>
      </c>
      <c r="E1833">
        <v>3.09E-2</v>
      </c>
      <c r="F1833">
        <v>0.11700000000000001</v>
      </c>
    </row>
    <row r="1834" spans="1:6" x14ac:dyDescent="0.3">
      <c r="A1834" t="s">
        <v>1869</v>
      </c>
      <c r="B1834" t="s">
        <v>50</v>
      </c>
      <c r="C1834">
        <v>1750000</v>
      </c>
      <c r="D1834">
        <v>2492.1999999999998</v>
      </c>
      <c r="E1834">
        <v>1.52E-2</v>
      </c>
      <c r="F1834">
        <v>7.2599999999999998E-2</v>
      </c>
    </row>
    <row r="1835" spans="1:6" x14ac:dyDescent="0.3">
      <c r="A1835" t="s">
        <v>1870</v>
      </c>
      <c r="B1835" t="s">
        <v>92</v>
      </c>
      <c r="C1835">
        <v>1920000</v>
      </c>
      <c r="D1835">
        <v>3919.3</v>
      </c>
      <c r="F1835">
        <v>9.3799999999999994E-2</v>
      </c>
    </row>
    <row r="1836" spans="1:6" x14ac:dyDescent="0.3">
      <c r="A1836" t="s">
        <v>1871</v>
      </c>
      <c r="B1836" t="s">
        <v>88</v>
      </c>
      <c r="C1836">
        <v>1850000</v>
      </c>
      <c r="D1836">
        <v>53393.9</v>
      </c>
      <c r="E1836">
        <v>2.98E-2</v>
      </c>
      <c r="F1836">
        <v>9.5100000000000004E-2</v>
      </c>
    </row>
    <row r="1837" spans="1:6" x14ac:dyDescent="0.3">
      <c r="A1837" t="s">
        <v>1872</v>
      </c>
      <c r="B1837" t="s">
        <v>26</v>
      </c>
      <c r="C1837">
        <v>2240000</v>
      </c>
      <c r="D1837">
        <v>89035.199999999997</v>
      </c>
      <c r="E1837">
        <v>7.9200000000000007E-2</v>
      </c>
      <c r="F1837">
        <v>9.3799999999999994E-2</v>
      </c>
    </row>
    <row r="1838" spans="1:6" x14ac:dyDescent="0.3">
      <c r="A1838" t="s">
        <v>1873</v>
      </c>
      <c r="B1838" t="s">
        <v>81</v>
      </c>
      <c r="C1838">
        <v>1810000</v>
      </c>
      <c r="D1838">
        <v>523993.7</v>
      </c>
      <c r="E1838">
        <v>2.4E-2</v>
      </c>
      <c r="F1838">
        <v>7.5899999999999995E-2</v>
      </c>
    </row>
    <row r="1839" spans="1:6" x14ac:dyDescent="0.3">
      <c r="A1839" t="s">
        <v>1874</v>
      </c>
      <c r="B1839" t="s">
        <v>92</v>
      </c>
      <c r="C1839">
        <v>1920000</v>
      </c>
      <c r="D1839">
        <v>71311.199999999997</v>
      </c>
      <c r="E1839">
        <v>3.1099999999999999E-2</v>
      </c>
      <c r="F1839">
        <v>7.5899999999999995E-2</v>
      </c>
    </row>
    <row r="1840" spans="1:6" x14ac:dyDescent="0.3">
      <c r="A1840" t="s">
        <v>1875</v>
      </c>
      <c r="B1840" t="s">
        <v>74</v>
      </c>
      <c r="C1840">
        <v>2120000</v>
      </c>
      <c r="D1840">
        <v>6611</v>
      </c>
      <c r="E1840">
        <v>3.8800000000000001E-2</v>
      </c>
      <c r="F1840">
        <v>9.3799999999999994E-2</v>
      </c>
    </row>
    <row r="1841" spans="1:6" x14ac:dyDescent="0.3">
      <c r="A1841" t="s">
        <v>1876</v>
      </c>
      <c r="B1841" t="s">
        <v>88</v>
      </c>
      <c r="C1841">
        <v>1660000</v>
      </c>
      <c r="D1841">
        <v>436.4</v>
      </c>
      <c r="E1841">
        <v>2.8400000000000002E-2</v>
      </c>
      <c r="F1841">
        <v>9.5100000000000004E-2</v>
      </c>
    </row>
    <row r="1842" spans="1:6" x14ac:dyDescent="0.3">
      <c r="A1842" t="s">
        <v>1877</v>
      </c>
      <c r="B1842" t="s">
        <v>24</v>
      </c>
      <c r="C1842">
        <v>1850000</v>
      </c>
      <c r="D1842">
        <v>95154.4</v>
      </c>
      <c r="E1842">
        <v>4.8999999999999998E-3</v>
      </c>
      <c r="F1842">
        <v>6.54E-2</v>
      </c>
    </row>
    <row r="1843" spans="1:6" x14ac:dyDescent="0.3">
      <c r="A1843" t="s">
        <v>1878</v>
      </c>
      <c r="B1843" t="s">
        <v>26</v>
      </c>
      <c r="C1843">
        <v>1690000</v>
      </c>
      <c r="D1843">
        <v>8546.7000000000007</v>
      </c>
      <c r="E1843">
        <v>7.4000000000000003E-3</v>
      </c>
      <c r="F1843">
        <v>0.1013</v>
      </c>
    </row>
    <row r="1844" spans="1:6" x14ac:dyDescent="0.3">
      <c r="A1844" t="s">
        <v>1879</v>
      </c>
      <c r="B1844" t="s">
        <v>24</v>
      </c>
      <c r="C1844">
        <v>2110000</v>
      </c>
      <c r="D1844">
        <v>1366.8</v>
      </c>
      <c r="E1844">
        <v>9.11E-2</v>
      </c>
      <c r="F1844">
        <v>9.3799999999999994E-2</v>
      </c>
    </row>
    <row r="1845" spans="1:6" x14ac:dyDescent="0.3">
      <c r="A1845" t="s">
        <v>1880</v>
      </c>
      <c r="B1845" t="s">
        <v>26</v>
      </c>
      <c r="C1845">
        <v>1870000</v>
      </c>
      <c r="D1845">
        <v>423861.2</v>
      </c>
      <c r="E1845">
        <v>2.3800000000000002E-2</v>
      </c>
      <c r="F1845">
        <v>9.5100000000000004E-2</v>
      </c>
    </row>
    <row r="1846" spans="1:6" x14ac:dyDescent="0.3">
      <c r="A1846" t="s">
        <v>1881</v>
      </c>
      <c r="B1846" t="s">
        <v>71</v>
      </c>
      <c r="C1846">
        <v>1920000</v>
      </c>
      <c r="D1846">
        <v>36462.5</v>
      </c>
      <c r="E1846">
        <v>3.8300000000000001E-2</v>
      </c>
      <c r="F1846">
        <v>4.0899999999999999E-2</v>
      </c>
    </row>
    <row r="1847" spans="1:6" x14ac:dyDescent="0.3">
      <c r="A1847" t="s">
        <v>1882</v>
      </c>
      <c r="B1847" t="s">
        <v>41</v>
      </c>
      <c r="C1847">
        <v>3900000</v>
      </c>
      <c r="D1847">
        <v>693.5</v>
      </c>
      <c r="E1847">
        <v>1.29E-2</v>
      </c>
      <c r="F1847">
        <v>0.22670000000000001</v>
      </c>
    </row>
    <row r="1848" spans="1:6" x14ac:dyDescent="0.3">
      <c r="A1848" t="s">
        <v>1883</v>
      </c>
      <c r="B1848" t="s">
        <v>26</v>
      </c>
      <c r="C1848">
        <v>1640000</v>
      </c>
      <c r="D1848">
        <v>5061.5</v>
      </c>
      <c r="E1848">
        <v>6.7999999999999996E-3</v>
      </c>
      <c r="F1848">
        <v>0.14710000000000001</v>
      </c>
    </row>
    <row r="1849" spans="1:6" x14ac:dyDescent="0.3">
      <c r="A1849" t="s">
        <v>1884</v>
      </c>
      <c r="B1849" t="s">
        <v>74</v>
      </c>
      <c r="C1849">
        <v>2050000</v>
      </c>
      <c r="D1849">
        <v>11379.5</v>
      </c>
      <c r="E1849">
        <v>1.7000000000000001E-2</v>
      </c>
      <c r="F1849">
        <v>8.2100000000000006E-2</v>
      </c>
    </row>
    <row r="1850" spans="1:6" x14ac:dyDescent="0.3">
      <c r="A1850" t="s">
        <v>1885</v>
      </c>
      <c r="B1850" t="s">
        <v>71</v>
      </c>
      <c r="C1850">
        <v>1650000</v>
      </c>
      <c r="D1850">
        <v>1963.9</v>
      </c>
      <c r="E1850">
        <v>2.7400000000000001E-2</v>
      </c>
      <c r="F1850">
        <v>9.3799999999999994E-2</v>
      </c>
    </row>
    <row r="1851" spans="1:6" x14ac:dyDescent="0.3">
      <c r="A1851" t="s">
        <v>1886</v>
      </c>
      <c r="B1851" t="s">
        <v>24</v>
      </c>
      <c r="C1851">
        <v>1930000</v>
      </c>
      <c r="D1851">
        <v>579.29999999999995</v>
      </c>
      <c r="E1851">
        <v>2.86E-2</v>
      </c>
      <c r="F1851">
        <v>0.11700000000000001</v>
      </c>
    </row>
    <row r="1852" spans="1:6" x14ac:dyDescent="0.3">
      <c r="A1852" t="s">
        <v>1887</v>
      </c>
      <c r="B1852" t="s">
        <v>195</v>
      </c>
      <c r="C1852">
        <v>1810000</v>
      </c>
      <c r="D1852">
        <v>32913.4</v>
      </c>
      <c r="E1852">
        <v>3.0599999999999999E-2</v>
      </c>
      <c r="F1852">
        <v>5.0999999999999997E-2</v>
      </c>
    </row>
    <row r="1853" spans="1:6" x14ac:dyDescent="0.3">
      <c r="A1853" t="s">
        <v>1888</v>
      </c>
      <c r="B1853" t="s">
        <v>21</v>
      </c>
      <c r="C1853">
        <v>1780000</v>
      </c>
      <c r="D1853">
        <v>8619</v>
      </c>
      <c r="E1853">
        <v>3.8800000000000001E-2</v>
      </c>
      <c r="F1853">
        <v>9.3799999999999994E-2</v>
      </c>
    </row>
    <row r="1854" spans="1:6" x14ac:dyDescent="0.3">
      <c r="A1854" t="s">
        <v>1889</v>
      </c>
      <c r="B1854" t="s">
        <v>24</v>
      </c>
      <c r="C1854">
        <v>2210000</v>
      </c>
      <c r="D1854">
        <v>6360.8</v>
      </c>
      <c r="E1854">
        <v>4.7999999999999996E-3</v>
      </c>
      <c r="F1854">
        <v>8.1100000000000005E-2</v>
      </c>
    </row>
    <row r="1855" spans="1:6" x14ac:dyDescent="0.3">
      <c r="A1855" t="s">
        <v>1890</v>
      </c>
      <c r="B1855" t="s">
        <v>41</v>
      </c>
      <c r="C1855">
        <v>2000000</v>
      </c>
      <c r="D1855">
        <v>159715.1</v>
      </c>
      <c r="E1855">
        <v>3.6600000000000001E-2</v>
      </c>
      <c r="F1855">
        <v>7.5899999999999995E-2</v>
      </c>
    </row>
    <row r="1856" spans="1:6" x14ac:dyDescent="0.3">
      <c r="A1856" t="s">
        <v>1891</v>
      </c>
      <c r="B1856" t="s">
        <v>26</v>
      </c>
      <c r="C1856">
        <v>3310000</v>
      </c>
      <c r="D1856">
        <v>4009086</v>
      </c>
      <c r="E1856">
        <v>1.46E-2</v>
      </c>
      <c r="F1856">
        <v>4.6199999999999998E-2</v>
      </c>
    </row>
    <row r="1857" spans="1:6" x14ac:dyDescent="0.3">
      <c r="A1857" t="s">
        <v>1892</v>
      </c>
      <c r="B1857" t="s">
        <v>92</v>
      </c>
      <c r="C1857">
        <v>1790000</v>
      </c>
      <c r="D1857">
        <v>48475.3</v>
      </c>
      <c r="E1857">
        <v>3.78E-2</v>
      </c>
      <c r="F1857">
        <v>7.5899999999999995E-2</v>
      </c>
    </row>
    <row r="1858" spans="1:6" x14ac:dyDescent="0.3">
      <c r="A1858" t="s">
        <v>1893</v>
      </c>
      <c r="B1858" t="s">
        <v>21</v>
      </c>
      <c r="C1858">
        <v>1980000</v>
      </c>
      <c r="D1858">
        <v>9006.5</v>
      </c>
      <c r="E1858">
        <v>6.3899999999999998E-2</v>
      </c>
      <c r="F1858">
        <v>5.0999999999999997E-2</v>
      </c>
    </row>
    <row r="1859" spans="1:6" x14ac:dyDescent="0.3">
      <c r="A1859" t="s">
        <v>1894</v>
      </c>
      <c r="B1859" t="s">
        <v>32</v>
      </c>
      <c r="C1859">
        <v>1930000</v>
      </c>
      <c r="D1859">
        <v>183079.7</v>
      </c>
      <c r="E1859">
        <v>2.64E-2</v>
      </c>
      <c r="F1859">
        <v>0.1226</v>
      </c>
    </row>
    <row r="1860" spans="1:6" x14ac:dyDescent="0.3">
      <c r="A1860" t="s">
        <v>1895</v>
      </c>
      <c r="B1860" t="s">
        <v>26</v>
      </c>
      <c r="C1860">
        <v>1830000</v>
      </c>
      <c r="D1860">
        <v>51084.4</v>
      </c>
      <c r="E1860">
        <v>4.5199999999999997E-2</v>
      </c>
      <c r="F1860">
        <v>9.5100000000000004E-2</v>
      </c>
    </row>
    <row r="1861" spans="1:6" x14ac:dyDescent="0.3">
      <c r="A1861" t="s">
        <v>1896</v>
      </c>
      <c r="B1861" t="s">
        <v>21</v>
      </c>
      <c r="C1861">
        <v>1960000</v>
      </c>
      <c r="D1861">
        <v>43610.1</v>
      </c>
      <c r="E1861">
        <v>5.4000000000000003E-3</v>
      </c>
      <c r="F1861">
        <v>8.1100000000000005E-2</v>
      </c>
    </row>
    <row r="1862" spans="1:6" x14ac:dyDescent="0.3">
      <c r="A1862" t="s">
        <v>1897</v>
      </c>
      <c r="B1862" t="s">
        <v>26</v>
      </c>
      <c r="C1862">
        <v>2650000</v>
      </c>
      <c r="D1862">
        <v>514262.2</v>
      </c>
      <c r="E1862">
        <v>1.0200000000000001E-2</v>
      </c>
      <c r="F1862">
        <v>8.6599999999999996E-2</v>
      </c>
    </row>
    <row r="1863" spans="1:6" x14ac:dyDescent="0.3">
      <c r="A1863" t="s">
        <v>1898</v>
      </c>
      <c r="B1863" t="s">
        <v>88</v>
      </c>
      <c r="C1863">
        <v>1800000</v>
      </c>
      <c r="D1863">
        <v>495.9</v>
      </c>
      <c r="E1863">
        <v>2.92E-2</v>
      </c>
      <c r="F1863">
        <v>9.3799999999999994E-2</v>
      </c>
    </row>
    <row r="1864" spans="1:6" x14ac:dyDescent="0.3">
      <c r="A1864" t="s">
        <v>1899</v>
      </c>
      <c r="B1864" t="s">
        <v>490</v>
      </c>
      <c r="C1864">
        <v>1690000</v>
      </c>
      <c r="D1864">
        <v>2292.1</v>
      </c>
      <c r="E1864">
        <v>8.2000000000000007E-3</v>
      </c>
      <c r="F1864">
        <v>0.1187</v>
      </c>
    </row>
    <row r="1865" spans="1:6" x14ac:dyDescent="0.3">
      <c r="A1865" t="s">
        <v>1900</v>
      </c>
      <c r="B1865" t="s">
        <v>81</v>
      </c>
      <c r="C1865">
        <v>2860000</v>
      </c>
      <c r="D1865">
        <v>355256.8</v>
      </c>
      <c r="E1865">
        <v>2.3400000000000001E-2</v>
      </c>
      <c r="F1865">
        <v>4.3200000000000002E-2</v>
      </c>
    </row>
    <row r="1866" spans="1:6" x14ac:dyDescent="0.3">
      <c r="A1866" t="s">
        <v>1901</v>
      </c>
      <c r="B1866" t="s">
        <v>26</v>
      </c>
      <c r="C1866">
        <v>2640000</v>
      </c>
      <c r="D1866">
        <v>115922</v>
      </c>
      <c r="E1866">
        <v>1.6299999999999999E-2</v>
      </c>
      <c r="F1866">
        <v>5.8500000000000003E-2</v>
      </c>
    </row>
    <row r="1867" spans="1:6" x14ac:dyDescent="0.3">
      <c r="A1867" t="s">
        <v>1902</v>
      </c>
      <c r="B1867" t="s">
        <v>32</v>
      </c>
      <c r="C1867">
        <v>1660000</v>
      </c>
      <c r="D1867">
        <v>1668929.6</v>
      </c>
      <c r="E1867">
        <v>2.46E-2</v>
      </c>
      <c r="F1867">
        <v>7.3499999999999996E-2</v>
      </c>
    </row>
    <row r="1868" spans="1:6" x14ac:dyDescent="0.3">
      <c r="A1868" t="s">
        <v>1903</v>
      </c>
      <c r="B1868" t="s">
        <v>35</v>
      </c>
      <c r="C1868">
        <v>2260000</v>
      </c>
      <c r="D1868">
        <v>600263.69999999995</v>
      </c>
      <c r="E1868">
        <v>3.2899999999999999E-2</v>
      </c>
      <c r="F1868">
        <v>4.0899999999999999E-2</v>
      </c>
    </row>
    <row r="1869" spans="1:6" x14ac:dyDescent="0.3">
      <c r="A1869" t="s">
        <v>1904</v>
      </c>
      <c r="B1869" t="s">
        <v>21</v>
      </c>
      <c r="C1869">
        <v>5150000</v>
      </c>
      <c r="D1869">
        <v>406157.4</v>
      </c>
      <c r="E1869">
        <v>0.1178</v>
      </c>
      <c r="F1869">
        <v>7.5899999999999995E-2</v>
      </c>
    </row>
    <row r="1870" spans="1:6" x14ac:dyDescent="0.3">
      <c r="A1870" t="s">
        <v>1905</v>
      </c>
      <c r="B1870" t="s">
        <v>21</v>
      </c>
      <c r="C1870">
        <v>1650000</v>
      </c>
      <c r="D1870">
        <v>3748742.6</v>
      </c>
      <c r="E1870">
        <v>4.6300000000000001E-2</v>
      </c>
      <c r="F1870">
        <v>9.5100000000000004E-2</v>
      </c>
    </row>
    <row r="1871" spans="1:6" x14ac:dyDescent="0.3">
      <c r="A1871" t="s">
        <v>1906</v>
      </c>
      <c r="B1871" t="s">
        <v>92</v>
      </c>
      <c r="C1871">
        <v>1710000</v>
      </c>
      <c r="D1871">
        <v>7507.6</v>
      </c>
      <c r="E1871">
        <v>3.7499999999999999E-2</v>
      </c>
      <c r="F1871">
        <v>9.3799999999999994E-2</v>
      </c>
    </row>
    <row r="1872" spans="1:6" x14ac:dyDescent="0.3">
      <c r="A1872" t="s">
        <v>1907</v>
      </c>
      <c r="B1872" t="s">
        <v>71</v>
      </c>
      <c r="C1872">
        <v>1570000</v>
      </c>
      <c r="D1872">
        <v>4215.2</v>
      </c>
      <c r="E1872">
        <v>1.7600000000000001E-2</v>
      </c>
      <c r="F1872">
        <v>0.1067</v>
      </c>
    </row>
    <row r="1873" spans="1:6" x14ac:dyDescent="0.3">
      <c r="A1873" t="s">
        <v>1908</v>
      </c>
      <c r="B1873" t="s">
        <v>53</v>
      </c>
      <c r="C1873">
        <v>1750000</v>
      </c>
      <c r="D1873">
        <v>636926.80000000005</v>
      </c>
      <c r="E1873">
        <v>2.7699999999999999E-2</v>
      </c>
      <c r="F1873">
        <v>8.4500000000000006E-2</v>
      </c>
    </row>
    <row r="1874" spans="1:6" x14ac:dyDescent="0.3">
      <c r="A1874" t="s">
        <v>1909</v>
      </c>
      <c r="B1874" t="s">
        <v>214</v>
      </c>
      <c r="C1874">
        <v>3140000</v>
      </c>
      <c r="D1874">
        <v>363996.8</v>
      </c>
      <c r="E1874">
        <v>9.1000000000000004E-3</v>
      </c>
      <c r="F1874">
        <v>0.13150000000000001</v>
      </c>
    </row>
    <row r="1875" spans="1:6" x14ac:dyDescent="0.3">
      <c r="A1875" t="s">
        <v>1910</v>
      </c>
      <c r="B1875" t="s">
        <v>41</v>
      </c>
      <c r="C1875">
        <v>1620000</v>
      </c>
      <c r="D1875">
        <v>4162.8</v>
      </c>
      <c r="E1875">
        <v>4.6699999999999998E-2</v>
      </c>
      <c r="F1875">
        <v>7.5899999999999995E-2</v>
      </c>
    </row>
    <row r="1876" spans="1:6" x14ac:dyDescent="0.3">
      <c r="A1876" t="s">
        <v>1911</v>
      </c>
      <c r="B1876" t="s">
        <v>88</v>
      </c>
      <c r="C1876">
        <v>1810000</v>
      </c>
      <c r="D1876">
        <v>196.5</v>
      </c>
      <c r="E1876">
        <v>2.4299999999999999E-2</v>
      </c>
      <c r="F1876">
        <v>5.0999999999999997E-2</v>
      </c>
    </row>
    <row r="1877" spans="1:6" x14ac:dyDescent="0.3">
      <c r="A1877" t="s">
        <v>1912</v>
      </c>
      <c r="B1877" t="s">
        <v>26</v>
      </c>
      <c r="C1877">
        <v>3650000</v>
      </c>
      <c r="D1877">
        <v>400857.4</v>
      </c>
      <c r="E1877">
        <v>2.1700000000000001E-2</v>
      </c>
      <c r="F1877">
        <v>7.5899999999999995E-2</v>
      </c>
    </row>
    <row r="1878" spans="1:6" x14ac:dyDescent="0.3">
      <c r="A1878" t="s">
        <v>1913</v>
      </c>
      <c r="B1878" t="s">
        <v>62</v>
      </c>
      <c r="C1878">
        <v>2180000</v>
      </c>
      <c r="D1878">
        <v>384136.1</v>
      </c>
      <c r="E1878">
        <v>5.57E-2</v>
      </c>
      <c r="F1878">
        <v>7.5899999999999995E-2</v>
      </c>
    </row>
    <row r="1879" spans="1:6" x14ac:dyDescent="0.3">
      <c r="A1879" t="s">
        <v>1914</v>
      </c>
      <c r="B1879" t="s">
        <v>53</v>
      </c>
      <c r="C1879">
        <v>2330000</v>
      </c>
      <c r="D1879">
        <v>129965</v>
      </c>
      <c r="E1879">
        <v>3.8899999999999997E-2</v>
      </c>
      <c r="F1879">
        <v>4.0899999999999999E-2</v>
      </c>
    </row>
    <row r="1880" spans="1:6" x14ac:dyDescent="0.3">
      <c r="A1880" t="s">
        <v>1915</v>
      </c>
      <c r="B1880" t="s">
        <v>24</v>
      </c>
      <c r="C1880">
        <v>1920000</v>
      </c>
      <c r="D1880">
        <v>2926.3</v>
      </c>
      <c r="E1880">
        <v>2.76E-2</v>
      </c>
      <c r="F1880">
        <v>7.2499999999999995E-2</v>
      </c>
    </row>
    <row r="1881" spans="1:6" x14ac:dyDescent="0.3">
      <c r="A1881" t="s">
        <v>1916</v>
      </c>
      <c r="B1881" t="s">
        <v>26</v>
      </c>
      <c r="C1881">
        <v>1750000</v>
      </c>
      <c r="D1881">
        <v>10012</v>
      </c>
      <c r="E1881">
        <v>7.5899999999999995E-2</v>
      </c>
      <c r="F1881">
        <v>7.5899999999999995E-2</v>
      </c>
    </row>
    <row r="1882" spans="1:6" x14ac:dyDescent="0.3">
      <c r="A1882" t="s">
        <v>1917</v>
      </c>
      <c r="B1882" t="s">
        <v>41</v>
      </c>
      <c r="C1882">
        <v>2830000</v>
      </c>
      <c r="D1882">
        <v>346.7</v>
      </c>
      <c r="E1882">
        <v>0.188</v>
      </c>
      <c r="F1882">
        <v>9.3799999999999994E-2</v>
      </c>
    </row>
    <row r="1883" spans="1:6" x14ac:dyDescent="0.3">
      <c r="A1883" t="s">
        <v>1918</v>
      </c>
      <c r="B1883" t="s">
        <v>214</v>
      </c>
      <c r="C1883">
        <v>2790000</v>
      </c>
      <c r="D1883">
        <v>2221521.2999999998</v>
      </c>
      <c r="E1883">
        <v>2.4500000000000001E-2</v>
      </c>
      <c r="F1883">
        <v>5.1799999999999999E-2</v>
      </c>
    </row>
    <row r="1884" spans="1:6" x14ac:dyDescent="0.3">
      <c r="A1884" t="s">
        <v>1919</v>
      </c>
      <c r="B1884" t="s">
        <v>41</v>
      </c>
      <c r="C1884">
        <v>2800000</v>
      </c>
      <c r="D1884">
        <v>764.4</v>
      </c>
      <c r="E1884">
        <v>3.61E-2</v>
      </c>
      <c r="F1884">
        <v>0.1226</v>
      </c>
    </row>
    <row r="1885" spans="1:6" x14ac:dyDescent="0.3">
      <c r="A1885" t="s">
        <v>1920</v>
      </c>
      <c r="B1885" t="s">
        <v>214</v>
      </c>
      <c r="C1885">
        <v>1500000</v>
      </c>
      <c r="D1885">
        <v>66831.899999999994</v>
      </c>
      <c r="E1885">
        <v>4.5699999999999998E-2</v>
      </c>
      <c r="F1885">
        <v>5.1799999999999999E-2</v>
      </c>
    </row>
    <row r="1886" spans="1:6" x14ac:dyDescent="0.3">
      <c r="A1886" t="s">
        <v>1921</v>
      </c>
      <c r="B1886" t="s">
        <v>88</v>
      </c>
      <c r="C1886">
        <v>1670000</v>
      </c>
      <c r="D1886">
        <v>3607.2</v>
      </c>
      <c r="E1886">
        <v>5.6899999999999999E-2</v>
      </c>
      <c r="F1886">
        <v>9.3799999999999994E-2</v>
      </c>
    </row>
    <row r="1887" spans="1:6" x14ac:dyDescent="0.3">
      <c r="A1887" t="s">
        <v>1922</v>
      </c>
      <c r="B1887" t="s">
        <v>41</v>
      </c>
      <c r="C1887">
        <v>1950000</v>
      </c>
      <c r="D1887">
        <v>2831.9</v>
      </c>
      <c r="E1887">
        <v>1.9199999999999998E-2</v>
      </c>
      <c r="F1887">
        <v>0.57140000000000002</v>
      </c>
    </row>
    <row r="1888" spans="1:6" x14ac:dyDescent="0.3">
      <c r="A1888" t="s">
        <v>1923</v>
      </c>
      <c r="B1888" t="s">
        <v>26</v>
      </c>
      <c r="C1888">
        <v>1750000</v>
      </c>
      <c r="D1888">
        <v>2852.7</v>
      </c>
      <c r="E1888">
        <v>1.9599999999999999E-2</v>
      </c>
      <c r="F1888">
        <v>0.1053</v>
      </c>
    </row>
    <row r="1889" spans="1:6" x14ac:dyDescent="0.3">
      <c r="A1889" t="s">
        <v>1924</v>
      </c>
      <c r="B1889" t="s">
        <v>287</v>
      </c>
      <c r="C1889">
        <v>3140000</v>
      </c>
      <c r="D1889">
        <v>13043.6</v>
      </c>
      <c r="E1889">
        <v>2.1499999999999998E-2</v>
      </c>
      <c r="F1889">
        <v>4.6199999999999998E-2</v>
      </c>
    </row>
    <row r="1890" spans="1:6" x14ac:dyDescent="0.3">
      <c r="A1890" t="s">
        <v>1925</v>
      </c>
      <c r="B1890" t="s">
        <v>53</v>
      </c>
      <c r="C1890">
        <v>1930000</v>
      </c>
      <c r="D1890">
        <v>19080.5</v>
      </c>
      <c r="E1890">
        <v>6.3200000000000006E-2</v>
      </c>
      <c r="F1890">
        <v>0.53090000000000004</v>
      </c>
    </row>
    <row r="1891" spans="1:6" x14ac:dyDescent="0.3">
      <c r="A1891" t="s">
        <v>1926</v>
      </c>
      <c r="B1891" t="s">
        <v>26</v>
      </c>
      <c r="C1891">
        <v>2010000</v>
      </c>
      <c r="D1891">
        <v>85108.5</v>
      </c>
      <c r="E1891">
        <v>4.48E-2</v>
      </c>
      <c r="F1891">
        <v>0.1057</v>
      </c>
    </row>
    <row r="1892" spans="1:6" x14ac:dyDescent="0.3">
      <c r="A1892" t="s">
        <v>1927</v>
      </c>
      <c r="B1892" t="s">
        <v>26</v>
      </c>
      <c r="C1892">
        <v>1670000</v>
      </c>
      <c r="D1892">
        <v>3548.7</v>
      </c>
      <c r="E1892">
        <v>4.4999999999999998E-2</v>
      </c>
      <c r="F1892">
        <v>9.5100000000000004E-2</v>
      </c>
    </row>
    <row r="1893" spans="1:6" x14ac:dyDescent="0.3">
      <c r="A1893" t="s">
        <v>1928</v>
      </c>
      <c r="B1893" t="s">
        <v>41</v>
      </c>
      <c r="C1893">
        <v>157000</v>
      </c>
      <c r="D1893">
        <v>283.39999999999998</v>
      </c>
      <c r="E1893">
        <v>8.8999999999999999E-3</v>
      </c>
      <c r="F1893">
        <v>0.40260000000000001</v>
      </c>
    </row>
    <row r="1894" spans="1:6" x14ac:dyDescent="0.3">
      <c r="A1894" t="s">
        <v>1929</v>
      </c>
      <c r="B1894" t="s">
        <v>26</v>
      </c>
      <c r="C1894">
        <v>1850000</v>
      </c>
      <c r="D1894">
        <v>12557.4</v>
      </c>
      <c r="E1894">
        <v>3.5400000000000001E-2</v>
      </c>
      <c r="F1894">
        <v>7.5899999999999995E-2</v>
      </c>
    </row>
    <row r="1895" spans="1:6" x14ac:dyDescent="0.3">
      <c r="A1895" t="s">
        <v>1930</v>
      </c>
      <c r="B1895" t="s">
        <v>92</v>
      </c>
      <c r="C1895">
        <v>2370000</v>
      </c>
      <c r="D1895">
        <v>575725.19999999995</v>
      </c>
      <c r="E1895">
        <v>2.93E-2</v>
      </c>
      <c r="F1895">
        <v>4.0899999999999999E-2</v>
      </c>
    </row>
    <row r="1896" spans="1:6" x14ac:dyDescent="0.3">
      <c r="A1896" t="s">
        <v>1931</v>
      </c>
      <c r="B1896" t="s">
        <v>24</v>
      </c>
      <c r="C1896">
        <v>1740000</v>
      </c>
      <c r="D1896">
        <v>4864.8</v>
      </c>
      <c r="F1896">
        <v>7.5899999999999995E-2</v>
      </c>
    </row>
    <row r="1897" spans="1:6" x14ac:dyDescent="0.3">
      <c r="A1897" t="s">
        <v>1932</v>
      </c>
      <c r="B1897" t="s">
        <v>26</v>
      </c>
      <c r="C1897">
        <v>2030000</v>
      </c>
      <c r="D1897">
        <v>359392.5</v>
      </c>
      <c r="E1897">
        <v>1.9699999999999999E-2</v>
      </c>
      <c r="F1897">
        <v>0.1067</v>
      </c>
    </row>
    <row r="1898" spans="1:6" x14ac:dyDescent="0.3">
      <c r="A1898" t="s">
        <v>1933</v>
      </c>
      <c r="B1898" t="s">
        <v>26</v>
      </c>
      <c r="C1898">
        <v>1610000</v>
      </c>
      <c r="D1898">
        <v>8634.2000000000007</v>
      </c>
      <c r="E1898">
        <v>8.1000000000000003E-2</v>
      </c>
      <c r="F1898">
        <v>9.5100000000000004E-2</v>
      </c>
    </row>
    <row r="1899" spans="1:6" x14ac:dyDescent="0.3">
      <c r="A1899" t="s">
        <v>1934</v>
      </c>
      <c r="B1899" t="s">
        <v>88</v>
      </c>
      <c r="C1899">
        <v>1910000</v>
      </c>
      <c r="D1899">
        <v>3842.9</v>
      </c>
      <c r="E1899">
        <v>4.6899999999999997E-2</v>
      </c>
      <c r="F1899">
        <v>9.3799999999999994E-2</v>
      </c>
    </row>
    <row r="1900" spans="1:6" x14ac:dyDescent="0.3">
      <c r="A1900" t="s">
        <v>1935</v>
      </c>
      <c r="B1900" t="s">
        <v>88</v>
      </c>
      <c r="C1900">
        <v>3280000</v>
      </c>
      <c r="D1900">
        <v>395406.2</v>
      </c>
      <c r="E1900">
        <v>4.1099999999999998E-2</v>
      </c>
      <c r="F1900">
        <v>5.3800000000000001E-2</v>
      </c>
    </row>
    <row r="1901" spans="1:6" x14ac:dyDescent="0.3">
      <c r="A1901" t="s">
        <v>1936</v>
      </c>
      <c r="B1901" t="s">
        <v>88</v>
      </c>
      <c r="C1901">
        <v>1950000</v>
      </c>
      <c r="D1901">
        <v>787.6</v>
      </c>
      <c r="E1901">
        <v>8.3999999999999995E-3</v>
      </c>
      <c r="F1901">
        <v>6.54E-2</v>
      </c>
    </row>
    <row r="1902" spans="1:6" x14ac:dyDescent="0.3">
      <c r="A1902" t="s">
        <v>1937</v>
      </c>
      <c r="B1902" t="s">
        <v>30</v>
      </c>
      <c r="C1902">
        <v>3000000</v>
      </c>
      <c r="D1902">
        <v>48326.7</v>
      </c>
      <c r="E1902">
        <v>6.88E-2</v>
      </c>
      <c r="F1902">
        <v>5.0999999999999997E-2</v>
      </c>
    </row>
    <row r="1903" spans="1:6" x14ac:dyDescent="0.3">
      <c r="A1903" t="s">
        <v>1938</v>
      </c>
      <c r="B1903" t="s">
        <v>41</v>
      </c>
      <c r="C1903">
        <v>3090000</v>
      </c>
      <c r="D1903">
        <v>1110457.7</v>
      </c>
      <c r="E1903">
        <v>6.1100000000000002E-2</v>
      </c>
      <c r="F1903">
        <v>9.3799999999999994E-2</v>
      </c>
    </row>
    <row r="1904" spans="1:6" x14ac:dyDescent="0.3">
      <c r="A1904" t="s">
        <v>1939</v>
      </c>
      <c r="B1904" t="s">
        <v>88</v>
      </c>
      <c r="C1904">
        <v>1830000</v>
      </c>
      <c r="D1904">
        <v>3129.8</v>
      </c>
      <c r="E1904">
        <v>3.1600000000000003E-2</v>
      </c>
      <c r="F1904">
        <v>9.3799999999999994E-2</v>
      </c>
    </row>
    <row r="1905" spans="1:6" x14ac:dyDescent="0.3">
      <c r="A1905" t="s">
        <v>1940</v>
      </c>
      <c r="B1905" t="s">
        <v>26</v>
      </c>
      <c r="C1905">
        <v>1640000</v>
      </c>
      <c r="D1905">
        <v>9823</v>
      </c>
      <c r="E1905">
        <v>4.2299999999999997E-2</v>
      </c>
      <c r="F1905">
        <v>7.5899999999999995E-2</v>
      </c>
    </row>
    <row r="1906" spans="1:6" x14ac:dyDescent="0.3">
      <c r="A1906" t="s">
        <v>1941</v>
      </c>
      <c r="B1906" t="s">
        <v>88</v>
      </c>
      <c r="C1906">
        <v>7830000</v>
      </c>
      <c r="D1906">
        <v>789296.2</v>
      </c>
      <c r="E1906">
        <v>5.5399999999999998E-2</v>
      </c>
      <c r="F1906">
        <v>9.5100000000000004E-2</v>
      </c>
    </row>
    <row r="1907" spans="1:6" x14ac:dyDescent="0.3">
      <c r="A1907" t="s">
        <v>1942</v>
      </c>
      <c r="B1907" t="s">
        <v>26</v>
      </c>
      <c r="C1907">
        <v>1780000</v>
      </c>
      <c r="D1907">
        <v>25162.1</v>
      </c>
      <c r="E1907">
        <v>5.1000000000000004E-3</v>
      </c>
      <c r="F1907">
        <v>6.54E-2</v>
      </c>
    </row>
    <row r="1908" spans="1:6" x14ac:dyDescent="0.3">
      <c r="A1908" t="s">
        <v>1943</v>
      </c>
      <c r="B1908" t="s">
        <v>41</v>
      </c>
      <c r="C1908">
        <v>1620000</v>
      </c>
      <c r="D1908">
        <v>4786.3</v>
      </c>
      <c r="E1908">
        <v>1.9300000000000001E-2</v>
      </c>
      <c r="F1908">
        <v>0.1168</v>
      </c>
    </row>
    <row r="1909" spans="1:6" x14ac:dyDescent="0.3">
      <c r="A1909" t="s">
        <v>1944</v>
      </c>
      <c r="B1909" t="s">
        <v>88</v>
      </c>
      <c r="C1909">
        <v>2060000</v>
      </c>
      <c r="D1909">
        <v>1442.9</v>
      </c>
      <c r="E1909">
        <v>7.0599999999999996E-2</v>
      </c>
      <c r="F1909">
        <v>9.3799999999999994E-2</v>
      </c>
    </row>
    <row r="1910" spans="1:6" x14ac:dyDescent="0.3">
      <c r="A1910" t="s">
        <v>1945</v>
      </c>
      <c r="B1910" t="s">
        <v>26</v>
      </c>
      <c r="C1910">
        <v>1680000</v>
      </c>
      <c r="D1910">
        <v>420896.5</v>
      </c>
      <c r="E1910">
        <v>3.6700000000000003E-2</v>
      </c>
      <c r="F1910">
        <v>4.0899999999999999E-2</v>
      </c>
    </row>
    <row r="1911" spans="1:6" x14ac:dyDescent="0.3">
      <c r="A1911" t="s">
        <v>1946</v>
      </c>
      <c r="B1911" t="s">
        <v>92</v>
      </c>
      <c r="C1911">
        <v>2550000</v>
      </c>
      <c r="D1911">
        <v>120482.8</v>
      </c>
      <c r="E1911">
        <v>2.1000000000000001E-2</v>
      </c>
      <c r="F1911">
        <v>7.5899999999999995E-2</v>
      </c>
    </row>
    <row r="1912" spans="1:6" x14ac:dyDescent="0.3">
      <c r="A1912" t="s">
        <v>1947</v>
      </c>
      <c r="B1912" t="s">
        <v>26</v>
      </c>
      <c r="C1912">
        <v>2360000</v>
      </c>
      <c r="D1912">
        <v>61167.3</v>
      </c>
      <c r="E1912">
        <v>4.6399999999999997E-2</v>
      </c>
      <c r="F1912">
        <v>9.3799999999999994E-2</v>
      </c>
    </row>
    <row r="1913" spans="1:6" x14ac:dyDescent="0.3">
      <c r="A1913" t="s">
        <v>1948</v>
      </c>
      <c r="B1913" t="s">
        <v>88</v>
      </c>
      <c r="C1913">
        <v>1870000</v>
      </c>
      <c r="D1913">
        <v>10315.700000000001</v>
      </c>
      <c r="E1913">
        <v>3.2099999999999997E-2</v>
      </c>
      <c r="F1913">
        <v>9.5100000000000004E-2</v>
      </c>
    </row>
    <row r="1914" spans="1:6" x14ac:dyDescent="0.3">
      <c r="A1914" t="s">
        <v>1949</v>
      </c>
      <c r="B1914" t="s">
        <v>26</v>
      </c>
      <c r="C1914">
        <v>1690000</v>
      </c>
      <c r="D1914">
        <v>7111.3</v>
      </c>
      <c r="E1914">
        <v>2.8400000000000002E-2</v>
      </c>
      <c r="F1914">
        <v>7.5899999999999995E-2</v>
      </c>
    </row>
    <row r="1915" spans="1:6" x14ac:dyDescent="0.3">
      <c r="A1915" t="s">
        <v>1950</v>
      </c>
      <c r="B1915" t="s">
        <v>41</v>
      </c>
      <c r="C1915">
        <v>2670000</v>
      </c>
      <c r="D1915">
        <v>12614.9</v>
      </c>
      <c r="E1915">
        <v>4.9599999999999998E-2</v>
      </c>
      <c r="F1915">
        <v>9.3799999999999994E-2</v>
      </c>
    </row>
    <row r="1916" spans="1:6" x14ac:dyDescent="0.3">
      <c r="A1916" t="s">
        <v>1951</v>
      </c>
      <c r="B1916" t="s">
        <v>24</v>
      </c>
      <c r="C1916">
        <v>1650000</v>
      </c>
      <c r="D1916">
        <v>263.39999999999998</v>
      </c>
      <c r="E1916">
        <v>7.1300000000000002E-2</v>
      </c>
      <c r="F1916">
        <v>4.0899999999999999E-2</v>
      </c>
    </row>
    <row r="1917" spans="1:6" x14ac:dyDescent="0.3">
      <c r="A1917" t="s">
        <v>1952</v>
      </c>
      <c r="B1917" t="s">
        <v>41</v>
      </c>
      <c r="C1917">
        <v>1820000</v>
      </c>
      <c r="D1917">
        <v>5240.3</v>
      </c>
      <c r="E1917">
        <v>7.9600000000000004E-2</v>
      </c>
      <c r="F1917">
        <v>0.12720000000000001</v>
      </c>
    </row>
    <row r="1918" spans="1:6" x14ac:dyDescent="0.3">
      <c r="A1918" t="s">
        <v>1953</v>
      </c>
      <c r="B1918" t="s">
        <v>287</v>
      </c>
      <c r="C1918">
        <v>1770000</v>
      </c>
      <c r="D1918">
        <v>1871.5</v>
      </c>
      <c r="E1918">
        <v>9.7999999999999997E-3</v>
      </c>
      <c r="F1918">
        <v>8.1100000000000005E-2</v>
      </c>
    </row>
    <row r="1919" spans="1:6" x14ac:dyDescent="0.3">
      <c r="A1919" t="s">
        <v>1954</v>
      </c>
      <c r="B1919" t="s">
        <v>24</v>
      </c>
      <c r="C1919">
        <v>1920000</v>
      </c>
      <c r="D1919">
        <v>4943.6000000000004</v>
      </c>
      <c r="E1919">
        <v>5.5999999999999999E-3</v>
      </c>
      <c r="F1919">
        <v>8.2199999999999995E-2</v>
      </c>
    </row>
    <row r="1920" spans="1:6" x14ac:dyDescent="0.3">
      <c r="A1920" t="s">
        <v>1955</v>
      </c>
      <c r="B1920" t="s">
        <v>24</v>
      </c>
      <c r="C1920">
        <v>2150000</v>
      </c>
      <c r="D1920">
        <v>696657.8</v>
      </c>
      <c r="E1920">
        <v>3.39E-2</v>
      </c>
      <c r="F1920">
        <v>4.0899999999999999E-2</v>
      </c>
    </row>
    <row r="1921" spans="1:6" x14ac:dyDescent="0.3">
      <c r="A1921" t="s">
        <v>1956</v>
      </c>
      <c r="B1921" t="s">
        <v>26</v>
      </c>
      <c r="C1921">
        <v>1580000</v>
      </c>
      <c r="D1921">
        <v>64891.1</v>
      </c>
      <c r="E1921">
        <v>4.3999999999999997E-2</v>
      </c>
      <c r="F1921">
        <v>7.5899999999999995E-2</v>
      </c>
    </row>
    <row r="1922" spans="1:6" x14ac:dyDescent="0.3">
      <c r="A1922" t="s">
        <v>1957</v>
      </c>
      <c r="B1922" t="s">
        <v>53</v>
      </c>
      <c r="C1922">
        <v>1680000</v>
      </c>
      <c r="D1922">
        <v>10095.700000000001</v>
      </c>
      <c r="E1922">
        <v>3.2300000000000002E-2</v>
      </c>
      <c r="F1922">
        <v>9.3799999999999994E-2</v>
      </c>
    </row>
    <row r="1923" spans="1:6" x14ac:dyDescent="0.3">
      <c r="A1923" t="s">
        <v>1958</v>
      </c>
      <c r="B1923" t="s">
        <v>26</v>
      </c>
      <c r="C1923">
        <v>1940000</v>
      </c>
      <c r="D1923">
        <v>631924.1</v>
      </c>
      <c r="E1923">
        <v>3.3000000000000002E-2</v>
      </c>
      <c r="F1923">
        <v>5.1799999999999999E-2</v>
      </c>
    </row>
    <row r="1924" spans="1:6" x14ac:dyDescent="0.3">
      <c r="A1924" t="s">
        <v>1959</v>
      </c>
      <c r="B1924" t="s">
        <v>88</v>
      </c>
      <c r="C1924">
        <v>2340000</v>
      </c>
      <c r="D1924">
        <v>6804</v>
      </c>
      <c r="E1924">
        <v>0.1024</v>
      </c>
      <c r="F1924">
        <v>9.3799999999999994E-2</v>
      </c>
    </row>
    <row r="1925" spans="1:6" x14ac:dyDescent="0.3">
      <c r="A1925" t="s">
        <v>1960</v>
      </c>
      <c r="B1925" t="s">
        <v>53</v>
      </c>
      <c r="C1925">
        <v>1730000</v>
      </c>
      <c r="D1925">
        <v>22753.5</v>
      </c>
      <c r="E1925">
        <v>7.4999999999999997E-2</v>
      </c>
      <c r="F1925">
        <v>7.5899999999999995E-2</v>
      </c>
    </row>
    <row r="1926" spans="1:6" x14ac:dyDescent="0.3">
      <c r="A1926" t="s">
        <v>1961</v>
      </c>
      <c r="B1926" t="s">
        <v>24</v>
      </c>
      <c r="C1926">
        <v>2100000</v>
      </c>
      <c r="D1926">
        <v>34036.699999999997</v>
      </c>
      <c r="E1926">
        <v>4.1500000000000002E-2</v>
      </c>
      <c r="F1926">
        <v>4.3200000000000002E-2</v>
      </c>
    </row>
    <row r="1927" spans="1:6" x14ac:dyDescent="0.3">
      <c r="A1927" t="s">
        <v>1962</v>
      </c>
      <c r="B1927" t="s">
        <v>26</v>
      </c>
      <c r="C1927">
        <v>2180000</v>
      </c>
      <c r="D1927">
        <v>1276845.7</v>
      </c>
      <c r="E1927">
        <v>1.66E-2</v>
      </c>
      <c r="F1927">
        <v>0.1067</v>
      </c>
    </row>
    <row r="1928" spans="1:6" x14ac:dyDescent="0.3">
      <c r="A1928" t="s">
        <v>1963</v>
      </c>
      <c r="B1928" t="s">
        <v>21</v>
      </c>
      <c r="C1928">
        <v>1580000</v>
      </c>
      <c r="D1928">
        <v>57910.1</v>
      </c>
      <c r="E1928">
        <v>6.6000000000000003E-2</v>
      </c>
      <c r="F1928">
        <v>9.5100000000000004E-2</v>
      </c>
    </row>
    <row r="1929" spans="1:6" x14ac:dyDescent="0.3">
      <c r="A1929" t="s">
        <v>1964</v>
      </c>
      <c r="B1929" t="s">
        <v>26</v>
      </c>
      <c r="C1929">
        <v>2280000</v>
      </c>
      <c r="D1929">
        <v>43854.2</v>
      </c>
      <c r="E1929">
        <v>1.6400000000000001E-2</v>
      </c>
      <c r="F1929">
        <v>4.6199999999999998E-2</v>
      </c>
    </row>
    <row r="1930" spans="1:6" x14ac:dyDescent="0.3">
      <c r="A1930" t="s">
        <v>1965</v>
      </c>
      <c r="B1930" t="s">
        <v>53</v>
      </c>
      <c r="C1930">
        <v>1600000</v>
      </c>
      <c r="D1930">
        <v>654.9</v>
      </c>
      <c r="E1930">
        <v>4.53E-2</v>
      </c>
      <c r="F1930">
        <v>7.5899999999999995E-2</v>
      </c>
    </row>
    <row r="1931" spans="1:6" x14ac:dyDescent="0.3">
      <c r="A1931" t="s">
        <v>1966</v>
      </c>
      <c r="B1931" t="s">
        <v>28</v>
      </c>
      <c r="C1931">
        <v>3940000</v>
      </c>
      <c r="D1931">
        <v>17953.900000000001</v>
      </c>
      <c r="E1931">
        <v>6.0000000000000001E-3</v>
      </c>
      <c r="F1931">
        <v>6.54E-2</v>
      </c>
    </row>
    <row r="1932" spans="1:6" x14ac:dyDescent="0.3">
      <c r="A1932" t="s">
        <v>1967</v>
      </c>
      <c r="B1932" t="s">
        <v>62</v>
      </c>
      <c r="C1932">
        <v>2150000</v>
      </c>
      <c r="D1932">
        <v>7705.5</v>
      </c>
      <c r="E1932">
        <v>9.5999999999999992E-3</v>
      </c>
      <c r="F1932">
        <v>8.1100000000000005E-2</v>
      </c>
    </row>
    <row r="1933" spans="1:6" x14ac:dyDescent="0.3">
      <c r="A1933" t="s">
        <v>1968</v>
      </c>
      <c r="B1933" t="s">
        <v>26</v>
      </c>
      <c r="C1933">
        <v>1770000</v>
      </c>
      <c r="D1933">
        <v>99.8</v>
      </c>
      <c r="E1933">
        <v>1.8499999999999999E-2</v>
      </c>
      <c r="F1933">
        <v>5.7599999999999998E-2</v>
      </c>
    </row>
    <row r="1934" spans="1:6" x14ac:dyDescent="0.3">
      <c r="A1934" t="s">
        <v>1969</v>
      </c>
      <c r="B1934" t="s">
        <v>26</v>
      </c>
      <c r="C1934">
        <v>2000000</v>
      </c>
      <c r="F1934">
        <v>7.5899999999999995E-2</v>
      </c>
    </row>
    <row r="1935" spans="1:6" x14ac:dyDescent="0.3">
      <c r="A1935" t="s">
        <v>1970</v>
      </c>
      <c r="B1935" t="s">
        <v>21</v>
      </c>
      <c r="C1935">
        <v>304000</v>
      </c>
      <c r="D1935">
        <v>11162.5</v>
      </c>
      <c r="E1935">
        <v>2.7699999999999999E-2</v>
      </c>
      <c r="F1935">
        <v>7.5899999999999995E-2</v>
      </c>
    </row>
    <row r="1936" spans="1:6" x14ac:dyDescent="0.3">
      <c r="A1936" t="s">
        <v>1971</v>
      </c>
      <c r="B1936" t="s">
        <v>214</v>
      </c>
      <c r="C1936">
        <v>2430000</v>
      </c>
      <c r="D1936">
        <v>2104949.9</v>
      </c>
      <c r="E1936">
        <v>1.66E-2</v>
      </c>
      <c r="F1936">
        <v>5.8500000000000003E-2</v>
      </c>
    </row>
    <row r="1937" spans="1:6" x14ac:dyDescent="0.3">
      <c r="A1937" t="s">
        <v>1972</v>
      </c>
      <c r="B1937" t="s">
        <v>195</v>
      </c>
      <c r="C1937">
        <v>1590000</v>
      </c>
      <c r="D1937">
        <v>103216.2</v>
      </c>
      <c r="E1937">
        <v>1.6500000000000001E-2</v>
      </c>
      <c r="F1937">
        <v>5.8500000000000003E-2</v>
      </c>
    </row>
    <row r="1938" spans="1:6" x14ac:dyDescent="0.3">
      <c r="A1938" t="s">
        <v>1973</v>
      </c>
      <c r="B1938" t="s">
        <v>21</v>
      </c>
      <c r="C1938">
        <v>1680000</v>
      </c>
      <c r="D1938">
        <v>9662.7999999999993</v>
      </c>
      <c r="E1938">
        <v>5.8500000000000003E-2</v>
      </c>
      <c r="F1938">
        <v>9.3799999999999994E-2</v>
      </c>
    </row>
    <row r="1939" spans="1:6" x14ac:dyDescent="0.3">
      <c r="A1939" t="s">
        <v>1974</v>
      </c>
      <c r="B1939" t="s">
        <v>32</v>
      </c>
      <c r="C1939">
        <v>1760000</v>
      </c>
      <c r="D1939">
        <v>3377.2</v>
      </c>
      <c r="E1939">
        <v>9.4000000000000004E-3</v>
      </c>
      <c r="F1939">
        <v>8.1100000000000005E-2</v>
      </c>
    </row>
    <row r="1940" spans="1:6" x14ac:dyDescent="0.3">
      <c r="A1940" t="s">
        <v>1975</v>
      </c>
      <c r="B1940" t="s">
        <v>26</v>
      </c>
      <c r="C1940">
        <v>1780000</v>
      </c>
      <c r="D1940">
        <v>2865.6</v>
      </c>
      <c r="F1940">
        <v>5.0999999999999997E-2</v>
      </c>
    </row>
    <row r="1941" spans="1:6" x14ac:dyDescent="0.3">
      <c r="A1941" t="s">
        <v>1976</v>
      </c>
      <c r="B1941" t="s">
        <v>26</v>
      </c>
      <c r="C1941">
        <v>2090000</v>
      </c>
      <c r="D1941">
        <v>163105.4</v>
      </c>
      <c r="E1941">
        <v>2.8199999999999999E-2</v>
      </c>
      <c r="F1941">
        <v>0.13869999999999999</v>
      </c>
    </row>
    <row r="1942" spans="1:6" x14ac:dyDescent="0.3">
      <c r="A1942" t="s">
        <v>1977</v>
      </c>
      <c r="B1942" t="s">
        <v>62</v>
      </c>
      <c r="C1942">
        <v>1670000</v>
      </c>
      <c r="D1942">
        <v>3752.9</v>
      </c>
      <c r="E1942">
        <v>2.9000000000000001E-2</v>
      </c>
      <c r="F1942">
        <v>7.5899999999999995E-2</v>
      </c>
    </row>
    <row r="1943" spans="1:6" x14ac:dyDescent="0.3">
      <c r="A1943" t="s">
        <v>1978</v>
      </c>
      <c r="B1943" t="s">
        <v>88</v>
      </c>
      <c r="C1943">
        <v>1740000</v>
      </c>
      <c r="D1943">
        <v>1456</v>
      </c>
      <c r="E1943">
        <v>6.4000000000000003E-3</v>
      </c>
      <c r="F1943">
        <v>8.1100000000000005E-2</v>
      </c>
    </row>
    <row r="1944" spans="1:6" x14ac:dyDescent="0.3">
      <c r="A1944" t="s">
        <v>1979</v>
      </c>
      <c r="B1944" t="s">
        <v>26</v>
      </c>
      <c r="C1944">
        <v>1700000</v>
      </c>
      <c r="D1944">
        <v>85144.3</v>
      </c>
      <c r="E1944">
        <v>4.0599999999999997E-2</v>
      </c>
      <c r="F1944">
        <v>7.5899999999999995E-2</v>
      </c>
    </row>
    <row r="1945" spans="1:6" x14ac:dyDescent="0.3">
      <c r="A1945" t="s">
        <v>1980</v>
      </c>
      <c r="B1945" t="s">
        <v>62</v>
      </c>
      <c r="C1945">
        <v>1710000</v>
      </c>
      <c r="D1945">
        <v>27846.7</v>
      </c>
      <c r="E1945">
        <v>1.3100000000000001E-2</v>
      </c>
      <c r="F1945">
        <v>6.5699999999999995E-2</v>
      </c>
    </row>
    <row r="1946" spans="1:6" x14ac:dyDescent="0.3">
      <c r="A1946" t="s">
        <v>1981</v>
      </c>
      <c r="B1946" t="s">
        <v>50</v>
      </c>
      <c r="C1946">
        <v>4480000</v>
      </c>
      <c r="D1946">
        <v>3693.5</v>
      </c>
      <c r="E1946">
        <v>5.8999999999999999E-3</v>
      </c>
      <c r="F1946">
        <v>8.1100000000000005E-2</v>
      </c>
    </row>
    <row r="1947" spans="1:6" x14ac:dyDescent="0.3">
      <c r="A1947" t="s">
        <v>1982</v>
      </c>
      <c r="B1947" t="s">
        <v>30</v>
      </c>
      <c r="C1947">
        <v>1930000</v>
      </c>
      <c r="D1947">
        <v>28720.1</v>
      </c>
      <c r="F1947">
        <v>5.1799999999999999E-2</v>
      </c>
    </row>
    <row r="1948" spans="1:6" x14ac:dyDescent="0.3">
      <c r="A1948" t="s">
        <v>1983</v>
      </c>
      <c r="B1948" t="s">
        <v>490</v>
      </c>
      <c r="C1948">
        <v>1550000</v>
      </c>
      <c r="D1948">
        <v>19904.5</v>
      </c>
      <c r="E1948">
        <v>2.06E-2</v>
      </c>
      <c r="F1948">
        <v>9.5100000000000004E-2</v>
      </c>
    </row>
    <row r="1949" spans="1:6" x14ac:dyDescent="0.3">
      <c r="A1949" t="s">
        <v>1984</v>
      </c>
      <c r="B1949" t="s">
        <v>26</v>
      </c>
      <c r="C1949">
        <v>1670000</v>
      </c>
      <c r="D1949">
        <v>1548.9</v>
      </c>
      <c r="E1949">
        <v>1.06E-2</v>
      </c>
      <c r="F1949">
        <v>6.54E-2</v>
      </c>
    </row>
    <row r="1950" spans="1:6" x14ac:dyDescent="0.3">
      <c r="A1950" t="s">
        <v>1985</v>
      </c>
      <c r="B1950" t="s">
        <v>32</v>
      </c>
      <c r="C1950">
        <v>1980000</v>
      </c>
      <c r="D1950">
        <v>1947.9</v>
      </c>
      <c r="E1950">
        <v>1.4500000000000001E-2</v>
      </c>
      <c r="F1950">
        <v>8.2100000000000006E-2</v>
      </c>
    </row>
    <row r="1951" spans="1:6" x14ac:dyDescent="0.3">
      <c r="A1951" t="s">
        <v>1986</v>
      </c>
      <c r="B1951" t="s">
        <v>53</v>
      </c>
      <c r="C1951">
        <v>2620000</v>
      </c>
      <c r="D1951">
        <v>361363.6</v>
      </c>
      <c r="E1951">
        <v>6.2199999999999998E-2</v>
      </c>
      <c r="F1951">
        <v>5.0999999999999997E-2</v>
      </c>
    </row>
    <row r="1952" spans="1:6" x14ac:dyDescent="0.3">
      <c r="A1952" t="s">
        <v>1987</v>
      </c>
      <c r="B1952" t="s">
        <v>32</v>
      </c>
      <c r="C1952">
        <v>1700000</v>
      </c>
      <c r="D1952">
        <v>1921.4</v>
      </c>
      <c r="E1952">
        <v>3.2599999999999997E-2</v>
      </c>
      <c r="F1952">
        <v>0.1109</v>
      </c>
    </row>
    <row r="1953" spans="1:6" x14ac:dyDescent="0.3">
      <c r="A1953" t="s">
        <v>1988</v>
      </c>
      <c r="B1953" t="s">
        <v>26</v>
      </c>
      <c r="C1953">
        <v>2720000</v>
      </c>
      <c r="D1953">
        <v>1505933.4</v>
      </c>
      <c r="E1953">
        <v>4.9099999999999998E-2</v>
      </c>
      <c r="F1953">
        <v>4.0899999999999999E-2</v>
      </c>
    </row>
    <row r="1954" spans="1:6" x14ac:dyDescent="0.3">
      <c r="A1954" t="s">
        <v>1989</v>
      </c>
      <c r="B1954" t="s">
        <v>41</v>
      </c>
      <c r="C1954">
        <v>1610000</v>
      </c>
      <c r="D1954">
        <v>1111</v>
      </c>
      <c r="E1954">
        <v>9.9000000000000008E-3</v>
      </c>
      <c r="F1954">
        <v>0.10150000000000001</v>
      </c>
    </row>
    <row r="1955" spans="1:6" x14ac:dyDescent="0.3">
      <c r="A1955" t="s">
        <v>1990</v>
      </c>
      <c r="B1955" t="s">
        <v>26</v>
      </c>
      <c r="C1955">
        <v>1830000</v>
      </c>
      <c r="D1955">
        <v>22501.8</v>
      </c>
      <c r="F1955">
        <v>4.0899999999999999E-2</v>
      </c>
    </row>
    <row r="1956" spans="1:6" x14ac:dyDescent="0.3">
      <c r="A1956" t="s">
        <v>1991</v>
      </c>
      <c r="B1956" t="s">
        <v>26</v>
      </c>
      <c r="C1956">
        <v>1550000</v>
      </c>
      <c r="D1956">
        <v>37931.199999999997</v>
      </c>
      <c r="E1956">
        <v>1.67E-2</v>
      </c>
      <c r="F1956">
        <v>5.8500000000000003E-2</v>
      </c>
    </row>
    <row r="1957" spans="1:6" x14ac:dyDescent="0.3">
      <c r="A1957" t="s">
        <v>1992</v>
      </c>
      <c r="B1957" t="s">
        <v>53</v>
      </c>
      <c r="C1957">
        <v>1880000</v>
      </c>
      <c r="D1957">
        <v>25694.2</v>
      </c>
      <c r="E1957">
        <v>8.9999999999999993E-3</v>
      </c>
      <c r="F1957">
        <v>6.54E-2</v>
      </c>
    </row>
    <row r="1958" spans="1:6" x14ac:dyDescent="0.3">
      <c r="A1958" t="s">
        <v>1993</v>
      </c>
      <c r="B1958" t="s">
        <v>26</v>
      </c>
      <c r="C1958">
        <v>1930000</v>
      </c>
      <c r="D1958">
        <v>515302.6</v>
      </c>
      <c r="E1958">
        <v>3.5700000000000003E-2</v>
      </c>
      <c r="F1958">
        <v>5.1799999999999999E-2</v>
      </c>
    </row>
    <row r="1959" spans="1:6" x14ac:dyDescent="0.3">
      <c r="A1959" t="s">
        <v>1994</v>
      </c>
      <c r="B1959" t="s">
        <v>26</v>
      </c>
      <c r="C1959">
        <v>2290000</v>
      </c>
      <c r="D1959">
        <v>275304.3</v>
      </c>
      <c r="E1959">
        <v>4.1399999999999999E-2</v>
      </c>
      <c r="F1959">
        <v>4.0899999999999999E-2</v>
      </c>
    </row>
    <row r="1960" spans="1:6" x14ac:dyDescent="0.3">
      <c r="A1960" t="s">
        <v>1995</v>
      </c>
      <c r="B1960" t="s">
        <v>30</v>
      </c>
      <c r="C1960">
        <v>1590000</v>
      </c>
      <c r="D1960">
        <v>292443.7</v>
      </c>
      <c r="E1960">
        <v>2.3E-3</v>
      </c>
      <c r="F1960">
        <v>6.54E-2</v>
      </c>
    </row>
    <row r="1961" spans="1:6" x14ac:dyDescent="0.3">
      <c r="A1961" t="s">
        <v>1996</v>
      </c>
      <c r="B1961" t="s">
        <v>41</v>
      </c>
      <c r="C1961">
        <v>2190000</v>
      </c>
      <c r="D1961">
        <v>559.9</v>
      </c>
      <c r="E1961">
        <v>4.1999999999999997E-3</v>
      </c>
      <c r="F1961">
        <v>0.377</v>
      </c>
    </row>
    <row r="1962" spans="1:6" x14ac:dyDescent="0.3">
      <c r="A1962" t="s">
        <v>1997</v>
      </c>
      <c r="B1962" t="s">
        <v>26</v>
      </c>
      <c r="C1962">
        <v>1820000</v>
      </c>
      <c r="D1962">
        <v>68694.2</v>
      </c>
      <c r="E1962">
        <v>1.17E-2</v>
      </c>
      <c r="F1962">
        <v>9.0300000000000005E-2</v>
      </c>
    </row>
    <row r="1963" spans="1:6" x14ac:dyDescent="0.3">
      <c r="A1963" t="s">
        <v>1998</v>
      </c>
      <c r="B1963" t="s">
        <v>92</v>
      </c>
      <c r="C1963">
        <v>3730000</v>
      </c>
      <c r="D1963">
        <v>84274.4</v>
      </c>
      <c r="E1963">
        <v>3.9800000000000002E-2</v>
      </c>
      <c r="F1963">
        <v>7.5899999999999995E-2</v>
      </c>
    </row>
    <row r="1964" spans="1:6" x14ac:dyDescent="0.3">
      <c r="A1964" t="s">
        <v>1999</v>
      </c>
      <c r="B1964" t="s">
        <v>88</v>
      </c>
      <c r="C1964">
        <v>2070000</v>
      </c>
      <c r="D1964">
        <v>4445.1000000000004</v>
      </c>
      <c r="E1964">
        <v>3.49E-2</v>
      </c>
      <c r="F1964">
        <v>7.5899999999999995E-2</v>
      </c>
    </row>
    <row r="1965" spans="1:6" x14ac:dyDescent="0.3">
      <c r="A1965" t="s">
        <v>2000</v>
      </c>
      <c r="B1965" t="s">
        <v>24</v>
      </c>
      <c r="C1965">
        <v>1790000</v>
      </c>
      <c r="D1965">
        <v>22496.6</v>
      </c>
      <c r="E1965">
        <v>9.8199999999999996E-2</v>
      </c>
      <c r="F1965">
        <v>9.3799999999999994E-2</v>
      </c>
    </row>
    <row r="1966" spans="1:6" x14ac:dyDescent="0.3">
      <c r="A1966" t="s">
        <v>2001</v>
      </c>
      <c r="B1966" t="s">
        <v>26</v>
      </c>
      <c r="C1966">
        <v>1530000</v>
      </c>
      <c r="D1966">
        <v>6319.5</v>
      </c>
      <c r="E1966">
        <v>2.06E-2</v>
      </c>
      <c r="F1966">
        <v>5.1799999999999999E-2</v>
      </c>
    </row>
    <row r="1967" spans="1:6" x14ac:dyDescent="0.3">
      <c r="A1967" t="s">
        <v>2002</v>
      </c>
      <c r="B1967" t="s">
        <v>24</v>
      </c>
      <c r="C1967">
        <v>1540000</v>
      </c>
      <c r="D1967">
        <v>5010.3</v>
      </c>
      <c r="F1967">
        <v>6.7900000000000002E-2</v>
      </c>
    </row>
    <row r="1968" spans="1:6" x14ac:dyDescent="0.3">
      <c r="A1968" t="s">
        <v>2003</v>
      </c>
      <c r="B1968" t="s">
        <v>88</v>
      </c>
      <c r="C1968">
        <v>1640000</v>
      </c>
      <c r="D1968">
        <v>2510.1999999999998</v>
      </c>
      <c r="E1968">
        <v>2.0299999999999999E-2</v>
      </c>
      <c r="F1968">
        <v>9.5100000000000004E-2</v>
      </c>
    </row>
    <row r="1969" spans="1:6" x14ac:dyDescent="0.3">
      <c r="A1969" t="s">
        <v>2004</v>
      </c>
      <c r="B1969" t="s">
        <v>62</v>
      </c>
      <c r="C1969">
        <v>1760000</v>
      </c>
      <c r="D1969">
        <v>3667.7</v>
      </c>
      <c r="E1969">
        <v>5.0099999999999999E-2</v>
      </c>
      <c r="F1969">
        <v>9.3799999999999994E-2</v>
      </c>
    </row>
    <row r="1970" spans="1:6" x14ac:dyDescent="0.3">
      <c r="A1970" t="s">
        <v>2005</v>
      </c>
      <c r="B1970" t="s">
        <v>26</v>
      </c>
      <c r="C1970">
        <v>1540000</v>
      </c>
      <c r="D1970">
        <v>3536.2</v>
      </c>
      <c r="E1970">
        <v>6.1999999999999998E-3</v>
      </c>
      <c r="F1970">
        <v>8.1100000000000005E-2</v>
      </c>
    </row>
    <row r="1971" spans="1:6" x14ac:dyDescent="0.3">
      <c r="A1971" t="s">
        <v>2006</v>
      </c>
      <c r="B1971" t="s">
        <v>53</v>
      </c>
      <c r="C1971">
        <v>1610000</v>
      </c>
      <c r="D1971">
        <v>67628.5</v>
      </c>
      <c r="E1971">
        <v>4.6899999999999997E-2</v>
      </c>
      <c r="F1971">
        <v>7.5899999999999995E-2</v>
      </c>
    </row>
    <row r="1972" spans="1:6" x14ac:dyDescent="0.3">
      <c r="A1972" t="s">
        <v>2007</v>
      </c>
      <c r="B1972" t="s">
        <v>214</v>
      </c>
      <c r="C1972">
        <v>2360000</v>
      </c>
      <c r="D1972">
        <v>354294.6</v>
      </c>
      <c r="E1972">
        <v>3.85E-2</v>
      </c>
      <c r="F1972">
        <v>0.1226</v>
      </c>
    </row>
    <row r="1973" spans="1:6" x14ac:dyDescent="0.3">
      <c r="A1973" t="s">
        <v>2008</v>
      </c>
      <c r="B1973" t="s">
        <v>30</v>
      </c>
      <c r="C1973">
        <v>1670000</v>
      </c>
      <c r="D1973">
        <v>238950.5</v>
      </c>
      <c r="E1973">
        <v>4.3900000000000002E-2</v>
      </c>
      <c r="F1973">
        <v>9.5100000000000004E-2</v>
      </c>
    </row>
    <row r="1974" spans="1:6" x14ac:dyDescent="0.3">
      <c r="A1974" t="s">
        <v>2009</v>
      </c>
      <c r="B1974" t="s">
        <v>92</v>
      </c>
      <c r="C1974">
        <v>1760000</v>
      </c>
      <c r="D1974">
        <v>26544.1</v>
      </c>
      <c r="E1974">
        <v>1.6199999999999999E-2</v>
      </c>
      <c r="F1974">
        <v>5.7599999999999998E-2</v>
      </c>
    </row>
    <row r="1975" spans="1:6" x14ac:dyDescent="0.3">
      <c r="A1975" t="s">
        <v>2010</v>
      </c>
      <c r="B1975" t="s">
        <v>28</v>
      </c>
      <c r="C1975">
        <v>2470000</v>
      </c>
      <c r="D1975">
        <v>350569.4</v>
      </c>
      <c r="E1975">
        <v>8.6999999999999994E-3</v>
      </c>
      <c r="F1975">
        <v>6.54E-2</v>
      </c>
    </row>
    <row r="1976" spans="1:6" x14ac:dyDescent="0.3">
      <c r="A1976" t="s">
        <v>2011</v>
      </c>
      <c r="B1976" t="s">
        <v>30</v>
      </c>
      <c r="C1976">
        <v>1700000</v>
      </c>
      <c r="D1976">
        <v>12024</v>
      </c>
      <c r="E1976">
        <v>1.06E-2</v>
      </c>
      <c r="F1976">
        <v>6.54E-2</v>
      </c>
    </row>
    <row r="1977" spans="1:6" x14ac:dyDescent="0.3">
      <c r="A1977" t="s">
        <v>2012</v>
      </c>
      <c r="B1977" t="s">
        <v>88</v>
      </c>
      <c r="C1977">
        <v>1530000</v>
      </c>
      <c r="D1977">
        <v>66087.899999999994</v>
      </c>
      <c r="E1977">
        <v>2.1399999999999999E-2</v>
      </c>
      <c r="F1977">
        <v>0.1067</v>
      </c>
    </row>
    <row r="1978" spans="1:6" x14ac:dyDescent="0.3">
      <c r="A1978" t="s">
        <v>2013</v>
      </c>
      <c r="B1978" t="s">
        <v>26</v>
      </c>
      <c r="C1978">
        <v>1580000</v>
      </c>
      <c r="D1978">
        <v>24252.6</v>
      </c>
      <c r="E1978">
        <v>4.5600000000000002E-2</v>
      </c>
      <c r="F1978">
        <v>6.7199999999999996E-2</v>
      </c>
    </row>
    <row r="1979" spans="1:6" x14ac:dyDescent="0.3">
      <c r="A1979" t="s">
        <v>2014</v>
      </c>
      <c r="B1979" t="s">
        <v>88</v>
      </c>
      <c r="C1979">
        <v>1800000</v>
      </c>
      <c r="D1979">
        <v>10975.9</v>
      </c>
      <c r="E1979">
        <v>5.2499999999999998E-2</v>
      </c>
      <c r="F1979">
        <v>9.3799999999999994E-2</v>
      </c>
    </row>
    <row r="1980" spans="1:6" x14ac:dyDescent="0.3">
      <c r="A1980" t="s">
        <v>2015</v>
      </c>
      <c r="B1980" t="s">
        <v>71</v>
      </c>
      <c r="C1980">
        <v>1640000</v>
      </c>
      <c r="D1980">
        <v>17294.5</v>
      </c>
      <c r="E1980">
        <v>7.4999999999999997E-3</v>
      </c>
      <c r="F1980">
        <v>6.54E-2</v>
      </c>
    </row>
    <row r="1981" spans="1:6" x14ac:dyDescent="0.3">
      <c r="A1981" t="s">
        <v>2016</v>
      </c>
      <c r="B1981" t="s">
        <v>24</v>
      </c>
      <c r="C1981">
        <v>1880000</v>
      </c>
      <c r="D1981">
        <v>90094.9</v>
      </c>
      <c r="E1981">
        <v>1.8200000000000001E-2</v>
      </c>
      <c r="F1981">
        <v>7.5700000000000003E-2</v>
      </c>
    </row>
    <row r="1982" spans="1:6" x14ac:dyDescent="0.3">
      <c r="A1982" t="s">
        <v>2017</v>
      </c>
      <c r="B1982" t="s">
        <v>74</v>
      </c>
      <c r="C1982">
        <v>1790000</v>
      </c>
      <c r="D1982">
        <v>116431.5</v>
      </c>
      <c r="E1982">
        <v>4.7600000000000003E-2</v>
      </c>
      <c r="F1982">
        <v>9.3799999999999994E-2</v>
      </c>
    </row>
    <row r="1983" spans="1:6" x14ac:dyDescent="0.3">
      <c r="A1983" t="s">
        <v>2018</v>
      </c>
      <c r="B1983" t="s">
        <v>26</v>
      </c>
      <c r="C1983">
        <v>1610000</v>
      </c>
      <c r="D1983">
        <v>64307.5</v>
      </c>
      <c r="E1983">
        <v>5.21E-2</v>
      </c>
      <c r="F1983">
        <v>7.5899999999999995E-2</v>
      </c>
    </row>
    <row r="1984" spans="1:6" x14ac:dyDescent="0.3">
      <c r="A1984" t="s">
        <v>2019</v>
      </c>
      <c r="B1984" t="s">
        <v>195</v>
      </c>
      <c r="C1984">
        <v>1740000</v>
      </c>
      <c r="D1984">
        <v>27198.400000000001</v>
      </c>
      <c r="E1984">
        <v>4.7699999999999999E-2</v>
      </c>
      <c r="F1984">
        <v>9.3799999999999994E-2</v>
      </c>
    </row>
    <row r="1985" spans="1:6" x14ac:dyDescent="0.3">
      <c r="A1985" t="s">
        <v>2020</v>
      </c>
      <c r="B1985" t="s">
        <v>26</v>
      </c>
      <c r="C1985">
        <v>1700000</v>
      </c>
      <c r="D1985">
        <v>19661</v>
      </c>
      <c r="E1985">
        <v>4.8800000000000003E-2</v>
      </c>
      <c r="F1985">
        <v>7.5899999999999995E-2</v>
      </c>
    </row>
    <row r="1986" spans="1:6" x14ac:dyDescent="0.3">
      <c r="A1986" t="s">
        <v>2021</v>
      </c>
      <c r="B1986" t="s">
        <v>195</v>
      </c>
      <c r="C1986">
        <v>1540000</v>
      </c>
      <c r="D1986">
        <v>115123.9</v>
      </c>
      <c r="E1986">
        <v>4.5900000000000003E-2</v>
      </c>
      <c r="F1986">
        <v>9.5100000000000004E-2</v>
      </c>
    </row>
    <row r="1987" spans="1:6" x14ac:dyDescent="0.3">
      <c r="A1987" t="s">
        <v>2022</v>
      </c>
      <c r="B1987" t="s">
        <v>88</v>
      </c>
      <c r="C1987">
        <v>1810000</v>
      </c>
      <c r="D1987">
        <v>6097.3</v>
      </c>
      <c r="E1987">
        <v>8.7499999999999994E-2</v>
      </c>
      <c r="F1987">
        <v>9.3799999999999994E-2</v>
      </c>
    </row>
    <row r="1988" spans="1:6" x14ac:dyDescent="0.3">
      <c r="A1988" t="s">
        <v>2023</v>
      </c>
      <c r="B1988" t="s">
        <v>26</v>
      </c>
      <c r="C1988">
        <v>1770000</v>
      </c>
      <c r="D1988">
        <v>73152.2</v>
      </c>
      <c r="E1988">
        <v>3.6900000000000002E-2</v>
      </c>
      <c r="F1988">
        <v>9.5100000000000004E-2</v>
      </c>
    </row>
    <row r="1989" spans="1:6" x14ac:dyDescent="0.3">
      <c r="A1989" t="s">
        <v>2024</v>
      </c>
      <c r="B1989" t="s">
        <v>88</v>
      </c>
      <c r="C1989">
        <v>2100000</v>
      </c>
      <c r="D1989">
        <v>24740.400000000001</v>
      </c>
      <c r="E1989">
        <v>3.6900000000000002E-2</v>
      </c>
      <c r="F1989">
        <v>7.5899999999999995E-2</v>
      </c>
    </row>
    <row r="1990" spans="1:6" x14ac:dyDescent="0.3">
      <c r="A1990" t="s">
        <v>2025</v>
      </c>
      <c r="B1990" t="s">
        <v>30</v>
      </c>
      <c r="C1990">
        <v>1600000</v>
      </c>
      <c r="D1990">
        <v>273238.3</v>
      </c>
      <c r="E1990">
        <v>8.6999999999999994E-3</v>
      </c>
      <c r="F1990">
        <v>8.2199999999999995E-2</v>
      </c>
    </row>
    <row r="1991" spans="1:6" x14ac:dyDescent="0.3">
      <c r="A1991" t="s">
        <v>2026</v>
      </c>
      <c r="B1991" t="s">
        <v>26</v>
      </c>
      <c r="C1991">
        <v>2690000</v>
      </c>
      <c r="D1991">
        <v>27804.3</v>
      </c>
      <c r="E1991">
        <v>2.7400000000000001E-2</v>
      </c>
      <c r="F1991">
        <v>5.3800000000000001E-2</v>
      </c>
    </row>
    <row r="1992" spans="1:6" x14ac:dyDescent="0.3">
      <c r="A1992" t="s">
        <v>2027</v>
      </c>
      <c r="B1992" t="s">
        <v>41</v>
      </c>
      <c r="C1992">
        <v>4810000</v>
      </c>
      <c r="D1992">
        <v>5566.8</v>
      </c>
      <c r="E1992">
        <v>1.84E-2</v>
      </c>
      <c r="F1992">
        <v>6.08E-2</v>
      </c>
    </row>
    <row r="1993" spans="1:6" x14ac:dyDescent="0.3">
      <c r="A1993" t="s">
        <v>2028</v>
      </c>
      <c r="B1993" t="s">
        <v>26</v>
      </c>
      <c r="C1993">
        <v>2090000</v>
      </c>
      <c r="D1993">
        <v>63420</v>
      </c>
      <c r="E1993">
        <v>1.72E-2</v>
      </c>
      <c r="F1993">
        <v>4.6600000000000003E-2</v>
      </c>
    </row>
    <row r="1994" spans="1:6" x14ac:dyDescent="0.3">
      <c r="A1994" t="s">
        <v>2029</v>
      </c>
      <c r="B1994" t="s">
        <v>24</v>
      </c>
      <c r="C1994">
        <v>1570000</v>
      </c>
      <c r="D1994">
        <v>75849.7</v>
      </c>
      <c r="E1994">
        <v>1.6199999999999999E-2</v>
      </c>
      <c r="F1994">
        <v>4.6199999999999998E-2</v>
      </c>
    </row>
    <row r="1995" spans="1:6" x14ac:dyDescent="0.3">
      <c r="A1995" t="s">
        <v>2030</v>
      </c>
      <c r="B1995" t="s">
        <v>92</v>
      </c>
      <c r="C1995">
        <v>3820000</v>
      </c>
      <c r="D1995">
        <v>1452396.4</v>
      </c>
      <c r="E1995">
        <v>2.29E-2</v>
      </c>
      <c r="F1995">
        <v>4.0899999999999999E-2</v>
      </c>
    </row>
    <row r="1996" spans="1:6" x14ac:dyDescent="0.3">
      <c r="A1996" t="s">
        <v>2031</v>
      </c>
      <c r="B1996" t="s">
        <v>21</v>
      </c>
      <c r="C1996">
        <v>2120000</v>
      </c>
      <c r="D1996">
        <v>22222.9</v>
      </c>
      <c r="E1996">
        <v>9.1999999999999998E-3</v>
      </c>
      <c r="F1996">
        <v>6.54E-2</v>
      </c>
    </row>
    <row r="1997" spans="1:6" x14ac:dyDescent="0.3">
      <c r="A1997" t="s">
        <v>2032</v>
      </c>
      <c r="B1997" t="s">
        <v>26</v>
      </c>
      <c r="C1997">
        <v>1880000</v>
      </c>
      <c r="D1997">
        <v>161814.9</v>
      </c>
      <c r="E1997">
        <v>4.41E-2</v>
      </c>
      <c r="F1997">
        <v>7.5899999999999995E-2</v>
      </c>
    </row>
    <row r="1998" spans="1:6" x14ac:dyDescent="0.3">
      <c r="A1998" t="s">
        <v>2033</v>
      </c>
      <c r="B1998" t="s">
        <v>74</v>
      </c>
      <c r="C1998">
        <v>1800000</v>
      </c>
      <c r="D1998">
        <v>37162.9</v>
      </c>
      <c r="E1998">
        <v>6.93E-2</v>
      </c>
      <c r="F1998">
        <v>9.5100000000000004E-2</v>
      </c>
    </row>
    <row r="1999" spans="1:6" x14ac:dyDescent="0.3">
      <c r="A1999" t="s">
        <v>2034</v>
      </c>
      <c r="B1999" t="s">
        <v>26</v>
      </c>
      <c r="C1999">
        <v>1870000</v>
      </c>
      <c r="D1999">
        <v>3354.9</v>
      </c>
      <c r="E1999">
        <v>2.1000000000000001E-2</v>
      </c>
      <c r="F1999">
        <v>5.7599999999999998E-2</v>
      </c>
    </row>
    <row r="2000" spans="1:6" x14ac:dyDescent="0.3">
      <c r="A2000" t="s">
        <v>2035</v>
      </c>
      <c r="B2000" t="s">
        <v>88</v>
      </c>
      <c r="C2000">
        <v>1620000</v>
      </c>
      <c r="D2000">
        <v>81606.899999999994</v>
      </c>
      <c r="E2000">
        <v>5.28E-2</v>
      </c>
      <c r="F2000">
        <v>9.5100000000000004E-2</v>
      </c>
    </row>
    <row r="2001" spans="1:6" x14ac:dyDescent="0.3">
      <c r="A2001" t="s">
        <v>2036</v>
      </c>
      <c r="B2001" t="s">
        <v>26</v>
      </c>
      <c r="C2001">
        <v>1540000</v>
      </c>
      <c r="D2001">
        <v>62018</v>
      </c>
      <c r="E2001">
        <v>5.4899999999999997E-2</v>
      </c>
      <c r="F2001">
        <v>9.5100000000000004E-2</v>
      </c>
    </row>
    <row r="2002" spans="1:6" x14ac:dyDescent="0.3">
      <c r="A2002" t="s">
        <v>2037</v>
      </c>
      <c r="B2002" t="s">
        <v>92</v>
      </c>
      <c r="C2002">
        <v>1470000</v>
      </c>
      <c r="D2002">
        <v>750.2</v>
      </c>
      <c r="E2002">
        <v>1.9800000000000002E-2</v>
      </c>
      <c r="F2002">
        <v>4.6199999999999998E-2</v>
      </c>
    </row>
    <row r="2003" spans="1:6" x14ac:dyDescent="0.3">
      <c r="A2003" t="s">
        <v>2038</v>
      </c>
      <c r="B2003" t="s">
        <v>26</v>
      </c>
      <c r="C2003">
        <v>2230000</v>
      </c>
      <c r="D2003">
        <v>324223</v>
      </c>
      <c r="E2003">
        <v>2.2800000000000001E-2</v>
      </c>
      <c r="F2003">
        <v>4.0899999999999999E-2</v>
      </c>
    </row>
    <row r="2004" spans="1:6" x14ac:dyDescent="0.3">
      <c r="A2004" t="s">
        <v>2039</v>
      </c>
      <c r="B2004" t="s">
        <v>88</v>
      </c>
      <c r="C2004">
        <v>2410000</v>
      </c>
      <c r="D2004">
        <v>182956.3</v>
      </c>
      <c r="E2004">
        <v>1.04E-2</v>
      </c>
      <c r="F2004">
        <v>8.1100000000000005E-2</v>
      </c>
    </row>
    <row r="2005" spans="1:6" x14ac:dyDescent="0.3">
      <c r="A2005" t="s">
        <v>2040</v>
      </c>
      <c r="B2005" t="s">
        <v>26</v>
      </c>
      <c r="C2005">
        <v>1580000</v>
      </c>
      <c r="D2005">
        <v>14996.1</v>
      </c>
      <c r="E2005">
        <v>1.4500000000000001E-2</v>
      </c>
      <c r="F2005">
        <v>4.6199999999999998E-2</v>
      </c>
    </row>
    <row r="2006" spans="1:6" x14ac:dyDescent="0.3">
      <c r="A2006" t="s">
        <v>2041</v>
      </c>
      <c r="B2006" t="s">
        <v>21</v>
      </c>
      <c r="C2006">
        <v>1760000</v>
      </c>
      <c r="D2006">
        <v>387384.5</v>
      </c>
      <c r="E2006">
        <v>3.2099999999999997E-2</v>
      </c>
      <c r="F2006">
        <v>9.5100000000000004E-2</v>
      </c>
    </row>
    <row r="2007" spans="1:6" x14ac:dyDescent="0.3">
      <c r="A2007" t="s">
        <v>2042</v>
      </c>
      <c r="B2007" t="s">
        <v>41</v>
      </c>
      <c r="C2007">
        <v>2420000</v>
      </c>
      <c r="D2007">
        <v>1217.0999999999999</v>
      </c>
      <c r="E2007">
        <v>2.7099999999999999E-2</v>
      </c>
      <c r="F2007">
        <v>9.3799999999999994E-2</v>
      </c>
    </row>
    <row r="2008" spans="1:6" x14ac:dyDescent="0.3">
      <c r="A2008" t="s">
        <v>2043</v>
      </c>
      <c r="B2008" t="s">
        <v>41</v>
      </c>
      <c r="C2008">
        <v>1630000</v>
      </c>
      <c r="D2008">
        <v>2300.3000000000002</v>
      </c>
      <c r="E2008">
        <v>1.61E-2</v>
      </c>
      <c r="F2008">
        <v>8.0299999999999996E-2</v>
      </c>
    </row>
    <row r="2009" spans="1:6" x14ac:dyDescent="0.3">
      <c r="A2009" t="s">
        <v>2044</v>
      </c>
      <c r="B2009" t="s">
        <v>41</v>
      </c>
      <c r="C2009">
        <v>2110000</v>
      </c>
      <c r="D2009">
        <v>26989.9</v>
      </c>
      <c r="E2009">
        <v>2.9100000000000001E-2</v>
      </c>
      <c r="F2009">
        <v>9.3799999999999994E-2</v>
      </c>
    </row>
    <row r="2010" spans="1:6" x14ac:dyDescent="0.3">
      <c r="A2010" t="s">
        <v>2045</v>
      </c>
      <c r="B2010" t="s">
        <v>21</v>
      </c>
      <c r="C2010">
        <v>1630000</v>
      </c>
      <c r="D2010">
        <v>42437.599999999999</v>
      </c>
      <c r="E2010">
        <v>3.61E-2</v>
      </c>
      <c r="F2010">
        <v>5.1799999999999999E-2</v>
      </c>
    </row>
    <row r="2011" spans="1:6" x14ac:dyDescent="0.3">
      <c r="A2011" t="s">
        <v>2046</v>
      </c>
      <c r="B2011" t="s">
        <v>24</v>
      </c>
      <c r="C2011">
        <v>1580000</v>
      </c>
      <c r="D2011">
        <v>991.9</v>
      </c>
      <c r="E2011">
        <v>1.7500000000000002E-2</v>
      </c>
      <c r="F2011">
        <v>0.1053</v>
      </c>
    </row>
    <row r="2012" spans="1:6" x14ac:dyDescent="0.3">
      <c r="A2012" t="s">
        <v>2047</v>
      </c>
      <c r="B2012" t="s">
        <v>41</v>
      </c>
      <c r="C2012">
        <v>1740000</v>
      </c>
      <c r="D2012">
        <v>14939.4</v>
      </c>
      <c r="E2012">
        <v>2.7400000000000001E-2</v>
      </c>
      <c r="F2012">
        <v>7.5899999999999995E-2</v>
      </c>
    </row>
    <row r="2013" spans="1:6" x14ac:dyDescent="0.3">
      <c r="A2013" t="s">
        <v>2048</v>
      </c>
      <c r="B2013" t="s">
        <v>62</v>
      </c>
      <c r="C2013">
        <v>2070000</v>
      </c>
      <c r="D2013">
        <v>69932.3</v>
      </c>
      <c r="E2013">
        <v>1.95E-2</v>
      </c>
      <c r="F2013">
        <v>4.6199999999999998E-2</v>
      </c>
    </row>
    <row r="2014" spans="1:6" x14ac:dyDescent="0.3">
      <c r="A2014" t="s">
        <v>2049</v>
      </c>
      <c r="B2014" t="s">
        <v>30</v>
      </c>
      <c r="C2014">
        <v>2640000</v>
      </c>
      <c r="D2014">
        <v>377.4</v>
      </c>
      <c r="E2014">
        <v>4.4000000000000003E-3</v>
      </c>
      <c r="F2014">
        <v>6.54E-2</v>
      </c>
    </row>
    <row r="2015" spans="1:6" x14ac:dyDescent="0.3">
      <c r="A2015" t="s">
        <v>2050</v>
      </c>
      <c r="B2015" t="s">
        <v>26</v>
      </c>
      <c r="C2015">
        <v>1470000</v>
      </c>
      <c r="D2015">
        <v>30797.8</v>
      </c>
      <c r="E2015">
        <v>3.5299999999999998E-2</v>
      </c>
      <c r="F2015">
        <v>8.4500000000000006E-2</v>
      </c>
    </row>
    <row r="2016" spans="1:6" x14ac:dyDescent="0.3">
      <c r="A2016" t="s">
        <v>2051</v>
      </c>
      <c r="B2016" t="s">
        <v>24</v>
      </c>
      <c r="C2016">
        <v>1990000</v>
      </c>
      <c r="D2016">
        <v>195009.2</v>
      </c>
      <c r="E2016">
        <v>8.3299999999999999E-2</v>
      </c>
      <c r="F2016">
        <v>7.5899999999999995E-2</v>
      </c>
    </row>
    <row r="2017" spans="1:6" x14ac:dyDescent="0.3">
      <c r="A2017" t="s">
        <v>2052</v>
      </c>
      <c r="B2017" t="s">
        <v>92</v>
      </c>
      <c r="C2017">
        <v>2150000</v>
      </c>
      <c r="D2017">
        <v>1550756.2</v>
      </c>
      <c r="E2017">
        <v>3.5400000000000001E-2</v>
      </c>
      <c r="F2017">
        <v>5.1799999999999999E-2</v>
      </c>
    </row>
    <row r="2018" spans="1:6" x14ac:dyDescent="0.3">
      <c r="A2018" t="s">
        <v>2053</v>
      </c>
      <c r="B2018" t="s">
        <v>62</v>
      </c>
      <c r="C2018">
        <v>1520000</v>
      </c>
      <c r="D2018">
        <v>4984.8</v>
      </c>
      <c r="E2018">
        <v>4.1099999999999998E-2</v>
      </c>
      <c r="F2018">
        <v>7.5899999999999995E-2</v>
      </c>
    </row>
    <row r="2019" spans="1:6" x14ac:dyDescent="0.3">
      <c r="A2019" t="s">
        <v>2054</v>
      </c>
      <c r="B2019" t="s">
        <v>32</v>
      </c>
      <c r="C2019">
        <v>1490000</v>
      </c>
      <c r="D2019">
        <v>2117.6</v>
      </c>
      <c r="E2019">
        <v>1.4800000000000001E-2</v>
      </c>
      <c r="F2019">
        <v>0.1027</v>
      </c>
    </row>
    <row r="2020" spans="1:6" x14ac:dyDescent="0.3">
      <c r="A2020" t="s">
        <v>2055</v>
      </c>
      <c r="B2020" t="s">
        <v>41</v>
      </c>
      <c r="C2020">
        <v>2120000</v>
      </c>
      <c r="D2020">
        <v>6377910.2999999998</v>
      </c>
      <c r="E2020">
        <v>3.8399999999999997E-2</v>
      </c>
      <c r="F2020">
        <v>9.5100000000000004E-2</v>
      </c>
    </row>
    <row r="2021" spans="1:6" x14ac:dyDescent="0.3">
      <c r="A2021" t="s">
        <v>2056</v>
      </c>
      <c r="B2021" t="s">
        <v>35</v>
      </c>
      <c r="C2021">
        <v>2740000</v>
      </c>
      <c r="D2021">
        <v>903341</v>
      </c>
      <c r="E2021">
        <v>3.0499999999999999E-2</v>
      </c>
      <c r="F2021">
        <v>7.5899999999999995E-2</v>
      </c>
    </row>
    <row r="2022" spans="1:6" x14ac:dyDescent="0.3">
      <c r="A2022" t="s">
        <v>2057</v>
      </c>
      <c r="B2022" t="s">
        <v>81</v>
      </c>
      <c r="C2022">
        <v>1470000</v>
      </c>
      <c r="D2022">
        <v>818.5</v>
      </c>
      <c r="E2022">
        <v>4.6199999999999998E-2</v>
      </c>
      <c r="F2022">
        <v>7.5899999999999995E-2</v>
      </c>
    </row>
    <row r="2023" spans="1:6" x14ac:dyDescent="0.3">
      <c r="A2023" t="s">
        <v>2058</v>
      </c>
      <c r="B2023" t="s">
        <v>50</v>
      </c>
      <c r="C2023">
        <v>1920000</v>
      </c>
      <c r="D2023">
        <v>220651.6</v>
      </c>
      <c r="E2023">
        <v>4.58E-2</v>
      </c>
      <c r="F2023">
        <v>9.5100000000000004E-2</v>
      </c>
    </row>
    <row r="2024" spans="1:6" x14ac:dyDescent="0.3">
      <c r="A2024" t="s">
        <v>2059</v>
      </c>
      <c r="B2024" t="s">
        <v>26</v>
      </c>
      <c r="C2024">
        <v>1860000</v>
      </c>
      <c r="D2024">
        <v>1476390.4</v>
      </c>
      <c r="E2024">
        <v>3.1099999999999999E-2</v>
      </c>
      <c r="F2024">
        <v>5.1799999999999999E-2</v>
      </c>
    </row>
    <row r="2025" spans="1:6" x14ac:dyDescent="0.3">
      <c r="A2025" t="s">
        <v>2060</v>
      </c>
      <c r="B2025" t="s">
        <v>81</v>
      </c>
      <c r="C2025">
        <v>1540000</v>
      </c>
      <c r="D2025">
        <v>23054.400000000001</v>
      </c>
      <c r="E2025">
        <v>5.7999999999999996E-3</v>
      </c>
      <c r="F2025">
        <v>6.54E-2</v>
      </c>
    </row>
    <row r="2026" spans="1:6" x14ac:dyDescent="0.3">
      <c r="A2026" t="s">
        <v>2061</v>
      </c>
      <c r="B2026" t="s">
        <v>30</v>
      </c>
      <c r="C2026">
        <v>1790000</v>
      </c>
      <c r="D2026">
        <v>100630.7</v>
      </c>
      <c r="E2026">
        <v>1.5100000000000001E-2</v>
      </c>
      <c r="F2026">
        <v>4.6199999999999998E-2</v>
      </c>
    </row>
    <row r="2027" spans="1:6" x14ac:dyDescent="0.3">
      <c r="A2027" t="s">
        <v>2062</v>
      </c>
      <c r="B2027" t="s">
        <v>24</v>
      </c>
      <c r="C2027">
        <v>1540000</v>
      </c>
      <c r="D2027">
        <v>2322.6999999999998</v>
      </c>
      <c r="E2027">
        <v>2.9600000000000001E-2</v>
      </c>
      <c r="F2027">
        <v>5.1400000000000001E-2</v>
      </c>
    </row>
    <row r="2028" spans="1:6" x14ac:dyDescent="0.3">
      <c r="A2028" t="s">
        <v>2063</v>
      </c>
      <c r="B2028" t="s">
        <v>21</v>
      </c>
      <c r="C2028">
        <v>1530000</v>
      </c>
      <c r="D2028">
        <v>909.5</v>
      </c>
      <c r="E2028">
        <v>2.7099999999999999E-2</v>
      </c>
      <c r="F2028">
        <v>5.0999999999999997E-2</v>
      </c>
    </row>
    <row r="2029" spans="1:6" x14ac:dyDescent="0.3">
      <c r="A2029" t="s">
        <v>2064</v>
      </c>
      <c r="B2029" t="s">
        <v>74</v>
      </c>
      <c r="C2029">
        <v>1920000</v>
      </c>
      <c r="D2029">
        <v>1094295.8</v>
      </c>
      <c r="E2029">
        <v>4.4200000000000003E-2</v>
      </c>
      <c r="F2029">
        <v>9.5100000000000004E-2</v>
      </c>
    </row>
    <row r="2030" spans="1:6" x14ac:dyDescent="0.3">
      <c r="A2030" t="s">
        <v>2065</v>
      </c>
      <c r="B2030" t="s">
        <v>214</v>
      </c>
      <c r="C2030">
        <v>2260000</v>
      </c>
      <c r="D2030">
        <v>11040.1</v>
      </c>
      <c r="E2030">
        <v>4.19E-2</v>
      </c>
      <c r="F2030">
        <v>9.3799999999999994E-2</v>
      </c>
    </row>
    <row r="2031" spans="1:6" x14ac:dyDescent="0.3">
      <c r="A2031" t="s">
        <v>2066</v>
      </c>
      <c r="B2031" t="s">
        <v>21</v>
      </c>
      <c r="C2031">
        <v>1700000</v>
      </c>
      <c r="D2031">
        <v>82802.7</v>
      </c>
      <c r="E2031">
        <v>1.52E-2</v>
      </c>
      <c r="F2031">
        <v>6.4699999999999994E-2</v>
      </c>
    </row>
    <row r="2032" spans="1:6" x14ac:dyDescent="0.3">
      <c r="A2032" t="s">
        <v>2067</v>
      </c>
      <c r="B2032" t="s">
        <v>88</v>
      </c>
      <c r="C2032">
        <v>2830000</v>
      </c>
      <c r="D2032">
        <v>63397.4</v>
      </c>
      <c r="E2032">
        <v>3.8399999999999997E-2</v>
      </c>
      <c r="F2032">
        <v>9.3799999999999994E-2</v>
      </c>
    </row>
    <row r="2033" spans="1:6" x14ac:dyDescent="0.3">
      <c r="A2033" t="s">
        <v>2068</v>
      </c>
      <c r="B2033" t="s">
        <v>41</v>
      </c>
      <c r="C2033">
        <v>3250000</v>
      </c>
      <c r="D2033">
        <v>968673.5</v>
      </c>
      <c r="E2033">
        <v>4.6399999999999997E-2</v>
      </c>
      <c r="F2033">
        <v>4.0899999999999999E-2</v>
      </c>
    </row>
    <row r="2034" spans="1:6" x14ac:dyDescent="0.3">
      <c r="A2034" t="s">
        <v>2069</v>
      </c>
      <c r="B2034" t="s">
        <v>24</v>
      </c>
      <c r="C2034">
        <v>2020000</v>
      </c>
      <c r="D2034">
        <v>400651.7</v>
      </c>
      <c r="E2034">
        <v>4.8800000000000003E-2</v>
      </c>
      <c r="F2034">
        <v>9.5100000000000004E-2</v>
      </c>
    </row>
    <row r="2035" spans="1:6" x14ac:dyDescent="0.3">
      <c r="A2035" t="s">
        <v>2070</v>
      </c>
      <c r="B2035" t="s">
        <v>21</v>
      </c>
      <c r="C2035">
        <v>1790000</v>
      </c>
      <c r="D2035">
        <v>31680.6</v>
      </c>
      <c r="F2035">
        <v>7.5899999999999995E-2</v>
      </c>
    </row>
    <row r="2036" spans="1:6" x14ac:dyDescent="0.3">
      <c r="A2036" t="s">
        <v>2071</v>
      </c>
      <c r="B2036" t="s">
        <v>71</v>
      </c>
      <c r="C2036">
        <v>1510000</v>
      </c>
      <c r="D2036">
        <v>3698.2</v>
      </c>
      <c r="E2036">
        <v>3.2300000000000002E-2</v>
      </c>
      <c r="F2036">
        <v>5.0999999999999997E-2</v>
      </c>
    </row>
    <row r="2037" spans="1:6" x14ac:dyDescent="0.3">
      <c r="A2037" t="s">
        <v>2072</v>
      </c>
      <c r="B2037" t="s">
        <v>24</v>
      </c>
      <c r="C2037">
        <v>2020000</v>
      </c>
      <c r="D2037">
        <v>1920.5</v>
      </c>
      <c r="E2037">
        <v>2.0899999999999998E-2</v>
      </c>
      <c r="F2037">
        <v>0.1053</v>
      </c>
    </row>
    <row r="2038" spans="1:6" x14ac:dyDescent="0.3">
      <c r="A2038" t="s">
        <v>2073</v>
      </c>
      <c r="B2038" t="s">
        <v>24</v>
      </c>
      <c r="C2038">
        <v>1400000</v>
      </c>
      <c r="D2038">
        <v>454231.7</v>
      </c>
      <c r="E2038">
        <v>1.8599999999999998E-2</v>
      </c>
      <c r="F2038">
        <v>8.1500000000000003E-2</v>
      </c>
    </row>
    <row r="2039" spans="1:6" x14ac:dyDescent="0.3">
      <c r="A2039" t="s">
        <v>2074</v>
      </c>
      <c r="B2039" t="s">
        <v>62</v>
      </c>
      <c r="C2039">
        <v>2970000</v>
      </c>
      <c r="D2039">
        <v>24448.400000000001</v>
      </c>
      <c r="E2039">
        <v>4.7500000000000001E-2</v>
      </c>
      <c r="F2039">
        <v>9.3799999999999994E-2</v>
      </c>
    </row>
    <row r="2040" spans="1:6" x14ac:dyDescent="0.3">
      <c r="A2040" t="s">
        <v>2075</v>
      </c>
      <c r="B2040" t="s">
        <v>53</v>
      </c>
      <c r="C2040">
        <v>1710000</v>
      </c>
      <c r="D2040">
        <v>89002.4</v>
      </c>
      <c r="E2040">
        <v>4.36E-2</v>
      </c>
      <c r="F2040">
        <v>9.5100000000000004E-2</v>
      </c>
    </row>
    <row r="2041" spans="1:6" x14ac:dyDescent="0.3">
      <c r="A2041" t="s">
        <v>2076</v>
      </c>
      <c r="B2041" t="s">
        <v>26</v>
      </c>
      <c r="C2041">
        <v>1520000</v>
      </c>
      <c r="D2041">
        <v>4828</v>
      </c>
      <c r="E2041">
        <v>4.7600000000000003E-2</v>
      </c>
      <c r="F2041">
        <v>7.5899999999999995E-2</v>
      </c>
    </row>
    <row r="2042" spans="1:6" x14ac:dyDescent="0.3">
      <c r="A2042" t="s">
        <v>2077</v>
      </c>
      <c r="B2042" t="s">
        <v>26</v>
      </c>
      <c r="C2042">
        <v>1530000</v>
      </c>
      <c r="D2042">
        <v>25092.9</v>
      </c>
      <c r="E2042">
        <v>1.6299999999999999E-2</v>
      </c>
      <c r="F2042">
        <v>0.1067</v>
      </c>
    </row>
    <row r="2043" spans="1:6" x14ac:dyDescent="0.3">
      <c r="A2043" t="s">
        <v>2078</v>
      </c>
      <c r="B2043" t="s">
        <v>32</v>
      </c>
      <c r="C2043">
        <v>1640000</v>
      </c>
      <c r="D2043">
        <v>5174.1000000000004</v>
      </c>
      <c r="E2043">
        <v>2.7799999999999998E-2</v>
      </c>
      <c r="F2043">
        <v>0.11700000000000001</v>
      </c>
    </row>
    <row r="2044" spans="1:6" x14ac:dyDescent="0.3">
      <c r="A2044" t="s">
        <v>2079</v>
      </c>
      <c r="B2044" t="s">
        <v>21</v>
      </c>
      <c r="C2044">
        <v>1810000</v>
      </c>
      <c r="D2044">
        <v>35865.1</v>
      </c>
      <c r="E2044">
        <v>1.8499999999999999E-2</v>
      </c>
      <c r="F2044">
        <v>5.7599999999999998E-2</v>
      </c>
    </row>
    <row r="2045" spans="1:6" x14ac:dyDescent="0.3">
      <c r="A2045" t="s">
        <v>2080</v>
      </c>
      <c r="B2045" t="s">
        <v>26</v>
      </c>
      <c r="C2045">
        <v>1600000</v>
      </c>
      <c r="D2045">
        <v>162000.20000000001</v>
      </c>
      <c r="E2045">
        <v>2.7400000000000001E-2</v>
      </c>
      <c r="F2045">
        <v>9.5100000000000004E-2</v>
      </c>
    </row>
    <row r="2046" spans="1:6" x14ac:dyDescent="0.3">
      <c r="A2046" t="s">
        <v>2081</v>
      </c>
      <c r="B2046" t="s">
        <v>74</v>
      </c>
      <c r="C2046">
        <v>1860000</v>
      </c>
      <c r="D2046">
        <v>57010.6</v>
      </c>
      <c r="E2046">
        <v>3.2399999999999998E-2</v>
      </c>
      <c r="F2046">
        <v>5.3800000000000001E-2</v>
      </c>
    </row>
    <row r="2047" spans="1:6" x14ac:dyDescent="0.3">
      <c r="A2047" t="s">
        <v>2082</v>
      </c>
      <c r="B2047" t="s">
        <v>30</v>
      </c>
      <c r="C2047">
        <v>1640000</v>
      </c>
      <c r="D2047">
        <v>78416.2</v>
      </c>
      <c r="E2047">
        <v>1.1900000000000001E-2</v>
      </c>
      <c r="F2047">
        <v>8.2199999999999995E-2</v>
      </c>
    </row>
    <row r="2048" spans="1:6" x14ac:dyDescent="0.3">
      <c r="A2048" t="s">
        <v>2083</v>
      </c>
      <c r="B2048" t="s">
        <v>26</v>
      </c>
      <c r="C2048">
        <v>2030000</v>
      </c>
      <c r="D2048">
        <v>512432.2</v>
      </c>
      <c r="E2048">
        <v>2.3800000000000002E-2</v>
      </c>
      <c r="F2048">
        <v>5.1799999999999999E-2</v>
      </c>
    </row>
    <row r="2049" spans="1:6" x14ac:dyDescent="0.3">
      <c r="A2049" t="s">
        <v>2084</v>
      </c>
      <c r="B2049" t="s">
        <v>62</v>
      </c>
      <c r="C2049">
        <v>1860000</v>
      </c>
      <c r="D2049">
        <v>2756.7</v>
      </c>
      <c r="E2049">
        <v>1.06E-2</v>
      </c>
      <c r="F2049">
        <v>8.1100000000000005E-2</v>
      </c>
    </row>
    <row r="2050" spans="1:6" x14ac:dyDescent="0.3">
      <c r="A2050" t="s">
        <v>2085</v>
      </c>
      <c r="B2050" t="s">
        <v>26</v>
      </c>
      <c r="C2050">
        <v>1740000</v>
      </c>
      <c r="D2050">
        <v>120064.5</v>
      </c>
      <c r="E2050">
        <v>7.6899999999999996E-2</v>
      </c>
      <c r="F2050">
        <v>9.3799999999999994E-2</v>
      </c>
    </row>
    <row r="2051" spans="1:6" x14ac:dyDescent="0.3">
      <c r="A2051" t="s">
        <v>2086</v>
      </c>
      <c r="B2051" t="s">
        <v>41</v>
      </c>
      <c r="C2051">
        <v>1510000</v>
      </c>
      <c r="D2051">
        <v>552.9</v>
      </c>
      <c r="E2051">
        <v>1.54E-2</v>
      </c>
      <c r="F2051">
        <v>0.1013</v>
      </c>
    </row>
    <row r="2052" spans="1:6" x14ac:dyDescent="0.3">
      <c r="A2052" t="s">
        <v>2087</v>
      </c>
      <c r="B2052" t="s">
        <v>41</v>
      </c>
      <c r="C2052">
        <v>1510000</v>
      </c>
      <c r="D2052">
        <v>29250.3</v>
      </c>
      <c r="E2052">
        <v>9.7799999999999998E-2</v>
      </c>
      <c r="F2052">
        <v>7.5899999999999995E-2</v>
      </c>
    </row>
    <row r="2053" spans="1:6" x14ac:dyDescent="0.3">
      <c r="A2053" t="s">
        <v>2088</v>
      </c>
      <c r="B2053" t="s">
        <v>88</v>
      </c>
      <c r="C2053">
        <v>1430000</v>
      </c>
      <c r="D2053">
        <v>27494.9</v>
      </c>
      <c r="E2053">
        <v>5.6500000000000002E-2</v>
      </c>
      <c r="F2053">
        <v>7.5899999999999995E-2</v>
      </c>
    </row>
    <row r="2054" spans="1:6" x14ac:dyDescent="0.3">
      <c r="A2054" t="s">
        <v>2089</v>
      </c>
      <c r="B2054" t="s">
        <v>28</v>
      </c>
      <c r="C2054">
        <v>1630000</v>
      </c>
      <c r="D2054">
        <v>6672.5</v>
      </c>
      <c r="E2054">
        <v>4.5999999999999999E-3</v>
      </c>
      <c r="F2054">
        <v>8.2199999999999995E-2</v>
      </c>
    </row>
    <row r="2055" spans="1:6" x14ac:dyDescent="0.3">
      <c r="A2055" t="s">
        <v>2090</v>
      </c>
      <c r="B2055" t="s">
        <v>92</v>
      </c>
      <c r="C2055">
        <v>2360000</v>
      </c>
      <c r="D2055">
        <v>380319.2</v>
      </c>
      <c r="E2055">
        <v>2.2100000000000002E-2</v>
      </c>
      <c r="F2055">
        <v>4.0899999999999999E-2</v>
      </c>
    </row>
    <row r="2056" spans="1:6" x14ac:dyDescent="0.3">
      <c r="A2056" t="s">
        <v>2091</v>
      </c>
      <c r="B2056" t="s">
        <v>41</v>
      </c>
      <c r="C2056">
        <v>2090000</v>
      </c>
      <c r="D2056">
        <v>52925.3</v>
      </c>
      <c r="E2056">
        <v>2.1700000000000001E-2</v>
      </c>
      <c r="F2056">
        <v>4.0899999999999999E-2</v>
      </c>
    </row>
    <row r="2057" spans="1:6" x14ac:dyDescent="0.3">
      <c r="A2057" t="s">
        <v>2092</v>
      </c>
      <c r="B2057" t="s">
        <v>26</v>
      </c>
      <c r="C2057">
        <v>1600000</v>
      </c>
      <c r="D2057">
        <v>510.9</v>
      </c>
      <c r="E2057">
        <v>1.55E-2</v>
      </c>
      <c r="F2057">
        <v>0.1013</v>
      </c>
    </row>
    <row r="2058" spans="1:6" x14ac:dyDescent="0.3">
      <c r="A2058" t="s">
        <v>2093</v>
      </c>
      <c r="B2058" t="s">
        <v>26</v>
      </c>
      <c r="C2058">
        <v>675000</v>
      </c>
      <c r="D2058">
        <v>15906</v>
      </c>
      <c r="E2058">
        <v>3.5000000000000003E-2</v>
      </c>
      <c r="F2058">
        <v>5.4600000000000003E-2</v>
      </c>
    </row>
    <row r="2059" spans="1:6" x14ac:dyDescent="0.3">
      <c r="A2059" t="s">
        <v>2094</v>
      </c>
      <c r="B2059" t="s">
        <v>32</v>
      </c>
      <c r="C2059">
        <v>1840000</v>
      </c>
      <c r="D2059">
        <v>892.7</v>
      </c>
      <c r="E2059">
        <v>6.7999999999999996E-3</v>
      </c>
      <c r="F2059">
        <v>8.1100000000000005E-2</v>
      </c>
    </row>
    <row r="2060" spans="1:6" x14ac:dyDescent="0.3">
      <c r="A2060" t="s">
        <v>2095</v>
      </c>
      <c r="B2060" t="s">
        <v>92</v>
      </c>
      <c r="C2060">
        <v>1660000</v>
      </c>
      <c r="D2060">
        <v>10683.3</v>
      </c>
      <c r="E2060">
        <v>4.5699999999999998E-2</v>
      </c>
      <c r="F2060">
        <v>4.1200000000000001E-2</v>
      </c>
    </row>
    <row r="2061" spans="1:6" x14ac:dyDescent="0.3">
      <c r="A2061" t="s">
        <v>2096</v>
      </c>
      <c r="B2061" t="s">
        <v>26</v>
      </c>
      <c r="C2061">
        <v>2180000</v>
      </c>
      <c r="D2061">
        <v>597393.4</v>
      </c>
      <c r="E2061">
        <v>5.33E-2</v>
      </c>
      <c r="F2061">
        <v>6.7199999999999996E-2</v>
      </c>
    </row>
    <row r="2062" spans="1:6" x14ac:dyDescent="0.3">
      <c r="A2062" t="s">
        <v>2097</v>
      </c>
      <c r="B2062" t="s">
        <v>26</v>
      </c>
      <c r="C2062">
        <v>1440000</v>
      </c>
      <c r="D2062">
        <v>2703.1</v>
      </c>
      <c r="E2062">
        <v>1.95E-2</v>
      </c>
      <c r="F2062">
        <v>0.1067</v>
      </c>
    </row>
    <row r="2063" spans="1:6" x14ac:dyDescent="0.3">
      <c r="A2063" t="s">
        <v>2098</v>
      </c>
      <c r="B2063" t="s">
        <v>24</v>
      </c>
      <c r="C2063">
        <v>1910000</v>
      </c>
      <c r="D2063">
        <v>1347.3</v>
      </c>
      <c r="E2063">
        <v>7.7100000000000002E-2</v>
      </c>
      <c r="F2063">
        <v>9.3799999999999994E-2</v>
      </c>
    </row>
    <row r="2064" spans="1:6" x14ac:dyDescent="0.3">
      <c r="A2064" t="s">
        <v>2099</v>
      </c>
      <c r="B2064" t="s">
        <v>62</v>
      </c>
      <c r="C2064">
        <v>1960000</v>
      </c>
      <c r="D2064">
        <v>984966.3</v>
      </c>
      <c r="E2064">
        <v>3.5900000000000001E-2</v>
      </c>
      <c r="F2064">
        <v>4.0899999999999999E-2</v>
      </c>
    </row>
    <row r="2065" spans="1:6" x14ac:dyDescent="0.3">
      <c r="A2065" t="s">
        <v>2100</v>
      </c>
      <c r="B2065" t="s">
        <v>26</v>
      </c>
      <c r="C2065">
        <v>1840000</v>
      </c>
      <c r="D2065">
        <v>2676791.4</v>
      </c>
      <c r="E2065">
        <v>3.7000000000000002E-3</v>
      </c>
      <c r="F2065">
        <v>8.2199999999999995E-2</v>
      </c>
    </row>
    <row r="2066" spans="1:6" x14ac:dyDescent="0.3">
      <c r="A2066" t="s">
        <v>2101</v>
      </c>
      <c r="B2066" t="s">
        <v>32</v>
      </c>
      <c r="C2066">
        <v>1710000</v>
      </c>
      <c r="D2066">
        <v>96807.3</v>
      </c>
      <c r="E2066">
        <v>7.7999999999999996E-3</v>
      </c>
      <c r="F2066">
        <v>8.1100000000000005E-2</v>
      </c>
    </row>
    <row r="2067" spans="1:6" x14ac:dyDescent="0.3">
      <c r="A2067" t="s">
        <v>2102</v>
      </c>
      <c r="B2067" t="s">
        <v>287</v>
      </c>
      <c r="C2067">
        <v>1500000</v>
      </c>
      <c r="D2067">
        <v>10981.5</v>
      </c>
      <c r="E2067">
        <v>4.6800000000000001E-2</v>
      </c>
      <c r="F2067">
        <v>0.1535</v>
      </c>
    </row>
    <row r="2068" spans="1:6" x14ac:dyDescent="0.3">
      <c r="A2068" t="s">
        <v>2103</v>
      </c>
      <c r="B2068" t="s">
        <v>26</v>
      </c>
      <c r="C2068">
        <v>1840000</v>
      </c>
      <c r="D2068">
        <v>914458.7</v>
      </c>
      <c r="E2068">
        <v>2.24E-2</v>
      </c>
      <c r="F2068">
        <v>4.0899999999999999E-2</v>
      </c>
    </row>
    <row r="2069" spans="1:6" x14ac:dyDescent="0.3">
      <c r="A2069" t="s">
        <v>2104</v>
      </c>
      <c r="B2069" t="s">
        <v>26</v>
      </c>
      <c r="C2069">
        <v>1750000</v>
      </c>
      <c r="D2069">
        <v>73051.7</v>
      </c>
      <c r="E2069">
        <v>2.24E-2</v>
      </c>
      <c r="F2069">
        <v>5.1799999999999999E-2</v>
      </c>
    </row>
    <row r="2070" spans="1:6" x14ac:dyDescent="0.3">
      <c r="A2070" t="s">
        <v>2105</v>
      </c>
      <c r="B2070" t="s">
        <v>92</v>
      </c>
      <c r="C2070">
        <v>1860000</v>
      </c>
      <c r="D2070">
        <v>56702.2</v>
      </c>
      <c r="E2070">
        <v>0.02</v>
      </c>
      <c r="F2070">
        <v>6.08E-2</v>
      </c>
    </row>
    <row r="2071" spans="1:6" x14ac:dyDescent="0.3">
      <c r="A2071" t="s">
        <v>2106</v>
      </c>
      <c r="B2071" t="s">
        <v>92</v>
      </c>
      <c r="C2071">
        <v>1530000</v>
      </c>
      <c r="D2071">
        <v>40044.400000000001</v>
      </c>
      <c r="E2071">
        <v>3.15E-2</v>
      </c>
      <c r="F2071">
        <v>7.5899999999999995E-2</v>
      </c>
    </row>
    <row r="2072" spans="1:6" x14ac:dyDescent="0.3">
      <c r="A2072" t="s">
        <v>2107</v>
      </c>
      <c r="B2072" t="s">
        <v>92</v>
      </c>
      <c r="C2072">
        <v>2560000</v>
      </c>
      <c r="D2072">
        <v>41730.1</v>
      </c>
      <c r="E2072">
        <v>1.12E-2</v>
      </c>
      <c r="F2072">
        <v>0.18659999999999999</v>
      </c>
    </row>
    <row r="2073" spans="1:6" x14ac:dyDescent="0.3">
      <c r="A2073" t="s">
        <v>2108</v>
      </c>
      <c r="B2073" t="s">
        <v>26</v>
      </c>
      <c r="C2073">
        <v>1590000</v>
      </c>
      <c r="D2073">
        <v>193849.1</v>
      </c>
      <c r="E2073">
        <v>2.3900000000000001E-2</v>
      </c>
      <c r="F2073">
        <v>9.5100000000000004E-2</v>
      </c>
    </row>
    <row r="2074" spans="1:6" x14ac:dyDescent="0.3">
      <c r="A2074" t="s">
        <v>2109</v>
      </c>
      <c r="B2074" t="s">
        <v>26</v>
      </c>
      <c r="C2074">
        <v>1570000</v>
      </c>
      <c r="D2074">
        <v>61722.5</v>
      </c>
      <c r="E2074">
        <v>3.5299999999999998E-2</v>
      </c>
      <c r="F2074">
        <v>4.0899999999999999E-2</v>
      </c>
    </row>
    <row r="2075" spans="1:6" x14ac:dyDescent="0.3">
      <c r="A2075" t="s">
        <v>2110</v>
      </c>
      <c r="B2075" t="s">
        <v>26</v>
      </c>
      <c r="C2075">
        <v>1670000</v>
      </c>
      <c r="D2075">
        <v>848296.7</v>
      </c>
      <c r="E2075">
        <v>2.3E-2</v>
      </c>
      <c r="F2075">
        <v>4.0899999999999999E-2</v>
      </c>
    </row>
    <row r="2076" spans="1:6" x14ac:dyDescent="0.3">
      <c r="A2076" t="s">
        <v>2111</v>
      </c>
      <c r="B2076" t="s">
        <v>21</v>
      </c>
      <c r="C2076">
        <v>1580000</v>
      </c>
      <c r="D2076">
        <v>942701.4</v>
      </c>
      <c r="E2076">
        <v>3.1600000000000003E-2</v>
      </c>
      <c r="F2076">
        <v>5.1799999999999999E-2</v>
      </c>
    </row>
    <row r="2077" spans="1:6" x14ac:dyDescent="0.3">
      <c r="A2077" t="s">
        <v>2112</v>
      </c>
      <c r="B2077" t="s">
        <v>21</v>
      </c>
      <c r="C2077">
        <v>1920000</v>
      </c>
      <c r="D2077">
        <v>21237.5</v>
      </c>
      <c r="E2077">
        <v>6.3E-3</v>
      </c>
      <c r="F2077">
        <v>6.54E-2</v>
      </c>
    </row>
    <row r="2078" spans="1:6" x14ac:dyDescent="0.3">
      <c r="A2078" t="s">
        <v>2113</v>
      </c>
      <c r="B2078" t="s">
        <v>41</v>
      </c>
      <c r="C2078">
        <v>1730000</v>
      </c>
      <c r="D2078">
        <v>2137</v>
      </c>
      <c r="E2078">
        <v>3.7400000000000003E-2</v>
      </c>
      <c r="F2078">
        <v>5.7000000000000002E-2</v>
      </c>
    </row>
    <row r="2079" spans="1:6" x14ac:dyDescent="0.3">
      <c r="A2079" t="s">
        <v>2114</v>
      </c>
      <c r="B2079" t="s">
        <v>53</v>
      </c>
      <c r="C2079">
        <v>1720000</v>
      </c>
      <c r="D2079">
        <v>9204.4</v>
      </c>
      <c r="E2079">
        <v>2.8799999999999999E-2</v>
      </c>
      <c r="F2079">
        <v>5.0999999999999997E-2</v>
      </c>
    </row>
    <row r="2080" spans="1:6" x14ac:dyDescent="0.3">
      <c r="A2080" t="s">
        <v>2115</v>
      </c>
      <c r="B2080" t="s">
        <v>92</v>
      </c>
      <c r="C2080">
        <v>2620000</v>
      </c>
      <c r="D2080">
        <v>83588.7</v>
      </c>
      <c r="E2080">
        <v>2.8799999999999999E-2</v>
      </c>
      <c r="F2080">
        <v>9.3799999999999994E-2</v>
      </c>
    </row>
    <row r="2081" spans="1:6" x14ac:dyDescent="0.3">
      <c r="A2081" t="s">
        <v>2116</v>
      </c>
      <c r="B2081" t="s">
        <v>26</v>
      </c>
      <c r="C2081">
        <v>687000</v>
      </c>
      <c r="D2081">
        <v>18115.099999999999</v>
      </c>
      <c r="E2081">
        <v>1.78E-2</v>
      </c>
      <c r="F2081">
        <v>6.08E-2</v>
      </c>
    </row>
    <row r="2082" spans="1:6" x14ac:dyDescent="0.3">
      <c r="A2082" t="s">
        <v>2117</v>
      </c>
      <c r="B2082" t="s">
        <v>30</v>
      </c>
      <c r="C2082">
        <v>2920000</v>
      </c>
      <c r="D2082">
        <v>299364.8</v>
      </c>
      <c r="F2082">
        <v>9.3799999999999994E-2</v>
      </c>
    </row>
    <row r="2083" spans="1:6" x14ac:dyDescent="0.3">
      <c r="A2083" t="s">
        <v>2118</v>
      </c>
      <c r="B2083" t="s">
        <v>26</v>
      </c>
      <c r="C2083">
        <v>2800000</v>
      </c>
      <c r="D2083">
        <v>1020664.8</v>
      </c>
      <c r="E2083">
        <v>5.6300000000000003E-2</v>
      </c>
      <c r="F2083">
        <v>4.0899999999999999E-2</v>
      </c>
    </row>
    <row r="2084" spans="1:6" x14ac:dyDescent="0.3">
      <c r="A2084" t="s">
        <v>2119</v>
      </c>
      <c r="B2084" t="s">
        <v>214</v>
      </c>
      <c r="C2084">
        <v>1500000</v>
      </c>
      <c r="D2084">
        <v>103987.4</v>
      </c>
      <c r="E2084">
        <v>1.9199999999999998E-2</v>
      </c>
      <c r="F2084">
        <v>0.1067</v>
      </c>
    </row>
    <row r="2085" spans="1:6" x14ac:dyDescent="0.3">
      <c r="A2085" t="s">
        <v>2120</v>
      </c>
      <c r="B2085" t="s">
        <v>41</v>
      </c>
      <c r="C2085">
        <v>2200000</v>
      </c>
      <c r="D2085">
        <v>911.4</v>
      </c>
      <c r="E2085">
        <v>4.8800000000000003E-2</v>
      </c>
      <c r="F2085">
        <v>9.3799999999999994E-2</v>
      </c>
    </row>
    <row r="2086" spans="1:6" x14ac:dyDescent="0.3">
      <c r="A2086" t="s">
        <v>2121</v>
      </c>
      <c r="B2086" t="s">
        <v>41</v>
      </c>
      <c r="C2086">
        <v>1800000</v>
      </c>
      <c r="D2086">
        <v>5368.6</v>
      </c>
      <c r="E2086">
        <v>2.76E-2</v>
      </c>
      <c r="F2086">
        <v>9.3799999999999994E-2</v>
      </c>
    </row>
    <row r="2087" spans="1:6" x14ac:dyDescent="0.3">
      <c r="A2087" t="s">
        <v>2122</v>
      </c>
      <c r="B2087" t="s">
        <v>30</v>
      </c>
      <c r="C2087">
        <v>3320000</v>
      </c>
      <c r="D2087">
        <v>208909.6</v>
      </c>
      <c r="E2087">
        <v>1.3899999999999999E-2</v>
      </c>
      <c r="F2087">
        <v>8.5400000000000004E-2</v>
      </c>
    </row>
    <row r="2088" spans="1:6" x14ac:dyDescent="0.3">
      <c r="A2088" t="s">
        <v>2123</v>
      </c>
      <c r="B2088" t="s">
        <v>41</v>
      </c>
      <c r="C2088">
        <v>1520000</v>
      </c>
      <c r="D2088">
        <v>19669.900000000001</v>
      </c>
      <c r="E2088">
        <v>1.47E-2</v>
      </c>
      <c r="F2088">
        <v>0.1053</v>
      </c>
    </row>
    <row r="2089" spans="1:6" x14ac:dyDescent="0.3">
      <c r="A2089" t="s">
        <v>2124</v>
      </c>
      <c r="B2089" t="s">
        <v>92</v>
      </c>
      <c r="C2089">
        <v>1780000</v>
      </c>
      <c r="D2089">
        <v>19578.8</v>
      </c>
      <c r="E2089">
        <v>2.2100000000000002E-2</v>
      </c>
      <c r="F2089">
        <v>0.13100000000000001</v>
      </c>
    </row>
    <row r="2090" spans="1:6" x14ac:dyDescent="0.3">
      <c r="A2090" t="s">
        <v>2125</v>
      </c>
      <c r="B2090" t="s">
        <v>53</v>
      </c>
      <c r="C2090">
        <v>2050000</v>
      </c>
      <c r="D2090">
        <v>1285.5</v>
      </c>
      <c r="E2090">
        <v>3.09E-2</v>
      </c>
      <c r="F2090">
        <v>0.13869999999999999</v>
      </c>
    </row>
    <row r="2091" spans="1:6" x14ac:dyDescent="0.3">
      <c r="A2091" t="s">
        <v>2126</v>
      </c>
      <c r="B2091" t="s">
        <v>92</v>
      </c>
      <c r="C2091">
        <v>1610000</v>
      </c>
      <c r="D2091">
        <v>124828.8</v>
      </c>
      <c r="E2091">
        <v>1.8499999999999999E-2</v>
      </c>
      <c r="F2091">
        <v>0.1053</v>
      </c>
    </row>
    <row r="2092" spans="1:6" x14ac:dyDescent="0.3">
      <c r="A2092" t="s">
        <v>2127</v>
      </c>
      <c r="B2092" t="s">
        <v>26</v>
      </c>
      <c r="C2092">
        <v>2010000</v>
      </c>
      <c r="D2092">
        <v>7821.8</v>
      </c>
      <c r="E2092">
        <v>2.6800000000000001E-2</v>
      </c>
      <c r="F2092">
        <v>9.3799999999999994E-2</v>
      </c>
    </row>
    <row r="2093" spans="1:6" x14ac:dyDescent="0.3">
      <c r="A2093" t="s">
        <v>2128</v>
      </c>
      <c r="B2093" t="s">
        <v>92</v>
      </c>
      <c r="C2093">
        <v>1880000</v>
      </c>
      <c r="D2093">
        <v>36144.300000000003</v>
      </c>
      <c r="E2093">
        <v>1.5800000000000002E-2</v>
      </c>
      <c r="F2093">
        <v>4.6199999999999998E-2</v>
      </c>
    </row>
    <row r="2094" spans="1:6" x14ac:dyDescent="0.3">
      <c r="A2094" t="s">
        <v>2129</v>
      </c>
      <c r="B2094" t="s">
        <v>24</v>
      </c>
      <c r="C2094">
        <v>2000000</v>
      </c>
      <c r="D2094">
        <v>3095.5</v>
      </c>
      <c r="E2094">
        <v>1.4999999999999999E-2</v>
      </c>
      <c r="F2094">
        <v>5.7599999999999998E-2</v>
      </c>
    </row>
    <row r="2095" spans="1:6" x14ac:dyDescent="0.3">
      <c r="A2095" t="s">
        <v>2130</v>
      </c>
      <c r="B2095" t="s">
        <v>41</v>
      </c>
      <c r="C2095">
        <v>2110000</v>
      </c>
      <c r="D2095">
        <v>4369</v>
      </c>
      <c r="E2095">
        <v>2.07E-2</v>
      </c>
      <c r="F2095">
        <v>9.3799999999999994E-2</v>
      </c>
    </row>
    <row r="2096" spans="1:6" x14ac:dyDescent="0.3">
      <c r="A2096" t="s">
        <v>2131</v>
      </c>
      <c r="B2096" t="s">
        <v>50</v>
      </c>
      <c r="C2096">
        <v>1440000</v>
      </c>
      <c r="D2096">
        <v>396.3</v>
      </c>
      <c r="E2096">
        <v>5.7999999999999996E-3</v>
      </c>
      <c r="F2096">
        <v>8.2199999999999995E-2</v>
      </c>
    </row>
    <row r="2097" spans="1:6" x14ac:dyDescent="0.3">
      <c r="A2097" t="s">
        <v>2132</v>
      </c>
      <c r="B2097" t="s">
        <v>53</v>
      </c>
      <c r="C2097">
        <v>2470000</v>
      </c>
      <c r="D2097">
        <v>12328.7</v>
      </c>
      <c r="E2097">
        <v>9.7999999999999997E-3</v>
      </c>
      <c r="F2097">
        <v>6.54E-2</v>
      </c>
    </row>
    <row r="2098" spans="1:6" x14ac:dyDescent="0.3">
      <c r="A2098" t="s">
        <v>2133</v>
      </c>
      <c r="B2098" t="s">
        <v>50</v>
      </c>
      <c r="C2098">
        <v>1520000</v>
      </c>
      <c r="D2098">
        <v>16458.400000000001</v>
      </c>
      <c r="E2098">
        <v>6.5100000000000005E-2</v>
      </c>
      <c r="F2098">
        <v>7.5899999999999995E-2</v>
      </c>
    </row>
    <row r="2099" spans="1:6" x14ac:dyDescent="0.3">
      <c r="A2099" t="s">
        <v>2134</v>
      </c>
      <c r="B2099" t="s">
        <v>26</v>
      </c>
      <c r="C2099">
        <v>1680000</v>
      </c>
      <c r="D2099">
        <v>2247.6999999999998</v>
      </c>
      <c r="E2099">
        <v>2.3199999999999998E-2</v>
      </c>
      <c r="F2099">
        <v>9.3799999999999994E-2</v>
      </c>
    </row>
    <row r="2100" spans="1:6" x14ac:dyDescent="0.3">
      <c r="A2100" t="s">
        <v>2135</v>
      </c>
      <c r="B2100" t="s">
        <v>81</v>
      </c>
      <c r="C2100">
        <v>2430000</v>
      </c>
      <c r="D2100">
        <v>24520.7</v>
      </c>
      <c r="F2100">
        <v>5.0999999999999997E-2</v>
      </c>
    </row>
    <row r="2101" spans="1:6" x14ac:dyDescent="0.3">
      <c r="A2101" t="s">
        <v>2136</v>
      </c>
      <c r="B2101" t="s">
        <v>88</v>
      </c>
      <c r="C2101">
        <v>1820000</v>
      </c>
      <c r="D2101">
        <v>5151.6000000000004</v>
      </c>
      <c r="E2101">
        <v>3.2800000000000003E-2</v>
      </c>
      <c r="F2101">
        <v>7.5899999999999995E-2</v>
      </c>
    </row>
    <row r="2102" spans="1:6" x14ac:dyDescent="0.3">
      <c r="A2102" t="s">
        <v>2137</v>
      </c>
      <c r="B2102" t="s">
        <v>26</v>
      </c>
      <c r="C2102">
        <v>1970000</v>
      </c>
      <c r="D2102">
        <v>19744.400000000001</v>
      </c>
      <c r="E2102">
        <v>1.66E-2</v>
      </c>
      <c r="F2102">
        <v>4.6199999999999998E-2</v>
      </c>
    </row>
    <row r="2103" spans="1:6" x14ac:dyDescent="0.3">
      <c r="A2103" t="s">
        <v>2138</v>
      </c>
      <c r="B2103" t="s">
        <v>71</v>
      </c>
      <c r="C2103">
        <v>1500000</v>
      </c>
      <c r="D2103">
        <v>2123.3000000000002</v>
      </c>
      <c r="E2103">
        <v>3.27E-2</v>
      </c>
      <c r="F2103">
        <v>9.3799999999999994E-2</v>
      </c>
    </row>
    <row r="2104" spans="1:6" x14ac:dyDescent="0.3">
      <c r="A2104" t="s">
        <v>2139</v>
      </c>
      <c r="B2104" t="s">
        <v>26</v>
      </c>
      <c r="C2104">
        <v>1340000</v>
      </c>
      <c r="D2104">
        <v>2759665</v>
      </c>
      <c r="E2104">
        <v>3.3099999999999997E-2</v>
      </c>
      <c r="F2104">
        <v>5.1799999999999999E-2</v>
      </c>
    </row>
    <row r="2105" spans="1:6" x14ac:dyDescent="0.3">
      <c r="A2105" t="s">
        <v>2140</v>
      </c>
      <c r="B2105" t="s">
        <v>214</v>
      </c>
      <c r="C2105">
        <v>1480000</v>
      </c>
      <c r="D2105">
        <v>22909.5</v>
      </c>
      <c r="E2105">
        <v>2.29E-2</v>
      </c>
      <c r="F2105">
        <v>9.5100000000000004E-2</v>
      </c>
    </row>
    <row r="2106" spans="1:6" x14ac:dyDescent="0.3">
      <c r="A2106" t="s">
        <v>2141</v>
      </c>
      <c r="B2106" t="s">
        <v>92</v>
      </c>
      <c r="C2106">
        <v>1460000</v>
      </c>
      <c r="D2106">
        <v>3178.3</v>
      </c>
      <c r="E2106">
        <v>4.8500000000000001E-2</v>
      </c>
      <c r="F2106">
        <v>0.1241</v>
      </c>
    </row>
    <row r="2107" spans="1:6" x14ac:dyDescent="0.3">
      <c r="A2107" t="s">
        <v>2142</v>
      </c>
      <c r="B2107" t="s">
        <v>41</v>
      </c>
      <c r="C2107">
        <v>1710000</v>
      </c>
      <c r="D2107">
        <v>2070.1999999999998</v>
      </c>
      <c r="E2107">
        <v>2.63E-2</v>
      </c>
      <c r="F2107">
        <v>5.0999999999999997E-2</v>
      </c>
    </row>
    <row r="2108" spans="1:6" x14ac:dyDescent="0.3">
      <c r="A2108" t="s">
        <v>2143</v>
      </c>
      <c r="B2108" t="s">
        <v>92</v>
      </c>
      <c r="C2108">
        <v>1610000</v>
      </c>
      <c r="D2108">
        <v>10405.799999999999</v>
      </c>
      <c r="E2108">
        <v>2.8899999999999999E-2</v>
      </c>
      <c r="F2108">
        <v>7.5899999999999995E-2</v>
      </c>
    </row>
    <row r="2109" spans="1:6" x14ac:dyDescent="0.3">
      <c r="A2109" t="s">
        <v>2144</v>
      </c>
      <c r="B2109" t="s">
        <v>50</v>
      </c>
      <c r="C2109">
        <v>2190000</v>
      </c>
      <c r="D2109">
        <v>267500.2</v>
      </c>
      <c r="E2109">
        <v>3.95E-2</v>
      </c>
      <c r="F2109">
        <v>7.5899999999999995E-2</v>
      </c>
    </row>
    <row r="2110" spans="1:6" x14ac:dyDescent="0.3">
      <c r="A2110" t="s">
        <v>2145</v>
      </c>
      <c r="B2110" t="s">
        <v>21</v>
      </c>
      <c r="C2110">
        <v>1620000</v>
      </c>
      <c r="D2110">
        <v>466019.5</v>
      </c>
      <c r="E2110">
        <v>3.2800000000000003E-2</v>
      </c>
      <c r="F2110">
        <v>9.5100000000000004E-2</v>
      </c>
    </row>
    <row r="2111" spans="1:6" x14ac:dyDescent="0.3">
      <c r="A2111" t="s">
        <v>2146</v>
      </c>
      <c r="B2111" t="s">
        <v>287</v>
      </c>
      <c r="C2111">
        <v>1680000</v>
      </c>
      <c r="D2111">
        <v>3875.3</v>
      </c>
      <c r="E2111">
        <v>1.7999999999999999E-2</v>
      </c>
      <c r="F2111">
        <v>4.6199999999999998E-2</v>
      </c>
    </row>
    <row r="2112" spans="1:6" x14ac:dyDescent="0.3">
      <c r="A2112" t="s">
        <v>2147</v>
      </c>
      <c r="B2112" t="s">
        <v>26</v>
      </c>
      <c r="C2112">
        <v>1290000</v>
      </c>
      <c r="D2112">
        <v>4524.8</v>
      </c>
      <c r="F2112">
        <v>5.1799999999999999E-2</v>
      </c>
    </row>
    <row r="2113" spans="1:6" x14ac:dyDescent="0.3">
      <c r="A2113" t="s">
        <v>2148</v>
      </c>
      <c r="B2113" t="s">
        <v>62</v>
      </c>
      <c r="C2113">
        <v>1700000</v>
      </c>
      <c r="D2113">
        <v>11057.8</v>
      </c>
      <c r="E2113">
        <v>3.2800000000000003E-2</v>
      </c>
      <c r="F2113">
        <v>7.5899999999999995E-2</v>
      </c>
    </row>
    <row r="2114" spans="1:6" x14ac:dyDescent="0.3">
      <c r="A2114" t="s">
        <v>2149</v>
      </c>
      <c r="B2114" t="s">
        <v>26</v>
      </c>
      <c r="C2114">
        <v>1450000</v>
      </c>
      <c r="D2114">
        <v>1637.6</v>
      </c>
      <c r="E2114">
        <v>1.9099999999999999E-2</v>
      </c>
      <c r="F2114">
        <v>0.1053</v>
      </c>
    </row>
    <row r="2115" spans="1:6" x14ac:dyDescent="0.3">
      <c r="A2115" t="s">
        <v>2150</v>
      </c>
      <c r="B2115" t="s">
        <v>53</v>
      </c>
      <c r="C2115">
        <v>1480000</v>
      </c>
      <c r="D2115">
        <v>2368.9</v>
      </c>
      <c r="E2115">
        <v>3.0499999999999999E-2</v>
      </c>
      <c r="F2115">
        <v>7.5899999999999995E-2</v>
      </c>
    </row>
    <row r="2116" spans="1:6" x14ac:dyDescent="0.3">
      <c r="A2116" t="s">
        <v>2151</v>
      </c>
      <c r="B2116" t="s">
        <v>62</v>
      </c>
      <c r="C2116">
        <v>2590000</v>
      </c>
      <c r="D2116">
        <v>147422.79999999999</v>
      </c>
      <c r="E2116">
        <v>4.8899999999999999E-2</v>
      </c>
      <c r="F2116">
        <v>7.5899999999999995E-2</v>
      </c>
    </row>
    <row r="2117" spans="1:6" x14ac:dyDescent="0.3">
      <c r="A2117" t="s">
        <v>2152</v>
      </c>
      <c r="B2117" t="s">
        <v>35</v>
      </c>
      <c r="C2117">
        <v>1840000</v>
      </c>
      <c r="D2117">
        <v>40380.199999999997</v>
      </c>
      <c r="E2117">
        <v>5.6000000000000001E-2</v>
      </c>
      <c r="F2117">
        <v>7.5899999999999995E-2</v>
      </c>
    </row>
    <row r="2118" spans="1:6" x14ac:dyDescent="0.3">
      <c r="A2118" t="s">
        <v>2153</v>
      </c>
      <c r="B2118" t="s">
        <v>195</v>
      </c>
      <c r="C2118">
        <v>1390000</v>
      </c>
      <c r="D2118">
        <v>1725.9</v>
      </c>
      <c r="E2118">
        <v>2.07E-2</v>
      </c>
      <c r="F2118">
        <v>5.4600000000000003E-2</v>
      </c>
    </row>
    <row r="2119" spans="1:6" x14ac:dyDescent="0.3">
      <c r="A2119" t="s">
        <v>2154</v>
      </c>
      <c r="B2119" t="s">
        <v>21</v>
      </c>
      <c r="C2119">
        <v>1810000</v>
      </c>
      <c r="D2119">
        <v>315917.3</v>
      </c>
      <c r="E2119">
        <v>1.03E-2</v>
      </c>
      <c r="F2119">
        <v>6.8900000000000003E-2</v>
      </c>
    </row>
    <row r="2120" spans="1:6" x14ac:dyDescent="0.3">
      <c r="A2120" t="s">
        <v>2155</v>
      </c>
      <c r="B2120" t="s">
        <v>30</v>
      </c>
      <c r="C2120">
        <v>1690000</v>
      </c>
      <c r="D2120">
        <v>1425780.5</v>
      </c>
      <c r="E2120">
        <v>1.4E-3</v>
      </c>
      <c r="F2120">
        <v>6.54E-2</v>
      </c>
    </row>
    <row r="2121" spans="1:6" x14ac:dyDescent="0.3">
      <c r="A2121" t="s">
        <v>2156</v>
      </c>
      <c r="B2121" t="s">
        <v>53</v>
      </c>
      <c r="C2121">
        <v>2200000</v>
      </c>
      <c r="D2121">
        <v>1500.6</v>
      </c>
      <c r="E2121">
        <v>2.8999999999999998E-3</v>
      </c>
      <c r="F2121">
        <v>0.16800000000000001</v>
      </c>
    </row>
    <row r="2122" spans="1:6" x14ac:dyDescent="0.3">
      <c r="A2122" t="s">
        <v>2157</v>
      </c>
      <c r="B2122" t="s">
        <v>92</v>
      </c>
      <c r="C2122">
        <v>1480000</v>
      </c>
      <c r="D2122">
        <v>2407.9</v>
      </c>
      <c r="E2122">
        <v>4.3299999999999998E-2</v>
      </c>
      <c r="F2122">
        <v>7.5899999999999995E-2</v>
      </c>
    </row>
    <row r="2123" spans="1:6" x14ac:dyDescent="0.3">
      <c r="A2123" t="s">
        <v>2158</v>
      </c>
      <c r="B2123" t="s">
        <v>41</v>
      </c>
      <c r="C2123">
        <v>1720000</v>
      </c>
      <c r="D2123">
        <v>63471</v>
      </c>
      <c r="E2123">
        <v>9.7500000000000003E-2</v>
      </c>
      <c r="F2123">
        <v>7.5899999999999995E-2</v>
      </c>
    </row>
    <row r="2124" spans="1:6" x14ac:dyDescent="0.3">
      <c r="A2124" t="s">
        <v>2159</v>
      </c>
      <c r="B2124" t="s">
        <v>30</v>
      </c>
      <c r="C2124">
        <v>957000</v>
      </c>
      <c r="D2124">
        <v>257686.7</v>
      </c>
      <c r="E2124">
        <v>3.1800000000000002E-2</v>
      </c>
      <c r="F2124">
        <v>5.4600000000000003E-2</v>
      </c>
    </row>
    <row r="2125" spans="1:6" x14ac:dyDescent="0.3">
      <c r="A2125" t="s">
        <v>2160</v>
      </c>
      <c r="B2125" t="s">
        <v>74</v>
      </c>
      <c r="C2125">
        <v>1390000</v>
      </c>
      <c r="D2125">
        <v>129631.8</v>
      </c>
      <c r="E2125">
        <v>5.4899999999999997E-2</v>
      </c>
      <c r="F2125">
        <v>9.5100000000000004E-2</v>
      </c>
    </row>
    <row r="2126" spans="1:6" x14ac:dyDescent="0.3">
      <c r="A2126" t="s">
        <v>2161</v>
      </c>
      <c r="B2126" t="s">
        <v>26</v>
      </c>
      <c r="C2126">
        <v>1400000</v>
      </c>
      <c r="D2126">
        <v>73119.3</v>
      </c>
      <c r="F2126">
        <v>9.5100000000000004E-2</v>
      </c>
    </row>
    <row r="2127" spans="1:6" x14ac:dyDescent="0.3">
      <c r="A2127" t="s">
        <v>2162</v>
      </c>
      <c r="B2127" t="s">
        <v>26</v>
      </c>
      <c r="C2127">
        <v>1730000</v>
      </c>
      <c r="D2127">
        <v>115500.3</v>
      </c>
      <c r="E2127">
        <v>2.24E-2</v>
      </c>
      <c r="F2127">
        <v>9.3799999999999994E-2</v>
      </c>
    </row>
    <row r="2128" spans="1:6" x14ac:dyDescent="0.3">
      <c r="A2128" t="s">
        <v>2163</v>
      </c>
      <c r="B2128" t="s">
        <v>26</v>
      </c>
      <c r="C2128">
        <v>1800000</v>
      </c>
      <c r="D2128">
        <v>14442.8</v>
      </c>
      <c r="E2128">
        <v>4.7000000000000002E-3</v>
      </c>
      <c r="F2128">
        <v>8.2199999999999995E-2</v>
      </c>
    </row>
    <row r="2129" spans="1:6" x14ac:dyDescent="0.3">
      <c r="A2129" t="s">
        <v>2164</v>
      </c>
      <c r="B2129" t="s">
        <v>62</v>
      </c>
      <c r="C2129">
        <v>1680000</v>
      </c>
      <c r="D2129">
        <v>21967.200000000001</v>
      </c>
      <c r="E2129">
        <v>2.9000000000000001E-2</v>
      </c>
      <c r="F2129">
        <v>8.4500000000000006E-2</v>
      </c>
    </row>
    <row r="2130" spans="1:6" x14ac:dyDescent="0.3">
      <c r="A2130" t="s">
        <v>2165</v>
      </c>
      <c r="B2130" t="s">
        <v>88</v>
      </c>
      <c r="C2130">
        <v>1900000</v>
      </c>
      <c r="D2130">
        <v>907</v>
      </c>
      <c r="E2130">
        <v>9.0499999999999997E-2</v>
      </c>
      <c r="F2130">
        <v>9.3799999999999994E-2</v>
      </c>
    </row>
    <row r="2131" spans="1:6" x14ac:dyDescent="0.3">
      <c r="A2131" t="s">
        <v>2166</v>
      </c>
      <c r="B2131" t="s">
        <v>26</v>
      </c>
      <c r="C2131">
        <v>2230000</v>
      </c>
      <c r="D2131">
        <v>130313.8</v>
      </c>
      <c r="E2131">
        <v>3.1E-2</v>
      </c>
      <c r="F2131">
        <v>4.0899999999999999E-2</v>
      </c>
    </row>
    <row r="2132" spans="1:6" x14ac:dyDescent="0.3">
      <c r="A2132" t="s">
        <v>2167</v>
      </c>
      <c r="B2132" t="s">
        <v>24</v>
      </c>
      <c r="C2132">
        <v>910000</v>
      </c>
      <c r="D2132">
        <v>1092</v>
      </c>
      <c r="E2132">
        <v>3.6400000000000002E-2</v>
      </c>
      <c r="F2132">
        <v>5.0999999999999997E-2</v>
      </c>
    </row>
    <row r="2133" spans="1:6" x14ac:dyDescent="0.3">
      <c r="A2133" t="s">
        <v>2168</v>
      </c>
      <c r="B2133" t="s">
        <v>41</v>
      </c>
      <c r="C2133">
        <v>2080000</v>
      </c>
      <c r="D2133">
        <v>24446.6</v>
      </c>
      <c r="E2133">
        <v>5.5800000000000002E-2</v>
      </c>
      <c r="F2133">
        <v>9.3799999999999994E-2</v>
      </c>
    </row>
    <row r="2134" spans="1:6" x14ac:dyDescent="0.3">
      <c r="A2134" t="s">
        <v>2169</v>
      </c>
      <c r="B2134" t="s">
        <v>92</v>
      </c>
      <c r="C2134">
        <v>1470000</v>
      </c>
      <c r="D2134">
        <v>3922.1</v>
      </c>
      <c r="E2134">
        <v>1.5699999999999999E-2</v>
      </c>
      <c r="F2134">
        <v>0.1067</v>
      </c>
    </row>
    <row r="2135" spans="1:6" x14ac:dyDescent="0.3">
      <c r="A2135" t="s">
        <v>2170</v>
      </c>
      <c r="B2135" t="s">
        <v>26</v>
      </c>
      <c r="C2135">
        <v>1870000</v>
      </c>
      <c r="D2135">
        <v>245247.4</v>
      </c>
      <c r="E2135">
        <v>4.5900000000000003E-2</v>
      </c>
      <c r="F2135">
        <v>9.5100000000000004E-2</v>
      </c>
    </row>
    <row r="2136" spans="1:6" x14ac:dyDescent="0.3">
      <c r="A2136" t="s">
        <v>2171</v>
      </c>
      <c r="B2136" t="s">
        <v>74</v>
      </c>
      <c r="C2136">
        <v>1470000</v>
      </c>
      <c r="D2136">
        <v>2212.9</v>
      </c>
      <c r="E2136">
        <v>3.95E-2</v>
      </c>
      <c r="F2136">
        <v>7.5899999999999995E-2</v>
      </c>
    </row>
    <row r="2137" spans="1:6" x14ac:dyDescent="0.3">
      <c r="A2137" t="s">
        <v>2172</v>
      </c>
      <c r="B2137" t="s">
        <v>41</v>
      </c>
      <c r="C2137">
        <v>1450000</v>
      </c>
      <c r="D2137">
        <v>13127.3</v>
      </c>
      <c r="E2137">
        <v>6.6299999999999998E-2</v>
      </c>
      <c r="F2137">
        <v>9.3799999999999994E-2</v>
      </c>
    </row>
    <row r="2138" spans="1:6" x14ac:dyDescent="0.3">
      <c r="A2138" t="s">
        <v>2173</v>
      </c>
      <c r="B2138" t="s">
        <v>30</v>
      </c>
      <c r="C2138">
        <v>1740000</v>
      </c>
      <c r="D2138">
        <v>97783.8</v>
      </c>
      <c r="E2138">
        <v>6.4000000000000003E-3</v>
      </c>
      <c r="F2138">
        <v>8.1100000000000005E-2</v>
      </c>
    </row>
    <row r="2139" spans="1:6" x14ac:dyDescent="0.3">
      <c r="A2139" t="s">
        <v>2174</v>
      </c>
      <c r="B2139" t="s">
        <v>32</v>
      </c>
      <c r="C2139">
        <v>1930000</v>
      </c>
      <c r="D2139">
        <v>57918</v>
      </c>
      <c r="E2139">
        <v>2.1000000000000001E-2</v>
      </c>
      <c r="F2139">
        <v>0.3301</v>
      </c>
    </row>
    <row r="2140" spans="1:6" x14ac:dyDescent="0.3">
      <c r="A2140" t="s">
        <v>2175</v>
      </c>
      <c r="B2140" t="s">
        <v>41</v>
      </c>
      <c r="C2140">
        <v>1830000</v>
      </c>
      <c r="D2140">
        <v>12984.7</v>
      </c>
      <c r="E2140">
        <v>1.9300000000000001E-2</v>
      </c>
      <c r="F2140">
        <v>0.1053</v>
      </c>
    </row>
    <row r="2141" spans="1:6" x14ac:dyDescent="0.3">
      <c r="A2141" t="s">
        <v>2176</v>
      </c>
      <c r="B2141" t="s">
        <v>26</v>
      </c>
      <c r="C2141">
        <v>1440000</v>
      </c>
      <c r="D2141">
        <v>1427.7</v>
      </c>
      <c r="E2141">
        <v>6.4399999999999999E-2</v>
      </c>
      <c r="F2141">
        <v>0.1108</v>
      </c>
    </row>
    <row r="2142" spans="1:6" x14ac:dyDescent="0.3">
      <c r="A2142" t="s">
        <v>2177</v>
      </c>
      <c r="B2142" t="s">
        <v>214</v>
      </c>
      <c r="C2142">
        <v>2270000</v>
      </c>
      <c r="D2142">
        <v>248906.2</v>
      </c>
      <c r="E2142">
        <v>3.9699999999999999E-2</v>
      </c>
      <c r="F2142">
        <v>5.0999999999999997E-2</v>
      </c>
    </row>
    <row r="2143" spans="1:6" x14ac:dyDescent="0.3">
      <c r="A2143" t="s">
        <v>2178</v>
      </c>
      <c r="B2143" t="s">
        <v>26</v>
      </c>
      <c r="C2143">
        <v>1630000</v>
      </c>
      <c r="D2143">
        <v>350.8</v>
      </c>
      <c r="E2143">
        <v>6.1000000000000004E-3</v>
      </c>
      <c r="F2143">
        <v>8.1100000000000005E-2</v>
      </c>
    </row>
    <row r="2144" spans="1:6" x14ac:dyDescent="0.3">
      <c r="A2144" t="s">
        <v>2179</v>
      </c>
      <c r="B2144" t="s">
        <v>92</v>
      </c>
      <c r="C2144">
        <v>1510000</v>
      </c>
      <c r="D2144">
        <v>246858.3</v>
      </c>
      <c r="E2144">
        <v>2.4299999999999999E-2</v>
      </c>
      <c r="F2144">
        <v>9.5100000000000004E-2</v>
      </c>
    </row>
    <row r="2145" spans="1:6" x14ac:dyDescent="0.3">
      <c r="A2145" t="s">
        <v>2180</v>
      </c>
      <c r="B2145" t="s">
        <v>88</v>
      </c>
      <c r="C2145">
        <v>2830000</v>
      </c>
      <c r="D2145">
        <v>99335.7</v>
      </c>
      <c r="E2145">
        <v>1.12E-2</v>
      </c>
      <c r="F2145">
        <v>7.2599999999999998E-2</v>
      </c>
    </row>
    <row r="2146" spans="1:6" x14ac:dyDescent="0.3">
      <c r="A2146" t="s">
        <v>2181</v>
      </c>
      <c r="B2146" t="s">
        <v>26</v>
      </c>
      <c r="C2146">
        <v>1690000</v>
      </c>
      <c r="D2146">
        <v>102555.3</v>
      </c>
      <c r="E2146">
        <v>5.16E-2</v>
      </c>
      <c r="F2146">
        <v>5.1799999999999999E-2</v>
      </c>
    </row>
    <row r="2147" spans="1:6" x14ac:dyDescent="0.3">
      <c r="A2147" t="s">
        <v>2182</v>
      </c>
      <c r="B2147" t="s">
        <v>88</v>
      </c>
      <c r="C2147">
        <v>1440000</v>
      </c>
      <c r="D2147">
        <v>14032.6</v>
      </c>
      <c r="E2147">
        <v>3.5799999999999998E-2</v>
      </c>
      <c r="F2147">
        <v>7.5899999999999995E-2</v>
      </c>
    </row>
    <row r="2148" spans="1:6" x14ac:dyDescent="0.3">
      <c r="A2148" t="s">
        <v>2183</v>
      </c>
      <c r="B2148" t="s">
        <v>26</v>
      </c>
      <c r="C2148">
        <v>1890000</v>
      </c>
      <c r="D2148">
        <v>702.2</v>
      </c>
      <c r="E2148">
        <v>1.4500000000000001E-2</v>
      </c>
      <c r="F2148">
        <v>5.7599999999999998E-2</v>
      </c>
    </row>
    <row r="2149" spans="1:6" x14ac:dyDescent="0.3">
      <c r="A2149" t="s">
        <v>2184</v>
      </c>
      <c r="B2149" t="s">
        <v>26</v>
      </c>
      <c r="C2149">
        <v>1770000</v>
      </c>
      <c r="D2149">
        <v>29686</v>
      </c>
      <c r="E2149">
        <v>9.3700000000000006E-2</v>
      </c>
      <c r="F2149">
        <v>9.5100000000000004E-2</v>
      </c>
    </row>
    <row r="2150" spans="1:6" x14ac:dyDescent="0.3">
      <c r="A2150" t="s">
        <v>2185</v>
      </c>
      <c r="B2150" t="s">
        <v>74</v>
      </c>
      <c r="C2150">
        <v>1690000</v>
      </c>
      <c r="D2150">
        <v>27914.6</v>
      </c>
      <c r="E2150">
        <v>3.3300000000000003E-2</v>
      </c>
      <c r="F2150">
        <v>9.5100000000000004E-2</v>
      </c>
    </row>
    <row r="2151" spans="1:6" x14ac:dyDescent="0.3">
      <c r="A2151" t="s">
        <v>2186</v>
      </c>
      <c r="B2151" t="s">
        <v>92</v>
      </c>
      <c r="C2151">
        <v>1450000</v>
      </c>
      <c r="D2151">
        <v>8172.6</v>
      </c>
      <c r="E2151">
        <v>2.3E-2</v>
      </c>
      <c r="F2151">
        <v>0.1067</v>
      </c>
    </row>
    <row r="2152" spans="1:6" x14ac:dyDescent="0.3">
      <c r="A2152" t="s">
        <v>2187</v>
      </c>
      <c r="B2152" t="s">
        <v>26</v>
      </c>
      <c r="C2152">
        <v>100000</v>
      </c>
      <c r="D2152">
        <v>452.9</v>
      </c>
      <c r="E2152">
        <v>4.8300000000000003E-2</v>
      </c>
      <c r="F2152">
        <v>9.5100000000000004E-2</v>
      </c>
    </row>
    <row r="2153" spans="1:6" x14ac:dyDescent="0.3">
      <c r="A2153" t="s">
        <v>2188</v>
      </c>
      <c r="B2153" t="s">
        <v>62</v>
      </c>
      <c r="C2153">
        <v>2260000</v>
      </c>
      <c r="D2153">
        <v>708211.9</v>
      </c>
      <c r="E2153">
        <v>2.6599999999999999E-2</v>
      </c>
      <c r="F2153">
        <v>4.6199999999999998E-2</v>
      </c>
    </row>
    <row r="2154" spans="1:6" x14ac:dyDescent="0.3">
      <c r="A2154" t="s">
        <v>2189</v>
      </c>
      <c r="B2154" t="s">
        <v>88</v>
      </c>
      <c r="C2154">
        <v>1480000</v>
      </c>
      <c r="D2154">
        <v>12137.2</v>
      </c>
      <c r="E2154">
        <v>8.8599999999999998E-2</v>
      </c>
      <c r="F2154">
        <v>7.5899999999999995E-2</v>
      </c>
    </row>
    <row r="2155" spans="1:6" x14ac:dyDescent="0.3">
      <c r="A2155" t="s">
        <v>2190</v>
      </c>
      <c r="B2155" t="s">
        <v>490</v>
      </c>
      <c r="C2155">
        <v>1700000</v>
      </c>
      <c r="D2155">
        <v>64373.7</v>
      </c>
      <c r="E2155">
        <v>7.7899999999999997E-2</v>
      </c>
      <c r="F2155">
        <v>9.3799999999999994E-2</v>
      </c>
    </row>
    <row r="2156" spans="1:6" x14ac:dyDescent="0.3">
      <c r="A2156" t="s">
        <v>2191</v>
      </c>
      <c r="B2156" t="s">
        <v>92</v>
      </c>
      <c r="C2156">
        <v>1470000</v>
      </c>
      <c r="D2156">
        <v>141376.20000000001</v>
      </c>
      <c r="E2156">
        <v>2.0500000000000001E-2</v>
      </c>
      <c r="F2156">
        <v>8.5400000000000004E-2</v>
      </c>
    </row>
    <row r="2157" spans="1:6" x14ac:dyDescent="0.3">
      <c r="A2157" t="s">
        <v>2192</v>
      </c>
      <c r="B2157" t="s">
        <v>41</v>
      </c>
      <c r="C2157">
        <v>1720000</v>
      </c>
      <c r="D2157">
        <v>72877.2</v>
      </c>
      <c r="E2157">
        <v>2.47E-2</v>
      </c>
      <c r="F2157">
        <v>9.5100000000000004E-2</v>
      </c>
    </row>
    <row r="2158" spans="1:6" x14ac:dyDescent="0.3">
      <c r="A2158" t="s">
        <v>2193</v>
      </c>
      <c r="B2158" t="s">
        <v>41</v>
      </c>
      <c r="C2158">
        <v>1790000</v>
      </c>
      <c r="D2158">
        <v>6791.7</v>
      </c>
      <c r="E2158">
        <v>1.5599999999999999E-2</v>
      </c>
      <c r="F2158">
        <v>0.1053</v>
      </c>
    </row>
    <row r="2159" spans="1:6" x14ac:dyDescent="0.3">
      <c r="A2159" t="s">
        <v>2194</v>
      </c>
      <c r="B2159" t="s">
        <v>26</v>
      </c>
      <c r="C2159">
        <v>2560000</v>
      </c>
      <c r="D2159">
        <v>2729286.1</v>
      </c>
      <c r="E2159">
        <v>2.4199999999999999E-2</v>
      </c>
      <c r="F2159">
        <v>4.0899999999999999E-2</v>
      </c>
    </row>
    <row r="2160" spans="1:6" x14ac:dyDescent="0.3">
      <c r="A2160" t="s">
        <v>2195</v>
      </c>
      <c r="B2160" t="s">
        <v>26</v>
      </c>
      <c r="C2160">
        <v>1490000</v>
      </c>
      <c r="D2160">
        <v>891.2</v>
      </c>
      <c r="E2160">
        <v>3.0300000000000001E-2</v>
      </c>
      <c r="F2160">
        <v>9.5100000000000004E-2</v>
      </c>
    </row>
    <row r="2161" spans="1:6" x14ac:dyDescent="0.3">
      <c r="A2161" t="s">
        <v>2196</v>
      </c>
      <c r="B2161" t="s">
        <v>214</v>
      </c>
      <c r="C2161">
        <v>1440000</v>
      </c>
      <c r="D2161">
        <v>30467.3</v>
      </c>
      <c r="E2161">
        <v>2.2499999999999999E-2</v>
      </c>
      <c r="F2161">
        <v>7.5899999999999995E-2</v>
      </c>
    </row>
    <row r="2162" spans="1:6" x14ac:dyDescent="0.3">
      <c r="A2162" t="s">
        <v>2197</v>
      </c>
      <c r="B2162" t="s">
        <v>26</v>
      </c>
      <c r="C2162">
        <v>1470000</v>
      </c>
      <c r="D2162">
        <v>4726.3999999999996</v>
      </c>
      <c r="E2162">
        <v>9.4999999999999998E-3</v>
      </c>
      <c r="F2162">
        <v>0.1187</v>
      </c>
    </row>
    <row r="2163" spans="1:6" x14ac:dyDescent="0.3">
      <c r="A2163" t="s">
        <v>2198</v>
      </c>
      <c r="B2163" t="s">
        <v>92</v>
      </c>
      <c r="C2163">
        <v>1710000</v>
      </c>
      <c r="D2163">
        <v>165397.6</v>
      </c>
      <c r="E2163">
        <v>3.04E-2</v>
      </c>
      <c r="F2163">
        <v>9.3799999999999994E-2</v>
      </c>
    </row>
    <row r="2164" spans="1:6" x14ac:dyDescent="0.3">
      <c r="A2164" t="s">
        <v>2199</v>
      </c>
      <c r="B2164" t="s">
        <v>41</v>
      </c>
      <c r="C2164">
        <v>1810000</v>
      </c>
      <c r="D2164">
        <v>2805.3</v>
      </c>
      <c r="E2164">
        <v>2.2800000000000001E-2</v>
      </c>
      <c r="F2164">
        <v>5.7599999999999998E-2</v>
      </c>
    </row>
    <row r="2165" spans="1:6" x14ac:dyDescent="0.3">
      <c r="A2165" t="s">
        <v>2200</v>
      </c>
      <c r="B2165" t="s">
        <v>88</v>
      </c>
      <c r="C2165">
        <v>1810000</v>
      </c>
      <c r="D2165">
        <v>26554.9</v>
      </c>
      <c r="E2165">
        <v>3.8399999999999997E-2</v>
      </c>
      <c r="F2165">
        <v>7.5899999999999995E-2</v>
      </c>
    </row>
    <row r="2166" spans="1:6" x14ac:dyDescent="0.3">
      <c r="A2166" t="s">
        <v>2201</v>
      </c>
      <c r="B2166" t="s">
        <v>92</v>
      </c>
      <c r="C2166">
        <v>1910000</v>
      </c>
      <c r="D2166">
        <v>214058.6</v>
      </c>
      <c r="E2166">
        <v>3.0499999999999999E-2</v>
      </c>
      <c r="F2166">
        <v>9.3799999999999994E-2</v>
      </c>
    </row>
    <row r="2167" spans="1:6" x14ac:dyDescent="0.3">
      <c r="A2167" t="s">
        <v>2202</v>
      </c>
      <c r="B2167" t="s">
        <v>26</v>
      </c>
      <c r="C2167">
        <v>2970000</v>
      </c>
      <c r="D2167">
        <v>10618.2</v>
      </c>
      <c r="E2167">
        <v>7.5200000000000003E-2</v>
      </c>
      <c r="F2167">
        <v>9.3799999999999994E-2</v>
      </c>
    </row>
    <row r="2168" spans="1:6" x14ac:dyDescent="0.3">
      <c r="A2168" t="s">
        <v>2203</v>
      </c>
      <c r="B2168" t="s">
        <v>24</v>
      </c>
      <c r="C2168">
        <v>1710000</v>
      </c>
      <c r="D2168">
        <v>1177.5</v>
      </c>
      <c r="E2168">
        <v>4.3299999999999998E-2</v>
      </c>
      <c r="F2168">
        <v>9.3799999999999994E-2</v>
      </c>
    </row>
    <row r="2169" spans="1:6" x14ac:dyDescent="0.3">
      <c r="A2169" t="s">
        <v>2204</v>
      </c>
      <c r="B2169" t="s">
        <v>287</v>
      </c>
      <c r="C2169">
        <v>1560000</v>
      </c>
      <c r="D2169">
        <v>362695.3</v>
      </c>
      <c r="E2169">
        <v>3.5099999999999999E-2</v>
      </c>
      <c r="F2169">
        <v>5.0999999999999997E-2</v>
      </c>
    </row>
    <row r="2170" spans="1:6" x14ac:dyDescent="0.3">
      <c r="A2170" t="s">
        <v>2205</v>
      </c>
      <c r="B2170" t="s">
        <v>21</v>
      </c>
      <c r="C2170">
        <v>1870000</v>
      </c>
      <c r="D2170">
        <v>539683.1</v>
      </c>
      <c r="E2170">
        <v>2.3E-2</v>
      </c>
      <c r="F2170">
        <v>5.4600000000000003E-2</v>
      </c>
    </row>
    <row r="2171" spans="1:6" x14ac:dyDescent="0.3">
      <c r="A2171" t="s">
        <v>2206</v>
      </c>
      <c r="B2171" t="s">
        <v>74</v>
      </c>
      <c r="C2171">
        <v>1560000</v>
      </c>
      <c r="D2171">
        <v>1580951.9</v>
      </c>
      <c r="E2171">
        <v>6.2399999999999997E-2</v>
      </c>
      <c r="F2171">
        <v>9.5100000000000004E-2</v>
      </c>
    </row>
    <row r="2172" spans="1:6" x14ac:dyDescent="0.3">
      <c r="A2172" t="s">
        <v>2207</v>
      </c>
      <c r="B2172" t="s">
        <v>24</v>
      </c>
      <c r="C2172">
        <v>1430000</v>
      </c>
      <c r="D2172">
        <v>2895.4</v>
      </c>
      <c r="E2172">
        <v>2.3E-2</v>
      </c>
      <c r="F2172">
        <v>8.4500000000000006E-2</v>
      </c>
    </row>
    <row r="2173" spans="1:6" x14ac:dyDescent="0.3">
      <c r="A2173" t="s">
        <v>2208</v>
      </c>
      <c r="B2173" t="s">
        <v>88</v>
      </c>
      <c r="C2173">
        <v>1620000</v>
      </c>
      <c r="D2173">
        <v>23532.400000000001</v>
      </c>
      <c r="E2173">
        <v>3.3599999999999998E-2</v>
      </c>
      <c r="F2173">
        <v>9.5100000000000004E-2</v>
      </c>
    </row>
    <row r="2174" spans="1:6" x14ac:dyDescent="0.3">
      <c r="A2174" t="s">
        <v>2209</v>
      </c>
      <c r="B2174" t="s">
        <v>24</v>
      </c>
      <c r="C2174">
        <v>1870000</v>
      </c>
      <c r="D2174">
        <v>17754.3</v>
      </c>
      <c r="E2174">
        <v>1.7000000000000001E-2</v>
      </c>
      <c r="F2174">
        <v>8.5400000000000004E-2</v>
      </c>
    </row>
    <row r="2175" spans="1:6" x14ac:dyDescent="0.3">
      <c r="A2175" t="s">
        <v>2210</v>
      </c>
      <c r="B2175" t="s">
        <v>53</v>
      </c>
      <c r="C2175">
        <v>1400000</v>
      </c>
      <c r="D2175">
        <v>90094.9</v>
      </c>
      <c r="E2175">
        <v>5.2499999999999998E-2</v>
      </c>
      <c r="F2175">
        <v>7.5899999999999995E-2</v>
      </c>
    </row>
    <row r="2176" spans="1:6" x14ac:dyDescent="0.3">
      <c r="A2176" t="s">
        <v>2211</v>
      </c>
      <c r="B2176" t="s">
        <v>26</v>
      </c>
      <c r="C2176">
        <v>3290000</v>
      </c>
      <c r="D2176">
        <v>1319483.5</v>
      </c>
      <c r="E2176">
        <v>2.0199999999999999E-2</v>
      </c>
      <c r="F2176">
        <v>8.5400000000000004E-2</v>
      </c>
    </row>
    <row r="2177" spans="1:6" x14ac:dyDescent="0.3">
      <c r="A2177" t="s">
        <v>2212</v>
      </c>
      <c r="B2177" t="s">
        <v>195</v>
      </c>
      <c r="C2177">
        <v>1710000</v>
      </c>
      <c r="D2177">
        <v>3409.2</v>
      </c>
      <c r="E2177">
        <v>5.7500000000000002E-2</v>
      </c>
      <c r="F2177">
        <v>7.5899999999999995E-2</v>
      </c>
    </row>
    <row r="2178" spans="1:6" x14ac:dyDescent="0.3">
      <c r="A2178" t="s">
        <v>2213</v>
      </c>
      <c r="B2178" t="s">
        <v>81</v>
      </c>
      <c r="C2178">
        <v>1460000</v>
      </c>
      <c r="D2178">
        <v>13627.9</v>
      </c>
      <c r="E2178">
        <v>2.18E-2</v>
      </c>
      <c r="F2178">
        <v>0.1053</v>
      </c>
    </row>
    <row r="2179" spans="1:6" x14ac:dyDescent="0.3">
      <c r="A2179" t="s">
        <v>2214</v>
      </c>
      <c r="B2179" t="s">
        <v>35</v>
      </c>
      <c r="C2179">
        <v>1580000</v>
      </c>
      <c r="D2179">
        <v>2841302.6</v>
      </c>
      <c r="E2179">
        <v>2.0799999999999999E-2</v>
      </c>
      <c r="F2179">
        <v>4.0899999999999999E-2</v>
      </c>
    </row>
    <row r="2180" spans="1:6" x14ac:dyDescent="0.3">
      <c r="A2180" t="s">
        <v>2215</v>
      </c>
      <c r="B2180" t="s">
        <v>30</v>
      </c>
      <c r="C2180">
        <v>1690000</v>
      </c>
      <c r="D2180">
        <v>519513</v>
      </c>
      <c r="E2180">
        <v>2.0500000000000001E-2</v>
      </c>
      <c r="F2180">
        <v>5.1799999999999999E-2</v>
      </c>
    </row>
    <row r="2181" spans="1:6" x14ac:dyDescent="0.3">
      <c r="A2181" t="s">
        <v>2216</v>
      </c>
      <c r="B2181" t="s">
        <v>88</v>
      </c>
      <c r="C2181">
        <v>4330000</v>
      </c>
      <c r="D2181">
        <v>327539.40000000002</v>
      </c>
      <c r="E2181">
        <v>5.57E-2</v>
      </c>
      <c r="F2181">
        <v>7.5899999999999995E-2</v>
      </c>
    </row>
    <row r="2182" spans="1:6" x14ac:dyDescent="0.3">
      <c r="A2182" t="s">
        <v>2217</v>
      </c>
      <c r="B2182" t="s">
        <v>26</v>
      </c>
      <c r="C2182">
        <v>1450000</v>
      </c>
      <c r="D2182">
        <v>7359.6</v>
      </c>
      <c r="E2182">
        <v>2.8E-3</v>
      </c>
      <c r="F2182">
        <v>8.1100000000000005E-2</v>
      </c>
    </row>
    <row r="2183" spans="1:6" x14ac:dyDescent="0.3">
      <c r="A2183" t="s">
        <v>2218</v>
      </c>
      <c r="B2183" t="s">
        <v>41</v>
      </c>
      <c r="C2183">
        <v>2030000</v>
      </c>
      <c r="D2183">
        <v>1541</v>
      </c>
      <c r="E2183">
        <v>2.06E-2</v>
      </c>
      <c r="F2183">
        <v>9.3700000000000006E-2</v>
      </c>
    </row>
    <row r="2184" spans="1:6" x14ac:dyDescent="0.3">
      <c r="A2184" t="s">
        <v>2219</v>
      </c>
      <c r="B2184" t="s">
        <v>24</v>
      </c>
      <c r="C2184">
        <v>1380000</v>
      </c>
      <c r="D2184">
        <v>3149.6</v>
      </c>
      <c r="E2184">
        <v>2.69E-2</v>
      </c>
      <c r="F2184">
        <v>9.3799999999999994E-2</v>
      </c>
    </row>
    <row r="2185" spans="1:6" x14ac:dyDescent="0.3">
      <c r="A2185" t="s">
        <v>2220</v>
      </c>
      <c r="B2185" t="s">
        <v>26</v>
      </c>
      <c r="C2185">
        <v>1880000</v>
      </c>
      <c r="D2185">
        <v>115602.9</v>
      </c>
      <c r="E2185">
        <v>4.9500000000000002E-2</v>
      </c>
      <c r="F2185">
        <v>7.5899999999999995E-2</v>
      </c>
    </row>
    <row r="2186" spans="1:6" x14ac:dyDescent="0.3">
      <c r="A2186" t="s">
        <v>2221</v>
      </c>
      <c r="B2186" t="s">
        <v>28</v>
      </c>
      <c r="C2186">
        <v>1420000</v>
      </c>
      <c r="D2186">
        <v>8213.6</v>
      </c>
      <c r="E2186">
        <v>1.0500000000000001E-2</v>
      </c>
      <c r="F2186">
        <v>5.8400000000000001E-2</v>
      </c>
    </row>
    <row r="2187" spans="1:6" x14ac:dyDescent="0.3">
      <c r="A2187" t="s">
        <v>2222</v>
      </c>
      <c r="B2187" t="s">
        <v>26</v>
      </c>
      <c r="C2187">
        <v>1420000</v>
      </c>
      <c r="D2187">
        <v>44842.9</v>
      </c>
      <c r="E2187">
        <v>1.83E-2</v>
      </c>
      <c r="F2187">
        <v>8.5400000000000004E-2</v>
      </c>
    </row>
    <row r="2188" spans="1:6" x14ac:dyDescent="0.3">
      <c r="A2188" t="s">
        <v>2223</v>
      </c>
      <c r="B2188" t="s">
        <v>62</v>
      </c>
      <c r="C2188">
        <v>1420000</v>
      </c>
      <c r="D2188">
        <v>1256.9000000000001</v>
      </c>
      <c r="E2188">
        <v>1.5900000000000001E-2</v>
      </c>
      <c r="F2188">
        <v>0.22939999999999999</v>
      </c>
    </row>
    <row r="2189" spans="1:6" x14ac:dyDescent="0.3">
      <c r="A2189" t="s">
        <v>2224</v>
      </c>
      <c r="B2189" t="s">
        <v>28</v>
      </c>
      <c r="C2189">
        <v>2470000</v>
      </c>
      <c r="D2189">
        <v>1499026.5</v>
      </c>
      <c r="E2189">
        <v>1E-3</v>
      </c>
      <c r="F2189">
        <v>6.54E-2</v>
      </c>
    </row>
    <row r="2190" spans="1:6" x14ac:dyDescent="0.3">
      <c r="A2190" t="s">
        <v>2225</v>
      </c>
      <c r="B2190" t="s">
        <v>88</v>
      </c>
      <c r="C2190">
        <v>2250000</v>
      </c>
      <c r="D2190">
        <v>14012.1</v>
      </c>
      <c r="E2190">
        <v>1.15E-2</v>
      </c>
      <c r="F2190">
        <v>6.54E-2</v>
      </c>
    </row>
    <row r="2191" spans="1:6" x14ac:dyDescent="0.3">
      <c r="A2191" t="s">
        <v>2226</v>
      </c>
      <c r="B2191" t="s">
        <v>26</v>
      </c>
      <c r="C2191">
        <v>1650000</v>
      </c>
      <c r="D2191">
        <v>82575.3</v>
      </c>
      <c r="E2191">
        <v>1.0200000000000001E-2</v>
      </c>
      <c r="F2191">
        <v>6.8900000000000003E-2</v>
      </c>
    </row>
    <row r="2192" spans="1:6" x14ac:dyDescent="0.3">
      <c r="A2192" t="s">
        <v>2227</v>
      </c>
      <c r="B2192" t="s">
        <v>62</v>
      </c>
      <c r="C2192">
        <v>1670000</v>
      </c>
      <c r="D2192">
        <v>48048</v>
      </c>
      <c r="E2192">
        <v>3.7999999999999999E-2</v>
      </c>
      <c r="F2192">
        <v>7.5899999999999995E-2</v>
      </c>
    </row>
    <row r="2193" spans="1:6" x14ac:dyDescent="0.3">
      <c r="A2193" t="s">
        <v>2228</v>
      </c>
      <c r="B2193" t="s">
        <v>214</v>
      </c>
      <c r="C2193">
        <v>1500000</v>
      </c>
      <c r="D2193">
        <v>12956.6</v>
      </c>
      <c r="E2193">
        <v>1.5699999999999999E-2</v>
      </c>
      <c r="F2193">
        <v>0.13100000000000001</v>
      </c>
    </row>
    <row r="2194" spans="1:6" x14ac:dyDescent="0.3">
      <c r="A2194" t="s">
        <v>2229</v>
      </c>
      <c r="B2194" t="s">
        <v>41</v>
      </c>
      <c r="C2194">
        <v>1600000</v>
      </c>
      <c r="D2194">
        <v>10864.9</v>
      </c>
      <c r="E2194">
        <v>2.64E-2</v>
      </c>
      <c r="F2194">
        <v>0.1169</v>
      </c>
    </row>
    <row r="2195" spans="1:6" x14ac:dyDescent="0.3">
      <c r="A2195" t="s">
        <v>2230</v>
      </c>
      <c r="B2195" t="s">
        <v>32</v>
      </c>
      <c r="C2195">
        <v>1660000</v>
      </c>
      <c r="D2195">
        <v>14173779.699999999</v>
      </c>
      <c r="E2195">
        <v>1.3899999999999999E-2</v>
      </c>
      <c r="F2195">
        <v>0.1027</v>
      </c>
    </row>
    <row r="2196" spans="1:6" x14ac:dyDescent="0.3">
      <c r="A2196" t="s">
        <v>2231</v>
      </c>
      <c r="B2196" t="s">
        <v>26</v>
      </c>
      <c r="C2196">
        <v>4180000</v>
      </c>
      <c r="D2196">
        <v>2715877</v>
      </c>
      <c r="E2196">
        <v>5.2299999999999999E-2</v>
      </c>
      <c r="F2196">
        <v>4.0899999999999999E-2</v>
      </c>
    </row>
    <row r="2197" spans="1:6" x14ac:dyDescent="0.3">
      <c r="A2197" t="s">
        <v>2232</v>
      </c>
      <c r="B2197" t="s">
        <v>24</v>
      </c>
      <c r="C2197">
        <v>1360000</v>
      </c>
      <c r="D2197">
        <v>375.3</v>
      </c>
      <c r="E2197">
        <v>7.4999999999999997E-3</v>
      </c>
      <c r="F2197">
        <v>0.2697</v>
      </c>
    </row>
    <row r="2198" spans="1:6" x14ac:dyDescent="0.3">
      <c r="A2198" t="s">
        <v>2233</v>
      </c>
      <c r="B2198" t="s">
        <v>24</v>
      </c>
      <c r="C2198">
        <v>1420000</v>
      </c>
      <c r="D2198">
        <v>765.7</v>
      </c>
      <c r="E2198">
        <v>5.11E-2</v>
      </c>
      <c r="F2198">
        <v>7.5899999999999995E-2</v>
      </c>
    </row>
    <row r="2199" spans="1:6" x14ac:dyDescent="0.3">
      <c r="A2199" t="s">
        <v>2234</v>
      </c>
      <c r="B2199" t="s">
        <v>88</v>
      </c>
      <c r="C2199">
        <v>1470000</v>
      </c>
      <c r="D2199">
        <v>20953</v>
      </c>
      <c r="F2199">
        <v>0.11700000000000001</v>
      </c>
    </row>
    <row r="2200" spans="1:6" x14ac:dyDescent="0.3">
      <c r="A2200" t="s">
        <v>2235</v>
      </c>
      <c r="B2200" t="s">
        <v>26</v>
      </c>
      <c r="C2200">
        <v>1380000</v>
      </c>
      <c r="D2200">
        <v>55100.800000000003</v>
      </c>
      <c r="E2200">
        <v>1.67E-2</v>
      </c>
      <c r="F2200">
        <v>8.5400000000000004E-2</v>
      </c>
    </row>
    <row r="2201" spans="1:6" x14ac:dyDescent="0.3">
      <c r="A2201" t="s">
        <v>2236</v>
      </c>
      <c r="B2201" t="s">
        <v>41</v>
      </c>
      <c r="C2201">
        <v>2230000</v>
      </c>
      <c r="D2201">
        <v>145539.70000000001</v>
      </c>
      <c r="E2201">
        <v>0.1191</v>
      </c>
      <c r="F2201">
        <v>9.3799999999999994E-2</v>
      </c>
    </row>
    <row r="2202" spans="1:6" x14ac:dyDescent="0.3">
      <c r="A2202" t="s">
        <v>2237</v>
      </c>
      <c r="B2202" t="s">
        <v>53</v>
      </c>
      <c r="C2202">
        <v>1770000</v>
      </c>
      <c r="D2202">
        <v>185883.8</v>
      </c>
      <c r="E2202">
        <v>3.0200000000000001E-2</v>
      </c>
      <c r="F2202">
        <v>7.5899999999999995E-2</v>
      </c>
    </row>
    <row r="2203" spans="1:6" x14ac:dyDescent="0.3">
      <c r="A2203" t="s">
        <v>2238</v>
      </c>
      <c r="B2203" t="s">
        <v>26</v>
      </c>
      <c r="C2203">
        <v>1950000</v>
      </c>
      <c r="D2203">
        <v>219632.7</v>
      </c>
      <c r="E2203">
        <v>6.1000000000000004E-3</v>
      </c>
      <c r="F2203">
        <v>8.2199999999999995E-2</v>
      </c>
    </row>
    <row r="2204" spans="1:6" x14ac:dyDescent="0.3">
      <c r="A2204" t="s">
        <v>2239</v>
      </c>
      <c r="B2204" t="s">
        <v>92</v>
      </c>
      <c r="C2204">
        <v>1520000</v>
      </c>
      <c r="D2204">
        <v>128331.3</v>
      </c>
      <c r="E2204">
        <v>1.5699999999999999E-2</v>
      </c>
      <c r="F2204">
        <v>4.6199999999999998E-2</v>
      </c>
    </row>
    <row r="2205" spans="1:6" x14ac:dyDescent="0.3">
      <c r="A2205" t="s">
        <v>2240</v>
      </c>
      <c r="B2205" t="s">
        <v>92</v>
      </c>
      <c r="C2205">
        <v>1940000</v>
      </c>
      <c r="D2205">
        <v>3552.8</v>
      </c>
      <c r="F2205">
        <v>4.0899999999999999E-2</v>
      </c>
    </row>
    <row r="2206" spans="1:6" x14ac:dyDescent="0.3">
      <c r="A2206" t="s">
        <v>2241</v>
      </c>
      <c r="B2206" t="s">
        <v>81</v>
      </c>
      <c r="C2206">
        <v>1550000</v>
      </c>
      <c r="D2206">
        <v>3796.1</v>
      </c>
      <c r="E2206">
        <v>3.9800000000000002E-2</v>
      </c>
      <c r="F2206">
        <v>7.5899999999999995E-2</v>
      </c>
    </row>
    <row r="2207" spans="1:6" x14ac:dyDescent="0.3">
      <c r="A2207" t="s">
        <v>2242</v>
      </c>
      <c r="B2207" t="s">
        <v>26</v>
      </c>
      <c r="C2207">
        <v>2660000</v>
      </c>
      <c r="D2207">
        <v>2727734.8</v>
      </c>
      <c r="E2207">
        <v>2.1999999999999999E-2</v>
      </c>
      <c r="F2207">
        <v>4.0899999999999999E-2</v>
      </c>
    </row>
    <row r="2208" spans="1:6" x14ac:dyDescent="0.3">
      <c r="A2208" t="s">
        <v>2243</v>
      </c>
      <c r="B2208" t="s">
        <v>26</v>
      </c>
      <c r="C2208">
        <v>1770000</v>
      </c>
      <c r="D2208">
        <v>62978.1</v>
      </c>
      <c r="E2208">
        <v>3.04E-2</v>
      </c>
      <c r="F2208">
        <v>7.5899999999999995E-2</v>
      </c>
    </row>
    <row r="2209" spans="1:6" x14ac:dyDescent="0.3">
      <c r="A2209" t="s">
        <v>2244</v>
      </c>
      <c r="B2209" t="s">
        <v>41</v>
      </c>
      <c r="C2209">
        <v>1680000</v>
      </c>
      <c r="D2209">
        <v>230987.4</v>
      </c>
      <c r="E2209">
        <v>6.0299999999999999E-2</v>
      </c>
      <c r="F2209">
        <v>7.5899999999999995E-2</v>
      </c>
    </row>
    <row r="2210" spans="1:6" x14ac:dyDescent="0.3">
      <c r="A2210" t="s">
        <v>2245</v>
      </c>
      <c r="B2210" t="s">
        <v>195</v>
      </c>
      <c r="C2210">
        <v>1750000</v>
      </c>
      <c r="D2210">
        <v>1379614.9</v>
      </c>
      <c r="E2210">
        <v>3.3300000000000003E-2</v>
      </c>
      <c r="F2210">
        <v>5.1799999999999999E-2</v>
      </c>
    </row>
    <row r="2211" spans="1:6" x14ac:dyDescent="0.3">
      <c r="A2211" t="s">
        <v>2246</v>
      </c>
      <c r="B2211" t="s">
        <v>53</v>
      </c>
      <c r="C2211">
        <v>2440000</v>
      </c>
      <c r="D2211">
        <v>20388.599999999999</v>
      </c>
      <c r="E2211">
        <v>4.5999999999999999E-3</v>
      </c>
      <c r="F2211">
        <v>8.1100000000000005E-2</v>
      </c>
    </row>
    <row r="2212" spans="1:6" x14ac:dyDescent="0.3">
      <c r="A2212" t="s">
        <v>2247</v>
      </c>
      <c r="B2212" t="s">
        <v>24</v>
      </c>
      <c r="C2212">
        <v>2840000</v>
      </c>
      <c r="D2212">
        <v>24812.9</v>
      </c>
      <c r="E2212">
        <v>3.5999999999999997E-2</v>
      </c>
      <c r="F2212">
        <v>0.1168</v>
      </c>
    </row>
    <row r="2213" spans="1:6" x14ac:dyDescent="0.3">
      <c r="A2213" t="s">
        <v>2248</v>
      </c>
      <c r="B2213" t="s">
        <v>30</v>
      </c>
      <c r="C2213">
        <v>1580000</v>
      </c>
      <c r="D2213">
        <v>289053.90000000002</v>
      </c>
      <c r="E2213">
        <v>4.4400000000000002E-2</v>
      </c>
      <c r="F2213">
        <v>5.0999999999999997E-2</v>
      </c>
    </row>
    <row r="2214" spans="1:6" x14ac:dyDescent="0.3">
      <c r="A2214" t="s">
        <v>2249</v>
      </c>
      <c r="B2214" t="s">
        <v>26</v>
      </c>
      <c r="C2214">
        <v>1670000</v>
      </c>
      <c r="D2214">
        <v>145565.5</v>
      </c>
      <c r="E2214">
        <v>2.6599999999999999E-2</v>
      </c>
      <c r="F2214">
        <v>6.7199999999999996E-2</v>
      </c>
    </row>
    <row r="2215" spans="1:6" x14ac:dyDescent="0.3">
      <c r="A2215" t="s">
        <v>2250</v>
      </c>
      <c r="B2215" t="s">
        <v>53</v>
      </c>
      <c r="C2215">
        <v>4340000</v>
      </c>
      <c r="D2215">
        <v>1812720</v>
      </c>
      <c r="E2215">
        <v>1.41E-2</v>
      </c>
      <c r="F2215">
        <v>9.4899999999999998E-2</v>
      </c>
    </row>
    <row r="2216" spans="1:6" x14ac:dyDescent="0.3">
      <c r="A2216" t="s">
        <v>2251</v>
      </c>
      <c r="B2216" t="s">
        <v>62</v>
      </c>
      <c r="C2216">
        <v>1660000</v>
      </c>
      <c r="D2216">
        <v>14617.6</v>
      </c>
      <c r="E2216">
        <v>3.6400000000000002E-2</v>
      </c>
      <c r="F2216">
        <v>7.5899999999999995E-2</v>
      </c>
    </row>
    <row r="2217" spans="1:6" x14ac:dyDescent="0.3">
      <c r="A2217" t="s">
        <v>2252</v>
      </c>
      <c r="B2217" t="s">
        <v>62</v>
      </c>
      <c r="C2217">
        <v>1760000</v>
      </c>
      <c r="D2217">
        <v>22352.799999999999</v>
      </c>
      <c r="E2217">
        <v>2.5999999999999999E-2</v>
      </c>
      <c r="F2217">
        <v>7.5899999999999995E-2</v>
      </c>
    </row>
    <row r="2218" spans="1:6" x14ac:dyDescent="0.3">
      <c r="A2218" t="s">
        <v>2253</v>
      </c>
      <c r="B2218" t="s">
        <v>26</v>
      </c>
      <c r="C2218">
        <v>1470000</v>
      </c>
      <c r="D2218">
        <v>24475.5</v>
      </c>
      <c r="E2218">
        <v>1.15E-2</v>
      </c>
      <c r="F2218">
        <v>6.54E-2</v>
      </c>
    </row>
    <row r="2219" spans="1:6" x14ac:dyDescent="0.3">
      <c r="A2219" t="s">
        <v>2254</v>
      </c>
      <c r="B2219" t="s">
        <v>88</v>
      </c>
      <c r="C2219">
        <v>1970000</v>
      </c>
      <c r="D2219">
        <v>9716.6</v>
      </c>
      <c r="E2219">
        <v>0.10639999999999999</v>
      </c>
      <c r="F2219">
        <v>9.3799999999999994E-2</v>
      </c>
    </row>
    <row r="2220" spans="1:6" x14ac:dyDescent="0.3">
      <c r="A2220" t="s">
        <v>2255</v>
      </c>
      <c r="B2220" t="s">
        <v>88</v>
      </c>
      <c r="C2220">
        <v>2070000</v>
      </c>
      <c r="D2220">
        <v>102560.9</v>
      </c>
      <c r="E2220">
        <v>4.8399999999999999E-2</v>
      </c>
      <c r="F2220">
        <v>9.5100000000000004E-2</v>
      </c>
    </row>
    <row r="2221" spans="1:6" x14ac:dyDescent="0.3">
      <c r="A2221" t="s">
        <v>2256</v>
      </c>
      <c r="B2221" t="s">
        <v>24</v>
      </c>
      <c r="C2221">
        <v>1510000</v>
      </c>
      <c r="D2221">
        <v>54150.400000000001</v>
      </c>
      <c r="E2221">
        <v>4.4499999999999998E-2</v>
      </c>
      <c r="F2221">
        <v>9.5100000000000004E-2</v>
      </c>
    </row>
    <row r="2222" spans="1:6" x14ac:dyDescent="0.3">
      <c r="A2222" t="s">
        <v>2257</v>
      </c>
      <c r="B2222" t="s">
        <v>32</v>
      </c>
      <c r="C2222">
        <v>1590000</v>
      </c>
      <c r="D2222">
        <v>72243.600000000006</v>
      </c>
      <c r="E2222">
        <v>1.5599999999999999E-2</v>
      </c>
      <c r="F2222">
        <v>4.6199999999999998E-2</v>
      </c>
    </row>
    <row r="2223" spans="1:6" x14ac:dyDescent="0.3">
      <c r="A2223" t="s">
        <v>2258</v>
      </c>
      <c r="B2223" t="s">
        <v>88</v>
      </c>
      <c r="C2223">
        <v>1490000</v>
      </c>
      <c r="D2223">
        <v>6662.1</v>
      </c>
      <c r="E2223">
        <v>2.5600000000000001E-2</v>
      </c>
      <c r="F2223">
        <v>9.3799999999999994E-2</v>
      </c>
    </row>
    <row r="2224" spans="1:6" x14ac:dyDescent="0.3">
      <c r="A2224" t="s">
        <v>2259</v>
      </c>
      <c r="B2224" t="s">
        <v>26</v>
      </c>
      <c r="C2224">
        <v>1460000</v>
      </c>
      <c r="D2224">
        <v>79.900000000000006</v>
      </c>
      <c r="E2224">
        <v>1E-3</v>
      </c>
      <c r="F2224">
        <v>0.31669999999999998</v>
      </c>
    </row>
    <row r="2225" spans="1:6" x14ac:dyDescent="0.3">
      <c r="A2225" t="s">
        <v>2260</v>
      </c>
      <c r="B2225" t="s">
        <v>21</v>
      </c>
      <c r="C2225">
        <v>3260000</v>
      </c>
      <c r="D2225">
        <v>15685.3</v>
      </c>
      <c r="E2225">
        <v>1.9099999999999999E-2</v>
      </c>
      <c r="F2225">
        <v>5.7599999999999998E-2</v>
      </c>
    </row>
    <row r="2226" spans="1:6" x14ac:dyDescent="0.3">
      <c r="A2226" t="s">
        <v>2261</v>
      </c>
      <c r="B2226" t="s">
        <v>26</v>
      </c>
      <c r="C2226">
        <v>1370000</v>
      </c>
      <c r="D2226">
        <v>74888.100000000006</v>
      </c>
      <c r="F2226">
        <v>4.0899999999999999E-2</v>
      </c>
    </row>
    <row r="2227" spans="1:6" x14ac:dyDescent="0.3">
      <c r="A2227" t="s">
        <v>2262</v>
      </c>
      <c r="B2227" t="s">
        <v>92</v>
      </c>
      <c r="C2227">
        <v>1610000</v>
      </c>
      <c r="D2227">
        <v>1386121.6</v>
      </c>
      <c r="E2227">
        <v>1.2800000000000001E-2</v>
      </c>
      <c r="F2227">
        <v>5.8500000000000003E-2</v>
      </c>
    </row>
    <row r="2228" spans="1:6" x14ac:dyDescent="0.3">
      <c r="A2228" t="s">
        <v>2263</v>
      </c>
      <c r="B2228" t="s">
        <v>88</v>
      </c>
      <c r="C2228">
        <v>2050000</v>
      </c>
      <c r="D2228">
        <v>55965.7</v>
      </c>
      <c r="E2228">
        <v>5.6099999999999997E-2</v>
      </c>
      <c r="F2228">
        <v>7.5899999999999995E-2</v>
      </c>
    </row>
    <row r="2229" spans="1:6" x14ac:dyDescent="0.3">
      <c r="A2229" t="s">
        <v>2264</v>
      </c>
      <c r="B2229" t="s">
        <v>41</v>
      </c>
      <c r="C2229">
        <v>1320000</v>
      </c>
      <c r="D2229">
        <v>454.8</v>
      </c>
      <c r="E2229">
        <v>3.0499999999999999E-2</v>
      </c>
      <c r="F2229">
        <v>9.5100000000000004E-2</v>
      </c>
    </row>
    <row r="2230" spans="1:6" x14ac:dyDescent="0.3">
      <c r="A2230" t="s">
        <v>2265</v>
      </c>
      <c r="B2230" t="s">
        <v>24</v>
      </c>
      <c r="C2230">
        <v>1550000</v>
      </c>
      <c r="D2230">
        <v>604.9</v>
      </c>
      <c r="E2230">
        <v>1.55E-2</v>
      </c>
      <c r="F2230">
        <v>8.5400000000000004E-2</v>
      </c>
    </row>
    <row r="2231" spans="1:6" x14ac:dyDescent="0.3">
      <c r="A2231" t="s">
        <v>2266</v>
      </c>
      <c r="B2231" t="s">
        <v>81</v>
      </c>
      <c r="C2231">
        <v>1580000</v>
      </c>
      <c r="D2231">
        <v>141012.6</v>
      </c>
      <c r="E2231">
        <v>3.6299999999999999E-2</v>
      </c>
      <c r="F2231">
        <v>7.5899999999999995E-2</v>
      </c>
    </row>
    <row r="2232" spans="1:6" x14ac:dyDescent="0.3">
      <c r="A2232" t="s">
        <v>2267</v>
      </c>
      <c r="B2232" t="s">
        <v>26</v>
      </c>
      <c r="C2232">
        <v>1440000</v>
      </c>
      <c r="D2232">
        <v>1797.4</v>
      </c>
      <c r="E2232">
        <v>1.29E-2</v>
      </c>
      <c r="F2232">
        <v>0.3861</v>
      </c>
    </row>
    <row r="2233" spans="1:6" x14ac:dyDescent="0.3">
      <c r="A2233" t="s">
        <v>2268</v>
      </c>
      <c r="B2233" t="s">
        <v>32</v>
      </c>
      <c r="C2233">
        <v>1560000</v>
      </c>
      <c r="D2233">
        <v>65953</v>
      </c>
      <c r="E2233">
        <v>8.3000000000000001E-3</v>
      </c>
      <c r="F2233">
        <v>8.2199999999999995E-2</v>
      </c>
    </row>
    <row r="2234" spans="1:6" x14ac:dyDescent="0.3">
      <c r="A2234" t="s">
        <v>2269</v>
      </c>
      <c r="B2234" t="s">
        <v>71</v>
      </c>
      <c r="C2234">
        <v>1320000</v>
      </c>
      <c r="D2234">
        <v>1286.9000000000001</v>
      </c>
      <c r="E2234">
        <v>1.8800000000000001E-2</v>
      </c>
      <c r="F2234">
        <v>0.1067</v>
      </c>
    </row>
    <row r="2235" spans="1:6" x14ac:dyDescent="0.3">
      <c r="A2235" t="s">
        <v>2270</v>
      </c>
      <c r="B2235" t="s">
        <v>26</v>
      </c>
      <c r="C2235">
        <v>1580000</v>
      </c>
      <c r="D2235">
        <v>11859171.699999999</v>
      </c>
      <c r="E2235">
        <v>2.7199999999999998E-2</v>
      </c>
      <c r="F2235">
        <v>5.1799999999999999E-2</v>
      </c>
    </row>
    <row r="2236" spans="1:6" x14ac:dyDescent="0.3">
      <c r="A2236" t="s">
        <v>2271</v>
      </c>
      <c r="B2236" t="s">
        <v>53</v>
      </c>
      <c r="C2236">
        <v>1660000</v>
      </c>
      <c r="D2236">
        <v>1563.1</v>
      </c>
      <c r="E2236">
        <v>2.8E-3</v>
      </c>
      <c r="F2236">
        <v>6.54E-2</v>
      </c>
    </row>
    <row r="2237" spans="1:6" x14ac:dyDescent="0.3">
      <c r="A2237" t="s">
        <v>2272</v>
      </c>
      <c r="B2237" t="s">
        <v>88</v>
      </c>
      <c r="C2237">
        <v>2010000</v>
      </c>
      <c r="D2237">
        <v>52188.2</v>
      </c>
      <c r="E2237">
        <v>8.6E-3</v>
      </c>
      <c r="F2237">
        <v>8.1100000000000005E-2</v>
      </c>
    </row>
    <row r="2238" spans="1:6" x14ac:dyDescent="0.3">
      <c r="A2238" t="s">
        <v>2273</v>
      </c>
      <c r="B2238" t="s">
        <v>30</v>
      </c>
      <c r="C2238">
        <v>1470000</v>
      </c>
      <c r="D2238">
        <v>93449.600000000006</v>
      </c>
      <c r="E2238">
        <v>2.0199999999999999E-2</v>
      </c>
      <c r="F2238">
        <v>4.6199999999999998E-2</v>
      </c>
    </row>
    <row r="2239" spans="1:6" x14ac:dyDescent="0.3">
      <c r="A2239" t="s">
        <v>2274</v>
      </c>
      <c r="B2239" t="s">
        <v>26</v>
      </c>
      <c r="C2239">
        <v>1470000</v>
      </c>
      <c r="D2239">
        <v>1384</v>
      </c>
      <c r="E2239">
        <v>7.9000000000000008E-3</v>
      </c>
      <c r="F2239">
        <v>0.10150000000000001</v>
      </c>
    </row>
    <row r="2240" spans="1:6" x14ac:dyDescent="0.3">
      <c r="A2240" t="s">
        <v>2275</v>
      </c>
      <c r="B2240" t="s">
        <v>26</v>
      </c>
      <c r="C2240">
        <v>2230000</v>
      </c>
      <c r="D2240">
        <v>103490.1</v>
      </c>
      <c r="E2240">
        <v>7.7000000000000002E-3</v>
      </c>
      <c r="F2240">
        <v>6.54E-2</v>
      </c>
    </row>
    <row r="2241" spans="1:6" x14ac:dyDescent="0.3">
      <c r="A2241" t="s">
        <v>2276</v>
      </c>
      <c r="B2241" t="s">
        <v>26</v>
      </c>
      <c r="C2241">
        <v>1750000</v>
      </c>
      <c r="D2241">
        <v>2063438.5</v>
      </c>
      <c r="E2241">
        <v>3.0099999999999998E-2</v>
      </c>
      <c r="F2241">
        <v>7.5899999999999995E-2</v>
      </c>
    </row>
    <row r="2242" spans="1:6" x14ac:dyDescent="0.3">
      <c r="A2242" t="s">
        <v>2277</v>
      </c>
      <c r="B2242" t="s">
        <v>26</v>
      </c>
      <c r="C2242">
        <v>2110000</v>
      </c>
      <c r="D2242">
        <v>44134.400000000001</v>
      </c>
      <c r="F2242">
        <v>4.0899999999999999E-2</v>
      </c>
    </row>
    <row r="2243" spans="1:6" x14ac:dyDescent="0.3">
      <c r="A2243" t="s">
        <v>2278</v>
      </c>
      <c r="B2243" t="s">
        <v>88</v>
      </c>
      <c r="C2243">
        <v>1460000</v>
      </c>
      <c r="D2243">
        <v>8910.7999999999993</v>
      </c>
      <c r="E2243">
        <v>3.44E-2</v>
      </c>
      <c r="F2243">
        <v>9.5100000000000004E-2</v>
      </c>
    </row>
    <row r="2244" spans="1:6" x14ac:dyDescent="0.3">
      <c r="A2244" t="s">
        <v>2279</v>
      </c>
      <c r="B2244" t="s">
        <v>88</v>
      </c>
      <c r="C2244">
        <v>1530000</v>
      </c>
      <c r="D2244">
        <v>15070.1</v>
      </c>
      <c r="E2244">
        <v>2.41E-2</v>
      </c>
      <c r="F2244">
        <v>7.5899999999999995E-2</v>
      </c>
    </row>
    <row r="2245" spans="1:6" x14ac:dyDescent="0.3">
      <c r="A2245" t="s">
        <v>2280</v>
      </c>
      <c r="B2245" t="s">
        <v>490</v>
      </c>
      <c r="C2245">
        <v>1340000</v>
      </c>
      <c r="D2245">
        <v>1228.0999999999999</v>
      </c>
      <c r="E2245">
        <v>1.3100000000000001E-2</v>
      </c>
      <c r="F2245">
        <v>7.3599999999999999E-2</v>
      </c>
    </row>
    <row r="2246" spans="1:6" x14ac:dyDescent="0.3">
      <c r="A2246" t="s">
        <v>2281</v>
      </c>
      <c r="B2246" t="s">
        <v>26</v>
      </c>
      <c r="C2246">
        <v>1770000</v>
      </c>
      <c r="D2246">
        <v>319739.09999999998</v>
      </c>
      <c r="E2246">
        <v>1.4200000000000001E-2</v>
      </c>
      <c r="F2246">
        <v>8.5400000000000004E-2</v>
      </c>
    </row>
    <row r="2247" spans="1:6" x14ac:dyDescent="0.3">
      <c r="A2247" t="s">
        <v>2282</v>
      </c>
      <c r="B2247" t="s">
        <v>62</v>
      </c>
      <c r="C2247">
        <v>1720000</v>
      </c>
      <c r="D2247">
        <v>38939.599999999999</v>
      </c>
      <c r="E2247">
        <v>5.2900000000000003E-2</v>
      </c>
      <c r="F2247">
        <v>9.3799999999999994E-2</v>
      </c>
    </row>
    <row r="2248" spans="1:6" x14ac:dyDescent="0.3">
      <c r="A2248" t="s">
        <v>2283</v>
      </c>
      <c r="B2248" t="s">
        <v>88</v>
      </c>
      <c r="C2248">
        <v>1360000</v>
      </c>
      <c r="D2248">
        <v>3423.9</v>
      </c>
      <c r="E2248">
        <v>1.89E-2</v>
      </c>
      <c r="F2248">
        <v>0.1067</v>
      </c>
    </row>
    <row r="2249" spans="1:6" x14ac:dyDescent="0.3">
      <c r="A2249" t="s">
        <v>2284</v>
      </c>
      <c r="B2249" t="s">
        <v>26</v>
      </c>
      <c r="C2249">
        <v>1590000</v>
      </c>
      <c r="D2249">
        <v>6335.2</v>
      </c>
      <c r="E2249">
        <v>1.2800000000000001E-2</v>
      </c>
      <c r="F2249">
        <v>6.1600000000000002E-2</v>
      </c>
    </row>
    <row r="2250" spans="1:6" x14ac:dyDescent="0.3">
      <c r="A2250" t="s">
        <v>2285</v>
      </c>
      <c r="B2250" t="s">
        <v>26</v>
      </c>
      <c r="C2250">
        <v>1580000</v>
      </c>
      <c r="D2250">
        <v>61561.9</v>
      </c>
      <c r="E2250">
        <v>3.1699999999999999E-2</v>
      </c>
      <c r="F2250">
        <v>7.5899999999999995E-2</v>
      </c>
    </row>
    <row r="2251" spans="1:6" x14ac:dyDescent="0.3">
      <c r="A2251" t="s">
        <v>2286</v>
      </c>
      <c r="B2251" t="s">
        <v>214</v>
      </c>
      <c r="C2251">
        <v>2330000</v>
      </c>
      <c r="D2251">
        <v>265540</v>
      </c>
      <c r="E2251">
        <v>2.7099999999999999E-2</v>
      </c>
      <c r="F2251">
        <v>6.7199999999999996E-2</v>
      </c>
    </row>
    <row r="2252" spans="1:6" x14ac:dyDescent="0.3">
      <c r="A2252" t="s">
        <v>2287</v>
      </c>
      <c r="B2252" t="s">
        <v>30</v>
      </c>
      <c r="C2252">
        <v>1940000</v>
      </c>
      <c r="D2252">
        <v>671312</v>
      </c>
      <c r="E2252">
        <v>7.7000000000000002E-3</v>
      </c>
      <c r="F2252">
        <v>6.54E-2</v>
      </c>
    </row>
    <row r="2253" spans="1:6" x14ac:dyDescent="0.3">
      <c r="A2253" t="s">
        <v>2288</v>
      </c>
      <c r="B2253" t="s">
        <v>62</v>
      </c>
      <c r="C2253">
        <v>1900000</v>
      </c>
      <c r="D2253">
        <v>258861.5</v>
      </c>
      <c r="E2253">
        <v>2.4899999999999999E-2</v>
      </c>
      <c r="F2253">
        <v>9.5000000000000001E-2</v>
      </c>
    </row>
    <row r="2254" spans="1:6" x14ac:dyDescent="0.3">
      <c r="A2254" t="s">
        <v>2289</v>
      </c>
      <c r="B2254" t="s">
        <v>88</v>
      </c>
      <c r="C2254">
        <v>1470000</v>
      </c>
      <c r="D2254">
        <v>7043.9</v>
      </c>
      <c r="E2254">
        <v>1.8200000000000001E-2</v>
      </c>
      <c r="F2254">
        <v>0.1053</v>
      </c>
    </row>
    <row r="2255" spans="1:6" x14ac:dyDescent="0.3">
      <c r="A2255" t="s">
        <v>2290</v>
      </c>
      <c r="B2255" t="s">
        <v>214</v>
      </c>
      <c r="C2255">
        <v>1590000</v>
      </c>
      <c r="D2255">
        <v>85754.2</v>
      </c>
      <c r="E2255">
        <v>3.9E-2</v>
      </c>
      <c r="F2255">
        <v>5.0999999999999997E-2</v>
      </c>
    </row>
    <row r="2256" spans="1:6" x14ac:dyDescent="0.3">
      <c r="A2256" t="s">
        <v>2291</v>
      </c>
      <c r="B2256" t="s">
        <v>92</v>
      </c>
      <c r="C2256">
        <v>1440000</v>
      </c>
      <c r="D2256">
        <v>12841.7</v>
      </c>
      <c r="E2256">
        <v>2.7099999999999999E-2</v>
      </c>
      <c r="F2256">
        <v>5.0999999999999997E-2</v>
      </c>
    </row>
    <row r="2257" spans="1:6" x14ac:dyDescent="0.3">
      <c r="A2257" t="s">
        <v>2292</v>
      </c>
      <c r="B2257" t="s">
        <v>21</v>
      </c>
      <c r="C2257">
        <v>3800000</v>
      </c>
      <c r="D2257">
        <v>110029</v>
      </c>
      <c r="E2257">
        <v>2.6700000000000002E-2</v>
      </c>
      <c r="F2257">
        <v>5.0999999999999997E-2</v>
      </c>
    </row>
    <row r="2258" spans="1:6" x14ac:dyDescent="0.3">
      <c r="A2258" t="s">
        <v>2293</v>
      </c>
      <c r="B2258" t="s">
        <v>50</v>
      </c>
      <c r="C2258">
        <v>1770000</v>
      </c>
      <c r="D2258">
        <v>190028.9</v>
      </c>
      <c r="E2258">
        <v>4.5699999999999998E-2</v>
      </c>
      <c r="F2258">
        <v>7.5899999999999995E-2</v>
      </c>
    </row>
    <row r="2259" spans="1:6" x14ac:dyDescent="0.3">
      <c r="A2259" t="s">
        <v>2294</v>
      </c>
      <c r="B2259" t="s">
        <v>26</v>
      </c>
      <c r="C2259">
        <v>1780000</v>
      </c>
      <c r="D2259">
        <v>30165.7</v>
      </c>
      <c r="E2259">
        <v>6.6600000000000006E-2</v>
      </c>
      <c r="F2259">
        <v>7.5899999999999995E-2</v>
      </c>
    </row>
    <row r="2260" spans="1:6" x14ac:dyDescent="0.3">
      <c r="A2260" t="s">
        <v>2295</v>
      </c>
      <c r="B2260" t="s">
        <v>53</v>
      </c>
      <c r="C2260">
        <v>1410000</v>
      </c>
      <c r="D2260">
        <v>14826.7</v>
      </c>
      <c r="E2260">
        <v>1.2800000000000001E-2</v>
      </c>
      <c r="F2260">
        <v>0.10580000000000001</v>
      </c>
    </row>
    <row r="2261" spans="1:6" x14ac:dyDescent="0.3">
      <c r="A2261" t="s">
        <v>2296</v>
      </c>
      <c r="B2261" t="s">
        <v>26</v>
      </c>
      <c r="C2261">
        <v>3270000</v>
      </c>
      <c r="D2261">
        <v>110607.4</v>
      </c>
      <c r="E2261">
        <v>3.7999999999999999E-2</v>
      </c>
      <c r="F2261">
        <v>7.5899999999999995E-2</v>
      </c>
    </row>
    <row r="2262" spans="1:6" x14ac:dyDescent="0.3">
      <c r="A2262" t="s">
        <v>2297</v>
      </c>
      <c r="B2262" t="s">
        <v>71</v>
      </c>
      <c r="C2262">
        <v>1470000</v>
      </c>
      <c r="D2262">
        <v>7079</v>
      </c>
      <c r="E2262">
        <v>3.56E-2</v>
      </c>
      <c r="F2262">
        <v>7.5899999999999995E-2</v>
      </c>
    </row>
    <row r="2263" spans="1:6" x14ac:dyDescent="0.3">
      <c r="A2263" t="s">
        <v>2298</v>
      </c>
      <c r="B2263" t="s">
        <v>88</v>
      </c>
      <c r="C2263">
        <v>1620000</v>
      </c>
      <c r="D2263">
        <v>10245.5</v>
      </c>
      <c r="E2263">
        <v>9.9199999999999997E-2</v>
      </c>
      <c r="F2263">
        <v>9.3799999999999994E-2</v>
      </c>
    </row>
    <row r="2264" spans="1:6" x14ac:dyDescent="0.3">
      <c r="A2264" t="s">
        <v>2299</v>
      </c>
      <c r="B2264" t="s">
        <v>21</v>
      </c>
      <c r="C2264">
        <v>1310000</v>
      </c>
      <c r="D2264">
        <v>6044</v>
      </c>
      <c r="E2264">
        <v>1.9900000000000001E-2</v>
      </c>
      <c r="F2264">
        <v>5.1799999999999999E-2</v>
      </c>
    </row>
    <row r="2265" spans="1:6" x14ac:dyDescent="0.3">
      <c r="A2265" t="s">
        <v>2300</v>
      </c>
      <c r="B2265" t="s">
        <v>26</v>
      </c>
      <c r="C2265">
        <v>1380000</v>
      </c>
      <c r="D2265">
        <v>6433.1</v>
      </c>
      <c r="E2265">
        <v>1.54E-2</v>
      </c>
      <c r="F2265">
        <v>0.1067</v>
      </c>
    </row>
    <row r="2266" spans="1:6" x14ac:dyDescent="0.3">
      <c r="A2266" t="s">
        <v>2301</v>
      </c>
      <c r="B2266" t="s">
        <v>41</v>
      </c>
      <c r="C2266">
        <v>2030000</v>
      </c>
      <c r="D2266">
        <v>530.70000000000005</v>
      </c>
      <c r="E2266">
        <v>2.1000000000000001E-2</v>
      </c>
      <c r="F2266">
        <v>5.7599999999999998E-2</v>
      </c>
    </row>
    <row r="2267" spans="1:6" x14ac:dyDescent="0.3">
      <c r="A2267" t="s">
        <v>2302</v>
      </c>
      <c r="B2267" t="s">
        <v>26</v>
      </c>
      <c r="C2267">
        <v>1360000</v>
      </c>
      <c r="D2267">
        <v>971</v>
      </c>
      <c r="E2267">
        <v>1.7999999999999999E-2</v>
      </c>
      <c r="F2267">
        <v>0.36499999999999999</v>
      </c>
    </row>
    <row r="2268" spans="1:6" x14ac:dyDescent="0.3">
      <c r="A2268" t="s">
        <v>2303</v>
      </c>
      <c r="B2268" t="s">
        <v>62</v>
      </c>
      <c r="C2268">
        <v>1640000</v>
      </c>
      <c r="D2268">
        <v>17218.5</v>
      </c>
      <c r="E2268">
        <v>3.4599999999999999E-2</v>
      </c>
      <c r="F2268">
        <v>7.5899999999999995E-2</v>
      </c>
    </row>
    <row r="2269" spans="1:6" x14ac:dyDescent="0.3">
      <c r="A2269" t="s">
        <v>2304</v>
      </c>
      <c r="B2269" t="s">
        <v>92</v>
      </c>
      <c r="C2269">
        <v>1320000</v>
      </c>
      <c r="D2269">
        <v>2350.1999999999998</v>
      </c>
      <c r="E2269">
        <v>2.7900000000000001E-2</v>
      </c>
      <c r="F2269">
        <v>9.5100000000000004E-2</v>
      </c>
    </row>
    <row r="2270" spans="1:6" x14ac:dyDescent="0.3">
      <c r="A2270" t="s">
        <v>2305</v>
      </c>
      <c r="B2270" t="s">
        <v>53</v>
      </c>
      <c r="C2270">
        <v>1730000</v>
      </c>
      <c r="D2270">
        <v>76153.8</v>
      </c>
      <c r="E2270">
        <v>3.3399999999999999E-2</v>
      </c>
      <c r="F2270">
        <v>9.5100000000000004E-2</v>
      </c>
    </row>
    <row r="2271" spans="1:6" x14ac:dyDescent="0.3">
      <c r="A2271" t="s">
        <v>2306</v>
      </c>
      <c r="B2271" t="s">
        <v>53</v>
      </c>
      <c r="C2271">
        <v>1960000</v>
      </c>
      <c r="D2271">
        <v>107983.7</v>
      </c>
      <c r="E2271">
        <v>5.96E-2</v>
      </c>
      <c r="F2271">
        <v>9.3799999999999994E-2</v>
      </c>
    </row>
    <row r="2272" spans="1:6" x14ac:dyDescent="0.3">
      <c r="A2272" t="s">
        <v>2307</v>
      </c>
      <c r="B2272" t="s">
        <v>26</v>
      </c>
      <c r="C2272">
        <v>4290000</v>
      </c>
      <c r="D2272">
        <v>513929.5</v>
      </c>
      <c r="E2272">
        <v>8.0299999999999996E-2</v>
      </c>
      <c r="F2272">
        <v>0.25480000000000003</v>
      </c>
    </row>
    <row r="2273" spans="1:6" x14ac:dyDescent="0.3">
      <c r="A2273" t="s">
        <v>2308</v>
      </c>
      <c r="B2273" t="s">
        <v>53</v>
      </c>
      <c r="C2273">
        <v>2220000</v>
      </c>
      <c r="D2273">
        <v>25579.3</v>
      </c>
      <c r="E2273">
        <v>5.1900000000000002E-2</v>
      </c>
      <c r="F2273">
        <v>7.5899999999999995E-2</v>
      </c>
    </row>
    <row r="2274" spans="1:6" x14ac:dyDescent="0.3">
      <c r="A2274" t="s">
        <v>2309</v>
      </c>
      <c r="B2274" t="s">
        <v>26</v>
      </c>
      <c r="C2274">
        <v>9500000</v>
      </c>
      <c r="D2274">
        <v>4284211.2000000002</v>
      </c>
      <c r="E2274">
        <v>3.0499999999999999E-2</v>
      </c>
      <c r="F2274">
        <v>4.0899999999999999E-2</v>
      </c>
    </row>
    <row r="2275" spans="1:6" x14ac:dyDescent="0.3">
      <c r="A2275" t="s">
        <v>2310</v>
      </c>
      <c r="B2275" t="s">
        <v>26</v>
      </c>
      <c r="C2275">
        <v>1600000</v>
      </c>
      <c r="D2275">
        <v>116778.5</v>
      </c>
      <c r="E2275">
        <v>3.4599999999999999E-2</v>
      </c>
      <c r="F2275">
        <v>7.5899999999999995E-2</v>
      </c>
    </row>
    <row r="2276" spans="1:6" x14ac:dyDescent="0.3">
      <c r="A2276" t="s">
        <v>2311</v>
      </c>
      <c r="B2276" t="s">
        <v>21</v>
      </c>
      <c r="C2276">
        <v>1820000</v>
      </c>
      <c r="F2276">
        <v>7.5899999999999995E-2</v>
      </c>
    </row>
    <row r="2277" spans="1:6" x14ac:dyDescent="0.3">
      <c r="A2277" t="s">
        <v>2312</v>
      </c>
      <c r="B2277" t="s">
        <v>62</v>
      </c>
      <c r="C2277">
        <v>1570000</v>
      </c>
      <c r="D2277">
        <v>4771.1000000000004</v>
      </c>
      <c r="E2277">
        <v>4.07E-2</v>
      </c>
      <c r="F2277">
        <v>9.5100000000000004E-2</v>
      </c>
    </row>
    <row r="2278" spans="1:6" x14ac:dyDescent="0.3">
      <c r="A2278" t="s">
        <v>2313</v>
      </c>
      <c r="B2278" t="s">
        <v>88</v>
      </c>
      <c r="C2278">
        <v>1390000</v>
      </c>
      <c r="D2278">
        <v>8776.2999999999993</v>
      </c>
      <c r="E2278">
        <v>2.07E-2</v>
      </c>
      <c r="F2278">
        <v>5.8500000000000003E-2</v>
      </c>
    </row>
    <row r="2279" spans="1:6" x14ac:dyDescent="0.3">
      <c r="A2279" t="s">
        <v>2314</v>
      </c>
      <c r="B2279" t="s">
        <v>41</v>
      </c>
      <c r="C2279">
        <v>1470000</v>
      </c>
      <c r="D2279">
        <v>41.9</v>
      </c>
      <c r="E2279">
        <v>0</v>
      </c>
      <c r="F2279">
        <v>8.1100000000000005E-2</v>
      </c>
    </row>
    <row r="2280" spans="1:6" x14ac:dyDescent="0.3">
      <c r="A2280" t="s">
        <v>2315</v>
      </c>
      <c r="B2280" t="s">
        <v>62</v>
      </c>
      <c r="C2280">
        <v>1360000</v>
      </c>
      <c r="D2280">
        <v>12434.2</v>
      </c>
      <c r="E2280">
        <v>6.4699999999999994E-2</v>
      </c>
      <c r="F2280">
        <v>7.5899999999999995E-2</v>
      </c>
    </row>
    <row r="2281" spans="1:6" x14ac:dyDescent="0.3">
      <c r="A2281" t="s">
        <v>2316</v>
      </c>
      <c r="B2281" t="s">
        <v>214</v>
      </c>
      <c r="C2281">
        <v>1630000</v>
      </c>
      <c r="D2281">
        <v>4387.7</v>
      </c>
      <c r="E2281">
        <v>4.1599999999999998E-2</v>
      </c>
      <c r="F2281">
        <v>9.3799999999999994E-2</v>
      </c>
    </row>
    <row r="2282" spans="1:6" x14ac:dyDescent="0.3">
      <c r="A2282" t="s">
        <v>2317</v>
      </c>
      <c r="B2282" t="s">
        <v>214</v>
      </c>
      <c r="C2282">
        <v>1530000</v>
      </c>
      <c r="D2282">
        <v>21085.9</v>
      </c>
      <c r="E2282">
        <v>2.29E-2</v>
      </c>
      <c r="F2282">
        <v>5.1799999999999999E-2</v>
      </c>
    </row>
    <row r="2283" spans="1:6" x14ac:dyDescent="0.3">
      <c r="A2283" t="s">
        <v>2318</v>
      </c>
      <c r="B2283" t="s">
        <v>24</v>
      </c>
      <c r="C2283">
        <v>1350000</v>
      </c>
      <c r="D2283">
        <v>71545.399999999994</v>
      </c>
      <c r="E2283">
        <v>3.6900000000000002E-2</v>
      </c>
      <c r="F2283">
        <v>5.1799999999999999E-2</v>
      </c>
    </row>
    <row r="2284" spans="1:6" x14ac:dyDescent="0.3">
      <c r="A2284" t="s">
        <v>2319</v>
      </c>
      <c r="B2284" t="s">
        <v>26</v>
      </c>
      <c r="C2284">
        <v>2440000</v>
      </c>
      <c r="D2284">
        <v>1905541.4</v>
      </c>
      <c r="E2284">
        <v>3.7900000000000003E-2</v>
      </c>
      <c r="F2284">
        <v>4.0899999999999999E-2</v>
      </c>
    </row>
    <row r="2285" spans="1:6" x14ac:dyDescent="0.3">
      <c r="A2285" t="s">
        <v>2320</v>
      </c>
      <c r="B2285" t="s">
        <v>490</v>
      </c>
      <c r="C2285">
        <v>1310000</v>
      </c>
      <c r="D2285">
        <v>3027</v>
      </c>
      <c r="E2285">
        <v>3.3300000000000003E-2</v>
      </c>
      <c r="F2285">
        <v>4.0899999999999999E-2</v>
      </c>
    </row>
    <row r="2286" spans="1:6" x14ac:dyDescent="0.3">
      <c r="A2286" t="s">
        <v>2321</v>
      </c>
      <c r="B2286" t="s">
        <v>62</v>
      </c>
      <c r="C2286">
        <v>1440000</v>
      </c>
      <c r="D2286">
        <v>11114.3</v>
      </c>
      <c r="E2286">
        <v>5.7799999999999997E-2</v>
      </c>
      <c r="F2286">
        <v>9.5100000000000004E-2</v>
      </c>
    </row>
    <row r="2287" spans="1:6" x14ac:dyDescent="0.3">
      <c r="A2287" t="s">
        <v>2322</v>
      </c>
      <c r="B2287" t="s">
        <v>26</v>
      </c>
      <c r="C2287">
        <v>1520000</v>
      </c>
      <c r="D2287">
        <v>6483.3</v>
      </c>
      <c r="E2287">
        <v>1.61E-2</v>
      </c>
      <c r="F2287">
        <v>0.1192</v>
      </c>
    </row>
    <row r="2288" spans="1:6" x14ac:dyDescent="0.3">
      <c r="A2288" t="s">
        <v>2323</v>
      </c>
      <c r="B2288" t="s">
        <v>26</v>
      </c>
      <c r="C2288">
        <v>1850000</v>
      </c>
      <c r="D2288">
        <v>67213.8</v>
      </c>
      <c r="E2288">
        <v>1.9E-2</v>
      </c>
      <c r="F2288">
        <v>4.6199999999999998E-2</v>
      </c>
    </row>
    <row r="2289" spans="1:6" x14ac:dyDescent="0.3">
      <c r="A2289" t="s">
        <v>2324</v>
      </c>
      <c r="B2289" t="s">
        <v>21</v>
      </c>
      <c r="C2289">
        <v>1050000</v>
      </c>
      <c r="D2289">
        <v>278033.5</v>
      </c>
      <c r="E2289">
        <v>2.2599999999999999E-2</v>
      </c>
      <c r="F2289">
        <v>5.1799999999999999E-2</v>
      </c>
    </row>
    <row r="2290" spans="1:6" x14ac:dyDescent="0.3">
      <c r="A2290" t="s">
        <v>2325</v>
      </c>
      <c r="B2290" t="s">
        <v>26</v>
      </c>
      <c r="C2290">
        <v>1590000</v>
      </c>
      <c r="D2290">
        <v>38673.5</v>
      </c>
      <c r="E2290">
        <v>3.1300000000000001E-2</v>
      </c>
      <c r="F2290">
        <v>9.3799999999999994E-2</v>
      </c>
    </row>
    <row r="2291" spans="1:6" x14ac:dyDescent="0.3">
      <c r="A2291" t="s">
        <v>2326</v>
      </c>
      <c r="B2291" t="s">
        <v>26</v>
      </c>
      <c r="C2291">
        <v>1580000</v>
      </c>
      <c r="D2291">
        <v>4379.7</v>
      </c>
      <c r="E2291">
        <v>4.07E-2</v>
      </c>
      <c r="F2291">
        <v>7.5899999999999995E-2</v>
      </c>
    </row>
    <row r="2292" spans="1:6" x14ac:dyDescent="0.3">
      <c r="A2292" t="s">
        <v>2327</v>
      </c>
      <c r="B2292" t="s">
        <v>26</v>
      </c>
      <c r="C2292">
        <v>2170000</v>
      </c>
      <c r="D2292">
        <v>113744.4</v>
      </c>
      <c r="E2292">
        <v>7.2400000000000006E-2</v>
      </c>
      <c r="F2292">
        <v>7.5899999999999995E-2</v>
      </c>
    </row>
    <row r="2293" spans="1:6" x14ac:dyDescent="0.3">
      <c r="A2293" t="s">
        <v>2328</v>
      </c>
      <c r="B2293" t="s">
        <v>92</v>
      </c>
      <c r="C2293">
        <v>1580000</v>
      </c>
      <c r="D2293">
        <v>37999.699999999997</v>
      </c>
      <c r="E2293">
        <v>2.4899999999999999E-2</v>
      </c>
      <c r="F2293">
        <v>0.1053</v>
      </c>
    </row>
    <row r="2294" spans="1:6" x14ac:dyDescent="0.3">
      <c r="A2294" t="s">
        <v>2329</v>
      </c>
      <c r="B2294" t="s">
        <v>41</v>
      </c>
      <c r="C2294">
        <v>1370000</v>
      </c>
      <c r="D2294">
        <v>1100.9000000000001</v>
      </c>
      <c r="E2294">
        <v>0.1145</v>
      </c>
      <c r="F2294">
        <v>9.3799999999999994E-2</v>
      </c>
    </row>
    <row r="2295" spans="1:6" x14ac:dyDescent="0.3">
      <c r="A2295" t="s">
        <v>2330</v>
      </c>
      <c r="B2295" t="s">
        <v>26</v>
      </c>
      <c r="C2295">
        <v>1290000</v>
      </c>
      <c r="D2295">
        <v>1223.8</v>
      </c>
      <c r="E2295">
        <v>2.3E-2</v>
      </c>
      <c r="F2295">
        <v>5.1799999999999999E-2</v>
      </c>
    </row>
    <row r="2296" spans="1:6" x14ac:dyDescent="0.3">
      <c r="A2296" t="s">
        <v>2331</v>
      </c>
      <c r="B2296" t="s">
        <v>88</v>
      </c>
      <c r="C2296">
        <v>1680000</v>
      </c>
      <c r="D2296">
        <v>6454.6</v>
      </c>
      <c r="E2296">
        <v>3.04E-2</v>
      </c>
      <c r="F2296">
        <v>9.3799999999999994E-2</v>
      </c>
    </row>
    <row r="2297" spans="1:6" x14ac:dyDescent="0.3">
      <c r="A2297" t="s">
        <v>2332</v>
      </c>
      <c r="B2297" t="s">
        <v>26</v>
      </c>
      <c r="C2297">
        <v>1610000</v>
      </c>
      <c r="D2297">
        <v>68331.3</v>
      </c>
      <c r="E2297">
        <v>1.72E-2</v>
      </c>
      <c r="F2297">
        <v>5.7599999999999998E-2</v>
      </c>
    </row>
    <row r="2298" spans="1:6" x14ac:dyDescent="0.3">
      <c r="A2298" t="s">
        <v>2333</v>
      </c>
      <c r="B2298" t="s">
        <v>214</v>
      </c>
      <c r="C2298">
        <v>1650000</v>
      </c>
      <c r="D2298">
        <v>8289.4</v>
      </c>
      <c r="E2298">
        <v>3.4599999999999999E-2</v>
      </c>
      <c r="F2298">
        <v>0.13869999999999999</v>
      </c>
    </row>
    <row r="2299" spans="1:6" x14ac:dyDescent="0.3">
      <c r="A2299" t="s">
        <v>2334</v>
      </c>
      <c r="B2299" t="s">
        <v>92</v>
      </c>
      <c r="C2299">
        <v>1660000</v>
      </c>
      <c r="D2299">
        <v>88637.1</v>
      </c>
      <c r="F2299">
        <v>4.0899999999999999E-2</v>
      </c>
    </row>
    <row r="2300" spans="1:6" x14ac:dyDescent="0.3">
      <c r="A2300" t="s">
        <v>2335</v>
      </c>
      <c r="B2300" t="s">
        <v>26</v>
      </c>
      <c r="C2300">
        <v>1410000</v>
      </c>
      <c r="D2300">
        <v>2252.1999999999998</v>
      </c>
      <c r="E2300">
        <v>2.4199999999999999E-2</v>
      </c>
      <c r="F2300">
        <v>9.3799999999999994E-2</v>
      </c>
    </row>
    <row r="2301" spans="1:6" x14ac:dyDescent="0.3">
      <c r="A2301" t="s">
        <v>2336</v>
      </c>
      <c r="B2301" t="s">
        <v>62</v>
      </c>
      <c r="C2301">
        <v>1320000</v>
      </c>
      <c r="D2301">
        <v>15456.4</v>
      </c>
      <c r="E2301">
        <v>2.29E-2</v>
      </c>
      <c r="F2301">
        <v>4.0899999999999999E-2</v>
      </c>
    </row>
    <row r="2302" spans="1:6" x14ac:dyDescent="0.3">
      <c r="A2302" t="s">
        <v>2337</v>
      </c>
      <c r="B2302" t="s">
        <v>92</v>
      </c>
      <c r="C2302">
        <v>1360000</v>
      </c>
      <c r="D2302">
        <v>3138.1</v>
      </c>
      <c r="E2302">
        <v>1.7600000000000001E-2</v>
      </c>
      <c r="F2302">
        <v>5.7599999999999998E-2</v>
      </c>
    </row>
    <row r="2303" spans="1:6" x14ac:dyDescent="0.3">
      <c r="A2303" t="s">
        <v>2338</v>
      </c>
      <c r="B2303" t="s">
        <v>26</v>
      </c>
      <c r="C2303">
        <v>2250000</v>
      </c>
      <c r="D2303">
        <v>295005.7</v>
      </c>
      <c r="E2303">
        <v>1.7899999999999999E-2</v>
      </c>
      <c r="F2303">
        <v>5.8500000000000003E-2</v>
      </c>
    </row>
    <row r="2304" spans="1:6" x14ac:dyDescent="0.3">
      <c r="A2304" t="s">
        <v>2339</v>
      </c>
      <c r="B2304" t="s">
        <v>26</v>
      </c>
      <c r="C2304">
        <v>1860000</v>
      </c>
      <c r="D2304">
        <v>475553.3</v>
      </c>
      <c r="E2304">
        <v>3.5000000000000003E-2</v>
      </c>
      <c r="F2304">
        <v>7.5899999999999995E-2</v>
      </c>
    </row>
    <row r="2305" spans="1:6" x14ac:dyDescent="0.3">
      <c r="A2305" t="s">
        <v>2340</v>
      </c>
      <c r="B2305" t="s">
        <v>92</v>
      </c>
      <c r="C2305">
        <v>1580000</v>
      </c>
      <c r="D2305">
        <v>3127.3</v>
      </c>
      <c r="E2305">
        <v>7.9000000000000008E-3</v>
      </c>
      <c r="F2305">
        <v>8.1100000000000005E-2</v>
      </c>
    </row>
    <row r="2306" spans="1:6" x14ac:dyDescent="0.3">
      <c r="A2306" t="s">
        <v>2341</v>
      </c>
      <c r="B2306" t="s">
        <v>21</v>
      </c>
      <c r="C2306">
        <v>1640000</v>
      </c>
      <c r="D2306">
        <v>1300.8</v>
      </c>
      <c r="E2306">
        <v>5.1999999999999998E-3</v>
      </c>
      <c r="F2306">
        <v>6.54E-2</v>
      </c>
    </row>
    <row r="2307" spans="1:6" x14ac:dyDescent="0.3">
      <c r="A2307" t="s">
        <v>2342</v>
      </c>
      <c r="B2307" t="s">
        <v>92</v>
      </c>
      <c r="C2307">
        <v>1380000</v>
      </c>
      <c r="D2307">
        <v>14729.2</v>
      </c>
      <c r="E2307">
        <v>1.9800000000000002E-2</v>
      </c>
      <c r="F2307">
        <v>0.1067</v>
      </c>
    </row>
    <row r="2308" spans="1:6" x14ac:dyDescent="0.3">
      <c r="A2308" t="s">
        <v>2343</v>
      </c>
      <c r="B2308" t="s">
        <v>74</v>
      </c>
      <c r="C2308">
        <v>1420000</v>
      </c>
      <c r="D2308">
        <v>34100</v>
      </c>
      <c r="E2308">
        <v>3.1199999999999999E-2</v>
      </c>
      <c r="F2308">
        <v>5.1799999999999999E-2</v>
      </c>
    </row>
    <row r="2309" spans="1:6" x14ac:dyDescent="0.3">
      <c r="A2309" t="s">
        <v>2344</v>
      </c>
      <c r="B2309" t="s">
        <v>41</v>
      </c>
      <c r="C2309">
        <v>2530000</v>
      </c>
      <c r="D2309">
        <v>500.3</v>
      </c>
      <c r="E2309">
        <v>7.6E-3</v>
      </c>
      <c r="F2309">
        <v>0.1318</v>
      </c>
    </row>
    <row r="2310" spans="1:6" x14ac:dyDescent="0.3">
      <c r="A2310" t="s">
        <v>2345</v>
      </c>
      <c r="B2310" t="s">
        <v>26</v>
      </c>
      <c r="C2310">
        <v>1380000</v>
      </c>
      <c r="D2310">
        <v>350963.6</v>
      </c>
      <c r="E2310">
        <v>1.46E-2</v>
      </c>
      <c r="F2310">
        <v>4.6199999999999998E-2</v>
      </c>
    </row>
    <row r="2311" spans="1:6" x14ac:dyDescent="0.3">
      <c r="A2311" t="s">
        <v>2346</v>
      </c>
      <c r="B2311" t="s">
        <v>195</v>
      </c>
      <c r="C2311">
        <v>1360000</v>
      </c>
      <c r="D2311">
        <v>68525.399999999994</v>
      </c>
      <c r="E2311">
        <v>2.1100000000000001E-2</v>
      </c>
      <c r="F2311">
        <v>0.1067</v>
      </c>
    </row>
    <row r="2312" spans="1:6" x14ac:dyDescent="0.3">
      <c r="A2312" t="s">
        <v>2347</v>
      </c>
      <c r="B2312" t="s">
        <v>88</v>
      </c>
      <c r="C2312">
        <v>1480000</v>
      </c>
      <c r="D2312">
        <v>2557.5</v>
      </c>
      <c r="E2312">
        <v>4.0800000000000003E-2</v>
      </c>
      <c r="F2312">
        <v>9.3799999999999994E-2</v>
      </c>
    </row>
    <row r="2313" spans="1:6" x14ac:dyDescent="0.3">
      <c r="A2313" t="s">
        <v>2348</v>
      </c>
      <c r="B2313" t="s">
        <v>26</v>
      </c>
      <c r="C2313">
        <v>1350000</v>
      </c>
      <c r="D2313">
        <v>7807</v>
      </c>
      <c r="E2313">
        <v>5.0700000000000002E-2</v>
      </c>
      <c r="F2313">
        <v>9.5100000000000004E-2</v>
      </c>
    </row>
    <row r="2314" spans="1:6" x14ac:dyDescent="0.3">
      <c r="A2314" t="s">
        <v>2349</v>
      </c>
      <c r="B2314" t="s">
        <v>21</v>
      </c>
      <c r="C2314">
        <v>1340000</v>
      </c>
      <c r="D2314">
        <v>603.4</v>
      </c>
      <c r="E2314">
        <v>2.0500000000000001E-2</v>
      </c>
      <c r="F2314">
        <v>4.6199999999999998E-2</v>
      </c>
    </row>
    <row r="2315" spans="1:6" x14ac:dyDescent="0.3">
      <c r="A2315" t="s">
        <v>2350</v>
      </c>
      <c r="B2315" t="s">
        <v>41</v>
      </c>
      <c r="C2315">
        <v>1680000</v>
      </c>
      <c r="D2315">
        <v>794.9</v>
      </c>
      <c r="E2315">
        <v>5.2999999999999999E-2</v>
      </c>
      <c r="F2315">
        <v>9.3799999999999994E-2</v>
      </c>
    </row>
    <row r="2316" spans="1:6" x14ac:dyDescent="0.3">
      <c r="A2316" t="s">
        <v>2351</v>
      </c>
      <c r="B2316" t="s">
        <v>26</v>
      </c>
      <c r="C2316">
        <v>1550000</v>
      </c>
      <c r="D2316">
        <v>62404</v>
      </c>
      <c r="E2316">
        <v>2.5700000000000001E-2</v>
      </c>
      <c r="F2316">
        <v>0.1169</v>
      </c>
    </row>
    <row r="2317" spans="1:6" x14ac:dyDescent="0.3">
      <c r="A2317" t="s">
        <v>2352</v>
      </c>
      <c r="B2317" t="s">
        <v>490</v>
      </c>
      <c r="C2317">
        <v>1460000</v>
      </c>
      <c r="D2317">
        <v>5925.1</v>
      </c>
      <c r="E2317">
        <v>1.52E-2</v>
      </c>
      <c r="F2317">
        <v>5.7599999999999998E-2</v>
      </c>
    </row>
    <row r="2318" spans="1:6" x14ac:dyDescent="0.3">
      <c r="A2318" t="s">
        <v>2353</v>
      </c>
      <c r="B2318" t="s">
        <v>26</v>
      </c>
      <c r="C2318">
        <v>1340000</v>
      </c>
      <c r="D2318">
        <v>21738.7</v>
      </c>
      <c r="E2318">
        <v>3.0000000000000001E-3</v>
      </c>
      <c r="F2318">
        <v>8.2199999999999995E-2</v>
      </c>
    </row>
    <row r="2319" spans="1:6" x14ac:dyDescent="0.3">
      <c r="A2319" t="s">
        <v>2354</v>
      </c>
      <c r="B2319" t="s">
        <v>30</v>
      </c>
      <c r="C2319">
        <v>2710000</v>
      </c>
      <c r="D2319">
        <v>1799074.4</v>
      </c>
      <c r="E2319">
        <v>9.4000000000000004E-3</v>
      </c>
      <c r="F2319">
        <v>8.2199999999999995E-2</v>
      </c>
    </row>
    <row r="2320" spans="1:6" x14ac:dyDescent="0.3">
      <c r="A2320" t="s">
        <v>2355</v>
      </c>
      <c r="B2320" t="s">
        <v>214</v>
      </c>
      <c r="C2320">
        <v>1360000</v>
      </c>
      <c r="D2320">
        <v>2276.4</v>
      </c>
      <c r="E2320">
        <v>2.7300000000000001E-2</v>
      </c>
      <c r="F2320">
        <v>9.5100000000000004E-2</v>
      </c>
    </row>
    <row r="2321" spans="1:6" x14ac:dyDescent="0.3">
      <c r="A2321" t="s">
        <v>2356</v>
      </c>
      <c r="B2321" t="s">
        <v>26</v>
      </c>
      <c r="C2321">
        <v>2520000</v>
      </c>
      <c r="D2321">
        <v>15135.2</v>
      </c>
      <c r="E2321">
        <v>3.27E-2</v>
      </c>
      <c r="F2321">
        <v>7.5899999999999995E-2</v>
      </c>
    </row>
    <row r="2322" spans="1:6" x14ac:dyDescent="0.3">
      <c r="A2322" t="s">
        <v>2357</v>
      </c>
      <c r="B2322" t="s">
        <v>26</v>
      </c>
      <c r="C2322">
        <v>1470000</v>
      </c>
      <c r="D2322">
        <v>380789.8</v>
      </c>
      <c r="E2322">
        <v>4.3900000000000002E-2</v>
      </c>
      <c r="F2322">
        <v>4.0899999999999999E-2</v>
      </c>
    </row>
    <row r="2323" spans="1:6" x14ac:dyDescent="0.3">
      <c r="A2323" t="s">
        <v>2358</v>
      </c>
      <c r="B2323" t="s">
        <v>81</v>
      </c>
      <c r="C2323">
        <v>1460000</v>
      </c>
      <c r="D2323">
        <v>55108.3</v>
      </c>
      <c r="E2323">
        <v>3.9600000000000003E-2</v>
      </c>
      <c r="F2323">
        <v>9.3799999999999994E-2</v>
      </c>
    </row>
    <row r="2324" spans="1:6" x14ac:dyDescent="0.3">
      <c r="A2324" t="s">
        <v>2359</v>
      </c>
      <c r="B2324" t="s">
        <v>41</v>
      </c>
      <c r="C2324">
        <v>1820000</v>
      </c>
      <c r="D2324">
        <v>5250.1</v>
      </c>
      <c r="E2324">
        <v>4.1000000000000003E-3</v>
      </c>
      <c r="F2324">
        <v>0.10150000000000001</v>
      </c>
    </row>
    <row r="2325" spans="1:6" x14ac:dyDescent="0.3">
      <c r="A2325" t="s">
        <v>2360</v>
      </c>
      <c r="B2325" t="s">
        <v>26</v>
      </c>
      <c r="C2325">
        <v>1560000</v>
      </c>
      <c r="D2325">
        <v>231386.9</v>
      </c>
      <c r="E2325">
        <v>3.5499999999999997E-2</v>
      </c>
      <c r="F2325">
        <v>4.0899999999999999E-2</v>
      </c>
    </row>
    <row r="2326" spans="1:6" x14ac:dyDescent="0.3">
      <c r="A2326" t="s">
        <v>2361</v>
      </c>
      <c r="B2326" t="s">
        <v>50</v>
      </c>
      <c r="C2326">
        <v>1560000</v>
      </c>
      <c r="D2326">
        <v>270931.59999999998</v>
      </c>
      <c r="E2326">
        <v>3.0200000000000001E-2</v>
      </c>
      <c r="F2326">
        <v>4.3200000000000002E-2</v>
      </c>
    </row>
    <row r="2327" spans="1:6" x14ac:dyDescent="0.3">
      <c r="A2327" t="s">
        <v>2362</v>
      </c>
      <c r="B2327" t="s">
        <v>26</v>
      </c>
      <c r="C2327">
        <v>1550000</v>
      </c>
      <c r="D2327">
        <v>547707.80000000005</v>
      </c>
      <c r="E2327">
        <v>4.7600000000000003E-2</v>
      </c>
      <c r="F2327">
        <v>9.5100000000000004E-2</v>
      </c>
    </row>
    <row r="2328" spans="1:6" x14ac:dyDescent="0.3">
      <c r="A2328" t="s">
        <v>2363</v>
      </c>
      <c r="B2328" t="s">
        <v>41</v>
      </c>
      <c r="C2328">
        <v>1990000</v>
      </c>
      <c r="D2328">
        <v>216646.1</v>
      </c>
      <c r="E2328">
        <v>2.5399999999999999E-2</v>
      </c>
      <c r="F2328">
        <v>7.5899999999999995E-2</v>
      </c>
    </row>
    <row r="2329" spans="1:6" x14ac:dyDescent="0.3">
      <c r="A2329" t="s">
        <v>2364</v>
      </c>
      <c r="B2329" t="s">
        <v>41</v>
      </c>
      <c r="C2329">
        <v>1300000</v>
      </c>
      <c r="D2329">
        <v>3079.8</v>
      </c>
      <c r="E2329">
        <v>1.8100000000000002E-2</v>
      </c>
      <c r="F2329">
        <v>7.3099999999999998E-2</v>
      </c>
    </row>
    <row r="2330" spans="1:6" x14ac:dyDescent="0.3">
      <c r="A2330" t="s">
        <v>2365</v>
      </c>
      <c r="B2330" t="s">
        <v>287</v>
      </c>
      <c r="C2330">
        <v>1390000</v>
      </c>
      <c r="D2330">
        <v>15435.5</v>
      </c>
      <c r="E2330">
        <v>2.6599999999999999E-2</v>
      </c>
      <c r="F2330">
        <v>5.1799999999999999E-2</v>
      </c>
    </row>
    <row r="2331" spans="1:6" x14ac:dyDescent="0.3">
      <c r="A2331" t="s">
        <v>2366</v>
      </c>
      <c r="B2331" t="s">
        <v>92</v>
      </c>
      <c r="C2331">
        <v>1340000</v>
      </c>
      <c r="D2331">
        <v>1442.8</v>
      </c>
      <c r="E2331">
        <v>6.4000000000000003E-3</v>
      </c>
      <c r="F2331">
        <v>8.1100000000000005E-2</v>
      </c>
    </row>
    <row r="2332" spans="1:6" x14ac:dyDescent="0.3">
      <c r="A2332" t="s">
        <v>2367</v>
      </c>
      <c r="B2332" t="s">
        <v>32</v>
      </c>
      <c r="C2332">
        <v>1430000</v>
      </c>
      <c r="D2332">
        <v>14264.2</v>
      </c>
      <c r="E2332">
        <v>2.01E-2</v>
      </c>
      <c r="F2332">
        <v>0.1308</v>
      </c>
    </row>
    <row r="2333" spans="1:6" x14ac:dyDescent="0.3">
      <c r="A2333" t="s">
        <v>2368</v>
      </c>
      <c r="B2333" t="s">
        <v>28</v>
      </c>
      <c r="C2333">
        <v>1630000</v>
      </c>
      <c r="D2333">
        <v>22558.799999999999</v>
      </c>
      <c r="E2333">
        <v>3.2500000000000001E-2</v>
      </c>
      <c r="F2333">
        <v>9.3799999999999994E-2</v>
      </c>
    </row>
    <row r="2334" spans="1:6" x14ac:dyDescent="0.3">
      <c r="A2334" t="s">
        <v>2369</v>
      </c>
      <c r="B2334" t="s">
        <v>26</v>
      </c>
      <c r="C2334">
        <v>1450000</v>
      </c>
      <c r="D2334">
        <v>1203.4000000000001</v>
      </c>
      <c r="E2334">
        <v>2.7799999999999998E-2</v>
      </c>
      <c r="F2334">
        <v>9.3799999999999994E-2</v>
      </c>
    </row>
    <row r="2335" spans="1:6" x14ac:dyDescent="0.3">
      <c r="A2335" t="s">
        <v>2370</v>
      </c>
      <c r="B2335" t="s">
        <v>26</v>
      </c>
      <c r="C2335">
        <v>1440000</v>
      </c>
      <c r="D2335">
        <v>23300.400000000001</v>
      </c>
      <c r="E2335">
        <v>1.77E-2</v>
      </c>
      <c r="F2335">
        <v>0.1053</v>
      </c>
    </row>
    <row r="2336" spans="1:6" x14ac:dyDescent="0.3">
      <c r="A2336" t="s">
        <v>2371</v>
      </c>
      <c r="B2336" t="s">
        <v>26</v>
      </c>
      <c r="C2336">
        <v>1450000</v>
      </c>
      <c r="D2336">
        <v>2467.1</v>
      </c>
      <c r="E2336">
        <v>1.9400000000000001E-2</v>
      </c>
      <c r="F2336">
        <v>7.2599999999999998E-2</v>
      </c>
    </row>
    <row r="2337" spans="1:6" x14ac:dyDescent="0.3">
      <c r="A2337" t="s">
        <v>2372</v>
      </c>
      <c r="B2337" t="s">
        <v>26</v>
      </c>
      <c r="C2337">
        <v>1280000</v>
      </c>
      <c r="D2337">
        <v>115048.6</v>
      </c>
      <c r="E2337">
        <v>1.9400000000000001E-2</v>
      </c>
      <c r="F2337">
        <v>5.8500000000000003E-2</v>
      </c>
    </row>
    <row r="2338" spans="1:6" x14ac:dyDescent="0.3">
      <c r="A2338" t="s">
        <v>2373</v>
      </c>
      <c r="B2338" t="s">
        <v>30</v>
      </c>
      <c r="C2338">
        <v>8750000</v>
      </c>
      <c r="D2338">
        <v>7777213.7999999998</v>
      </c>
      <c r="E2338">
        <v>6.7400000000000002E-2</v>
      </c>
      <c r="F2338">
        <v>7.5899999999999995E-2</v>
      </c>
    </row>
    <row r="2339" spans="1:6" x14ac:dyDescent="0.3">
      <c r="A2339" t="s">
        <v>2374</v>
      </c>
      <c r="B2339" t="s">
        <v>88</v>
      </c>
      <c r="C2339">
        <v>1440000</v>
      </c>
      <c r="D2339">
        <v>55225.5</v>
      </c>
      <c r="E2339">
        <v>3.8800000000000001E-2</v>
      </c>
      <c r="F2339">
        <v>9.5100000000000004E-2</v>
      </c>
    </row>
    <row r="2340" spans="1:6" x14ac:dyDescent="0.3">
      <c r="A2340" t="s">
        <v>2375</v>
      </c>
      <c r="B2340" t="s">
        <v>26</v>
      </c>
      <c r="C2340">
        <v>1380000</v>
      </c>
      <c r="D2340">
        <v>2431.6</v>
      </c>
      <c r="E2340">
        <v>1.52E-2</v>
      </c>
      <c r="F2340">
        <v>9.0300000000000005E-2</v>
      </c>
    </row>
    <row r="2341" spans="1:6" x14ac:dyDescent="0.3">
      <c r="A2341" t="s">
        <v>2376</v>
      </c>
      <c r="B2341" t="s">
        <v>287</v>
      </c>
      <c r="C2341">
        <v>1250000</v>
      </c>
      <c r="D2341">
        <v>926.4</v>
      </c>
      <c r="E2341">
        <v>2.6700000000000002E-2</v>
      </c>
      <c r="F2341">
        <v>9.5100000000000004E-2</v>
      </c>
    </row>
    <row r="2342" spans="1:6" x14ac:dyDescent="0.3">
      <c r="A2342" t="s">
        <v>2377</v>
      </c>
      <c r="B2342" t="s">
        <v>50</v>
      </c>
      <c r="C2342">
        <v>1630000</v>
      </c>
      <c r="D2342">
        <v>142239.79999999999</v>
      </c>
      <c r="E2342">
        <v>3.56E-2</v>
      </c>
      <c r="F2342">
        <v>7.5899999999999995E-2</v>
      </c>
    </row>
    <row r="2343" spans="1:6" x14ac:dyDescent="0.3">
      <c r="A2343" t="s">
        <v>2378</v>
      </c>
      <c r="B2343" t="s">
        <v>71</v>
      </c>
      <c r="C2343">
        <v>2170000</v>
      </c>
      <c r="D2343">
        <v>6568.9</v>
      </c>
      <c r="E2343">
        <v>1.55E-2</v>
      </c>
      <c r="F2343">
        <v>5.7599999999999998E-2</v>
      </c>
    </row>
    <row r="2344" spans="1:6" x14ac:dyDescent="0.3">
      <c r="A2344" t="s">
        <v>2379</v>
      </c>
      <c r="B2344" t="s">
        <v>30</v>
      </c>
      <c r="C2344">
        <v>1270000</v>
      </c>
      <c r="D2344">
        <v>5041.7</v>
      </c>
      <c r="E2344">
        <v>5.7099999999999998E-2</v>
      </c>
      <c r="F2344">
        <v>9.5100000000000004E-2</v>
      </c>
    </row>
    <row r="2345" spans="1:6" x14ac:dyDescent="0.3">
      <c r="A2345" t="s">
        <v>2380</v>
      </c>
      <c r="B2345" t="s">
        <v>41</v>
      </c>
      <c r="C2345">
        <v>1390000</v>
      </c>
      <c r="D2345">
        <v>243436.3</v>
      </c>
      <c r="E2345">
        <v>4.8000000000000001E-2</v>
      </c>
      <c r="F2345">
        <v>9.3799999999999994E-2</v>
      </c>
    </row>
    <row r="2346" spans="1:6" x14ac:dyDescent="0.3">
      <c r="A2346" t="s">
        <v>2381</v>
      </c>
      <c r="B2346" t="s">
        <v>26</v>
      </c>
      <c r="C2346">
        <v>2850000</v>
      </c>
      <c r="D2346">
        <v>1375419.7</v>
      </c>
      <c r="E2346">
        <v>2.5000000000000001E-2</v>
      </c>
      <c r="F2346">
        <v>5.1799999999999999E-2</v>
      </c>
    </row>
    <row r="2347" spans="1:6" x14ac:dyDescent="0.3">
      <c r="A2347" t="s">
        <v>2382</v>
      </c>
      <c r="B2347" t="s">
        <v>26</v>
      </c>
      <c r="C2347">
        <v>1290000</v>
      </c>
      <c r="D2347">
        <v>1891.4</v>
      </c>
      <c r="E2347">
        <v>2.2700000000000001E-2</v>
      </c>
      <c r="F2347">
        <v>4.0899999999999999E-2</v>
      </c>
    </row>
    <row r="2348" spans="1:6" x14ac:dyDescent="0.3">
      <c r="A2348" t="s">
        <v>2383</v>
      </c>
      <c r="B2348" t="s">
        <v>26</v>
      </c>
      <c r="C2348">
        <v>1430000</v>
      </c>
      <c r="D2348">
        <v>304949.5</v>
      </c>
      <c r="E2348">
        <v>5.2900000000000003E-2</v>
      </c>
      <c r="F2348">
        <v>4.0899999999999999E-2</v>
      </c>
    </row>
    <row r="2349" spans="1:6" x14ac:dyDescent="0.3">
      <c r="A2349" t="s">
        <v>2384</v>
      </c>
      <c r="B2349" t="s">
        <v>26</v>
      </c>
      <c r="C2349">
        <v>1300000</v>
      </c>
      <c r="D2349">
        <v>12104.4</v>
      </c>
      <c r="E2349">
        <v>7.0099999999999996E-2</v>
      </c>
      <c r="F2349">
        <v>0.15160000000000001</v>
      </c>
    </row>
    <row r="2350" spans="1:6" x14ac:dyDescent="0.3">
      <c r="A2350" t="s">
        <v>2385</v>
      </c>
      <c r="B2350" t="s">
        <v>26</v>
      </c>
      <c r="C2350">
        <v>1290000</v>
      </c>
      <c r="D2350">
        <v>903</v>
      </c>
      <c r="E2350">
        <v>3.2300000000000002E-2</v>
      </c>
      <c r="F2350">
        <v>6.7900000000000002E-2</v>
      </c>
    </row>
    <row r="2351" spans="1:6" x14ac:dyDescent="0.3">
      <c r="A2351" t="s">
        <v>2386</v>
      </c>
      <c r="B2351" t="s">
        <v>88</v>
      </c>
      <c r="C2351">
        <v>1300000</v>
      </c>
      <c r="D2351">
        <v>281.60000000000002</v>
      </c>
      <c r="E2351">
        <v>3.8699999999999998E-2</v>
      </c>
      <c r="F2351">
        <v>0.30099999999999999</v>
      </c>
    </row>
    <row r="2352" spans="1:6" x14ac:dyDescent="0.3">
      <c r="A2352" t="s">
        <v>2387</v>
      </c>
      <c r="B2352" t="s">
        <v>214</v>
      </c>
      <c r="C2352">
        <v>1300000</v>
      </c>
      <c r="D2352">
        <v>108.4</v>
      </c>
      <c r="E2352">
        <v>5.4000000000000003E-3</v>
      </c>
      <c r="F2352">
        <v>0.1113</v>
      </c>
    </row>
    <row r="2353" spans="1:6" x14ac:dyDescent="0.3">
      <c r="A2353" t="s">
        <v>2388</v>
      </c>
      <c r="B2353" t="s">
        <v>26</v>
      </c>
      <c r="C2353">
        <v>1470000</v>
      </c>
      <c r="D2353">
        <v>135258.70000000001</v>
      </c>
      <c r="E2353">
        <v>5.8900000000000001E-2</v>
      </c>
      <c r="F2353">
        <v>5.3800000000000001E-2</v>
      </c>
    </row>
    <row r="2354" spans="1:6" x14ac:dyDescent="0.3">
      <c r="A2354" t="s">
        <v>2389</v>
      </c>
      <c r="B2354" t="s">
        <v>92</v>
      </c>
      <c r="C2354">
        <v>1390000</v>
      </c>
      <c r="D2354">
        <v>137040.4</v>
      </c>
      <c r="E2354">
        <v>1.9E-2</v>
      </c>
      <c r="F2354">
        <v>8.5400000000000004E-2</v>
      </c>
    </row>
    <row r="2355" spans="1:6" x14ac:dyDescent="0.3">
      <c r="A2355" t="s">
        <v>2390</v>
      </c>
      <c r="B2355" t="s">
        <v>26</v>
      </c>
      <c r="C2355">
        <v>4570000</v>
      </c>
      <c r="D2355">
        <v>478459.5</v>
      </c>
      <c r="E2355">
        <v>7.85E-2</v>
      </c>
      <c r="F2355">
        <v>4.0899999999999999E-2</v>
      </c>
    </row>
    <row r="2356" spans="1:6" x14ac:dyDescent="0.3">
      <c r="A2356" t="s">
        <v>2391</v>
      </c>
      <c r="B2356" t="s">
        <v>26</v>
      </c>
      <c r="C2356">
        <v>1390000</v>
      </c>
      <c r="D2356">
        <v>95300.6</v>
      </c>
      <c r="E2356">
        <v>8.9999999999999993E-3</v>
      </c>
      <c r="F2356">
        <v>8.2199999999999995E-2</v>
      </c>
    </row>
    <row r="2357" spans="1:6" x14ac:dyDescent="0.3">
      <c r="A2357" t="s">
        <v>2392</v>
      </c>
      <c r="B2357" t="s">
        <v>26</v>
      </c>
      <c r="C2357">
        <v>1250000</v>
      </c>
      <c r="D2357">
        <v>13737.9</v>
      </c>
      <c r="E2357">
        <v>1.3899999999999999E-2</v>
      </c>
      <c r="F2357">
        <v>4.6199999999999998E-2</v>
      </c>
    </row>
    <row r="2358" spans="1:6" x14ac:dyDescent="0.3">
      <c r="A2358" t="s">
        <v>2393</v>
      </c>
      <c r="B2358" t="s">
        <v>35</v>
      </c>
      <c r="C2358">
        <v>1290000</v>
      </c>
      <c r="D2358">
        <v>28790.7</v>
      </c>
      <c r="E2358">
        <v>2.1399999999999999E-2</v>
      </c>
      <c r="F2358">
        <v>0.1067</v>
      </c>
    </row>
    <row r="2359" spans="1:6" x14ac:dyDescent="0.3">
      <c r="A2359" t="s">
        <v>2394</v>
      </c>
      <c r="B2359" t="s">
        <v>21</v>
      </c>
      <c r="C2359">
        <v>1430000</v>
      </c>
      <c r="D2359">
        <v>4517.3999999999996</v>
      </c>
      <c r="E2359">
        <v>2.2800000000000001E-2</v>
      </c>
      <c r="F2359">
        <v>0.11700000000000001</v>
      </c>
    </row>
    <row r="2360" spans="1:6" x14ac:dyDescent="0.3">
      <c r="A2360" t="s">
        <v>2395</v>
      </c>
      <c r="B2360" t="s">
        <v>88</v>
      </c>
      <c r="C2360">
        <v>1270000</v>
      </c>
      <c r="D2360">
        <v>1891.4</v>
      </c>
      <c r="E2360">
        <v>4.5400000000000003E-2</v>
      </c>
      <c r="F2360">
        <v>9.3799999999999994E-2</v>
      </c>
    </row>
    <row r="2361" spans="1:6" x14ac:dyDescent="0.3">
      <c r="A2361" t="s">
        <v>2396</v>
      </c>
      <c r="B2361" t="s">
        <v>26</v>
      </c>
      <c r="C2361">
        <v>1660000</v>
      </c>
      <c r="D2361">
        <v>23724.400000000001</v>
      </c>
      <c r="E2361">
        <v>4.3900000000000002E-2</v>
      </c>
      <c r="F2361">
        <v>5.0999999999999997E-2</v>
      </c>
    </row>
    <row r="2362" spans="1:6" x14ac:dyDescent="0.3">
      <c r="A2362" t="s">
        <v>2397</v>
      </c>
      <c r="B2362" t="s">
        <v>26</v>
      </c>
      <c r="C2362">
        <v>1380000</v>
      </c>
      <c r="D2362">
        <v>12570.3</v>
      </c>
      <c r="E2362">
        <v>1.3299999999999999E-2</v>
      </c>
      <c r="F2362">
        <v>7.2599999999999998E-2</v>
      </c>
    </row>
    <row r="2363" spans="1:6" x14ac:dyDescent="0.3">
      <c r="A2363" t="s">
        <v>2398</v>
      </c>
      <c r="B2363" t="s">
        <v>41</v>
      </c>
      <c r="C2363">
        <v>1280000</v>
      </c>
      <c r="D2363">
        <v>812.5</v>
      </c>
      <c r="E2363">
        <v>3.3799999999999997E-2</v>
      </c>
      <c r="F2363">
        <v>7.2499999999999995E-2</v>
      </c>
    </row>
    <row r="2364" spans="1:6" x14ac:dyDescent="0.3">
      <c r="A2364" t="s">
        <v>2399</v>
      </c>
      <c r="B2364" t="s">
        <v>50</v>
      </c>
      <c r="C2364">
        <v>1250000</v>
      </c>
      <c r="D2364">
        <v>1854.1</v>
      </c>
      <c r="E2364">
        <v>2.29E-2</v>
      </c>
      <c r="F2364">
        <v>9.5100000000000004E-2</v>
      </c>
    </row>
    <row r="2365" spans="1:6" x14ac:dyDescent="0.3">
      <c r="A2365" t="s">
        <v>2400</v>
      </c>
      <c r="B2365" t="s">
        <v>62</v>
      </c>
      <c r="C2365">
        <v>1510000</v>
      </c>
      <c r="D2365">
        <v>10320.700000000001</v>
      </c>
      <c r="E2365">
        <v>3.9E-2</v>
      </c>
      <c r="F2365">
        <v>7.5899999999999995E-2</v>
      </c>
    </row>
    <row r="2366" spans="1:6" x14ac:dyDescent="0.3">
      <c r="A2366" t="s">
        <v>2401</v>
      </c>
      <c r="B2366" t="s">
        <v>53</v>
      </c>
      <c r="C2366">
        <v>1760000</v>
      </c>
      <c r="D2366">
        <v>33487.4</v>
      </c>
      <c r="E2366">
        <v>2.5499999999999998E-2</v>
      </c>
      <c r="F2366">
        <v>5.1799999999999999E-2</v>
      </c>
    </row>
    <row r="2367" spans="1:6" x14ac:dyDescent="0.3">
      <c r="A2367" t="s">
        <v>2402</v>
      </c>
      <c r="B2367" t="s">
        <v>92</v>
      </c>
      <c r="C2367">
        <v>1890000</v>
      </c>
      <c r="D2367">
        <v>2278.8000000000002</v>
      </c>
      <c r="E2367">
        <v>3.6999999999999998E-2</v>
      </c>
      <c r="F2367">
        <v>9.3799999999999994E-2</v>
      </c>
    </row>
    <row r="2368" spans="1:6" x14ac:dyDescent="0.3">
      <c r="A2368" t="s">
        <v>2403</v>
      </c>
      <c r="B2368" t="s">
        <v>32</v>
      </c>
      <c r="C2368">
        <v>1550000</v>
      </c>
      <c r="D2368">
        <v>209</v>
      </c>
      <c r="E2368">
        <v>1.1299999999999999E-2</v>
      </c>
      <c r="F2368">
        <v>0.1013</v>
      </c>
    </row>
    <row r="2369" spans="1:6" x14ac:dyDescent="0.3">
      <c r="A2369" t="s">
        <v>2404</v>
      </c>
      <c r="B2369" t="s">
        <v>53</v>
      </c>
      <c r="C2369">
        <v>1570000</v>
      </c>
      <c r="D2369">
        <v>22658.6</v>
      </c>
      <c r="E2369">
        <v>5.7500000000000002E-2</v>
      </c>
      <c r="F2369">
        <v>9.3799999999999994E-2</v>
      </c>
    </row>
    <row r="2370" spans="1:6" x14ac:dyDescent="0.3">
      <c r="A2370" t="s">
        <v>2405</v>
      </c>
      <c r="B2370" t="s">
        <v>24</v>
      </c>
      <c r="C2370">
        <v>1260000</v>
      </c>
      <c r="D2370">
        <v>701.8</v>
      </c>
      <c r="E2370">
        <v>5.5599999999999997E-2</v>
      </c>
      <c r="F2370">
        <v>9.5100000000000004E-2</v>
      </c>
    </row>
    <row r="2371" spans="1:6" x14ac:dyDescent="0.3">
      <c r="A2371" t="s">
        <v>2406</v>
      </c>
      <c r="B2371" t="s">
        <v>53</v>
      </c>
      <c r="C2371">
        <v>1340000</v>
      </c>
      <c r="D2371">
        <v>11505.6</v>
      </c>
      <c r="E2371">
        <v>5.1200000000000002E-2</v>
      </c>
      <c r="F2371">
        <v>9.3799999999999994E-2</v>
      </c>
    </row>
    <row r="2372" spans="1:6" x14ac:dyDescent="0.3">
      <c r="A2372" t="s">
        <v>2407</v>
      </c>
      <c r="B2372" t="s">
        <v>26</v>
      </c>
      <c r="C2372">
        <v>1350000</v>
      </c>
      <c r="D2372">
        <v>8129</v>
      </c>
      <c r="E2372">
        <v>1.06E-2</v>
      </c>
      <c r="F2372">
        <v>0.10150000000000001</v>
      </c>
    </row>
    <row r="2373" spans="1:6" x14ac:dyDescent="0.3">
      <c r="A2373" t="s">
        <v>2408</v>
      </c>
      <c r="B2373" t="s">
        <v>26</v>
      </c>
      <c r="C2373">
        <v>1440000</v>
      </c>
      <c r="D2373">
        <v>257526.39999999999</v>
      </c>
      <c r="E2373">
        <v>3.9199999999999999E-2</v>
      </c>
      <c r="F2373">
        <v>7.5899999999999995E-2</v>
      </c>
    </row>
    <row r="2374" spans="1:6" x14ac:dyDescent="0.3">
      <c r="A2374" t="s">
        <v>2409</v>
      </c>
      <c r="B2374" t="s">
        <v>26</v>
      </c>
      <c r="C2374">
        <v>1240000</v>
      </c>
      <c r="D2374">
        <v>278.39999999999998</v>
      </c>
      <c r="E2374">
        <v>0.1067</v>
      </c>
      <c r="F2374">
        <v>0.1226</v>
      </c>
    </row>
    <row r="2375" spans="1:6" x14ac:dyDescent="0.3">
      <c r="A2375" t="s">
        <v>2410</v>
      </c>
      <c r="B2375" t="s">
        <v>214</v>
      </c>
      <c r="C2375">
        <v>1600000</v>
      </c>
      <c r="D2375">
        <v>77140.3</v>
      </c>
      <c r="E2375">
        <v>2.5399999999999999E-2</v>
      </c>
      <c r="F2375">
        <v>7.5899999999999995E-2</v>
      </c>
    </row>
    <row r="2376" spans="1:6" x14ac:dyDescent="0.3">
      <c r="A2376" t="s">
        <v>2411</v>
      </c>
      <c r="B2376" t="s">
        <v>24</v>
      </c>
      <c r="C2376">
        <v>1850000</v>
      </c>
      <c r="D2376">
        <v>12566.2</v>
      </c>
      <c r="E2376">
        <v>7.1199999999999999E-2</v>
      </c>
      <c r="F2376">
        <v>9.3799999999999994E-2</v>
      </c>
    </row>
    <row r="2377" spans="1:6" x14ac:dyDescent="0.3">
      <c r="A2377" t="s">
        <v>2412</v>
      </c>
      <c r="B2377" t="s">
        <v>81</v>
      </c>
      <c r="C2377">
        <v>1280000</v>
      </c>
      <c r="D2377">
        <v>19323.599999999999</v>
      </c>
      <c r="E2377">
        <v>1.5699999999999999E-2</v>
      </c>
      <c r="F2377">
        <v>0.1053</v>
      </c>
    </row>
    <row r="2378" spans="1:6" x14ac:dyDescent="0.3">
      <c r="A2378" t="s">
        <v>2413</v>
      </c>
      <c r="B2378" t="s">
        <v>41</v>
      </c>
      <c r="C2378">
        <v>1560000</v>
      </c>
      <c r="D2378">
        <v>52916.4</v>
      </c>
      <c r="E2378">
        <v>4.7100000000000003E-2</v>
      </c>
      <c r="F2378">
        <v>9.3799999999999994E-2</v>
      </c>
    </row>
    <row r="2379" spans="1:6" x14ac:dyDescent="0.3">
      <c r="A2379" t="s">
        <v>2414</v>
      </c>
      <c r="B2379" t="s">
        <v>50</v>
      </c>
      <c r="C2379">
        <v>3140000</v>
      </c>
      <c r="D2379">
        <v>358346.4</v>
      </c>
      <c r="E2379">
        <v>2.5899999999999999E-2</v>
      </c>
      <c r="F2379">
        <v>5.0999999999999997E-2</v>
      </c>
    </row>
    <row r="2380" spans="1:6" x14ac:dyDescent="0.3">
      <c r="A2380" t="s">
        <v>2415</v>
      </c>
      <c r="B2380" t="s">
        <v>26</v>
      </c>
      <c r="C2380">
        <v>3060000</v>
      </c>
      <c r="D2380">
        <v>1290848.3</v>
      </c>
      <c r="F2380">
        <v>4.0899999999999999E-2</v>
      </c>
    </row>
    <row r="2381" spans="1:6" x14ac:dyDescent="0.3">
      <c r="A2381" t="s">
        <v>2416</v>
      </c>
      <c r="B2381" t="s">
        <v>92</v>
      </c>
      <c r="C2381">
        <v>1430000</v>
      </c>
      <c r="D2381">
        <v>7217.9</v>
      </c>
      <c r="E2381">
        <v>1.32E-2</v>
      </c>
      <c r="F2381">
        <v>4.6199999999999998E-2</v>
      </c>
    </row>
    <row r="2382" spans="1:6" x14ac:dyDescent="0.3">
      <c r="A2382" t="s">
        <v>2417</v>
      </c>
      <c r="B2382" t="s">
        <v>195</v>
      </c>
      <c r="C2382">
        <v>4140000</v>
      </c>
      <c r="D2382">
        <v>10278.799999999999</v>
      </c>
      <c r="E2382">
        <v>2.6100000000000002E-2</v>
      </c>
      <c r="F2382">
        <v>7.5899999999999995E-2</v>
      </c>
    </row>
    <row r="2383" spans="1:6" x14ac:dyDescent="0.3">
      <c r="A2383" t="s">
        <v>2418</v>
      </c>
      <c r="B2383" t="s">
        <v>26</v>
      </c>
      <c r="C2383">
        <v>1770000</v>
      </c>
      <c r="D2383">
        <v>796845.3</v>
      </c>
      <c r="E2383">
        <v>3.1300000000000001E-2</v>
      </c>
      <c r="F2383">
        <v>4.3200000000000002E-2</v>
      </c>
    </row>
    <row r="2384" spans="1:6" x14ac:dyDescent="0.3">
      <c r="A2384" t="s">
        <v>2419</v>
      </c>
      <c r="B2384" t="s">
        <v>88</v>
      </c>
      <c r="C2384">
        <v>2180000</v>
      </c>
      <c r="D2384">
        <v>29602</v>
      </c>
      <c r="E2384">
        <v>3.3000000000000002E-2</v>
      </c>
      <c r="F2384">
        <v>9.3799999999999994E-2</v>
      </c>
    </row>
    <row r="2385" spans="1:6" x14ac:dyDescent="0.3">
      <c r="A2385" t="s">
        <v>2420</v>
      </c>
      <c r="B2385" t="s">
        <v>28</v>
      </c>
      <c r="C2385">
        <v>2550000</v>
      </c>
      <c r="D2385">
        <v>230925.6</v>
      </c>
      <c r="E2385">
        <v>1.66E-2</v>
      </c>
      <c r="F2385">
        <v>5.7599999999999998E-2</v>
      </c>
    </row>
    <row r="2386" spans="1:6" x14ac:dyDescent="0.3">
      <c r="A2386" t="s">
        <v>2421</v>
      </c>
      <c r="B2386" t="s">
        <v>88</v>
      </c>
      <c r="C2386">
        <v>1310000</v>
      </c>
      <c r="D2386">
        <v>21219.1</v>
      </c>
      <c r="E2386">
        <v>2.76E-2</v>
      </c>
      <c r="F2386">
        <v>7.5899999999999995E-2</v>
      </c>
    </row>
    <row r="2387" spans="1:6" x14ac:dyDescent="0.3">
      <c r="A2387" t="s">
        <v>2422</v>
      </c>
      <c r="B2387" t="s">
        <v>26</v>
      </c>
      <c r="C2387">
        <v>1470000</v>
      </c>
      <c r="D2387">
        <v>26076.1</v>
      </c>
      <c r="F2387">
        <v>5.1799999999999999E-2</v>
      </c>
    </row>
    <row r="2388" spans="1:6" x14ac:dyDescent="0.3">
      <c r="A2388" t="s">
        <v>2423</v>
      </c>
      <c r="B2388" t="s">
        <v>92</v>
      </c>
      <c r="C2388">
        <v>1480000</v>
      </c>
      <c r="D2388">
        <v>33553.4</v>
      </c>
      <c r="E2388">
        <v>1.4E-2</v>
      </c>
      <c r="F2388">
        <v>5.8500000000000003E-2</v>
      </c>
    </row>
    <row r="2389" spans="1:6" x14ac:dyDescent="0.3">
      <c r="A2389" t="s">
        <v>2424</v>
      </c>
      <c r="B2389" t="s">
        <v>26</v>
      </c>
      <c r="C2389">
        <v>1300000</v>
      </c>
      <c r="D2389">
        <v>208868.9</v>
      </c>
      <c r="E2389">
        <v>3.3500000000000002E-2</v>
      </c>
      <c r="F2389">
        <v>9.5100000000000004E-2</v>
      </c>
    </row>
    <row r="2390" spans="1:6" x14ac:dyDescent="0.3">
      <c r="A2390" t="s">
        <v>2425</v>
      </c>
      <c r="B2390" t="s">
        <v>195</v>
      </c>
      <c r="C2390">
        <v>1440000</v>
      </c>
      <c r="D2390">
        <v>129892.3</v>
      </c>
      <c r="E2390">
        <v>2.9100000000000001E-2</v>
      </c>
      <c r="F2390">
        <v>7.5899999999999995E-2</v>
      </c>
    </row>
    <row r="2391" spans="1:6" x14ac:dyDescent="0.3">
      <c r="A2391" t="s">
        <v>2426</v>
      </c>
      <c r="B2391" t="s">
        <v>26</v>
      </c>
      <c r="C2391">
        <v>1620000</v>
      </c>
      <c r="D2391">
        <v>9778.4</v>
      </c>
      <c r="E2391">
        <v>2.3599999999999999E-2</v>
      </c>
      <c r="F2391">
        <v>9.3799999999999994E-2</v>
      </c>
    </row>
    <row r="2392" spans="1:6" x14ac:dyDescent="0.3">
      <c r="A2392" t="s">
        <v>2427</v>
      </c>
      <c r="B2392" t="s">
        <v>24</v>
      </c>
      <c r="C2392">
        <v>1230000</v>
      </c>
      <c r="D2392">
        <v>401229.1</v>
      </c>
      <c r="E2392">
        <v>7.1999999999999995E-2</v>
      </c>
      <c r="F2392">
        <v>9.5100000000000004E-2</v>
      </c>
    </row>
    <row r="2393" spans="1:6" x14ac:dyDescent="0.3">
      <c r="A2393" t="s">
        <v>2428</v>
      </c>
      <c r="B2393" t="s">
        <v>30</v>
      </c>
      <c r="C2393">
        <v>1590000</v>
      </c>
      <c r="D2393">
        <v>454730.3</v>
      </c>
      <c r="E2393">
        <v>5.21E-2</v>
      </c>
      <c r="F2393">
        <v>7.5899999999999995E-2</v>
      </c>
    </row>
    <row r="2394" spans="1:6" x14ac:dyDescent="0.3">
      <c r="A2394" t="s">
        <v>2429</v>
      </c>
      <c r="B2394" t="s">
        <v>24</v>
      </c>
      <c r="C2394">
        <v>1740000</v>
      </c>
      <c r="D2394">
        <v>154249.79999999999</v>
      </c>
      <c r="E2394">
        <v>0.20200000000000001</v>
      </c>
      <c r="F2394">
        <v>9.5100000000000004E-2</v>
      </c>
    </row>
    <row r="2395" spans="1:6" x14ac:dyDescent="0.3">
      <c r="A2395" t="s">
        <v>2430</v>
      </c>
      <c r="B2395" t="s">
        <v>62</v>
      </c>
      <c r="C2395">
        <v>1510000</v>
      </c>
      <c r="D2395">
        <v>2161.6</v>
      </c>
      <c r="E2395">
        <v>5.1799999999999999E-2</v>
      </c>
      <c r="F2395">
        <v>9.3799999999999994E-2</v>
      </c>
    </row>
    <row r="2396" spans="1:6" x14ac:dyDescent="0.3">
      <c r="A2396" t="s">
        <v>2431</v>
      </c>
      <c r="B2396" t="s">
        <v>92</v>
      </c>
      <c r="C2396">
        <v>1350000</v>
      </c>
      <c r="D2396">
        <v>19537</v>
      </c>
      <c r="E2396">
        <v>1.9400000000000001E-2</v>
      </c>
      <c r="F2396">
        <v>8.5400000000000004E-2</v>
      </c>
    </row>
    <row r="2397" spans="1:6" x14ac:dyDescent="0.3">
      <c r="A2397" t="s">
        <v>2432</v>
      </c>
      <c r="B2397" t="s">
        <v>30</v>
      </c>
      <c r="C2397">
        <v>1280000</v>
      </c>
      <c r="D2397">
        <v>250401.6</v>
      </c>
      <c r="E2397">
        <v>1.7600000000000001E-2</v>
      </c>
      <c r="F2397">
        <v>5.8500000000000003E-2</v>
      </c>
    </row>
    <row r="2398" spans="1:6" x14ac:dyDescent="0.3">
      <c r="A2398" t="s">
        <v>2433</v>
      </c>
      <c r="B2398" t="s">
        <v>41</v>
      </c>
      <c r="C2398">
        <v>1990000</v>
      </c>
      <c r="D2398">
        <v>2778.2</v>
      </c>
      <c r="E2398">
        <v>3.1099999999999999E-2</v>
      </c>
      <c r="F2398">
        <v>5.0999999999999997E-2</v>
      </c>
    </row>
    <row r="2399" spans="1:6" x14ac:dyDescent="0.3">
      <c r="A2399" t="s">
        <v>2434</v>
      </c>
      <c r="B2399" t="s">
        <v>21</v>
      </c>
      <c r="C2399">
        <v>1400000</v>
      </c>
      <c r="D2399">
        <v>313745.40000000002</v>
      </c>
      <c r="E2399">
        <v>5.1999999999999998E-2</v>
      </c>
      <c r="F2399">
        <v>9.5100000000000004E-2</v>
      </c>
    </row>
    <row r="2400" spans="1:6" x14ac:dyDescent="0.3">
      <c r="A2400" t="s">
        <v>2435</v>
      </c>
      <c r="B2400" t="s">
        <v>21</v>
      </c>
      <c r="C2400">
        <v>1460000</v>
      </c>
      <c r="D2400">
        <v>19113.2</v>
      </c>
      <c r="E2400">
        <v>4.1399999999999999E-2</v>
      </c>
      <c r="F2400">
        <v>9.3799999999999994E-2</v>
      </c>
    </row>
    <row r="2401" spans="1:6" x14ac:dyDescent="0.3">
      <c r="A2401" t="s">
        <v>2436</v>
      </c>
      <c r="B2401" t="s">
        <v>62</v>
      </c>
      <c r="C2401">
        <v>1420000</v>
      </c>
      <c r="D2401">
        <v>588</v>
      </c>
      <c r="E2401">
        <v>1.9599999999999999E-2</v>
      </c>
      <c r="F2401">
        <v>0.42030000000000001</v>
      </c>
    </row>
    <row r="2402" spans="1:6" x14ac:dyDescent="0.3">
      <c r="A2402" t="s">
        <v>2437</v>
      </c>
      <c r="B2402" t="s">
        <v>50</v>
      </c>
      <c r="C2402">
        <v>1530000</v>
      </c>
      <c r="D2402">
        <v>12289.1</v>
      </c>
      <c r="F2402">
        <v>4.0899999999999999E-2</v>
      </c>
    </row>
    <row r="2403" spans="1:6" x14ac:dyDescent="0.3">
      <c r="A2403" t="s">
        <v>2438</v>
      </c>
      <c r="B2403" t="s">
        <v>53</v>
      </c>
      <c r="C2403">
        <v>1330000</v>
      </c>
      <c r="D2403">
        <v>14502.3</v>
      </c>
      <c r="E2403">
        <v>3.39E-2</v>
      </c>
      <c r="F2403">
        <v>0.13869999999999999</v>
      </c>
    </row>
    <row r="2404" spans="1:6" x14ac:dyDescent="0.3">
      <c r="A2404" t="s">
        <v>2439</v>
      </c>
      <c r="B2404" t="s">
        <v>88</v>
      </c>
      <c r="C2404">
        <v>1230000</v>
      </c>
      <c r="D2404">
        <v>1550</v>
      </c>
      <c r="E2404">
        <v>3.3300000000000003E-2</v>
      </c>
      <c r="F2404">
        <v>6.4399999999999999E-2</v>
      </c>
    </row>
    <row r="2405" spans="1:6" x14ac:dyDescent="0.3">
      <c r="A2405" t="s">
        <v>2440</v>
      </c>
      <c r="B2405" t="s">
        <v>26</v>
      </c>
      <c r="C2405">
        <v>2160000</v>
      </c>
      <c r="D2405">
        <v>371632.3</v>
      </c>
      <c r="E2405">
        <v>5.4100000000000002E-2</v>
      </c>
      <c r="F2405">
        <v>7.5899999999999995E-2</v>
      </c>
    </row>
    <row r="2406" spans="1:6" x14ac:dyDescent="0.3">
      <c r="A2406" t="s">
        <v>2441</v>
      </c>
      <c r="B2406" t="s">
        <v>26</v>
      </c>
      <c r="C2406">
        <v>1270000</v>
      </c>
      <c r="D2406">
        <v>20007.7</v>
      </c>
      <c r="E2406">
        <v>4.8099999999999997E-2</v>
      </c>
      <c r="F2406">
        <v>0.1226</v>
      </c>
    </row>
    <row r="2407" spans="1:6" x14ac:dyDescent="0.3">
      <c r="A2407" t="s">
        <v>2442</v>
      </c>
      <c r="B2407" t="s">
        <v>26</v>
      </c>
      <c r="C2407">
        <v>1370000</v>
      </c>
      <c r="D2407">
        <v>2096.9</v>
      </c>
      <c r="E2407">
        <v>2.63E-2</v>
      </c>
      <c r="F2407">
        <v>5.0999999999999997E-2</v>
      </c>
    </row>
    <row r="2408" spans="1:6" x14ac:dyDescent="0.3">
      <c r="A2408" t="s">
        <v>2443</v>
      </c>
      <c r="B2408" t="s">
        <v>88</v>
      </c>
      <c r="C2408">
        <v>1580000</v>
      </c>
      <c r="D2408">
        <v>1580.2</v>
      </c>
      <c r="E2408">
        <v>7.17E-2</v>
      </c>
      <c r="F2408">
        <v>9.3799999999999994E-2</v>
      </c>
    </row>
    <row r="2409" spans="1:6" x14ac:dyDescent="0.3">
      <c r="A2409" t="s">
        <v>2444</v>
      </c>
      <c r="B2409" t="s">
        <v>81</v>
      </c>
      <c r="C2409">
        <v>1200000</v>
      </c>
      <c r="D2409">
        <v>13794.7</v>
      </c>
      <c r="E2409">
        <v>7.1999999999999998E-3</v>
      </c>
      <c r="F2409">
        <v>8.2199999999999995E-2</v>
      </c>
    </row>
    <row r="2410" spans="1:6" x14ac:dyDescent="0.3">
      <c r="A2410" t="s">
        <v>2445</v>
      </c>
      <c r="B2410" t="s">
        <v>41</v>
      </c>
      <c r="C2410">
        <v>1930000</v>
      </c>
      <c r="D2410">
        <v>1094</v>
      </c>
      <c r="E2410">
        <v>4.3700000000000003E-2</v>
      </c>
      <c r="F2410">
        <v>0.1226</v>
      </c>
    </row>
    <row r="2411" spans="1:6" x14ac:dyDescent="0.3">
      <c r="A2411" t="s">
        <v>2446</v>
      </c>
      <c r="B2411" t="s">
        <v>26</v>
      </c>
      <c r="C2411">
        <v>1300000</v>
      </c>
      <c r="D2411">
        <v>368923.8</v>
      </c>
      <c r="E2411">
        <v>2.4400000000000002E-2</v>
      </c>
      <c r="F2411">
        <v>4.0899999999999999E-2</v>
      </c>
    </row>
    <row r="2412" spans="1:6" x14ac:dyDescent="0.3">
      <c r="A2412" t="s">
        <v>2447</v>
      </c>
      <c r="B2412" t="s">
        <v>41</v>
      </c>
      <c r="C2412">
        <v>1230000</v>
      </c>
      <c r="D2412">
        <v>21691</v>
      </c>
      <c r="E2412">
        <v>6.8999999999999999E-3</v>
      </c>
      <c r="F2412">
        <v>8.1100000000000005E-2</v>
      </c>
    </row>
    <row r="2413" spans="1:6" x14ac:dyDescent="0.3">
      <c r="A2413" t="s">
        <v>2448</v>
      </c>
      <c r="B2413" t="s">
        <v>26</v>
      </c>
      <c r="C2413">
        <v>1510000</v>
      </c>
      <c r="D2413">
        <v>37418.199999999997</v>
      </c>
      <c r="E2413">
        <v>3.9600000000000003E-2</v>
      </c>
      <c r="F2413">
        <v>7.5899999999999995E-2</v>
      </c>
    </row>
    <row r="2414" spans="1:6" x14ac:dyDescent="0.3">
      <c r="A2414" t="s">
        <v>2449</v>
      </c>
      <c r="B2414" t="s">
        <v>41</v>
      </c>
      <c r="C2414">
        <v>1420000</v>
      </c>
      <c r="D2414">
        <v>336478.4</v>
      </c>
      <c r="E2414">
        <v>6.6400000000000001E-2</v>
      </c>
      <c r="F2414">
        <v>9.3799999999999994E-2</v>
      </c>
    </row>
    <row r="2415" spans="1:6" x14ac:dyDescent="0.3">
      <c r="A2415" t="s">
        <v>2450</v>
      </c>
      <c r="B2415" t="s">
        <v>24</v>
      </c>
      <c r="C2415">
        <v>1580000</v>
      </c>
      <c r="D2415">
        <v>7960.1</v>
      </c>
      <c r="E2415">
        <v>1.84E-2</v>
      </c>
      <c r="F2415">
        <v>8.5400000000000004E-2</v>
      </c>
    </row>
    <row r="2416" spans="1:6" x14ac:dyDescent="0.3">
      <c r="A2416" t="s">
        <v>2451</v>
      </c>
      <c r="B2416" t="s">
        <v>41</v>
      </c>
      <c r="C2416">
        <v>1220000</v>
      </c>
      <c r="D2416">
        <v>14570.4</v>
      </c>
      <c r="E2416">
        <v>5.16E-2</v>
      </c>
      <c r="F2416">
        <v>9.5100000000000004E-2</v>
      </c>
    </row>
    <row r="2417" spans="1:6" x14ac:dyDescent="0.3">
      <c r="A2417" t="s">
        <v>2452</v>
      </c>
      <c r="B2417" t="s">
        <v>26</v>
      </c>
      <c r="C2417">
        <v>1230000</v>
      </c>
      <c r="D2417">
        <v>20961</v>
      </c>
      <c r="E2417">
        <v>6.0999999999999999E-2</v>
      </c>
      <c r="F2417">
        <v>9.5100000000000004E-2</v>
      </c>
    </row>
    <row r="2418" spans="1:6" x14ac:dyDescent="0.3">
      <c r="A2418" t="s">
        <v>2453</v>
      </c>
      <c r="B2418" t="s">
        <v>26</v>
      </c>
      <c r="C2418">
        <v>1180000</v>
      </c>
      <c r="D2418">
        <v>134.9</v>
      </c>
      <c r="E2418">
        <v>4.2299999999999997E-2</v>
      </c>
      <c r="F2418">
        <v>9.5100000000000004E-2</v>
      </c>
    </row>
    <row r="2419" spans="1:6" x14ac:dyDescent="0.3">
      <c r="A2419" t="s">
        <v>2454</v>
      </c>
      <c r="B2419" t="s">
        <v>50</v>
      </c>
      <c r="C2419">
        <v>1420000</v>
      </c>
      <c r="D2419">
        <v>3654.3</v>
      </c>
      <c r="E2419">
        <v>2.7400000000000001E-2</v>
      </c>
      <c r="F2419">
        <v>9.3799999999999994E-2</v>
      </c>
    </row>
    <row r="2420" spans="1:6" x14ac:dyDescent="0.3">
      <c r="A2420" t="s">
        <v>2455</v>
      </c>
      <c r="B2420" t="s">
        <v>32</v>
      </c>
      <c r="C2420">
        <v>1750000</v>
      </c>
      <c r="D2420">
        <v>74586.399999999994</v>
      </c>
      <c r="E2420">
        <v>1.1599999999999999E-2</v>
      </c>
      <c r="F2420">
        <v>5.8400000000000001E-2</v>
      </c>
    </row>
    <row r="2421" spans="1:6" x14ac:dyDescent="0.3">
      <c r="A2421" t="s">
        <v>2456</v>
      </c>
      <c r="B2421" t="s">
        <v>32</v>
      </c>
      <c r="C2421">
        <v>2180000</v>
      </c>
      <c r="D2421">
        <v>502804.5</v>
      </c>
      <c r="E2421">
        <v>7.7999999999999996E-3</v>
      </c>
      <c r="F2421">
        <v>8.2799999999999999E-2</v>
      </c>
    </row>
    <row r="2422" spans="1:6" x14ac:dyDescent="0.3">
      <c r="A2422" t="s">
        <v>2457</v>
      </c>
      <c r="B2422" t="s">
        <v>21</v>
      </c>
      <c r="C2422">
        <v>1270000</v>
      </c>
      <c r="D2422">
        <v>3044.6</v>
      </c>
      <c r="E2422">
        <v>6.3E-3</v>
      </c>
      <c r="F2422">
        <v>6.54E-2</v>
      </c>
    </row>
    <row r="2423" spans="1:6" x14ac:dyDescent="0.3">
      <c r="A2423" t="s">
        <v>2458</v>
      </c>
      <c r="B2423" t="s">
        <v>214</v>
      </c>
      <c r="C2423">
        <v>1440000</v>
      </c>
      <c r="D2423">
        <v>5127.1000000000004</v>
      </c>
      <c r="E2423">
        <v>1.24E-2</v>
      </c>
      <c r="F2423">
        <v>9.0300000000000005E-2</v>
      </c>
    </row>
    <row r="2424" spans="1:6" x14ac:dyDescent="0.3">
      <c r="A2424" t="s">
        <v>2459</v>
      </c>
      <c r="B2424" t="s">
        <v>74</v>
      </c>
      <c r="C2424">
        <v>2070000</v>
      </c>
      <c r="D2424">
        <v>186660.4</v>
      </c>
      <c r="E2424">
        <v>3.8699999999999998E-2</v>
      </c>
      <c r="F2424">
        <v>7.5899999999999995E-2</v>
      </c>
    </row>
    <row r="2425" spans="1:6" x14ac:dyDescent="0.3">
      <c r="A2425" t="s">
        <v>2460</v>
      </c>
      <c r="B2425" t="s">
        <v>195</v>
      </c>
      <c r="C2425">
        <v>1320000</v>
      </c>
      <c r="D2425">
        <v>28075.8</v>
      </c>
      <c r="E2425">
        <v>4.8899999999999999E-2</v>
      </c>
      <c r="F2425">
        <v>7.5899999999999995E-2</v>
      </c>
    </row>
    <row r="2426" spans="1:6" x14ac:dyDescent="0.3">
      <c r="A2426" t="s">
        <v>2461</v>
      </c>
      <c r="B2426" t="s">
        <v>26</v>
      </c>
      <c r="C2426">
        <v>1040000</v>
      </c>
      <c r="F2426">
        <v>7.5899999999999995E-2</v>
      </c>
    </row>
    <row r="2427" spans="1:6" x14ac:dyDescent="0.3">
      <c r="A2427" t="s">
        <v>2462</v>
      </c>
      <c r="B2427" t="s">
        <v>71</v>
      </c>
      <c r="C2427">
        <v>1190000</v>
      </c>
      <c r="D2427">
        <v>81951.3</v>
      </c>
      <c r="E2427">
        <v>3.6799999999999999E-2</v>
      </c>
      <c r="F2427">
        <v>9.5100000000000004E-2</v>
      </c>
    </row>
    <row r="2428" spans="1:6" x14ac:dyDescent="0.3">
      <c r="A2428" t="s">
        <v>2463</v>
      </c>
      <c r="B2428" t="s">
        <v>26</v>
      </c>
      <c r="C2428">
        <v>2030000</v>
      </c>
      <c r="D2428">
        <v>48000.9</v>
      </c>
      <c r="E2428">
        <v>7.3200000000000001E-2</v>
      </c>
      <c r="F2428">
        <v>9.3799999999999994E-2</v>
      </c>
    </row>
    <row r="2429" spans="1:6" x14ac:dyDescent="0.3">
      <c r="A2429" t="s">
        <v>2464</v>
      </c>
      <c r="B2429" t="s">
        <v>26</v>
      </c>
      <c r="C2429">
        <v>1200000</v>
      </c>
      <c r="D2429">
        <v>4067.4</v>
      </c>
      <c r="E2429">
        <v>5.1999999999999998E-2</v>
      </c>
      <c r="F2429">
        <v>7.5899999999999995E-2</v>
      </c>
    </row>
    <row r="2430" spans="1:6" x14ac:dyDescent="0.3">
      <c r="A2430" t="s">
        <v>2465</v>
      </c>
      <c r="B2430" t="s">
        <v>74</v>
      </c>
      <c r="C2430">
        <v>1670000</v>
      </c>
      <c r="D2430">
        <v>141339.4</v>
      </c>
      <c r="E2430">
        <v>4.4600000000000001E-2</v>
      </c>
      <c r="F2430">
        <v>7.5899999999999995E-2</v>
      </c>
    </row>
    <row r="2431" spans="1:6" x14ac:dyDescent="0.3">
      <c r="A2431" t="s">
        <v>2466</v>
      </c>
      <c r="B2431" t="s">
        <v>24</v>
      </c>
      <c r="C2431">
        <v>1320000</v>
      </c>
      <c r="D2431">
        <v>134.80000000000001</v>
      </c>
      <c r="E2431">
        <v>3.32E-2</v>
      </c>
      <c r="F2431">
        <v>0.7208</v>
      </c>
    </row>
    <row r="2432" spans="1:6" x14ac:dyDescent="0.3">
      <c r="A2432" t="s">
        <v>2467</v>
      </c>
      <c r="B2432" t="s">
        <v>195</v>
      </c>
      <c r="C2432">
        <v>1510000</v>
      </c>
      <c r="D2432">
        <v>513.70000000000005</v>
      </c>
      <c r="E2432">
        <v>6.7500000000000004E-2</v>
      </c>
      <c r="F2432">
        <v>9.5000000000000001E-2</v>
      </c>
    </row>
    <row r="2433" spans="1:6" x14ac:dyDescent="0.3">
      <c r="A2433" t="s">
        <v>2468</v>
      </c>
      <c r="B2433" t="s">
        <v>26</v>
      </c>
      <c r="C2433">
        <v>1840000</v>
      </c>
      <c r="D2433">
        <v>149573.20000000001</v>
      </c>
      <c r="E2433">
        <v>2.24E-2</v>
      </c>
      <c r="F2433">
        <v>4.0899999999999999E-2</v>
      </c>
    </row>
    <row r="2434" spans="1:6" x14ac:dyDescent="0.3">
      <c r="A2434" t="s">
        <v>2469</v>
      </c>
      <c r="B2434" t="s">
        <v>24</v>
      </c>
      <c r="C2434">
        <v>1220000</v>
      </c>
      <c r="D2434">
        <v>76424.399999999994</v>
      </c>
      <c r="E2434">
        <v>6.3799999999999996E-2</v>
      </c>
      <c r="F2434">
        <v>9.5100000000000004E-2</v>
      </c>
    </row>
    <row r="2435" spans="1:6" x14ac:dyDescent="0.3">
      <c r="A2435" t="s">
        <v>2470</v>
      </c>
      <c r="B2435" t="s">
        <v>21</v>
      </c>
      <c r="C2435">
        <v>1870000</v>
      </c>
      <c r="D2435">
        <v>500.2</v>
      </c>
      <c r="F2435">
        <v>9.5100000000000004E-2</v>
      </c>
    </row>
    <row r="2436" spans="1:6" x14ac:dyDescent="0.3">
      <c r="A2436" t="s">
        <v>2471</v>
      </c>
      <c r="B2436" t="s">
        <v>26</v>
      </c>
      <c r="C2436">
        <v>1350000</v>
      </c>
      <c r="D2436">
        <v>13625.6</v>
      </c>
      <c r="E2436">
        <v>2.3300000000000001E-2</v>
      </c>
      <c r="F2436">
        <v>7.5899999999999995E-2</v>
      </c>
    </row>
    <row r="2437" spans="1:6" x14ac:dyDescent="0.3">
      <c r="A2437" t="s">
        <v>2472</v>
      </c>
      <c r="B2437" t="s">
        <v>41</v>
      </c>
      <c r="C2437">
        <v>1490000</v>
      </c>
      <c r="D2437">
        <v>1727.3</v>
      </c>
      <c r="E2437">
        <v>2.93E-2</v>
      </c>
      <c r="F2437">
        <v>0.1308</v>
      </c>
    </row>
    <row r="2438" spans="1:6" x14ac:dyDescent="0.3">
      <c r="A2438" t="s">
        <v>2473</v>
      </c>
      <c r="B2438" t="s">
        <v>88</v>
      </c>
      <c r="C2438">
        <v>1210000</v>
      </c>
      <c r="D2438">
        <v>1601.3</v>
      </c>
      <c r="E2438">
        <v>1.44E-2</v>
      </c>
      <c r="F2438">
        <v>0.13100000000000001</v>
      </c>
    </row>
    <row r="2439" spans="1:6" x14ac:dyDescent="0.3">
      <c r="A2439" t="s">
        <v>2474</v>
      </c>
      <c r="B2439" t="s">
        <v>26</v>
      </c>
      <c r="C2439">
        <v>2250000</v>
      </c>
      <c r="D2439">
        <v>232093</v>
      </c>
      <c r="E2439">
        <v>2.1100000000000001E-2</v>
      </c>
      <c r="F2439">
        <v>4.6199999999999998E-2</v>
      </c>
    </row>
    <row r="2440" spans="1:6" x14ac:dyDescent="0.3">
      <c r="A2440" t="s">
        <v>2475</v>
      </c>
      <c r="B2440" t="s">
        <v>74</v>
      </c>
      <c r="C2440">
        <v>2120000</v>
      </c>
      <c r="D2440">
        <v>18325.400000000001</v>
      </c>
      <c r="E2440">
        <v>5.62E-2</v>
      </c>
      <c r="F2440">
        <v>7.5899999999999995E-2</v>
      </c>
    </row>
    <row r="2441" spans="1:6" x14ac:dyDescent="0.3">
      <c r="A2441" t="s">
        <v>2476</v>
      </c>
      <c r="B2441" t="s">
        <v>24</v>
      </c>
      <c r="C2441">
        <v>1290000</v>
      </c>
      <c r="D2441">
        <v>107458.4</v>
      </c>
      <c r="E2441">
        <v>2.52E-2</v>
      </c>
      <c r="F2441">
        <v>9.5100000000000004E-2</v>
      </c>
    </row>
    <row r="2442" spans="1:6" x14ac:dyDescent="0.3">
      <c r="A2442" t="s">
        <v>2477</v>
      </c>
      <c r="B2442" t="s">
        <v>62</v>
      </c>
      <c r="C2442">
        <v>1560000</v>
      </c>
      <c r="D2442">
        <v>12128.7</v>
      </c>
      <c r="E2442">
        <v>2.0899999999999998E-2</v>
      </c>
      <c r="F2442">
        <v>7.5700000000000003E-2</v>
      </c>
    </row>
    <row r="2443" spans="1:6" x14ac:dyDescent="0.3">
      <c r="A2443" t="s">
        <v>2478</v>
      </c>
      <c r="B2443" t="s">
        <v>81</v>
      </c>
      <c r="C2443">
        <v>1250000</v>
      </c>
      <c r="D2443">
        <v>1401.3</v>
      </c>
      <c r="E2443">
        <v>1.5699999999999999E-2</v>
      </c>
      <c r="F2443">
        <v>0.13100000000000001</v>
      </c>
    </row>
    <row r="2444" spans="1:6" x14ac:dyDescent="0.3">
      <c r="A2444" t="s">
        <v>2479</v>
      </c>
      <c r="B2444" t="s">
        <v>62</v>
      </c>
      <c r="C2444">
        <v>1280000</v>
      </c>
      <c r="D2444">
        <v>662.2</v>
      </c>
      <c r="E2444">
        <v>8.0999999999999996E-3</v>
      </c>
      <c r="F2444">
        <v>0.112</v>
      </c>
    </row>
    <row r="2445" spans="1:6" x14ac:dyDescent="0.3">
      <c r="A2445" t="s">
        <v>2480</v>
      </c>
      <c r="B2445" t="s">
        <v>92</v>
      </c>
      <c r="C2445">
        <v>1710000</v>
      </c>
      <c r="D2445">
        <v>150224</v>
      </c>
      <c r="E2445">
        <v>1.2800000000000001E-2</v>
      </c>
      <c r="F2445">
        <v>7.5700000000000003E-2</v>
      </c>
    </row>
    <row r="2446" spans="1:6" x14ac:dyDescent="0.3">
      <c r="A2446" t="s">
        <v>2481</v>
      </c>
      <c r="B2446" t="s">
        <v>26</v>
      </c>
      <c r="C2446">
        <v>1360000</v>
      </c>
      <c r="D2446">
        <v>29106</v>
      </c>
      <c r="E2446">
        <v>2.8299999999999999E-2</v>
      </c>
      <c r="F2446">
        <v>4.0899999999999999E-2</v>
      </c>
    </row>
    <row r="2447" spans="1:6" x14ac:dyDescent="0.3">
      <c r="A2447" t="s">
        <v>2482</v>
      </c>
      <c r="B2447" t="s">
        <v>24</v>
      </c>
      <c r="C2447">
        <v>1430000</v>
      </c>
      <c r="D2447">
        <v>1035642.7</v>
      </c>
      <c r="E2447">
        <v>4.3499999999999997E-2</v>
      </c>
      <c r="F2447">
        <v>7.5899999999999995E-2</v>
      </c>
    </row>
    <row r="2448" spans="1:6" x14ac:dyDescent="0.3">
      <c r="A2448" t="s">
        <v>2483</v>
      </c>
      <c r="B2448" t="s">
        <v>26</v>
      </c>
      <c r="C2448">
        <v>2140000</v>
      </c>
      <c r="D2448">
        <v>51320.7</v>
      </c>
      <c r="E2448">
        <v>3.39E-2</v>
      </c>
      <c r="F2448">
        <v>9.3799999999999994E-2</v>
      </c>
    </row>
    <row r="2449" spans="1:6" x14ac:dyDescent="0.3">
      <c r="A2449" t="s">
        <v>2484</v>
      </c>
      <c r="B2449" t="s">
        <v>50</v>
      </c>
      <c r="C2449">
        <v>1310000</v>
      </c>
      <c r="D2449">
        <v>346067.7</v>
      </c>
      <c r="E2449">
        <v>4.6100000000000002E-2</v>
      </c>
      <c r="F2449">
        <v>9.5100000000000004E-2</v>
      </c>
    </row>
    <row r="2450" spans="1:6" x14ac:dyDescent="0.3">
      <c r="A2450" t="s">
        <v>2485</v>
      </c>
      <c r="B2450" t="s">
        <v>26</v>
      </c>
      <c r="C2450">
        <v>1540000</v>
      </c>
      <c r="D2450">
        <v>6270.1</v>
      </c>
      <c r="E2450">
        <v>4.41E-2</v>
      </c>
      <c r="F2450">
        <v>4.0899999999999999E-2</v>
      </c>
    </row>
    <row r="2451" spans="1:6" x14ac:dyDescent="0.3">
      <c r="A2451" t="s">
        <v>2486</v>
      </c>
      <c r="B2451" t="s">
        <v>53</v>
      </c>
      <c r="C2451">
        <v>1260000</v>
      </c>
      <c r="D2451">
        <v>49631.8</v>
      </c>
      <c r="E2451">
        <v>7.7399999999999997E-2</v>
      </c>
      <c r="F2451">
        <v>9.5100000000000004E-2</v>
      </c>
    </row>
    <row r="2452" spans="1:6" x14ac:dyDescent="0.3">
      <c r="A2452" t="s">
        <v>2487</v>
      </c>
      <c r="B2452" t="s">
        <v>30</v>
      </c>
      <c r="C2452">
        <v>3390000</v>
      </c>
      <c r="D2452">
        <v>1412800.7</v>
      </c>
      <c r="E2452">
        <v>1.47E-2</v>
      </c>
      <c r="F2452">
        <v>4.6199999999999998E-2</v>
      </c>
    </row>
    <row r="2453" spans="1:6" x14ac:dyDescent="0.3">
      <c r="A2453" t="s">
        <v>2488</v>
      </c>
      <c r="B2453" t="s">
        <v>88</v>
      </c>
      <c r="C2453">
        <v>1210000</v>
      </c>
      <c r="D2453">
        <v>7475.5</v>
      </c>
      <c r="E2453">
        <v>2.3800000000000002E-2</v>
      </c>
      <c r="F2453">
        <v>0.12429999999999999</v>
      </c>
    </row>
    <row r="2454" spans="1:6" x14ac:dyDescent="0.3">
      <c r="A2454" t="s">
        <v>2489</v>
      </c>
      <c r="B2454" t="s">
        <v>24</v>
      </c>
      <c r="C2454">
        <v>1490000</v>
      </c>
      <c r="D2454">
        <v>12208.9</v>
      </c>
      <c r="E2454">
        <v>2.8000000000000001E-2</v>
      </c>
      <c r="F2454">
        <v>7.5899999999999995E-2</v>
      </c>
    </row>
    <row r="2455" spans="1:6" x14ac:dyDescent="0.3">
      <c r="A2455" t="s">
        <v>2490</v>
      </c>
      <c r="B2455" t="s">
        <v>41</v>
      </c>
      <c r="C2455">
        <v>1300000</v>
      </c>
      <c r="D2455">
        <v>54607.7</v>
      </c>
      <c r="E2455">
        <v>6.4000000000000001E-2</v>
      </c>
      <c r="F2455">
        <v>9.3799999999999994E-2</v>
      </c>
    </row>
    <row r="2456" spans="1:6" x14ac:dyDescent="0.3">
      <c r="A2456" t="s">
        <v>2491</v>
      </c>
      <c r="B2456" t="s">
        <v>26</v>
      </c>
      <c r="C2456">
        <v>1260000</v>
      </c>
      <c r="D2456">
        <v>75475.399999999994</v>
      </c>
      <c r="E2456">
        <v>5.5500000000000001E-2</v>
      </c>
      <c r="F2456">
        <v>9.3799999999999994E-2</v>
      </c>
    </row>
    <row r="2457" spans="1:6" x14ac:dyDescent="0.3">
      <c r="A2457" t="s">
        <v>2492</v>
      </c>
      <c r="B2457" t="s">
        <v>26</v>
      </c>
      <c r="C2457">
        <v>1290000</v>
      </c>
      <c r="D2457">
        <v>37187.5</v>
      </c>
      <c r="E2457">
        <v>2.1299999999999999E-2</v>
      </c>
      <c r="F2457">
        <v>9.5100000000000004E-2</v>
      </c>
    </row>
    <row r="2458" spans="1:6" x14ac:dyDescent="0.3">
      <c r="A2458" t="s">
        <v>2493</v>
      </c>
      <c r="B2458" t="s">
        <v>26</v>
      </c>
      <c r="C2458">
        <v>1590000</v>
      </c>
      <c r="D2458">
        <v>325096.90000000002</v>
      </c>
      <c r="E2458">
        <v>3.85E-2</v>
      </c>
      <c r="F2458">
        <v>7.5899999999999995E-2</v>
      </c>
    </row>
    <row r="2459" spans="1:6" x14ac:dyDescent="0.3">
      <c r="A2459" t="s">
        <v>2494</v>
      </c>
      <c r="B2459" t="s">
        <v>195</v>
      </c>
      <c r="C2459">
        <v>1210000</v>
      </c>
      <c r="D2459">
        <v>189480.4</v>
      </c>
      <c r="E2459">
        <v>1.6899999999999998E-2</v>
      </c>
      <c r="F2459">
        <v>5.8500000000000003E-2</v>
      </c>
    </row>
    <row r="2460" spans="1:6" x14ac:dyDescent="0.3">
      <c r="A2460" t="s">
        <v>2495</v>
      </c>
      <c r="B2460" t="s">
        <v>88</v>
      </c>
      <c r="C2460">
        <v>1370000</v>
      </c>
      <c r="D2460">
        <v>44170.2</v>
      </c>
      <c r="E2460">
        <v>5.04E-2</v>
      </c>
      <c r="F2460">
        <v>9.3799999999999994E-2</v>
      </c>
    </row>
    <row r="2461" spans="1:6" x14ac:dyDescent="0.3">
      <c r="A2461" t="s">
        <v>2496</v>
      </c>
      <c r="B2461" t="s">
        <v>62</v>
      </c>
      <c r="C2461">
        <v>1240000</v>
      </c>
      <c r="D2461">
        <v>9773.1</v>
      </c>
      <c r="E2461">
        <v>5.2200000000000003E-2</v>
      </c>
      <c r="F2461">
        <v>7.5899999999999995E-2</v>
      </c>
    </row>
    <row r="2462" spans="1:6" x14ac:dyDescent="0.3">
      <c r="A2462" t="s">
        <v>2497</v>
      </c>
      <c r="B2462" t="s">
        <v>74</v>
      </c>
      <c r="C2462">
        <v>1650000</v>
      </c>
      <c r="D2462">
        <v>30670.799999999999</v>
      </c>
      <c r="E2462">
        <v>1.7500000000000002E-2</v>
      </c>
      <c r="F2462">
        <v>0.16009999999999999</v>
      </c>
    </row>
    <row r="2463" spans="1:6" x14ac:dyDescent="0.3">
      <c r="A2463" t="s">
        <v>2498</v>
      </c>
      <c r="B2463" t="s">
        <v>88</v>
      </c>
      <c r="C2463">
        <v>1270000</v>
      </c>
      <c r="D2463">
        <v>13021.2</v>
      </c>
      <c r="E2463">
        <v>0.1484</v>
      </c>
      <c r="F2463">
        <v>9.3799999999999994E-2</v>
      </c>
    </row>
    <row r="2464" spans="1:6" x14ac:dyDescent="0.3">
      <c r="A2464" t="s">
        <v>2499</v>
      </c>
      <c r="B2464" t="s">
        <v>26</v>
      </c>
      <c r="C2464">
        <v>1360000</v>
      </c>
      <c r="D2464">
        <v>121567</v>
      </c>
      <c r="E2464">
        <v>1.2699999999999999E-2</v>
      </c>
      <c r="F2464">
        <v>4.6199999999999998E-2</v>
      </c>
    </row>
    <row r="2465" spans="1:6" x14ac:dyDescent="0.3">
      <c r="A2465" t="s">
        <v>2500</v>
      </c>
      <c r="B2465" t="s">
        <v>26</v>
      </c>
      <c r="C2465">
        <v>1450000</v>
      </c>
      <c r="D2465">
        <v>11526.4</v>
      </c>
      <c r="E2465">
        <v>1.24E-2</v>
      </c>
      <c r="F2465">
        <v>7.3599999999999999E-2</v>
      </c>
    </row>
    <row r="2466" spans="1:6" x14ac:dyDescent="0.3">
      <c r="A2466" t="s">
        <v>2501</v>
      </c>
      <c r="B2466" t="s">
        <v>26</v>
      </c>
      <c r="C2466">
        <v>1350000</v>
      </c>
      <c r="D2466">
        <v>41817.199999999997</v>
      </c>
      <c r="E2466">
        <v>7.0599999999999996E-2</v>
      </c>
      <c r="F2466">
        <v>7.5899999999999995E-2</v>
      </c>
    </row>
    <row r="2467" spans="1:6" x14ac:dyDescent="0.3">
      <c r="A2467" t="s">
        <v>2502</v>
      </c>
      <c r="B2467" t="s">
        <v>214</v>
      </c>
      <c r="C2467">
        <v>2800000</v>
      </c>
      <c r="D2467">
        <v>50624.9</v>
      </c>
      <c r="E2467">
        <v>6.8999999999999999E-3</v>
      </c>
      <c r="F2467">
        <v>8.1100000000000005E-2</v>
      </c>
    </row>
    <row r="2468" spans="1:6" x14ac:dyDescent="0.3">
      <c r="A2468" t="s">
        <v>2503</v>
      </c>
      <c r="B2468" t="s">
        <v>88</v>
      </c>
      <c r="C2468">
        <v>1470000</v>
      </c>
      <c r="D2468">
        <v>1532.1</v>
      </c>
      <c r="E2468">
        <v>2.7799999999999998E-2</v>
      </c>
      <c r="F2468">
        <v>9.3799999999999994E-2</v>
      </c>
    </row>
    <row r="2469" spans="1:6" x14ac:dyDescent="0.3">
      <c r="A2469" t="s">
        <v>2504</v>
      </c>
      <c r="B2469" t="s">
        <v>26</v>
      </c>
      <c r="C2469">
        <v>1300000</v>
      </c>
      <c r="D2469">
        <v>118636.9</v>
      </c>
      <c r="E2469">
        <v>1.49E-2</v>
      </c>
      <c r="F2469">
        <v>0.1067</v>
      </c>
    </row>
    <row r="2470" spans="1:6" x14ac:dyDescent="0.3">
      <c r="A2470" t="s">
        <v>2505</v>
      </c>
      <c r="B2470" t="s">
        <v>214</v>
      </c>
      <c r="C2470">
        <v>2010000</v>
      </c>
      <c r="D2470">
        <v>144599.6</v>
      </c>
      <c r="E2470">
        <v>2.8E-3</v>
      </c>
      <c r="F2470">
        <v>6.54E-2</v>
      </c>
    </row>
    <row r="2471" spans="1:6" x14ac:dyDescent="0.3">
      <c r="A2471" t="s">
        <v>2506</v>
      </c>
      <c r="B2471" t="s">
        <v>490</v>
      </c>
      <c r="C2471">
        <v>1180000</v>
      </c>
      <c r="D2471">
        <v>1504.9</v>
      </c>
      <c r="E2471">
        <v>1.0200000000000001E-2</v>
      </c>
      <c r="F2471">
        <v>7.2599999999999998E-2</v>
      </c>
    </row>
    <row r="2472" spans="1:6" x14ac:dyDescent="0.3">
      <c r="A2472" t="s">
        <v>2507</v>
      </c>
      <c r="B2472" t="s">
        <v>41</v>
      </c>
      <c r="C2472">
        <v>1330000</v>
      </c>
      <c r="D2472">
        <v>551.70000000000005</v>
      </c>
      <c r="E2472">
        <v>1.47E-2</v>
      </c>
      <c r="F2472">
        <v>0.2059</v>
      </c>
    </row>
    <row r="2473" spans="1:6" x14ac:dyDescent="0.3">
      <c r="A2473" t="s">
        <v>2508</v>
      </c>
      <c r="B2473" t="s">
        <v>41</v>
      </c>
      <c r="C2473">
        <v>1200000</v>
      </c>
      <c r="D2473">
        <v>1335.2</v>
      </c>
      <c r="E2473">
        <v>2.8000000000000001E-2</v>
      </c>
      <c r="F2473">
        <v>5.0999999999999997E-2</v>
      </c>
    </row>
    <row r="2474" spans="1:6" x14ac:dyDescent="0.3">
      <c r="A2474" t="s">
        <v>2509</v>
      </c>
      <c r="B2474" t="s">
        <v>24</v>
      </c>
      <c r="C2474">
        <v>1290000</v>
      </c>
      <c r="D2474">
        <v>11771.6</v>
      </c>
      <c r="E2474">
        <v>8.2799999999999999E-2</v>
      </c>
      <c r="F2474">
        <v>9.5100000000000004E-2</v>
      </c>
    </row>
    <row r="2475" spans="1:6" x14ac:dyDescent="0.3">
      <c r="A2475" t="s">
        <v>2510</v>
      </c>
      <c r="B2475" t="s">
        <v>26</v>
      </c>
      <c r="C2475">
        <v>2700000</v>
      </c>
      <c r="D2475">
        <v>1813272.8</v>
      </c>
      <c r="E2475">
        <v>3.4599999999999999E-2</v>
      </c>
      <c r="F2475">
        <v>4.0899999999999999E-2</v>
      </c>
    </row>
    <row r="2476" spans="1:6" x14ac:dyDescent="0.3">
      <c r="A2476" t="s">
        <v>2511</v>
      </c>
      <c r="B2476" t="s">
        <v>74</v>
      </c>
      <c r="C2476">
        <v>1230000</v>
      </c>
      <c r="D2476">
        <v>4608.7</v>
      </c>
      <c r="E2476">
        <v>5.4000000000000003E-3</v>
      </c>
      <c r="F2476">
        <v>0.22670000000000001</v>
      </c>
    </row>
    <row r="2477" spans="1:6" x14ac:dyDescent="0.3">
      <c r="A2477" t="s">
        <v>2512</v>
      </c>
      <c r="B2477" t="s">
        <v>26</v>
      </c>
      <c r="C2477">
        <v>1420000</v>
      </c>
      <c r="D2477">
        <v>294077.5</v>
      </c>
      <c r="E2477">
        <v>1.12E-2</v>
      </c>
      <c r="F2477">
        <v>6.54E-2</v>
      </c>
    </row>
    <row r="2478" spans="1:6" x14ac:dyDescent="0.3">
      <c r="A2478" t="s">
        <v>2513</v>
      </c>
      <c r="B2478" t="s">
        <v>50</v>
      </c>
      <c r="C2478">
        <v>1290000</v>
      </c>
      <c r="D2478">
        <v>632092.19999999995</v>
      </c>
      <c r="E2478">
        <v>2.3900000000000001E-2</v>
      </c>
      <c r="F2478">
        <v>4.0899999999999999E-2</v>
      </c>
    </row>
    <row r="2479" spans="1:6" x14ac:dyDescent="0.3">
      <c r="A2479" t="s">
        <v>2514</v>
      </c>
      <c r="B2479" t="s">
        <v>26</v>
      </c>
      <c r="C2479">
        <v>1480000</v>
      </c>
      <c r="D2479">
        <v>350283</v>
      </c>
      <c r="E2479">
        <v>2.5700000000000001E-2</v>
      </c>
      <c r="F2479">
        <v>4.0899999999999999E-2</v>
      </c>
    </row>
    <row r="2480" spans="1:6" x14ac:dyDescent="0.3">
      <c r="A2480" t="s">
        <v>2515</v>
      </c>
      <c r="B2480" t="s">
        <v>62</v>
      </c>
      <c r="C2480">
        <v>2660000</v>
      </c>
      <c r="D2480">
        <v>15722.1</v>
      </c>
      <c r="E2480">
        <v>7.4000000000000003E-3</v>
      </c>
      <c r="F2480">
        <v>8.1100000000000005E-2</v>
      </c>
    </row>
    <row r="2481" spans="1:6" x14ac:dyDescent="0.3">
      <c r="A2481" t="s">
        <v>2516</v>
      </c>
      <c r="B2481" t="s">
        <v>88</v>
      </c>
      <c r="C2481">
        <v>1260000</v>
      </c>
      <c r="D2481">
        <v>3786.7</v>
      </c>
      <c r="E2481">
        <v>2.3599999999999999E-2</v>
      </c>
      <c r="F2481">
        <v>9.3799999999999994E-2</v>
      </c>
    </row>
    <row r="2482" spans="1:6" x14ac:dyDescent="0.3">
      <c r="A2482" t="s">
        <v>2517</v>
      </c>
      <c r="B2482" t="s">
        <v>32</v>
      </c>
      <c r="C2482">
        <v>1360000</v>
      </c>
      <c r="D2482">
        <v>1635.6</v>
      </c>
      <c r="E2482">
        <v>1.38E-2</v>
      </c>
      <c r="F2482">
        <v>5.8400000000000001E-2</v>
      </c>
    </row>
    <row r="2483" spans="1:6" x14ac:dyDescent="0.3">
      <c r="A2483" t="s">
        <v>2518</v>
      </c>
      <c r="B2483" t="s">
        <v>92</v>
      </c>
      <c r="C2483">
        <v>1200000</v>
      </c>
      <c r="D2483">
        <v>76332.2</v>
      </c>
      <c r="E2483">
        <v>2.1000000000000001E-2</v>
      </c>
      <c r="F2483">
        <v>5.1799999999999999E-2</v>
      </c>
    </row>
    <row r="2484" spans="1:6" x14ac:dyDescent="0.3">
      <c r="A2484" t="s">
        <v>2519</v>
      </c>
      <c r="B2484" t="s">
        <v>88</v>
      </c>
      <c r="C2484">
        <v>1220000</v>
      </c>
      <c r="D2484">
        <v>3836.5</v>
      </c>
      <c r="E2484">
        <v>2.6200000000000001E-2</v>
      </c>
      <c r="F2484">
        <v>5.0999999999999997E-2</v>
      </c>
    </row>
    <row r="2485" spans="1:6" x14ac:dyDescent="0.3">
      <c r="A2485" t="s">
        <v>2520</v>
      </c>
      <c r="B2485" t="s">
        <v>88</v>
      </c>
      <c r="C2485">
        <v>1170000</v>
      </c>
      <c r="D2485">
        <v>7208.6</v>
      </c>
      <c r="E2485">
        <v>8.0799999999999997E-2</v>
      </c>
      <c r="F2485">
        <v>7.5899999999999995E-2</v>
      </c>
    </row>
    <row r="2486" spans="1:6" x14ac:dyDescent="0.3">
      <c r="A2486" t="s">
        <v>2521</v>
      </c>
      <c r="B2486" t="s">
        <v>26</v>
      </c>
      <c r="C2486">
        <v>1410000</v>
      </c>
      <c r="D2486">
        <v>82825.7</v>
      </c>
      <c r="E2486">
        <v>7.9000000000000008E-3</v>
      </c>
      <c r="F2486">
        <v>6.54E-2</v>
      </c>
    </row>
    <row r="2487" spans="1:6" x14ac:dyDescent="0.3">
      <c r="A2487" t="s">
        <v>2522</v>
      </c>
      <c r="B2487" t="s">
        <v>24</v>
      </c>
      <c r="C2487">
        <v>1390000</v>
      </c>
      <c r="D2487">
        <v>19703.900000000001</v>
      </c>
      <c r="E2487">
        <v>8.8000000000000005E-3</v>
      </c>
      <c r="F2487">
        <v>8.1100000000000005E-2</v>
      </c>
    </row>
    <row r="2488" spans="1:6" x14ac:dyDescent="0.3">
      <c r="A2488" t="s">
        <v>2523</v>
      </c>
      <c r="B2488" t="s">
        <v>92</v>
      </c>
      <c r="C2488">
        <v>1270000</v>
      </c>
      <c r="D2488">
        <v>5872.5</v>
      </c>
      <c r="E2488">
        <v>4.7300000000000002E-2</v>
      </c>
      <c r="F2488">
        <v>7.5899999999999995E-2</v>
      </c>
    </row>
    <row r="2489" spans="1:6" x14ac:dyDescent="0.3">
      <c r="A2489" t="s">
        <v>2524</v>
      </c>
      <c r="B2489" t="s">
        <v>21</v>
      </c>
      <c r="C2489">
        <v>1530000</v>
      </c>
      <c r="D2489">
        <v>12292.7</v>
      </c>
      <c r="E2489">
        <v>1.23E-2</v>
      </c>
      <c r="F2489">
        <v>7.2599999999999998E-2</v>
      </c>
    </row>
    <row r="2490" spans="1:6" x14ac:dyDescent="0.3">
      <c r="A2490" t="s">
        <v>2525</v>
      </c>
      <c r="B2490" t="s">
        <v>26</v>
      </c>
      <c r="C2490">
        <v>1290000</v>
      </c>
      <c r="D2490">
        <v>184900.8</v>
      </c>
      <c r="E2490">
        <v>4.1200000000000001E-2</v>
      </c>
      <c r="F2490">
        <v>7.5899999999999995E-2</v>
      </c>
    </row>
    <row r="2491" spans="1:6" x14ac:dyDescent="0.3">
      <c r="A2491" t="s">
        <v>2526</v>
      </c>
      <c r="B2491" t="s">
        <v>81</v>
      </c>
      <c r="C2491">
        <v>1240000</v>
      </c>
      <c r="D2491">
        <v>944.8</v>
      </c>
      <c r="E2491">
        <v>1.1758</v>
      </c>
      <c r="F2491">
        <v>7.5899999999999995E-2</v>
      </c>
    </row>
    <row r="2492" spans="1:6" x14ac:dyDescent="0.3">
      <c r="A2492" t="s">
        <v>2527</v>
      </c>
      <c r="B2492" t="s">
        <v>50</v>
      </c>
      <c r="C2492">
        <v>1410000</v>
      </c>
      <c r="D2492">
        <v>49246.2</v>
      </c>
      <c r="E2492">
        <v>8.3199999999999996E-2</v>
      </c>
      <c r="F2492">
        <v>9.3799999999999994E-2</v>
      </c>
    </row>
    <row r="2493" spans="1:6" x14ac:dyDescent="0.3">
      <c r="A2493" t="s">
        <v>2528</v>
      </c>
      <c r="B2493" t="s">
        <v>50</v>
      </c>
      <c r="C2493">
        <v>1350000</v>
      </c>
      <c r="D2493">
        <v>31006.9</v>
      </c>
      <c r="E2493">
        <v>3.7699999999999997E-2</v>
      </c>
      <c r="F2493">
        <v>9.5100000000000004E-2</v>
      </c>
    </row>
    <row r="2494" spans="1:6" x14ac:dyDescent="0.3">
      <c r="A2494" t="s">
        <v>2529</v>
      </c>
      <c r="B2494" t="s">
        <v>26</v>
      </c>
      <c r="C2494">
        <v>1440000</v>
      </c>
      <c r="D2494">
        <v>13312.5</v>
      </c>
      <c r="F2494">
        <v>9.3799999999999994E-2</v>
      </c>
    </row>
    <row r="2495" spans="1:6" x14ac:dyDescent="0.3">
      <c r="A2495" t="s">
        <v>2530</v>
      </c>
      <c r="B2495" t="s">
        <v>26</v>
      </c>
      <c r="C2495">
        <v>1170000</v>
      </c>
      <c r="D2495">
        <v>262</v>
      </c>
      <c r="E2495">
        <v>3.5000000000000001E-3</v>
      </c>
      <c r="F2495">
        <v>0.16830000000000001</v>
      </c>
    </row>
    <row r="2496" spans="1:6" x14ac:dyDescent="0.3">
      <c r="A2496" t="s">
        <v>2531</v>
      </c>
      <c r="B2496" t="s">
        <v>26</v>
      </c>
      <c r="C2496">
        <v>1500000</v>
      </c>
      <c r="D2496">
        <v>386809.4</v>
      </c>
      <c r="E2496">
        <v>5.9700000000000003E-2</v>
      </c>
      <c r="F2496">
        <v>7.5899999999999995E-2</v>
      </c>
    </row>
    <row r="2497" spans="1:6" x14ac:dyDescent="0.3">
      <c r="A2497" t="s">
        <v>2532</v>
      </c>
      <c r="B2497" t="s">
        <v>41</v>
      </c>
      <c r="C2497">
        <v>1130000</v>
      </c>
      <c r="D2497">
        <v>17085.3</v>
      </c>
      <c r="F2497">
        <v>5.1799999999999999E-2</v>
      </c>
    </row>
    <row r="2498" spans="1:6" x14ac:dyDescent="0.3">
      <c r="A2498" t="s">
        <v>2533</v>
      </c>
      <c r="B2498" t="s">
        <v>24</v>
      </c>
      <c r="C2498">
        <v>1390000</v>
      </c>
      <c r="D2498">
        <v>2522.6999999999998</v>
      </c>
      <c r="E2498">
        <v>7.2800000000000004E-2</v>
      </c>
      <c r="F2498">
        <v>9.3799999999999994E-2</v>
      </c>
    </row>
    <row r="2499" spans="1:6" x14ac:dyDescent="0.3">
      <c r="A2499" t="s">
        <v>2534</v>
      </c>
      <c r="B2499" t="s">
        <v>26</v>
      </c>
      <c r="C2499">
        <v>1470000</v>
      </c>
      <c r="D2499">
        <v>301256.8</v>
      </c>
      <c r="E2499">
        <v>4.6300000000000001E-2</v>
      </c>
      <c r="F2499">
        <v>7.5899999999999995E-2</v>
      </c>
    </row>
    <row r="2500" spans="1:6" x14ac:dyDescent="0.3">
      <c r="A2500" t="s">
        <v>2535</v>
      </c>
      <c r="B2500" t="s">
        <v>41</v>
      </c>
      <c r="C2500">
        <v>3790000</v>
      </c>
      <c r="D2500">
        <v>2959.5</v>
      </c>
      <c r="E2500">
        <v>1.7399999999999999E-2</v>
      </c>
      <c r="F2500">
        <v>0.33900000000000002</v>
      </c>
    </row>
    <row r="2501" spans="1:6" x14ac:dyDescent="0.3">
      <c r="A2501" t="s">
        <v>2536</v>
      </c>
      <c r="B2501" t="s">
        <v>26</v>
      </c>
      <c r="C2501">
        <v>1340000</v>
      </c>
      <c r="D2501">
        <v>120040.4</v>
      </c>
      <c r="E2501">
        <v>5.7799999999999997E-2</v>
      </c>
      <c r="F2501">
        <v>7.5899999999999995E-2</v>
      </c>
    </row>
    <row r="2502" spans="1:6" x14ac:dyDescent="0.3">
      <c r="A2502" t="s">
        <v>2537</v>
      </c>
      <c r="B2502" t="s">
        <v>92</v>
      </c>
      <c r="C2502">
        <v>1160000</v>
      </c>
      <c r="D2502">
        <v>772.6</v>
      </c>
      <c r="E2502">
        <v>1.3100000000000001E-2</v>
      </c>
      <c r="F2502">
        <v>8.1100000000000005E-2</v>
      </c>
    </row>
    <row r="2503" spans="1:6" x14ac:dyDescent="0.3">
      <c r="A2503" t="s">
        <v>2538</v>
      </c>
      <c r="B2503" t="s">
        <v>71</v>
      </c>
      <c r="C2503">
        <v>1210000</v>
      </c>
      <c r="D2503">
        <v>3994.5</v>
      </c>
      <c r="E2503">
        <v>1.49E-2</v>
      </c>
      <c r="F2503">
        <v>4.6199999999999998E-2</v>
      </c>
    </row>
    <row r="2504" spans="1:6" x14ac:dyDescent="0.3">
      <c r="A2504" t="s">
        <v>2539</v>
      </c>
      <c r="B2504" t="s">
        <v>24</v>
      </c>
      <c r="C2504">
        <v>1450000</v>
      </c>
      <c r="D2504">
        <v>1316</v>
      </c>
      <c r="E2504">
        <v>2.3699999999999999E-2</v>
      </c>
      <c r="F2504">
        <v>5.0999999999999997E-2</v>
      </c>
    </row>
    <row r="2505" spans="1:6" x14ac:dyDescent="0.3">
      <c r="A2505" t="s">
        <v>2540</v>
      </c>
      <c r="B2505" t="s">
        <v>195</v>
      </c>
      <c r="C2505">
        <v>1150000</v>
      </c>
      <c r="D2505">
        <v>270018.59999999998</v>
      </c>
      <c r="E2505">
        <v>2.4899999999999999E-2</v>
      </c>
      <c r="F2505">
        <v>5.8500000000000003E-2</v>
      </c>
    </row>
    <row r="2506" spans="1:6" x14ac:dyDescent="0.3">
      <c r="A2506" t="s">
        <v>2541</v>
      </c>
      <c r="B2506" t="s">
        <v>30</v>
      </c>
      <c r="C2506">
        <v>1760000</v>
      </c>
      <c r="D2506">
        <v>198776.4</v>
      </c>
      <c r="E2506">
        <v>3.8999999999999998E-3</v>
      </c>
      <c r="F2506">
        <v>8.2199999999999995E-2</v>
      </c>
    </row>
    <row r="2507" spans="1:6" x14ac:dyDescent="0.3">
      <c r="A2507" t="s">
        <v>2542</v>
      </c>
      <c r="B2507" t="s">
        <v>26</v>
      </c>
      <c r="C2507">
        <v>1290000</v>
      </c>
      <c r="D2507">
        <v>11146.7</v>
      </c>
      <c r="E2507">
        <v>4.87E-2</v>
      </c>
      <c r="F2507">
        <v>7.5899999999999995E-2</v>
      </c>
    </row>
    <row r="2508" spans="1:6" x14ac:dyDescent="0.3">
      <c r="A2508" t="s">
        <v>2543</v>
      </c>
      <c r="B2508" t="s">
        <v>26</v>
      </c>
      <c r="C2508">
        <v>1340000</v>
      </c>
      <c r="D2508">
        <v>96302.7</v>
      </c>
      <c r="E2508">
        <v>4.02E-2</v>
      </c>
      <c r="F2508">
        <v>6.7199999999999996E-2</v>
      </c>
    </row>
    <row r="2509" spans="1:6" x14ac:dyDescent="0.3">
      <c r="A2509" t="s">
        <v>2544</v>
      </c>
      <c r="B2509" t="s">
        <v>88</v>
      </c>
      <c r="C2509">
        <v>1260000</v>
      </c>
      <c r="D2509">
        <v>15887.1</v>
      </c>
      <c r="E2509">
        <v>2.9899999999999999E-2</v>
      </c>
      <c r="F2509">
        <v>9.3799999999999994E-2</v>
      </c>
    </row>
    <row r="2510" spans="1:6" x14ac:dyDescent="0.3">
      <c r="A2510" t="s">
        <v>2545</v>
      </c>
      <c r="B2510" t="s">
        <v>21</v>
      </c>
      <c r="C2510">
        <v>2080000</v>
      </c>
      <c r="D2510">
        <v>5251.5</v>
      </c>
      <c r="E2510">
        <v>4.5999999999999999E-2</v>
      </c>
      <c r="F2510">
        <v>9.3799999999999994E-2</v>
      </c>
    </row>
    <row r="2511" spans="1:6" x14ac:dyDescent="0.3">
      <c r="A2511" t="s">
        <v>2546</v>
      </c>
      <c r="B2511" t="s">
        <v>30</v>
      </c>
      <c r="C2511">
        <v>1600000</v>
      </c>
      <c r="D2511">
        <v>16192.8</v>
      </c>
      <c r="E2511">
        <v>5.0000000000000001E-3</v>
      </c>
      <c r="F2511">
        <v>8.1100000000000005E-2</v>
      </c>
    </row>
    <row r="2512" spans="1:6" x14ac:dyDescent="0.3">
      <c r="A2512" t="s">
        <v>2547</v>
      </c>
      <c r="B2512" t="s">
        <v>214</v>
      </c>
      <c r="C2512">
        <v>2940000</v>
      </c>
      <c r="D2512">
        <v>303217.09999999998</v>
      </c>
      <c r="E2512">
        <v>2.35E-2</v>
      </c>
      <c r="F2512">
        <v>7.5899999999999995E-2</v>
      </c>
    </row>
    <row r="2513" spans="1:6" x14ac:dyDescent="0.3">
      <c r="A2513" t="s">
        <v>2548</v>
      </c>
      <c r="B2513" t="s">
        <v>32</v>
      </c>
      <c r="C2513">
        <v>1560000</v>
      </c>
      <c r="D2513">
        <v>54214.5</v>
      </c>
      <c r="E2513">
        <v>6.1999999999999998E-3</v>
      </c>
      <c r="F2513">
        <v>6.54E-2</v>
      </c>
    </row>
    <row r="2514" spans="1:6" x14ac:dyDescent="0.3">
      <c r="A2514" t="s">
        <v>2549</v>
      </c>
      <c r="B2514" t="s">
        <v>26</v>
      </c>
      <c r="C2514">
        <v>1640000</v>
      </c>
      <c r="D2514">
        <v>26930.9</v>
      </c>
      <c r="E2514">
        <v>2.18E-2</v>
      </c>
      <c r="F2514">
        <v>5.0999999999999997E-2</v>
      </c>
    </row>
    <row r="2515" spans="1:6" x14ac:dyDescent="0.3">
      <c r="A2515" t="s">
        <v>2550</v>
      </c>
      <c r="B2515" t="s">
        <v>81</v>
      </c>
      <c r="C2515">
        <v>1310000</v>
      </c>
      <c r="D2515">
        <v>3048.2</v>
      </c>
      <c r="E2515">
        <v>2.5700000000000001E-2</v>
      </c>
      <c r="F2515">
        <v>9.5100000000000004E-2</v>
      </c>
    </row>
    <row r="2516" spans="1:6" x14ac:dyDescent="0.3">
      <c r="A2516" t="s">
        <v>2551</v>
      </c>
      <c r="B2516" t="s">
        <v>24</v>
      </c>
      <c r="C2516">
        <v>1360000</v>
      </c>
      <c r="D2516">
        <v>71449</v>
      </c>
      <c r="E2516">
        <v>6.6000000000000003E-2</v>
      </c>
      <c r="F2516">
        <v>9.5100000000000004E-2</v>
      </c>
    </row>
    <row r="2517" spans="1:6" x14ac:dyDescent="0.3">
      <c r="A2517" t="s">
        <v>2552</v>
      </c>
      <c r="B2517" t="s">
        <v>24</v>
      </c>
      <c r="C2517">
        <v>1600000</v>
      </c>
      <c r="D2517">
        <v>6420.6</v>
      </c>
      <c r="E2517">
        <v>1.89E-2</v>
      </c>
      <c r="F2517">
        <v>5.0999999999999997E-2</v>
      </c>
    </row>
    <row r="2518" spans="1:6" x14ac:dyDescent="0.3">
      <c r="A2518" t="s">
        <v>2553</v>
      </c>
      <c r="B2518" t="s">
        <v>88</v>
      </c>
      <c r="C2518">
        <v>1220000</v>
      </c>
      <c r="D2518">
        <v>509.8</v>
      </c>
      <c r="E2518">
        <v>1.6199999999999999E-2</v>
      </c>
      <c r="F2518">
        <v>8.2100000000000006E-2</v>
      </c>
    </row>
    <row r="2519" spans="1:6" x14ac:dyDescent="0.3">
      <c r="A2519" t="s">
        <v>2554</v>
      </c>
      <c r="B2519" t="s">
        <v>92</v>
      </c>
      <c r="C2519">
        <v>2540000</v>
      </c>
      <c r="D2519">
        <v>743265.2</v>
      </c>
      <c r="E2519">
        <v>2.1999999999999999E-2</v>
      </c>
      <c r="F2519">
        <v>4.0899999999999999E-2</v>
      </c>
    </row>
    <row r="2520" spans="1:6" x14ac:dyDescent="0.3">
      <c r="A2520" t="s">
        <v>2555</v>
      </c>
      <c r="B2520" t="s">
        <v>41</v>
      </c>
      <c r="C2520">
        <v>1170000</v>
      </c>
      <c r="D2520">
        <v>207.5</v>
      </c>
      <c r="E2520">
        <v>4.7199999999999999E-2</v>
      </c>
      <c r="F2520">
        <v>9.5100000000000004E-2</v>
      </c>
    </row>
    <row r="2521" spans="1:6" x14ac:dyDescent="0.3">
      <c r="A2521" t="s">
        <v>2556</v>
      </c>
      <c r="B2521" t="s">
        <v>214</v>
      </c>
      <c r="C2521">
        <v>1270000</v>
      </c>
      <c r="D2521">
        <v>2643.4</v>
      </c>
      <c r="E2521">
        <v>6.7299999999999999E-2</v>
      </c>
      <c r="F2521">
        <v>9.3799999999999994E-2</v>
      </c>
    </row>
    <row r="2522" spans="1:6" x14ac:dyDescent="0.3">
      <c r="A2522" t="s">
        <v>2557</v>
      </c>
      <c r="B2522" t="s">
        <v>26</v>
      </c>
      <c r="C2522">
        <v>1510000</v>
      </c>
      <c r="D2522">
        <v>144328.6</v>
      </c>
      <c r="E2522">
        <v>4.1000000000000002E-2</v>
      </c>
      <c r="F2522">
        <v>9.3799999999999994E-2</v>
      </c>
    </row>
    <row r="2523" spans="1:6" x14ac:dyDescent="0.3">
      <c r="A2523" t="s">
        <v>2558</v>
      </c>
      <c r="B2523" t="s">
        <v>81</v>
      </c>
      <c r="C2523">
        <v>1160000</v>
      </c>
      <c r="D2523">
        <v>8009.6</v>
      </c>
      <c r="E2523">
        <v>1.84E-2</v>
      </c>
      <c r="F2523">
        <v>5.8500000000000003E-2</v>
      </c>
    </row>
    <row r="2524" spans="1:6" x14ac:dyDescent="0.3">
      <c r="A2524" t="s">
        <v>2559</v>
      </c>
      <c r="B2524" t="s">
        <v>88</v>
      </c>
      <c r="C2524">
        <v>1320000</v>
      </c>
      <c r="D2524">
        <v>22460.2</v>
      </c>
      <c r="E2524">
        <v>3.78E-2</v>
      </c>
      <c r="F2524">
        <v>9.3799999999999994E-2</v>
      </c>
    </row>
    <row r="2525" spans="1:6" x14ac:dyDescent="0.3">
      <c r="A2525" t="s">
        <v>2560</v>
      </c>
      <c r="B2525" t="s">
        <v>26</v>
      </c>
      <c r="C2525">
        <v>1160000</v>
      </c>
      <c r="D2525">
        <v>4397.5</v>
      </c>
      <c r="E2525">
        <v>2.6700000000000002E-2</v>
      </c>
      <c r="F2525">
        <v>9.5100000000000004E-2</v>
      </c>
    </row>
    <row r="2526" spans="1:6" x14ac:dyDescent="0.3">
      <c r="A2526" t="s">
        <v>2561</v>
      </c>
      <c r="B2526" t="s">
        <v>53</v>
      </c>
      <c r="C2526">
        <v>1370000</v>
      </c>
      <c r="D2526">
        <v>168663.7</v>
      </c>
      <c r="E2526">
        <v>8.3999999999999995E-3</v>
      </c>
      <c r="F2526">
        <v>6.54E-2</v>
      </c>
    </row>
    <row r="2527" spans="1:6" x14ac:dyDescent="0.3">
      <c r="A2527" t="s">
        <v>2562</v>
      </c>
      <c r="B2527" t="s">
        <v>71</v>
      </c>
      <c r="C2527">
        <v>1220000</v>
      </c>
      <c r="D2527">
        <v>1306.7</v>
      </c>
      <c r="E2527">
        <v>3.9E-2</v>
      </c>
      <c r="F2527">
        <v>7.5899999999999995E-2</v>
      </c>
    </row>
    <row r="2528" spans="1:6" x14ac:dyDescent="0.3">
      <c r="A2528" t="s">
        <v>2563</v>
      </c>
      <c r="B2528" t="s">
        <v>21</v>
      </c>
      <c r="C2528">
        <v>1220000</v>
      </c>
      <c r="D2528">
        <v>1211.8</v>
      </c>
      <c r="E2528">
        <v>1.84E-2</v>
      </c>
      <c r="F2528">
        <v>9.3700000000000006E-2</v>
      </c>
    </row>
    <row r="2529" spans="1:6" x14ac:dyDescent="0.3">
      <c r="A2529" t="s">
        <v>2564</v>
      </c>
      <c r="B2529" t="s">
        <v>88</v>
      </c>
      <c r="C2529">
        <v>1390000</v>
      </c>
      <c r="D2529">
        <v>1203.2</v>
      </c>
      <c r="E2529">
        <v>2.9000000000000001E-2</v>
      </c>
      <c r="F2529">
        <v>4.0899999999999999E-2</v>
      </c>
    </row>
    <row r="2530" spans="1:6" x14ac:dyDescent="0.3">
      <c r="A2530" t="s">
        <v>2565</v>
      </c>
      <c r="B2530" t="s">
        <v>26</v>
      </c>
      <c r="C2530">
        <v>1870000</v>
      </c>
      <c r="D2530">
        <v>606208.30000000005</v>
      </c>
      <c r="E2530">
        <v>3.32E-2</v>
      </c>
      <c r="F2530">
        <v>4.0899999999999999E-2</v>
      </c>
    </row>
    <row r="2531" spans="1:6" x14ac:dyDescent="0.3">
      <c r="A2531" t="s">
        <v>2566</v>
      </c>
      <c r="B2531" t="s">
        <v>53</v>
      </c>
      <c r="C2531">
        <v>1140000</v>
      </c>
      <c r="D2531">
        <v>8404.1</v>
      </c>
      <c r="E2531">
        <v>8.8599999999999998E-2</v>
      </c>
      <c r="F2531">
        <v>9.5100000000000004E-2</v>
      </c>
    </row>
    <row r="2532" spans="1:6" x14ac:dyDescent="0.3">
      <c r="A2532" t="s">
        <v>2567</v>
      </c>
      <c r="B2532" t="s">
        <v>50</v>
      </c>
      <c r="C2532">
        <v>1410000</v>
      </c>
      <c r="D2532">
        <v>4537.3</v>
      </c>
      <c r="E2532">
        <v>1.4800000000000001E-2</v>
      </c>
      <c r="F2532">
        <v>0.1053</v>
      </c>
    </row>
    <row r="2533" spans="1:6" x14ac:dyDescent="0.3">
      <c r="A2533" t="s">
        <v>2568</v>
      </c>
      <c r="B2533" t="s">
        <v>26</v>
      </c>
      <c r="C2533">
        <v>1570000</v>
      </c>
      <c r="D2533">
        <v>267494.7</v>
      </c>
      <c r="E2533">
        <v>4.8099999999999997E-2</v>
      </c>
      <c r="F2533">
        <v>5.0999999999999997E-2</v>
      </c>
    </row>
    <row r="2534" spans="1:6" x14ac:dyDescent="0.3">
      <c r="A2534" t="s">
        <v>2569</v>
      </c>
      <c r="B2534" t="s">
        <v>21</v>
      </c>
      <c r="C2534">
        <v>1200000</v>
      </c>
      <c r="D2534">
        <v>178652.7</v>
      </c>
      <c r="E2534">
        <v>7.4700000000000003E-2</v>
      </c>
      <c r="F2534">
        <v>9.5100000000000004E-2</v>
      </c>
    </row>
    <row r="2535" spans="1:6" x14ac:dyDescent="0.3">
      <c r="A2535" t="s">
        <v>2570</v>
      </c>
      <c r="B2535" t="s">
        <v>26</v>
      </c>
      <c r="C2535">
        <v>1890000</v>
      </c>
      <c r="D2535">
        <v>165799.29999999999</v>
      </c>
      <c r="E2535">
        <v>2.35E-2</v>
      </c>
      <c r="F2535">
        <v>4.0899999999999999E-2</v>
      </c>
    </row>
    <row r="2536" spans="1:6" x14ac:dyDescent="0.3">
      <c r="A2536" t="s">
        <v>2571</v>
      </c>
      <c r="B2536" t="s">
        <v>214</v>
      </c>
      <c r="C2536">
        <v>1170000</v>
      </c>
      <c r="D2536">
        <v>75156.899999999994</v>
      </c>
      <c r="E2536">
        <v>8.8000000000000005E-3</v>
      </c>
      <c r="F2536">
        <v>8.2199999999999995E-2</v>
      </c>
    </row>
    <row r="2537" spans="1:6" x14ac:dyDescent="0.3">
      <c r="A2537" t="s">
        <v>2572</v>
      </c>
      <c r="B2537" t="s">
        <v>21</v>
      </c>
      <c r="C2537">
        <v>1170000</v>
      </c>
      <c r="D2537">
        <v>8932.2000000000007</v>
      </c>
      <c r="E2537">
        <v>1.34E-2</v>
      </c>
      <c r="F2537">
        <v>9.5000000000000001E-2</v>
      </c>
    </row>
    <row r="2538" spans="1:6" x14ac:dyDescent="0.3">
      <c r="A2538" t="s">
        <v>2573</v>
      </c>
      <c r="B2538" t="s">
        <v>24</v>
      </c>
      <c r="C2538">
        <v>1800000</v>
      </c>
      <c r="D2538">
        <v>11180.2</v>
      </c>
      <c r="E2538">
        <v>0.09</v>
      </c>
      <c r="F2538">
        <v>9.3799999999999994E-2</v>
      </c>
    </row>
    <row r="2539" spans="1:6" x14ac:dyDescent="0.3">
      <c r="A2539" t="s">
        <v>2574</v>
      </c>
      <c r="B2539" t="s">
        <v>92</v>
      </c>
      <c r="C2539">
        <v>1490000</v>
      </c>
      <c r="D2539">
        <v>19760</v>
      </c>
      <c r="E2539">
        <v>1.8200000000000001E-2</v>
      </c>
      <c r="F2539">
        <v>7.5700000000000003E-2</v>
      </c>
    </row>
    <row r="2540" spans="1:6" x14ac:dyDescent="0.3">
      <c r="A2540" t="s">
        <v>2575</v>
      </c>
      <c r="B2540" t="s">
        <v>26</v>
      </c>
      <c r="C2540">
        <v>1230000</v>
      </c>
      <c r="D2540">
        <v>33178.1</v>
      </c>
      <c r="E2540">
        <v>9.4999999999999998E-3</v>
      </c>
      <c r="F2540">
        <v>8.1100000000000005E-2</v>
      </c>
    </row>
    <row r="2541" spans="1:6" x14ac:dyDescent="0.3">
      <c r="A2541" t="s">
        <v>2576</v>
      </c>
      <c r="B2541" t="s">
        <v>41</v>
      </c>
      <c r="C2541">
        <v>1650000</v>
      </c>
      <c r="D2541">
        <v>11020.5</v>
      </c>
      <c r="F2541">
        <v>7.5899999999999995E-2</v>
      </c>
    </row>
    <row r="2542" spans="1:6" x14ac:dyDescent="0.3">
      <c r="A2542" t="s">
        <v>2577</v>
      </c>
      <c r="B2542" t="s">
        <v>71</v>
      </c>
      <c r="C2542">
        <v>1270000</v>
      </c>
      <c r="D2542">
        <v>4336.3</v>
      </c>
      <c r="E2542">
        <v>2.5899999999999999E-2</v>
      </c>
      <c r="F2542">
        <v>9.3799999999999994E-2</v>
      </c>
    </row>
    <row r="2543" spans="1:6" x14ac:dyDescent="0.3">
      <c r="A2543" t="s">
        <v>2578</v>
      </c>
      <c r="B2543" t="s">
        <v>30</v>
      </c>
      <c r="C2543">
        <v>1410000</v>
      </c>
      <c r="D2543">
        <v>21404.3</v>
      </c>
      <c r="F2543">
        <v>7.5899999999999995E-2</v>
      </c>
    </row>
    <row r="2544" spans="1:6" x14ac:dyDescent="0.3">
      <c r="A2544" t="s">
        <v>2579</v>
      </c>
      <c r="B2544" t="s">
        <v>53</v>
      </c>
      <c r="C2544">
        <v>1310000</v>
      </c>
      <c r="D2544">
        <v>148447.20000000001</v>
      </c>
      <c r="E2544">
        <v>1.06E-2</v>
      </c>
      <c r="F2544">
        <v>8.2199999999999995E-2</v>
      </c>
    </row>
    <row r="2545" spans="1:6" x14ac:dyDescent="0.3">
      <c r="A2545" t="s">
        <v>2580</v>
      </c>
      <c r="B2545" t="s">
        <v>88</v>
      </c>
      <c r="C2545">
        <v>1230000</v>
      </c>
      <c r="D2545">
        <v>3772.1</v>
      </c>
      <c r="E2545">
        <v>5.9499999999999997E-2</v>
      </c>
      <c r="F2545">
        <v>9.3799999999999994E-2</v>
      </c>
    </row>
    <row r="2546" spans="1:6" x14ac:dyDescent="0.3">
      <c r="A2546" t="s">
        <v>2581</v>
      </c>
      <c r="B2546" t="s">
        <v>88</v>
      </c>
      <c r="C2546">
        <v>1130000</v>
      </c>
      <c r="D2546">
        <v>681.5</v>
      </c>
      <c r="E2546">
        <v>3.2099999999999997E-2</v>
      </c>
      <c r="F2546">
        <v>0.11700000000000001</v>
      </c>
    </row>
    <row r="2547" spans="1:6" x14ac:dyDescent="0.3">
      <c r="A2547" t="s">
        <v>2582</v>
      </c>
      <c r="B2547" t="s">
        <v>26</v>
      </c>
      <c r="C2547">
        <v>1220000</v>
      </c>
      <c r="D2547">
        <v>2323.6999999999998</v>
      </c>
      <c r="E2547">
        <v>1.6799999999999999E-2</v>
      </c>
      <c r="F2547">
        <v>4.6199999999999998E-2</v>
      </c>
    </row>
    <row r="2548" spans="1:6" x14ac:dyDescent="0.3">
      <c r="A2548" t="s">
        <v>2583</v>
      </c>
      <c r="B2548" t="s">
        <v>92</v>
      </c>
      <c r="C2548">
        <v>1610000</v>
      </c>
      <c r="D2548">
        <v>6176.9</v>
      </c>
      <c r="E2548">
        <v>4.3200000000000002E-2</v>
      </c>
      <c r="F2548">
        <v>9.3799999999999994E-2</v>
      </c>
    </row>
    <row r="2549" spans="1:6" x14ac:dyDescent="0.3">
      <c r="A2549" t="s">
        <v>2584</v>
      </c>
      <c r="B2549" t="s">
        <v>50</v>
      </c>
      <c r="C2549">
        <v>1420000</v>
      </c>
      <c r="D2549">
        <v>104576.9</v>
      </c>
      <c r="E2549">
        <v>1.32E-2</v>
      </c>
      <c r="F2549">
        <v>5.8500000000000003E-2</v>
      </c>
    </row>
    <row r="2550" spans="1:6" x14ac:dyDescent="0.3">
      <c r="A2550" t="s">
        <v>2585</v>
      </c>
      <c r="B2550" t="s">
        <v>92</v>
      </c>
      <c r="C2550">
        <v>1510000</v>
      </c>
      <c r="D2550">
        <v>494845.1</v>
      </c>
      <c r="E2550">
        <v>4.3499999999999997E-2</v>
      </c>
      <c r="F2550">
        <v>4.0899999999999999E-2</v>
      </c>
    </row>
    <row r="2551" spans="1:6" x14ac:dyDescent="0.3">
      <c r="A2551" t="s">
        <v>2586</v>
      </c>
      <c r="B2551" t="s">
        <v>26</v>
      </c>
      <c r="C2551">
        <v>1500000</v>
      </c>
      <c r="D2551">
        <v>274386.3</v>
      </c>
      <c r="E2551">
        <v>2.41E-2</v>
      </c>
      <c r="F2551">
        <v>5.0999999999999997E-2</v>
      </c>
    </row>
    <row r="2552" spans="1:6" x14ac:dyDescent="0.3">
      <c r="A2552" t="s">
        <v>2587</v>
      </c>
      <c r="B2552" t="s">
        <v>88</v>
      </c>
      <c r="C2552">
        <v>2170000</v>
      </c>
      <c r="D2552">
        <v>174092.2</v>
      </c>
      <c r="E2552">
        <v>4.9099999999999998E-2</v>
      </c>
      <c r="F2552">
        <v>7.5899999999999995E-2</v>
      </c>
    </row>
    <row r="2553" spans="1:6" x14ac:dyDescent="0.3">
      <c r="A2553" t="s">
        <v>2588</v>
      </c>
      <c r="B2553" t="s">
        <v>287</v>
      </c>
      <c r="C2553">
        <v>1160000</v>
      </c>
      <c r="D2553">
        <v>437.5</v>
      </c>
      <c r="E2553">
        <v>1.1299999999999999E-2</v>
      </c>
      <c r="F2553">
        <v>0.10580000000000001</v>
      </c>
    </row>
    <row r="2554" spans="1:6" x14ac:dyDescent="0.3">
      <c r="A2554" t="s">
        <v>2589</v>
      </c>
      <c r="B2554" t="s">
        <v>41</v>
      </c>
      <c r="C2554">
        <v>1270000</v>
      </c>
      <c r="D2554">
        <v>2615.5</v>
      </c>
      <c r="E2554">
        <v>3.0999999999999999E-3</v>
      </c>
      <c r="F2554">
        <v>0.1452</v>
      </c>
    </row>
    <row r="2555" spans="1:6" x14ac:dyDescent="0.3">
      <c r="A2555" t="s">
        <v>2590</v>
      </c>
      <c r="B2555" t="s">
        <v>26</v>
      </c>
      <c r="C2555">
        <v>1160000</v>
      </c>
      <c r="D2555">
        <v>54920.3</v>
      </c>
      <c r="E2555">
        <v>8.6E-3</v>
      </c>
      <c r="F2555">
        <v>8.2199999999999995E-2</v>
      </c>
    </row>
    <row r="2556" spans="1:6" x14ac:dyDescent="0.3">
      <c r="A2556" t="s">
        <v>2591</v>
      </c>
      <c r="B2556" t="s">
        <v>24</v>
      </c>
      <c r="C2556">
        <v>1500000</v>
      </c>
      <c r="D2556">
        <v>23212.6</v>
      </c>
      <c r="E2556">
        <v>1.34E-2</v>
      </c>
      <c r="F2556">
        <v>0.10580000000000001</v>
      </c>
    </row>
    <row r="2557" spans="1:6" x14ac:dyDescent="0.3">
      <c r="A2557" t="s">
        <v>2592</v>
      </c>
      <c r="B2557" t="s">
        <v>26</v>
      </c>
      <c r="C2557">
        <v>1450000</v>
      </c>
      <c r="D2557">
        <v>75322.8</v>
      </c>
      <c r="E2557">
        <v>2.06E-2</v>
      </c>
      <c r="F2557">
        <v>8.5400000000000004E-2</v>
      </c>
    </row>
    <row r="2558" spans="1:6" x14ac:dyDescent="0.3">
      <c r="A2558" t="s">
        <v>2593</v>
      </c>
      <c r="B2558" t="s">
        <v>88</v>
      </c>
      <c r="C2558">
        <v>1360000</v>
      </c>
      <c r="D2558">
        <v>17348.400000000001</v>
      </c>
      <c r="E2558">
        <v>1.04E-2</v>
      </c>
      <c r="F2558">
        <v>6.54E-2</v>
      </c>
    </row>
    <row r="2559" spans="1:6" x14ac:dyDescent="0.3">
      <c r="A2559" t="s">
        <v>2594</v>
      </c>
      <c r="B2559" t="s">
        <v>21</v>
      </c>
      <c r="C2559">
        <v>1740000</v>
      </c>
      <c r="D2559">
        <v>61978.7</v>
      </c>
      <c r="E2559">
        <v>2.9100000000000001E-2</v>
      </c>
      <c r="F2559">
        <v>9.3799999999999994E-2</v>
      </c>
    </row>
    <row r="2560" spans="1:6" x14ac:dyDescent="0.3">
      <c r="A2560" t="s">
        <v>2595</v>
      </c>
      <c r="B2560" t="s">
        <v>81</v>
      </c>
      <c r="C2560">
        <v>1650000</v>
      </c>
      <c r="D2560">
        <v>241344.1</v>
      </c>
      <c r="E2560">
        <v>4.8899999999999999E-2</v>
      </c>
      <c r="F2560">
        <v>7.5899999999999995E-2</v>
      </c>
    </row>
    <row r="2561" spans="1:6" x14ac:dyDescent="0.3">
      <c r="A2561" t="s">
        <v>2596</v>
      </c>
      <c r="B2561" t="s">
        <v>53</v>
      </c>
      <c r="C2561">
        <v>1590000</v>
      </c>
      <c r="D2561">
        <v>3179.2</v>
      </c>
      <c r="E2561">
        <v>9.4000000000000004E-3</v>
      </c>
      <c r="F2561">
        <v>8.2199999999999995E-2</v>
      </c>
    </row>
    <row r="2562" spans="1:6" x14ac:dyDescent="0.3">
      <c r="A2562" t="s">
        <v>2597</v>
      </c>
      <c r="B2562" t="s">
        <v>214</v>
      </c>
      <c r="C2562">
        <v>1390000</v>
      </c>
      <c r="D2562">
        <v>1302.9000000000001</v>
      </c>
      <c r="E2562">
        <v>7.1000000000000004E-3</v>
      </c>
      <c r="F2562">
        <v>6.54E-2</v>
      </c>
    </row>
    <row r="2563" spans="1:6" x14ac:dyDescent="0.3">
      <c r="A2563" t="s">
        <v>2598</v>
      </c>
      <c r="B2563" t="s">
        <v>41</v>
      </c>
      <c r="C2563">
        <v>1350000</v>
      </c>
      <c r="D2563">
        <v>52737.2</v>
      </c>
      <c r="E2563">
        <v>2.52E-2</v>
      </c>
      <c r="F2563">
        <v>5.0999999999999997E-2</v>
      </c>
    </row>
    <row r="2564" spans="1:6" x14ac:dyDescent="0.3">
      <c r="A2564" t="s">
        <v>2599</v>
      </c>
      <c r="B2564" t="s">
        <v>35</v>
      </c>
      <c r="C2564">
        <v>1280000</v>
      </c>
      <c r="D2564">
        <v>1979</v>
      </c>
      <c r="E2564">
        <v>2.2599999999999999E-2</v>
      </c>
      <c r="F2564">
        <v>5.7599999999999998E-2</v>
      </c>
    </row>
    <row r="2565" spans="1:6" x14ac:dyDescent="0.3">
      <c r="A2565" t="s">
        <v>2600</v>
      </c>
      <c r="B2565" t="s">
        <v>41</v>
      </c>
      <c r="C2565">
        <v>1240000</v>
      </c>
      <c r="D2565">
        <v>309.39999999999998</v>
      </c>
      <c r="E2565">
        <v>1.0500000000000001E-2</v>
      </c>
      <c r="F2565">
        <v>0.20660000000000001</v>
      </c>
    </row>
    <row r="2566" spans="1:6" x14ac:dyDescent="0.3">
      <c r="A2566" t="s">
        <v>2601</v>
      </c>
      <c r="B2566" t="s">
        <v>88</v>
      </c>
      <c r="C2566">
        <v>1350000</v>
      </c>
      <c r="D2566">
        <v>3004.3</v>
      </c>
      <c r="E2566">
        <v>3.9E-2</v>
      </c>
      <c r="F2566">
        <v>4.0899999999999999E-2</v>
      </c>
    </row>
    <row r="2567" spans="1:6" x14ac:dyDescent="0.3">
      <c r="A2567" t="s">
        <v>2602</v>
      </c>
      <c r="B2567" t="s">
        <v>26</v>
      </c>
      <c r="C2567">
        <v>1440000</v>
      </c>
      <c r="D2567">
        <v>84890.1</v>
      </c>
      <c r="E2567">
        <v>3.04E-2</v>
      </c>
      <c r="F2567">
        <v>4.0899999999999999E-2</v>
      </c>
    </row>
    <row r="2568" spans="1:6" x14ac:dyDescent="0.3">
      <c r="A2568" t="s">
        <v>2603</v>
      </c>
      <c r="B2568" t="s">
        <v>50</v>
      </c>
      <c r="C2568">
        <v>1390000</v>
      </c>
      <c r="D2568">
        <v>125810</v>
      </c>
      <c r="E2568">
        <v>8.8999999999999999E-3</v>
      </c>
      <c r="F2568">
        <v>6.54E-2</v>
      </c>
    </row>
    <row r="2569" spans="1:6" x14ac:dyDescent="0.3">
      <c r="A2569" t="s">
        <v>2604</v>
      </c>
      <c r="B2569" t="s">
        <v>62</v>
      </c>
      <c r="C2569">
        <v>1190000</v>
      </c>
      <c r="D2569">
        <v>4515.3</v>
      </c>
      <c r="E2569">
        <v>9.7199999999999995E-2</v>
      </c>
      <c r="F2569">
        <v>7.5899999999999995E-2</v>
      </c>
    </row>
    <row r="2570" spans="1:6" x14ac:dyDescent="0.3">
      <c r="A2570" t="s">
        <v>2605</v>
      </c>
      <c r="B2570" t="s">
        <v>92</v>
      </c>
      <c r="C2570">
        <v>1220000</v>
      </c>
      <c r="D2570">
        <v>59907</v>
      </c>
      <c r="E2570">
        <v>2.0500000000000001E-2</v>
      </c>
      <c r="F2570">
        <v>4.6199999999999998E-2</v>
      </c>
    </row>
    <row r="2571" spans="1:6" x14ac:dyDescent="0.3">
      <c r="A2571" t="s">
        <v>2606</v>
      </c>
      <c r="B2571" t="s">
        <v>41</v>
      </c>
      <c r="C2571">
        <v>1150000</v>
      </c>
      <c r="D2571">
        <v>946725.5</v>
      </c>
      <c r="E2571">
        <v>3.3E-3</v>
      </c>
      <c r="F2571">
        <v>8.2199999999999995E-2</v>
      </c>
    </row>
    <row r="2572" spans="1:6" x14ac:dyDescent="0.3">
      <c r="A2572" t="s">
        <v>2607</v>
      </c>
      <c r="B2572" t="s">
        <v>88</v>
      </c>
      <c r="C2572">
        <v>1350000</v>
      </c>
      <c r="D2572">
        <v>489.3</v>
      </c>
      <c r="E2572">
        <v>4.1200000000000001E-2</v>
      </c>
      <c r="F2572">
        <v>9.3799999999999994E-2</v>
      </c>
    </row>
    <row r="2573" spans="1:6" x14ac:dyDescent="0.3">
      <c r="A2573" t="s">
        <v>2608</v>
      </c>
      <c r="B2573" t="s">
        <v>41</v>
      </c>
      <c r="C2573">
        <v>1380000</v>
      </c>
      <c r="D2573">
        <v>87528.8</v>
      </c>
      <c r="E2573">
        <v>3.15E-2</v>
      </c>
      <c r="F2573">
        <v>7.5899999999999995E-2</v>
      </c>
    </row>
    <row r="2574" spans="1:6" x14ac:dyDescent="0.3">
      <c r="A2574" t="s">
        <v>2609</v>
      </c>
      <c r="B2574" t="s">
        <v>88</v>
      </c>
      <c r="C2574">
        <v>1240000</v>
      </c>
      <c r="D2574">
        <v>6293.2</v>
      </c>
      <c r="E2574">
        <v>3.5000000000000003E-2</v>
      </c>
      <c r="F2574">
        <v>9.3799999999999994E-2</v>
      </c>
    </row>
    <row r="2575" spans="1:6" x14ac:dyDescent="0.3">
      <c r="A2575" t="s">
        <v>2610</v>
      </c>
      <c r="B2575" t="s">
        <v>26</v>
      </c>
      <c r="C2575">
        <v>1310000</v>
      </c>
      <c r="D2575">
        <v>82694.5</v>
      </c>
      <c r="E2575">
        <v>2.07E-2</v>
      </c>
      <c r="F2575">
        <v>8.5400000000000004E-2</v>
      </c>
    </row>
    <row r="2576" spans="1:6" x14ac:dyDescent="0.3">
      <c r="A2576" t="s">
        <v>2611</v>
      </c>
      <c r="B2576" t="s">
        <v>24</v>
      </c>
      <c r="C2576">
        <v>1880000</v>
      </c>
      <c r="D2576">
        <v>7131.8</v>
      </c>
      <c r="E2576">
        <v>1.2800000000000001E-2</v>
      </c>
      <c r="F2576">
        <v>5.8400000000000001E-2</v>
      </c>
    </row>
    <row r="2577" spans="1:6" x14ac:dyDescent="0.3">
      <c r="A2577" t="s">
        <v>2612</v>
      </c>
      <c r="B2577" t="s">
        <v>26</v>
      </c>
      <c r="C2577">
        <v>1230000</v>
      </c>
      <c r="D2577">
        <v>7438.2</v>
      </c>
      <c r="E2577">
        <v>1.43E-2</v>
      </c>
      <c r="F2577">
        <v>6.8900000000000003E-2</v>
      </c>
    </row>
    <row r="2578" spans="1:6" x14ac:dyDescent="0.3">
      <c r="A2578" t="s">
        <v>2613</v>
      </c>
      <c r="B2578" t="s">
        <v>81</v>
      </c>
      <c r="C2578">
        <v>1230000</v>
      </c>
      <c r="D2578">
        <v>25103.9</v>
      </c>
      <c r="E2578">
        <v>3.95E-2</v>
      </c>
      <c r="F2578">
        <v>9.3799999999999994E-2</v>
      </c>
    </row>
    <row r="2579" spans="1:6" x14ac:dyDescent="0.3">
      <c r="A2579" t="s">
        <v>2614</v>
      </c>
      <c r="B2579" t="s">
        <v>71</v>
      </c>
      <c r="C2579">
        <v>1130000</v>
      </c>
      <c r="D2579">
        <v>561.9</v>
      </c>
      <c r="E2579">
        <v>6.3500000000000001E-2</v>
      </c>
      <c r="F2579">
        <v>7.5899999999999995E-2</v>
      </c>
    </row>
    <row r="2580" spans="1:6" x14ac:dyDescent="0.3">
      <c r="A2580" t="s">
        <v>2615</v>
      </c>
      <c r="B2580" t="s">
        <v>41</v>
      </c>
      <c r="C2580">
        <v>1180000</v>
      </c>
      <c r="D2580">
        <v>363.9</v>
      </c>
      <c r="E2580">
        <v>1.09E-2</v>
      </c>
      <c r="F2580">
        <v>0.19289999999999999</v>
      </c>
    </row>
    <row r="2581" spans="1:6" x14ac:dyDescent="0.3">
      <c r="A2581" t="s">
        <v>2616</v>
      </c>
      <c r="B2581" t="s">
        <v>53</v>
      </c>
      <c r="C2581">
        <v>1430000</v>
      </c>
      <c r="D2581">
        <v>41997.1</v>
      </c>
      <c r="E2581">
        <v>6.4699999999999994E-2</v>
      </c>
      <c r="F2581">
        <v>0.11700000000000001</v>
      </c>
    </row>
    <row r="2582" spans="1:6" x14ac:dyDescent="0.3">
      <c r="A2582" t="s">
        <v>2617</v>
      </c>
      <c r="B2582" t="s">
        <v>26</v>
      </c>
      <c r="C2582">
        <v>1300000</v>
      </c>
      <c r="D2582">
        <v>261706</v>
      </c>
      <c r="E2582">
        <v>2.8000000000000001E-2</v>
      </c>
      <c r="F2582">
        <v>9.3799999999999994E-2</v>
      </c>
    </row>
    <row r="2583" spans="1:6" x14ac:dyDescent="0.3">
      <c r="A2583" t="s">
        <v>2618</v>
      </c>
      <c r="B2583" t="s">
        <v>26</v>
      </c>
      <c r="C2583">
        <v>1620000</v>
      </c>
      <c r="D2583">
        <v>39086.9</v>
      </c>
      <c r="E2583">
        <v>5.8700000000000002E-2</v>
      </c>
      <c r="F2583">
        <v>9.3799999999999994E-2</v>
      </c>
    </row>
    <row r="2584" spans="1:6" x14ac:dyDescent="0.3">
      <c r="A2584" t="s">
        <v>2619</v>
      </c>
      <c r="B2584" t="s">
        <v>26</v>
      </c>
      <c r="C2584">
        <v>1430000</v>
      </c>
      <c r="D2584">
        <v>179484.4</v>
      </c>
      <c r="E2584">
        <v>3.1E-2</v>
      </c>
      <c r="F2584">
        <v>4.3200000000000002E-2</v>
      </c>
    </row>
    <row r="2585" spans="1:6" x14ac:dyDescent="0.3">
      <c r="A2585" t="s">
        <v>2620</v>
      </c>
      <c r="B2585" t="s">
        <v>30</v>
      </c>
      <c r="C2585">
        <v>1070000</v>
      </c>
      <c r="D2585">
        <v>338898.2</v>
      </c>
      <c r="E2585">
        <v>3.4700000000000002E-2</v>
      </c>
      <c r="F2585">
        <v>5.1799999999999999E-2</v>
      </c>
    </row>
    <row r="2586" spans="1:6" x14ac:dyDescent="0.3">
      <c r="A2586" t="s">
        <v>2621</v>
      </c>
      <c r="B2586" t="s">
        <v>41</v>
      </c>
      <c r="C2586">
        <v>1480000</v>
      </c>
      <c r="D2586">
        <v>12947.5</v>
      </c>
      <c r="E2586">
        <v>4.07E-2</v>
      </c>
      <c r="F2586">
        <v>9.3799999999999994E-2</v>
      </c>
    </row>
    <row r="2587" spans="1:6" x14ac:dyDescent="0.3">
      <c r="A2587" t="s">
        <v>2622</v>
      </c>
      <c r="B2587" t="s">
        <v>287</v>
      </c>
      <c r="C2587">
        <v>1200000</v>
      </c>
      <c r="D2587">
        <v>83729.100000000006</v>
      </c>
      <c r="E2587">
        <v>1.6299999999999999E-2</v>
      </c>
      <c r="F2587">
        <v>8.5400000000000004E-2</v>
      </c>
    </row>
    <row r="2588" spans="1:6" x14ac:dyDescent="0.3">
      <c r="A2588" t="s">
        <v>2623</v>
      </c>
      <c r="B2588" t="s">
        <v>88</v>
      </c>
      <c r="C2588">
        <v>1250000</v>
      </c>
      <c r="D2588">
        <v>3361.8</v>
      </c>
      <c r="E2588">
        <v>3.4099999999999998E-2</v>
      </c>
      <c r="F2588">
        <v>9.5100000000000004E-2</v>
      </c>
    </row>
    <row r="2589" spans="1:6" x14ac:dyDescent="0.3">
      <c r="A2589" t="s">
        <v>2624</v>
      </c>
      <c r="B2589" t="s">
        <v>92</v>
      </c>
      <c r="C2589">
        <v>1410000</v>
      </c>
      <c r="D2589">
        <v>40496.400000000001</v>
      </c>
      <c r="E2589">
        <v>2.9899999999999999E-2</v>
      </c>
      <c r="F2589">
        <v>4.58E-2</v>
      </c>
    </row>
    <row r="2590" spans="1:6" x14ac:dyDescent="0.3">
      <c r="A2590" t="s">
        <v>2625</v>
      </c>
      <c r="B2590" t="s">
        <v>41</v>
      </c>
      <c r="C2590">
        <v>1630000</v>
      </c>
      <c r="D2590">
        <v>5853.5</v>
      </c>
      <c r="E2590">
        <v>2.46E-2</v>
      </c>
      <c r="F2590">
        <v>0.1169</v>
      </c>
    </row>
    <row r="2591" spans="1:6" x14ac:dyDescent="0.3">
      <c r="A2591" t="s">
        <v>2626</v>
      </c>
      <c r="B2591" t="s">
        <v>74</v>
      </c>
      <c r="C2591">
        <v>1250000</v>
      </c>
      <c r="D2591">
        <v>22371</v>
      </c>
      <c r="E2591">
        <v>4.2900000000000001E-2</v>
      </c>
      <c r="F2591">
        <v>9.5100000000000004E-2</v>
      </c>
    </row>
    <row r="2592" spans="1:6" x14ac:dyDescent="0.3">
      <c r="A2592" t="s">
        <v>2627</v>
      </c>
      <c r="B2592" t="s">
        <v>88</v>
      </c>
      <c r="C2592">
        <v>1360000</v>
      </c>
      <c r="D2592">
        <v>14635.1</v>
      </c>
      <c r="E2592">
        <v>3.0800000000000001E-2</v>
      </c>
      <c r="F2592">
        <v>7.5899999999999995E-2</v>
      </c>
    </row>
    <row r="2593" spans="1:6" x14ac:dyDescent="0.3">
      <c r="A2593" t="s">
        <v>2628</v>
      </c>
      <c r="B2593" t="s">
        <v>53</v>
      </c>
      <c r="C2593">
        <v>1580000</v>
      </c>
      <c r="D2593">
        <v>4903.6000000000004</v>
      </c>
      <c r="E2593">
        <v>6.3100000000000003E-2</v>
      </c>
      <c r="F2593">
        <v>9.3799999999999994E-2</v>
      </c>
    </row>
    <row r="2594" spans="1:6" x14ac:dyDescent="0.3">
      <c r="A2594" t="s">
        <v>2629</v>
      </c>
      <c r="B2594" t="s">
        <v>74</v>
      </c>
      <c r="C2594">
        <v>1260000</v>
      </c>
      <c r="D2594">
        <v>689</v>
      </c>
      <c r="E2594">
        <v>2.1100000000000001E-2</v>
      </c>
      <c r="F2594">
        <v>4.0899999999999999E-2</v>
      </c>
    </row>
    <row r="2595" spans="1:6" x14ac:dyDescent="0.3">
      <c r="A2595" t="s">
        <v>2630</v>
      </c>
      <c r="B2595" t="s">
        <v>24</v>
      </c>
      <c r="C2595">
        <v>1330000</v>
      </c>
      <c r="D2595">
        <v>1124561</v>
      </c>
      <c r="E2595">
        <v>2.1299999999999999E-2</v>
      </c>
      <c r="F2595">
        <v>5.1799999999999999E-2</v>
      </c>
    </row>
    <row r="2596" spans="1:6" x14ac:dyDescent="0.3">
      <c r="A2596" t="s">
        <v>2631</v>
      </c>
      <c r="B2596" t="s">
        <v>81</v>
      </c>
      <c r="C2596">
        <v>1120000</v>
      </c>
      <c r="D2596">
        <v>1041.5</v>
      </c>
      <c r="E2596">
        <v>4.5999999999999999E-3</v>
      </c>
      <c r="F2596">
        <v>8.2199999999999995E-2</v>
      </c>
    </row>
    <row r="2597" spans="1:6" x14ac:dyDescent="0.3">
      <c r="A2597" t="s">
        <v>2632</v>
      </c>
      <c r="B2597" t="s">
        <v>24</v>
      </c>
      <c r="C2597">
        <v>2540000</v>
      </c>
      <c r="D2597">
        <v>1294268</v>
      </c>
      <c r="E2597">
        <v>4.1500000000000002E-2</v>
      </c>
      <c r="F2597">
        <v>4.0899999999999999E-2</v>
      </c>
    </row>
    <row r="2598" spans="1:6" x14ac:dyDescent="0.3">
      <c r="A2598" t="s">
        <v>2633</v>
      </c>
      <c r="B2598" t="s">
        <v>287</v>
      </c>
      <c r="C2598">
        <v>1160000</v>
      </c>
      <c r="D2598">
        <v>130235.1</v>
      </c>
      <c r="E2598">
        <v>1.72E-2</v>
      </c>
      <c r="F2598">
        <v>6.08E-2</v>
      </c>
    </row>
    <row r="2599" spans="1:6" x14ac:dyDescent="0.3">
      <c r="A2599" t="s">
        <v>2634</v>
      </c>
      <c r="B2599" t="s">
        <v>81</v>
      </c>
      <c r="C2599">
        <v>1270000</v>
      </c>
      <c r="D2599">
        <v>400312.7</v>
      </c>
      <c r="E2599">
        <v>2.9999999999999997E-4</v>
      </c>
      <c r="F2599">
        <v>0.29970000000000002</v>
      </c>
    </row>
    <row r="2600" spans="1:6" x14ac:dyDescent="0.3">
      <c r="A2600" t="s">
        <v>2635</v>
      </c>
      <c r="B2600" t="s">
        <v>24</v>
      </c>
      <c r="C2600">
        <v>1990000</v>
      </c>
      <c r="D2600">
        <v>35883</v>
      </c>
      <c r="E2600">
        <v>3.1300000000000001E-2</v>
      </c>
      <c r="F2600">
        <v>7.5899999999999995E-2</v>
      </c>
    </row>
    <row r="2601" spans="1:6" x14ac:dyDescent="0.3">
      <c r="A2601" t="s">
        <v>2636</v>
      </c>
      <c r="B2601" t="s">
        <v>92</v>
      </c>
      <c r="C2601">
        <v>1420000</v>
      </c>
      <c r="D2601">
        <v>2872.6</v>
      </c>
      <c r="E2601">
        <v>2.1999999999999999E-2</v>
      </c>
      <c r="F2601">
        <v>4.6199999999999998E-2</v>
      </c>
    </row>
    <row r="2602" spans="1:6" x14ac:dyDescent="0.3">
      <c r="A2602" t="s">
        <v>2637</v>
      </c>
      <c r="B2602" t="s">
        <v>32</v>
      </c>
      <c r="C2602">
        <v>1300000</v>
      </c>
      <c r="D2602">
        <v>1062828.3999999999</v>
      </c>
      <c r="E2602">
        <v>1.44E-2</v>
      </c>
      <c r="F2602">
        <v>5.8500000000000003E-2</v>
      </c>
    </row>
    <row r="2603" spans="1:6" x14ac:dyDescent="0.3">
      <c r="A2603" t="s">
        <v>2638</v>
      </c>
      <c r="B2603" t="s">
        <v>53</v>
      </c>
      <c r="C2603">
        <v>3450000</v>
      </c>
      <c r="D2603">
        <v>658552.80000000005</v>
      </c>
      <c r="E2603">
        <v>1.35E-2</v>
      </c>
      <c r="F2603">
        <v>4.6600000000000003E-2</v>
      </c>
    </row>
    <row r="2604" spans="1:6" x14ac:dyDescent="0.3">
      <c r="A2604" t="s">
        <v>2639</v>
      </c>
      <c r="B2604" t="s">
        <v>88</v>
      </c>
      <c r="C2604">
        <v>1570000</v>
      </c>
      <c r="D2604">
        <v>4549.5</v>
      </c>
      <c r="F2604">
        <v>7.5899999999999995E-2</v>
      </c>
    </row>
    <row r="2605" spans="1:6" x14ac:dyDescent="0.3">
      <c r="A2605" t="s">
        <v>2640</v>
      </c>
      <c r="B2605" t="s">
        <v>88</v>
      </c>
      <c r="C2605">
        <v>2090000</v>
      </c>
      <c r="D2605">
        <v>197629.4</v>
      </c>
      <c r="E2605">
        <v>3.4000000000000002E-2</v>
      </c>
      <c r="F2605">
        <v>7.5899999999999995E-2</v>
      </c>
    </row>
    <row r="2606" spans="1:6" x14ac:dyDescent="0.3">
      <c r="A2606" t="s">
        <v>2641</v>
      </c>
      <c r="B2606" t="s">
        <v>26</v>
      </c>
      <c r="C2606">
        <v>1100000</v>
      </c>
      <c r="D2606">
        <v>465.2</v>
      </c>
      <c r="E2606">
        <v>6.3E-3</v>
      </c>
      <c r="F2606">
        <v>8.2199999999999995E-2</v>
      </c>
    </row>
    <row r="2607" spans="1:6" x14ac:dyDescent="0.3">
      <c r="A2607" t="s">
        <v>2642</v>
      </c>
      <c r="B2607" t="s">
        <v>24</v>
      </c>
      <c r="C2607">
        <v>1150000</v>
      </c>
      <c r="D2607">
        <v>619828</v>
      </c>
      <c r="E2607">
        <v>2.5999999999999999E-2</v>
      </c>
      <c r="F2607">
        <v>5.1799999999999999E-2</v>
      </c>
    </row>
    <row r="2608" spans="1:6" x14ac:dyDescent="0.3">
      <c r="A2608" t="s">
        <v>2643</v>
      </c>
      <c r="B2608" t="s">
        <v>26</v>
      </c>
      <c r="C2608">
        <v>1230000</v>
      </c>
      <c r="D2608">
        <v>5251.7</v>
      </c>
      <c r="E2608">
        <v>8.2000000000000007E-3</v>
      </c>
      <c r="F2608">
        <v>6.54E-2</v>
      </c>
    </row>
    <row r="2609" spans="1:6" x14ac:dyDescent="0.3">
      <c r="A2609" t="s">
        <v>2644</v>
      </c>
      <c r="B2609" t="s">
        <v>74</v>
      </c>
      <c r="C2609">
        <v>2190000</v>
      </c>
      <c r="D2609">
        <v>405985.7</v>
      </c>
      <c r="E2609">
        <v>7.6999999999999999E-2</v>
      </c>
      <c r="F2609">
        <v>7.5899999999999995E-2</v>
      </c>
    </row>
    <row r="2610" spans="1:6" x14ac:dyDescent="0.3">
      <c r="A2610" t="s">
        <v>2645</v>
      </c>
      <c r="B2610" t="s">
        <v>88</v>
      </c>
      <c r="C2610">
        <v>1160000</v>
      </c>
      <c r="D2610">
        <v>97.9</v>
      </c>
      <c r="E2610">
        <v>5.7999999999999996E-3</v>
      </c>
      <c r="F2610">
        <v>0.41870000000000002</v>
      </c>
    </row>
    <row r="2611" spans="1:6" x14ac:dyDescent="0.3">
      <c r="A2611" t="s">
        <v>2646</v>
      </c>
      <c r="B2611" t="s">
        <v>88</v>
      </c>
      <c r="C2611">
        <v>1280000</v>
      </c>
      <c r="D2611">
        <v>14179.3</v>
      </c>
      <c r="E2611">
        <v>4.07E-2</v>
      </c>
      <c r="F2611">
        <v>7.5899999999999995E-2</v>
      </c>
    </row>
    <row r="2612" spans="1:6" x14ac:dyDescent="0.3">
      <c r="A2612" t="s">
        <v>2647</v>
      </c>
      <c r="B2612" t="s">
        <v>26</v>
      </c>
      <c r="C2612">
        <v>1410000</v>
      </c>
      <c r="D2612">
        <v>76129.399999999994</v>
      </c>
      <c r="E2612">
        <v>5.1499999999999997E-2</v>
      </c>
      <c r="F2612">
        <v>7.5899999999999995E-2</v>
      </c>
    </row>
    <row r="2613" spans="1:6" x14ac:dyDescent="0.3">
      <c r="A2613" t="s">
        <v>2648</v>
      </c>
      <c r="B2613" t="s">
        <v>92</v>
      </c>
      <c r="C2613">
        <v>1490000</v>
      </c>
      <c r="D2613">
        <v>218190.9</v>
      </c>
      <c r="E2613">
        <v>2.29E-2</v>
      </c>
      <c r="F2613">
        <v>5.0999999999999997E-2</v>
      </c>
    </row>
    <row r="2614" spans="1:6" x14ac:dyDescent="0.3">
      <c r="A2614" t="s">
        <v>2649</v>
      </c>
      <c r="B2614" t="s">
        <v>74</v>
      </c>
      <c r="C2614">
        <v>2630000</v>
      </c>
      <c r="D2614">
        <v>5698.3</v>
      </c>
      <c r="E2614">
        <v>1.4500000000000001E-2</v>
      </c>
      <c r="F2614">
        <v>7.5700000000000003E-2</v>
      </c>
    </row>
    <row r="2615" spans="1:6" x14ac:dyDescent="0.3">
      <c r="A2615" t="s">
        <v>2650</v>
      </c>
      <c r="B2615" t="s">
        <v>214</v>
      </c>
      <c r="C2615">
        <v>1160000</v>
      </c>
      <c r="D2615">
        <v>1929.6</v>
      </c>
      <c r="E2615">
        <v>6.4000000000000003E-3</v>
      </c>
      <c r="F2615">
        <v>6.54E-2</v>
      </c>
    </row>
    <row r="2616" spans="1:6" x14ac:dyDescent="0.3">
      <c r="A2616" t="s">
        <v>2651</v>
      </c>
      <c r="B2616" t="s">
        <v>26</v>
      </c>
      <c r="C2616">
        <v>1190000</v>
      </c>
      <c r="D2616">
        <v>17248</v>
      </c>
      <c r="E2616">
        <v>3.1E-2</v>
      </c>
      <c r="F2616">
        <v>4.3200000000000002E-2</v>
      </c>
    </row>
    <row r="2617" spans="1:6" x14ac:dyDescent="0.3">
      <c r="A2617" t="s">
        <v>2652</v>
      </c>
      <c r="B2617" t="s">
        <v>88</v>
      </c>
      <c r="C2617">
        <v>1380000</v>
      </c>
      <c r="D2617">
        <v>6660.3</v>
      </c>
      <c r="E2617">
        <v>4.9299999999999997E-2</v>
      </c>
      <c r="F2617">
        <v>9.3799999999999994E-2</v>
      </c>
    </row>
    <row r="2618" spans="1:6" x14ac:dyDescent="0.3">
      <c r="A2618" t="s">
        <v>2653</v>
      </c>
      <c r="B2618" t="s">
        <v>74</v>
      </c>
      <c r="C2618">
        <v>1170000</v>
      </c>
      <c r="D2618">
        <v>42628.4</v>
      </c>
      <c r="E2618">
        <v>5.2200000000000003E-2</v>
      </c>
      <c r="F2618">
        <v>7.5899999999999995E-2</v>
      </c>
    </row>
    <row r="2619" spans="1:6" x14ac:dyDescent="0.3">
      <c r="A2619" t="s">
        <v>2654</v>
      </c>
      <c r="B2619" t="s">
        <v>30</v>
      </c>
      <c r="C2619">
        <v>1140000</v>
      </c>
      <c r="D2619">
        <v>48395.1</v>
      </c>
      <c r="E2619">
        <v>2.6200000000000001E-2</v>
      </c>
      <c r="F2619">
        <v>7.5899999999999995E-2</v>
      </c>
    </row>
    <row r="2620" spans="1:6" x14ac:dyDescent="0.3">
      <c r="A2620" t="s">
        <v>2655</v>
      </c>
      <c r="B2620" t="s">
        <v>26</v>
      </c>
      <c r="C2620">
        <v>2270000</v>
      </c>
      <c r="D2620">
        <v>764148.1</v>
      </c>
      <c r="E2620">
        <v>1.4E-2</v>
      </c>
      <c r="F2620">
        <v>5.1999999999999998E-2</v>
      </c>
    </row>
    <row r="2621" spans="1:6" x14ac:dyDescent="0.3">
      <c r="A2621" t="s">
        <v>2656</v>
      </c>
      <c r="B2621" t="s">
        <v>287</v>
      </c>
      <c r="C2621">
        <v>1780000</v>
      </c>
      <c r="D2621">
        <v>139222.29999999999</v>
      </c>
      <c r="E2621">
        <v>2.1100000000000001E-2</v>
      </c>
      <c r="F2621">
        <v>5.0999999999999997E-2</v>
      </c>
    </row>
    <row r="2622" spans="1:6" x14ac:dyDescent="0.3">
      <c r="A2622" t="s">
        <v>2657</v>
      </c>
      <c r="B2622" t="s">
        <v>92</v>
      </c>
      <c r="C2622">
        <v>2000000</v>
      </c>
      <c r="D2622">
        <v>352699.2</v>
      </c>
      <c r="E2622">
        <v>5.5300000000000002E-2</v>
      </c>
      <c r="F2622">
        <v>4.0899999999999999E-2</v>
      </c>
    </row>
    <row r="2623" spans="1:6" x14ac:dyDescent="0.3">
      <c r="A2623" t="s">
        <v>2658</v>
      </c>
      <c r="B2623" t="s">
        <v>74</v>
      </c>
      <c r="C2623">
        <v>2070000</v>
      </c>
      <c r="D2623">
        <v>2653.2</v>
      </c>
      <c r="E2623">
        <v>5.7299999999999997E-2</v>
      </c>
      <c r="F2623">
        <v>0.1043</v>
      </c>
    </row>
    <row r="2624" spans="1:6" x14ac:dyDescent="0.3">
      <c r="A2624" t="s">
        <v>2659</v>
      </c>
      <c r="B2624" t="s">
        <v>26</v>
      </c>
      <c r="C2624">
        <v>1590000</v>
      </c>
      <c r="D2624">
        <v>698389.5</v>
      </c>
      <c r="E2624">
        <v>2.9600000000000001E-2</v>
      </c>
      <c r="F2624">
        <v>5.1799999999999999E-2</v>
      </c>
    </row>
    <row r="2625" spans="1:6" x14ac:dyDescent="0.3">
      <c r="A2625" t="s">
        <v>2660</v>
      </c>
      <c r="B2625" t="s">
        <v>53</v>
      </c>
      <c r="C2625">
        <v>2290000</v>
      </c>
      <c r="D2625">
        <v>273750.09999999998</v>
      </c>
      <c r="E2625">
        <v>1.83E-2</v>
      </c>
      <c r="F2625">
        <v>4.8800000000000003E-2</v>
      </c>
    </row>
    <row r="2626" spans="1:6" x14ac:dyDescent="0.3">
      <c r="A2626" t="s">
        <v>2661</v>
      </c>
      <c r="B2626" t="s">
        <v>26</v>
      </c>
      <c r="C2626">
        <v>1290000</v>
      </c>
      <c r="D2626">
        <v>78007.5</v>
      </c>
      <c r="E2626">
        <v>8.8999999999999999E-3</v>
      </c>
      <c r="F2626">
        <v>6.54E-2</v>
      </c>
    </row>
    <row r="2627" spans="1:6" x14ac:dyDescent="0.3">
      <c r="A2627" t="s">
        <v>2662</v>
      </c>
      <c r="B2627" t="s">
        <v>26</v>
      </c>
      <c r="C2627">
        <v>1230000</v>
      </c>
      <c r="D2627">
        <v>48760.5</v>
      </c>
      <c r="E2627">
        <v>3.1699999999999999E-2</v>
      </c>
      <c r="F2627">
        <v>4.0899999999999999E-2</v>
      </c>
    </row>
    <row r="2628" spans="1:6" x14ac:dyDescent="0.3">
      <c r="A2628" t="s">
        <v>2663</v>
      </c>
      <c r="B2628" t="s">
        <v>21</v>
      </c>
      <c r="C2628">
        <v>1070000</v>
      </c>
      <c r="D2628">
        <v>63.1</v>
      </c>
      <c r="E2628">
        <v>1.5E-3</v>
      </c>
      <c r="F2628">
        <v>0.26879999999999998</v>
      </c>
    </row>
    <row r="2629" spans="1:6" x14ac:dyDescent="0.3">
      <c r="A2629" t="s">
        <v>2664</v>
      </c>
      <c r="B2629" t="s">
        <v>24</v>
      </c>
      <c r="C2629">
        <v>1280000</v>
      </c>
      <c r="D2629">
        <v>93123</v>
      </c>
      <c r="E2629">
        <v>2.92E-2</v>
      </c>
      <c r="F2629">
        <v>7.5899999999999995E-2</v>
      </c>
    </row>
    <row r="2630" spans="1:6" x14ac:dyDescent="0.3">
      <c r="A2630" t="s">
        <v>2665</v>
      </c>
      <c r="B2630" t="s">
        <v>26</v>
      </c>
      <c r="C2630">
        <v>3000000</v>
      </c>
      <c r="D2630">
        <v>11664.2</v>
      </c>
      <c r="E2630">
        <v>1.15E-2</v>
      </c>
      <c r="F2630">
        <v>7.2599999999999998E-2</v>
      </c>
    </row>
    <row r="2631" spans="1:6" x14ac:dyDescent="0.3">
      <c r="A2631" t="s">
        <v>2666</v>
      </c>
      <c r="B2631" t="s">
        <v>24</v>
      </c>
      <c r="C2631">
        <v>1790000</v>
      </c>
      <c r="D2631">
        <v>115158.7</v>
      </c>
      <c r="E2631">
        <v>2.1000000000000001E-2</v>
      </c>
      <c r="F2631">
        <v>5.1799999999999999E-2</v>
      </c>
    </row>
    <row r="2632" spans="1:6" x14ac:dyDescent="0.3">
      <c r="A2632" t="s">
        <v>2667</v>
      </c>
      <c r="B2632" t="s">
        <v>32</v>
      </c>
      <c r="C2632">
        <v>1410000</v>
      </c>
      <c r="D2632">
        <v>81181.600000000006</v>
      </c>
      <c r="E2632">
        <v>4.3E-3</v>
      </c>
      <c r="F2632">
        <v>8.1100000000000005E-2</v>
      </c>
    </row>
    <row r="2633" spans="1:6" x14ac:dyDescent="0.3">
      <c r="A2633" t="s">
        <v>2668</v>
      </c>
      <c r="B2633" t="s">
        <v>26</v>
      </c>
      <c r="C2633">
        <v>1070000</v>
      </c>
      <c r="D2633">
        <v>2939.4</v>
      </c>
      <c r="E2633">
        <v>1.14E-2</v>
      </c>
      <c r="F2633">
        <v>9.1499999999999998E-2</v>
      </c>
    </row>
    <row r="2634" spans="1:6" x14ac:dyDescent="0.3">
      <c r="A2634" t="s">
        <v>2669</v>
      </c>
      <c r="B2634" t="s">
        <v>81</v>
      </c>
      <c r="C2634">
        <v>1340000</v>
      </c>
      <c r="D2634">
        <v>457896.3</v>
      </c>
      <c r="E2634">
        <v>4.7999999999999996E-3</v>
      </c>
      <c r="F2634">
        <v>8.2199999999999995E-2</v>
      </c>
    </row>
    <row r="2635" spans="1:6" x14ac:dyDescent="0.3">
      <c r="A2635" t="s">
        <v>2670</v>
      </c>
      <c r="B2635" t="s">
        <v>88</v>
      </c>
      <c r="C2635">
        <v>1270000</v>
      </c>
      <c r="D2635">
        <v>1078.5999999999999</v>
      </c>
      <c r="E2635">
        <v>1.43E-2</v>
      </c>
      <c r="F2635">
        <v>9.1700000000000004E-2</v>
      </c>
    </row>
    <row r="2636" spans="1:6" x14ac:dyDescent="0.3">
      <c r="A2636" t="s">
        <v>2671</v>
      </c>
      <c r="B2636" t="s">
        <v>30</v>
      </c>
      <c r="C2636">
        <v>2770000</v>
      </c>
      <c r="D2636">
        <v>2343254.1</v>
      </c>
      <c r="E2636">
        <v>1.84E-2</v>
      </c>
      <c r="F2636">
        <v>4.6199999999999998E-2</v>
      </c>
    </row>
    <row r="2637" spans="1:6" x14ac:dyDescent="0.3">
      <c r="A2637" t="s">
        <v>2672</v>
      </c>
      <c r="B2637" t="s">
        <v>195</v>
      </c>
      <c r="C2637">
        <v>1390000</v>
      </c>
      <c r="D2637">
        <v>10572.1</v>
      </c>
      <c r="E2637">
        <v>5.16E-2</v>
      </c>
      <c r="F2637">
        <v>9.3799999999999994E-2</v>
      </c>
    </row>
    <row r="2638" spans="1:6" x14ac:dyDescent="0.3">
      <c r="A2638" t="s">
        <v>2673</v>
      </c>
      <c r="B2638" t="s">
        <v>32</v>
      </c>
      <c r="C2638">
        <v>1190000</v>
      </c>
      <c r="D2638">
        <v>911.6</v>
      </c>
      <c r="E2638">
        <v>4.24E-2</v>
      </c>
      <c r="F2638">
        <v>7.5899999999999995E-2</v>
      </c>
    </row>
    <row r="2639" spans="1:6" x14ac:dyDescent="0.3">
      <c r="A2639" t="s">
        <v>2674</v>
      </c>
      <c r="B2639" t="s">
        <v>30</v>
      </c>
      <c r="C2639">
        <v>1140000</v>
      </c>
      <c r="D2639">
        <v>21835.200000000001</v>
      </c>
      <c r="E2639">
        <v>2.1899999999999999E-2</v>
      </c>
      <c r="F2639">
        <v>5.1799999999999999E-2</v>
      </c>
    </row>
    <row r="2640" spans="1:6" x14ac:dyDescent="0.3">
      <c r="A2640" t="s">
        <v>2675</v>
      </c>
      <c r="B2640" t="s">
        <v>88</v>
      </c>
      <c r="C2640">
        <v>1860000</v>
      </c>
      <c r="D2640">
        <v>2336.8000000000002</v>
      </c>
      <c r="E2640">
        <v>0.1164</v>
      </c>
      <c r="F2640">
        <v>9.3799999999999994E-2</v>
      </c>
    </row>
    <row r="2641" spans="1:6" x14ac:dyDescent="0.3">
      <c r="A2641" t="s">
        <v>2676</v>
      </c>
      <c r="B2641" t="s">
        <v>287</v>
      </c>
      <c r="C2641">
        <v>1150000</v>
      </c>
      <c r="D2641">
        <v>84318.5</v>
      </c>
      <c r="E2641">
        <v>1.5699999999999999E-2</v>
      </c>
      <c r="F2641">
        <v>5.8500000000000003E-2</v>
      </c>
    </row>
    <row r="2642" spans="1:6" x14ac:dyDescent="0.3">
      <c r="A2642" t="s">
        <v>2677</v>
      </c>
      <c r="B2642" t="s">
        <v>26</v>
      </c>
      <c r="C2642">
        <v>1190000</v>
      </c>
      <c r="D2642">
        <v>41587.9</v>
      </c>
      <c r="E2642">
        <v>5.16E-2</v>
      </c>
      <c r="F2642">
        <v>4.0899999999999999E-2</v>
      </c>
    </row>
    <row r="2643" spans="1:6" x14ac:dyDescent="0.3">
      <c r="A2643" t="s">
        <v>2678</v>
      </c>
      <c r="B2643" t="s">
        <v>53</v>
      </c>
      <c r="C2643">
        <v>1110000</v>
      </c>
      <c r="D2643">
        <v>37084.400000000001</v>
      </c>
      <c r="E2643">
        <v>5.3100000000000001E-2</v>
      </c>
      <c r="F2643">
        <v>7.5899999999999995E-2</v>
      </c>
    </row>
    <row r="2644" spans="1:6" x14ac:dyDescent="0.3">
      <c r="A2644" t="s">
        <v>2679</v>
      </c>
      <c r="B2644" t="s">
        <v>214</v>
      </c>
      <c r="C2644">
        <v>1170000</v>
      </c>
      <c r="D2644">
        <v>2360.6999999999998</v>
      </c>
      <c r="E2644">
        <v>1.8499999999999999E-2</v>
      </c>
      <c r="F2644">
        <v>4.3200000000000002E-2</v>
      </c>
    </row>
    <row r="2645" spans="1:6" x14ac:dyDescent="0.3">
      <c r="A2645" t="s">
        <v>2680</v>
      </c>
      <c r="B2645" t="s">
        <v>26</v>
      </c>
      <c r="C2645">
        <v>1210000</v>
      </c>
      <c r="D2645">
        <v>245852.3</v>
      </c>
      <c r="E2645">
        <v>4.3499999999999997E-2</v>
      </c>
      <c r="F2645">
        <v>7.5899999999999995E-2</v>
      </c>
    </row>
    <row r="2646" spans="1:6" x14ac:dyDescent="0.3">
      <c r="A2646" t="s">
        <v>2681</v>
      </c>
      <c r="B2646" t="s">
        <v>41</v>
      </c>
      <c r="C2646">
        <v>1150000</v>
      </c>
      <c r="D2646">
        <v>3857.7</v>
      </c>
      <c r="E2646">
        <v>2.63E-2</v>
      </c>
      <c r="F2646">
        <v>4.3200000000000002E-2</v>
      </c>
    </row>
    <row r="2647" spans="1:6" x14ac:dyDescent="0.3">
      <c r="A2647" t="s">
        <v>2682</v>
      </c>
      <c r="B2647" t="s">
        <v>30</v>
      </c>
      <c r="C2647">
        <v>1100000</v>
      </c>
      <c r="D2647">
        <v>1231749.8999999999</v>
      </c>
      <c r="E2647">
        <v>3.2000000000000002E-3</v>
      </c>
      <c r="F2647">
        <v>8.2199999999999995E-2</v>
      </c>
    </row>
    <row r="2648" spans="1:6" x14ac:dyDescent="0.3">
      <c r="A2648" t="s">
        <v>2683</v>
      </c>
      <c r="B2648" t="s">
        <v>88</v>
      </c>
      <c r="C2648">
        <v>1160000</v>
      </c>
      <c r="D2648">
        <v>436.1</v>
      </c>
      <c r="E2648">
        <v>0.2034</v>
      </c>
      <c r="F2648">
        <v>0.35499999999999998</v>
      </c>
    </row>
    <row r="2649" spans="1:6" x14ac:dyDescent="0.3">
      <c r="A2649" t="s">
        <v>2684</v>
      </c>
      <c r="B2649" t="s">
        <v>26</v>
      </c>
      <c r="C2649">
        <v>1270000</v>
      </c>
      <c r="D2649">
        <v>3677.8</v>
      </c>
      <c r="E2649">
        <v>0.11609999999999999</v>
      </c>
      <c r="F2649">
        <v>9.3799999999999994E-2</v>
      </c>
    </row>
    <row r="2650" spans="1:6" x14ac:dyDescent="0.3">
      <c r="A2650" t="s">
        <v>2685</v>
      </c>
      <c r="B2650" t="s">
        <v>26</v>
      </c>
      <c r="C2650">
        <v>1480000</v>
      </c>
      <c r="D2650">
        <v>2805047.2</v>
      </c>
      <c r="E2650">
        <v>4.0099999999999997E-2</v>
      </c>
      <c r="F2650">
        <v>5.1799999999999999E-2</v>
      </c>
    </row>
    <row r="2651" spans="1:6" x14ac:dyDescent="0.3">
      <c r="A2651" t="s">
        <v>2686</v>
      </c>
      <c r="B2651" t="s">
        <v>50</v>
      </c>
      <c r="C2651">
        <v>1420000</v>
      </c>
      <c r="D2651">
        <v>551246.4</v>
      </c>
      <c r="E2651">
        <v>1.0800000000000001E-2</v>
      </c>
      <c r="F2651">
        <v>8.2199999999999995E-2</v>
      </c>
    </row>
    <row r="2652" spans="1:6" x14ac:dyDescent="0.3">
      <c r="A2652" t="s">
        <v>2687</v>
      </c>
      <c r="B2652" t="s">
        <v>26</v>
      </c>
      <c r="C2652">
        <v>1320000</v>
      </c>
      <c r="D2652">
        <v>53731.3</v>
      </c>
      <c r="E2652">
        <v>4.2099999999999999E-2</v>
      </c>
      <c r="F2652">
        <v>9.5100000000000004E-2</v>
      </c>
    </row>
    <row r="2653" spans="1:6" x14ac:dyDescent="0.3">
      <c r="A2653" t="s">
        <v>2688</v>
      </c>
      <c r="B2653" t="s">
        <v>26</v>
      </c>
      <c r="C2653">
        <v>1110000</v>
      </c>
      <c r="D2653">
        <v>28685.8</v>
      </c>
      <c r="E2653">
        <v>2.3800000000000002E-2</v>
      </c>
      <c r="F2653">
        <v>5.1799999999999999E-2</v>
      </c>
    </row>
    <row r="2654" spans="1:6" x14ac:dyDescent="0.3">
      <c r="A2654" t="s">
        <v>2689</v>
      </c>
      <c r="B2654" t="s">
        <v>214</v>
      </c>
      <c r="C2654">
        <v>1530000</v>
      </c>
      <c r="D2654">
        <v>40196.9</v>
      </c>
      <c r="E2654">
        <v>3.4000000000000002E-2</v>
      </c>
      <c r="F2654">
        <v>7.5899999999999995E-2</v>
      </c>
    </row>
    <row r="2655" spans="1:6" x14ac:dyDescent="0.3">
      <c r="A2655" t="s">
        <v>2690</v>
      </c>
      <c r="B2655" t="s">
        <v>53</v>
      </c>
      <c r="C2655">
        <v>1490000</v>
      </c>
      <c r="D2655">
        <v>17033.400000000001</v>
      </c>
      <c r="E2655">
        <v>3.9100000000000003E-2</v>
      </c>
      <c r="F2655">
        <v>9.3799999999999994E-2</v>
      </c>
    </row>
    <row r="2656" spans="1:6" x14ac:dyDescent="0.3">
      <c r="A2656" t="s">
        <v>2691</v>
      </c>
      <c r="B2656" t="s">
        <v>21</v>
      </c>
      <c r="C2656">
        <v>2880000</v>
      </c>
      <c r="D2656">
        <v>10944.6</v>
      </c>
      <c r="E2656">
        <v>3.7000000000000002E-3</v>
      </c>
      <c r="F2656">
        <v>8.1100000000000005E-2</v>
      </c>
    </row>
    <row r="2657" spans="1:6" x14ac:dyDescent="0.3">
      <c r="A2657" t="s">
        <v>2692</v>
      </c>
      <c r="B2657" t="s">
        <v>26</v>
      </c>
      <c r="C2657">
        <v>3420000</v>
      </c>
      <c r="D2657">
        <v>132323.5</v>
      </c>
      <c r="E2657">
        <v>9.7999999999999997E-3</v>
      </c>
      <c r="F2657">
        <v>6.54E-2</v>
      </c>
    </row>
    <row r="2658" spans="1:6" x14ac:dyDescent="0.3">
      <c r="A2658" t="s">
        <v>2693</v>
      </c>
      <c r="B2658" t="s">
        <v>41</v>
      </c>
      <c r="C2658">
        <v>1750000</v>
      </c>
      <c r="D2658">
        <v>279.39999999999998</v>
      </c>
      <c r="E2658">
        <v>3.95E-2</v>
      </c>
      <c r="F2658">
        <v>9.3799999999999994E-2</v>
      </c>
    </row>
    <row r="2659" spans="1:6" x14ac:dyDescent="0.3">
      <c r="A2659" t="s">
        <v>2694</v>
      </c>
      <c r="B2659" t="s">
        <v>53</v>
      </c>
      <c r="C2659">
        <v>2640000</v>
      </c>
      <c r="D2659">
        <v>298822.7</v>
      </c>
      <c r="E2659">
        <v>3.8699999999999998E-2</v>
      </c>
      <c r="F2659">
        <v>7.5899999999999995E-2</v>
      </c>
    </row>
    <row r="2660" spans="1:6" x14ac:dyDescent="0.3">
      <c r="A2660" t="s">
        <v>2695</v>
      </c>
      <c r="B2660" t="s">
        <v>24</v>
      </c>
      <c r="C2660">
        <v>1250000</v>
      </c>
      <c r="D2660">
        <v>1138.9000000000001</v>
      </c>
      <c r="E2660">
        <v>2.93E-2</v>
      </c>
      <c r="F2660">
        <v>0.1308</v>
      </c>
    </row>
    <row r="2661" spans="1:6" x14ac:dyDescent="0.3">
      <c r="A2661" t="s">
        <v>2696</v>
      </c>
      <c r="B2661" t="s">
        <v>50</v>
      </c>
      <c r="C2661">
        <v>1100000</v>
      </c>
      <c r="D2661">
        <v>29839.3</v>
      </c>
      <c r="E2661">
        <v>4.6800000000000001E-2</v>
      </c>
      <c r="F2661">
        <v>9.3799999999999994E-2</v>
      </c>
    </row>
    <row r="2662" spans="1:6" x14ac:dyDescent="0.3">
      <c r="A2662" t="s">
        <v>2697</v>
      </c>
      <c r="B2662" t="s">
        <v>41</v>
      </c>
      <c r="C2662">
        <v>1680000</v>
      </c>
      <c r="D2662">
        <v>8416.7000000000007</v>
      </c>
      <c r="E2662">
        <v>3.1899999999999998E-2</v>
      </c>
      <c r="F2662">
        <v>9.3799999999999994E-2</v>
      </c>
    </row>
    <row r="2663" spans="1:6" x14ac:dyDescent="0.3">
      <c r="A2663" t="s">
        <v>2698</v>
      </c>
      <c r="B2663" t="s">
        <v>41</v>
      </c>
      <c r="C2663">
        <v>1260000</v>
      </c>
      <c r="D2663">
        <v>3322.5</v>
      </c>
      <c r="E2663">
        <v>1.2800000000000001E-2</v>
      </c>
      <c r="F2663">
        <v>0.2051</v>
      </c>
    </row>
    <row r="2664" spans="1:6" x14ac:dyDescent="0.3">
      <c r="A2664" t="s">
        <v>2699</v>
      </c>
      <c r="B2664" t="s">
        <v>26</v>
      </c>
      <c r="C2664">
        <v>1120000</v>
      </c>
      <c r="D2664">
        <v>29709.7</v>
      </c>
      <c r="E2664">
        <v>7.5899999999999995E-2</v>
      </c>
      <c r="F2664">
        <v>7.5899999999999995E-2</v>
      </c>
    </row>
    <row r="2665" spans="1:6" x14ac:dyDescent="0.3">
      <c r="A2665" t="s">
        <v>2700</v>
      </c>
      <c r="B2665" t="s">
        <v>74</v>
      </c>
      <c r="C2665">
        <v>2330000</v>
      </c>
      <c r="D2665">
        <v>834.3</v>
      </c>
      <c r="E2665">
        <v>3.73E-2</v>
      </c>
      <c r="F2665">
        <v>0.59860000000000002</v>
      </c>
    </row>
    <row r="2666" spans="1:6" x14ac:dyDescent="0.3">
      <c r="A2666" t="s">
        <v>2701</v>
      </c>
      <c r="B2666" t="s">
        <v>26</v>
      </c>
      <c r="C2666">
        <v>1880000</v>
      </c>
      <c r="D2666">
        <v>25936</v>
      </c>
      <c r="E2666">
        <v>4.6699999999999998E-2</v>
      </c>
      <c r="F2666">
        <v>9.3799999999999994E-2</v>
      </c>
    </row>
    <row r="2667" spans="1:6" x14ac:dyDescent="0.3">
      <c r="A2667" t="s">
        <v>2702</v>
      </c>
      <c r="B2667" t="s">
        <v>26</v>
      </c>
      <c r="C2667">
        <v>1100000</v>
      </c>
      <c r="D2667">
        <v>16290.8</v>
      </c>
      <c r="E2667">
        <v>1.12E-2</v>
      </c>
      <c r="F2667">
        <v>5.8400000000000001E-2</v>
      </c>
    </row>
    <row r="2668" spans="1:6" x14ac:dyDescent="0.3">
      <c r="A2668" t="s">
        <v>2703</v>
      </c>
      <c r="B2668" t="s">
        <v>88</v>
      </c>
      <c r="C2668">
        <v>1680000</v>
      </c>
      <c r="D2668">
        <v>697998.8</v>
      </c>
      <c r="E2668">
        <v>4.9099999999999998E-2</v>
      </c>
      <c r="F2668">
        <v>4.3200000000000002E-2</v>
      </c>
    </row>
    <row r="2669" spans="1:6" x14ac:dyDescent="0.3">
      <c r="A2669" t="s">
        <v>2704</v>
      </c>
      <c r="B2669" t="s">
        <v>74</v>
      </c>
      <c r="C2669">
        <v>1150000</v>
      </c>
      <c r="D2669">
        <v>1984.8</v>
      </c>
      <c r="E2669">
        <v>4.9200000000000001E-2</v>
      </c>
      <c r="F2669">
        <v>7.5899999999999995E-2</v>
      </c>
    </row>
    <row r="2670" spans="1:6" x14ac:dyDescent="0.3">
      <c r="A2670" t="s">
        <v>2705</v>
      </c>
      <c r="B2670" t="s">
        <v>26</v>
      </c>
      <c r="C2670">
        <v>1400000</v>
      </c>
      <c r="D2670">
        <v>17861.7</v>
      </c>
      <c r="E2670">
        <v>3.56E-2</v>
      </c>
      <c r="F2670">
        <v>9.3799999999999994E-2</v>
      </c>
    </row>
    <row r="2671" spans="1:6" x14ac:dyDescent="0.3">
      <c r="A2671" t="s">
        <v>2706</v>
      </c>
      <c r="B2671" t="s">
        <v>214</v>
      </c>
      <c r="C2671">
        <v>1190000</v>
      </c>
      <c r="D2671">
        <v>3020.5</v>
      </c>
      <c r="E2671">
        <v>2.3800000000000002E-2</v>
      </c>
      <c r="F2671">
        <v>9.3799999999999994E-2</v>
      </c>
    </row>
    <row r="2672" spans="1:6" x14ac:dyDescent="0.3">
      <c r="A2672" t="s">
        <v>2707</v>
      </c>
      <c r="B2672" t="s">
        <v>26</v>
      </c>
      <c r="C2672">
        <v>610000</v>
      </c>
      <c r="D2672">
        <v>2063.6999999999998</v>
      </c>
      <c r="E2672">
        <v>4.7999999999999996E-3</v>
      </c>
      <c r="F2672">
        <v>8.2199999999999995E-2</v>
      </c>
    </row>
    <row r="2673" spans="1:6" x14ac:dyDescent="0.3">
      <c r="A2673" t="s">
        <v>2708</v>
      </c>
      <c r="B2673" t="s">
        <v>88</v>
      </c>
      <c r="C2673">
        <v>2700000</v>
      </c>
      <c r="D2673">
        <v>976.6</v>
      </c>
      <c r="E2673">
        <v>8.7099999999999997E-2</v>
      </c>
      <c r="F2673">
        <v>9.3799999999999994E-2</v>
      </c>
    </row>
    <row r="2674" spans="1:6" x14ac:dyDescent="0.3">
      <c r="A2674" t="s">
        <v>2709</v>
      </c>
      <c r="B2674" t="s">
        <v>92</v>
      </c>
      <c r="C2674">
        <v>1110000</v>
      </c>
      <c r="D2674">
        <v>5969.3</v>
      </c>
      <c r="E2674">
        <v>2.93E-2</v>
      </c>
      <c r="F2674">
        <v>7.5899999999999995E-2</v>
      </c>
    </row>
    <row r="2675" spans="1:6" x14ac:dyDescent="0.3">
      <c r="A2675" t="s">
        <v>2710</v>
      </c>
      <c r="B2675" t="s">
        <v>21</v>
      </c>
      <c r="C2675">
        <v>1150000</v>
      </c>
      <c r="D2675">
        <v>3325.1</v>
      </c>
      <c r="F2675">
        <v>7.5899999999999995E-2</v>
      </c>
    </row>
    <row r="2676" spans="1:6" x14ac:dyDescent="0.3">
      <c r="A2676" t="s">
        <v>2711</v>
      </c>
      <c r="B2676" t="s">
        <v>32</v>
      </c>
      <c r="C2676">
        <v>1510000</v>
      </c>
      <c r="D2676">
        <v>46432.5</v>
      </c>
      <c r="E2676">
        <v>1.5599999999999999E-2</v>
      </c>
      <c r="F2676">
        <v>4.6199999999999998E-2</v>
      </c>
    </row>
    <row r="2677" spans="1:6" x14ac:dyDescent="0.3">
      <c r="A2677" t="s">
        <v>2712</v>
      </c>
      <c r="B2677" t="s">
        <v>26</v>
      </c>
      <c r="C2677">
        <v>1180000</v>
      </c>
      <c r="D2677">
        <v>3378.9</v>
      </c>
      <c r="E2677">
        <v>6.2300000000000001E-2</v>
      </c>
      <c r="F2677">
        <v>9.3799999999999994E-2</v>
      </c>
    </row>
    <row r="2678" spans="1:6" x14ac:dyDescent="0.3">
      <c r="A2678" t="s">
        <v>2713</v>
      </c>
      <c r="B2678" t="s">
        <v>26</v>
      </c>
      <c r="C2678">
        <v>2150000</v>
      </c>
      <c r="D2678">
        <v>728629.2</v>
      </c>
      <c r="E2678">
        <v>1.8200000000000001E-2</v>
      </c>
      <c r="F2678">
        <v>5.7599999999999998E-2</v>
      </c>
    </row>
    <row r="2679" spans="1:6" x14ac:dyDescent="0.3">
      <c r="A2679" t="s">
        <v>2714</v>
      </c>
      <c r="B2679" t="s">
        <v>53</v>
      </c>
      <c r="C2679">
        <v>1400000</v>
      </c>
      <c r="D2679">
        <v>318.39999999999998</v>
      </c>
      <c r="E2679">
        <v>3.4099999999999998E-2</v>
      </c>
      <c r="F2679">
        <v>9.3799999999999994E-2</v>
      </c>
    </row>
    <row r="2680" spans="1:6" x14ac:dyDescent="0.3">
      <c r="A2680" t="s">
        <v>2715</v>
      </c>
      <c r="B2680" t="s">
        <v>24</v>
      </c>
      <c r="C2680">
        <v>1560000</v>
      </c>
      <c r="D2680">
        <v>1518.5</v>
      </c>
      <c r="E2680">
        <v>1.55E-2</v>
      </c>
      <c r="F2680">
        <v>0.13719999999999999</v>
      </c>
    </row>
    <row r="2681" spans="1:6" x14ac:dyDescent="0.3">
      <c r="A2681" t="s">
        <v>2716</v>
      </c>
      <c r="B2681" t="s">
        <v>287</v>
      </c>
      <c r="C2681">
        <v>677000</v>
      </c>
      <c r="D2681">
        <v>1582.5</v>
      </c>
      <c r="E2681">
        <v>2.18E-2</v>
      </c>
      <c r="F2681">
        <v>9.5100000000000004E-2</v>
      </c>
    </row>
    <row r="2682" spans="1:6" x14ac:dyDescent="0.3">
      <c r="A2682" t="s">
        <v>2717</v>
      </c>
      <c r="B2682" t="s">
        <v>41</v>
      </c>
      <c r="C2682">
        <v>1440000</v>
      </c>
      <c r="D2682">
        <v>1771.7</v>
      </c>
      <c r="E2682">
        <v>8.6900000000000005E-2</v>
      </c>
      <c r="F2682">
        <v>9.3799999999999994E-2</v>
      </c>
    </row>
    <row r="2683" spans="1:6" x14ac:dyDescent="0.3">
      <c r="A2683" t="s">
        <v>2718</v>
      </c>
      <c r="B2683" t="s">
        <v>74</v>
      </c>
      <c r="C2683">
        <v>1150000</v>
      </c>
      <c r="D2683">
        <v>1229.3</v>
      </c>
      <c r="E2683">
        <v>1.35E-2</v>
      </c>
      <c r="F2683">
        <v>5.1999999999999998E-2</v>
      </c>
    </row>
    <row r="2684" spans="1:6" x14ac:dyDescent="0.3">
      <c r="A2684" t="s">
        <v>2719</v>
      </c>
      <c r="B2684" t="s">
        <v>26</v>
      </c>
      <c r="C2684">
        <v>1160000</v>
      </c>
      <c r="D2684">
        <v>7559</v>
      </c>
      <c r="E2684">
        <v>2.3400000000000001E-2</v>
      </c>
      <c r="F2684">
        <v>4.0899999999999999E-2</v>
      </c>
    </row>
    <row r="2685" spans="1:6" x14ac:dyDescent="0.3">
      <c r="A2685" t="s">
        <v>2720</v>
      </c>
      <c r="B2685" t="s">
        <v>74</v>
      </c>
      <c r="C2685">
        <v>1350000</v>
      </c>
      <c r="D2685">
        <v>8609.7999999999993</v>
      </c>
      <c r="E2685">
        <v>5.3199999999999997E-2</v>
      </c>
      <c r="F2685">
        <v>7.5899999999999995E-2</v>
      </c>
    </row>
    <row r="2686" spans="1:6" x14ac:dyDescent="0.3">
      <c r="A2686" t="s">
        <v>2721</v>
      </c>
      <c r="B2686" t="s">
        <v>53</v>
      </c>
      <c r="C2686">
        <v>3020000</v>
      </c>
      <c r="D2686">
        <v>27738.799999999999</v>
      </c>
      <c r="E2686">
        <v>9.0800000000000006E-2</v>
      </c>
      <c r="F2686">
        <v>9.3799999999999994E-2</v>
      </c>
    </row>
    <row r="2687" spans="1:6" x14ac:dyDescent="0.3">
      <c r="A2687" t="s">
        <v>2722</v>
      </c>
      <c r="B2687" t="s">
        <v>26</v>
      </c>
      <c r="C2687">
        <v>1130000</v>
      </c>
      <c r="D2687">
        <v>12104.1</v>
      </c>
      <c r="E2687">
        <v>2.5000000000000001E-2</v>
      </c>
      <c r="F2687">
        <v>7.5899999999999995E-2</v>
      </c>
    </row>
    <row r="2688" spans="1:6" x14ac:dyDescent="0.3">
      <c r="A2688" t="s">
        <v>2723</v>
      </c>
      <c r="B2688" t="s">
        <v>92</v>
      </c>
      <c r="C2688">
        <v>1300000</v>
      </c>
      <c r="D2688">
        <v>19677.3</v>
      </c>
      <c r="E2688">
        <v>1.8200000000000001E-2</v>
      </c>
      <c r="F2688">
        <v>4.6199999999999998E-2</v>
      </c>
    </row>
    <row r="2689" spans="1:6" x14ac:dyDescent="0.3">
      <c r="A2689" t="s">
        <v>2724</v>
      </c>
      <c r="B2689" t="s">
        <v>287</v>
      </c>
      <c r="C2689">
        <v>1160000</v>
      </c>
      <c r="D2689">
        <v>16567.7</v>
      </c>
      <c r="E2689">
        <v>4.4699999999999997E-2</v>
      </c>
      <c r="F2689">
        <v>9.5100000000000004E-2</v>
      </c>
    </row>
    <row r="2690" spans="1:6" x14ac:dyDescent="0.3">
      <c r="A2690" t="s">
        <v>2725</v>
      </c>
      <c r="B2690" t="s">
        <v>287</v>
      </c>
      <c r="C2690">
        <v>1270000</v>
      </c>
      <c r="D2690">
        <v>31120.9</v>
      </c>
      <c r="E2690">
        <v>2.8299999999999999E-2</v>
      </c>
      <c r="F2690">
        <v>4.0899999999999999E-2</v>
      </c>
    </row>
    <row r="2691" spans="1:6" x14ac:dyDescent="0.3">
      <c r="A2691" t="s">
        <v>2726</v>
      </c>
      <c r="B2691" t="s">
        <v>21</v>
      </c>
      <c r="C2691">
        <v>1920000</v>
      </c>
      <c r="D2691">
        <v>197283.20000000001</v>
      </c>
      <c r="E2691">
        <v>3.2399999999999998E-2</v>
      </c>
      <c r="F2691">
        <v>7.5899999999999995E-2</v>
      </c>
    </row>
    <row r="2692" spans="1:6" x14ac:dyDescent="0.3">
      <c r="A2692" t="s">
        <v>2727</v>
      </c>
      <c r="B2692" t="s">
        <v>62</v>
      </c>
      <c r="C2692">
        <v>1110000</v>
      </c>
      <c r="D2692">
        <v>11165.5</v>
      </c>
      <c r="E2692">
        <v>1.6299999999999999E-2</v>
      </c>
      <c r="F2692">
        <v>0.16350000000000001</v>
      </c>
    </row>
    <row r="2693" spans="1:6" x14ac:dyDescent="0.3">
      <c r="A2693" t="s">
        <v>2728</v>
      </c>
      <c r="B2693" t="s">
        <v>88</v>
      </c>
      <c r="C2693">
        <v>1320000</v>
      </c>
      <c r="D2693">
        <v>5303.7</v>
      </c>
      <c r="E2693">
        <v>2.4799999999999999E-2</v>
      </c>
      <c r="F2693">
        <v>7.5899999999999995E-2</v>
      </c>
    </row>
    <row r="2694" spans="1:6" x14ac:dyDescent="0.3">
      <c r="A2694" t="s">
        <v>2729</v>
      </c>
      <c r="B2694" t="s">
        <v>30</v>
      </c>
      <c r="C2694">
        <v>2090000</v>
      </c>
      <c r="D2694">
        <v>13853838.6</v>
      </c>
      <c r="E2694">
        <v>3.5900000000000001E-2</v>
      </c>
      <c r="F2694">
        <v>5.4600000000000003E-2</v>
      </c>
    </row>
    <row r="2695" spans="1:6" x14ac:dyDescent="0.3">
      <c r="A2695" t="s">
        <v>2730</v>
      </c>
      <c r="B2695" t="s">
        <v>92</v>
      </c>
      <c r="C2695">
        <v>1550000</v>
      </c>
      <c r="D2695">
        <v>11896.3</v>
      </c>
      <c r="E2695">
        <v>2.0500000000000001E-2</v>
      </c>
      <c r="F2695">
        <v>4.0899999999999999E-2</v>
      </c>
    </row>
    <row r="2696" spans="1:6" x14ac:dyDescent="0.3">
      <c r="A2696" t="s">
        <v>2731</v>
      </c>
      <c r="B2696" t="s">
        <v>92</v>
      </c>
      <c r="C2696">
        <v>1630000</v>
      </c>
      <c r="D2696">
        <v>68653</v>
      </c>
      <c r="E2696">
        <v>1.47E-2</v>
      </c>
      <c r="F2696">
        <v>5.8500000000000003E-2</v>
      </c>
    </row>
    <row r="2697" spans="1:6" x14ac:dyDescent="0.3">
      <c r="A2697" t="s">
        <v>2732</v>
      </c>
      <c r="B2697" t="s">
        <v>26</v>
      </c>
      <c r="C2697">
        <v>1690000</v>
      </c>
      <c r="D2697">
        <v>36736.400000000001</v>
      </c>
      <c r="E2697">
        <v>0.06</v>
      </c>
      <c r="F2697">
        <v>0.1241</v>
      </c>
    </row>
    <row r="2698" spans="1:6" x14ac:dyDescent="0.3">
      <c r="A2698" t="s">
        <v>2733</v>
      </c>
      <c r="B2698" t="s">
        <v>26</v>
      </c>
      <c r="C2698">
        <v>1050000</v>
      </c>
      <c r="D2698">
        <v>1203.9000000000001</v>
      </c>
      <c r="F2698">
        <v>4.3200000000000002E-2</v>
      </c>
    </row>
    <row r="2699" spans="1:6" x14ac:dyDescent="0.3">
      <c r="A2699" t="s">
        <v>2734</v>
      </c>
      <c r="B2699" t="s">
        <v>32</v>
      </c>
      <c r="C2699">
        <v>1320000</v>
      </c>
      <c r="D2699">
        <v>3807.5</v>
      </c>
      <c r="E2699">
        <v>1.55E-2</v>
      </c>
      <c r="F2699">
        <v>4.6199999999999998E-2</v>
      </c>
    </row>
    <row r="2700" spans="1:6" x14ac:dyDescent="0.3">
      <c r="A2700" t="s">
        <v>2735</v>
      </c>
      <c r="B2700" t="s">
        <v>26</v>
      </c>
      <c r="C2700">
        <v>1130000</v>
      </c>
      <c r="D2700">
        <v>11951.8</v>
      </c>
      <c r="E2700">
        <v>8.0000000000000002E-3</v>
      </c>
      <c r="F2700">
        <v>6.54E-2</v>
      </c>
    </row>
    <row r="2701" spans="1:6" x14ac:dyDescent="0.3">
      <c r="A2701" t="s">
        <v>2736</v>
      </c>
      <c r="B2701" t="s">
        <v>92</v>
      </c>
      <c r="C2701">
        <v>1090000</v>
      </c>
      <c r="D2701">
        <v>14812.7</v>
      </c>
      <c r="E2701">
        <v>2.3300000000000001E-2</v>
      </c>
      <c r="F2701">
        <v>7.2499999999999995E-2</v>
      </c>
    </row>
    <row r="2702" spans="1:6" x14ac:dyDescent="0.3">
      <c r="A2702" t="s">
        <v>2737</v>
      </c>
      <c r="B2702" t="s">
        <v>74</v>
      </c>
      <c r="C2702">
        <v>1140000</v>
      </c>
      <c r="D2702">
        <v>10756.1</v>
      </c>
      <c r="E2702">
        <v>1.89E-2</v>
      </c>
      <c r="F2702">
        <v>4.6199999999999998E-2</v>
      </c>
    </row>
    <row r="2703" spans="1:6" x14ac:dyDescent="0.3">
      <c r="A2703" t="s">
        <v>2738</v>
      </c>
      <c r="B2703" t="s">
        <v>26</v>
      </c>
      <c r="C2703">
        <v>1230000</v>
      </c>
      <c r="D2703">
        <v>316152.09999999998</v>
      </c>
      <c r="E2703">
        <v>9.1399999999999995E-2</v>
      </c>
      <c r="F2703">
        <v>7.5899999999999995E-2</v>
      </c>
    </row>
    <row r="2704" spans="1:6" x14ac:dyDescent="0.3">
      <c r="A2704" t="s">
        <v>2739</v>
      </c>
      <c r="B2704" t="s">
        <v>26</v>
      </c>
      <c r="C2704">
        <v>1130000</v>
      </c>
      <c r="D2704">
        <v>825.7</v>
      </c>
      <c r="E2704">
        <v>2.6599999999999999E-2</v>
      </c>
      <c r="F2704">
        <v>7.5899999999999995E-2</v>
      </c>
    </row>
    <row r="2705" spans="1:6" x14ac:dyDescent="0.3">
      <c r="A2705" t="s">
        <v>2740</v>
      </c>
      <c r="B2705" t="s">
        <v>88</v>
      </c>
      <c r="C2705">
        <v>1070000</v>
      </c>
      <c r="D2705">
        <v>173.6</v>
      </c>
      <c r="E2705">
        <v>3.2500000000000001E-2</v>
      </c>
      <c r="F2705">
        <v>7.5899999999999995E-2</v>
      </c>
    </row>
    <row r="2706" spans="1:6" x14ac:dyDescent="0.3">
      <c r="A2706" t="s">
        <v>2741</v>
      </c>
      <c r="B2706" t="s">
        <v>26</v>
      </c>
      <c r="C2706">
        <v>1400000</v>
      </c>
      <c r="D2706">
        <v>256557.3</v>
      </c>
      <c r="E2706">
        <v>4.4699999999999997E-2</v>
      </c>
      <c r="F2706">
        <v>6.7199999999999996E-2</v>
      </c>
    </row>
    <row r="2707" spans="1:6" x14ac:dyDescent="0.3">
      <c r="A2707" t="s">
        <v>2742</v>
      </c>
      <c r="B2707" t="s">
        <v>41</v>
      </c>
      <c r="C2707">
        <v>2310000</v>
      </c>
      <c r="D2707">
        <v>891103.1</v>
      </c>
      <c r="E2707">
        <v>2.8299999999999999E-2</v>
      </c>
      <c r="F2707">
        <v>9.5100000000000004E-2</v>
      </c>
    </row>
    <row r="2708" spans="1:6" x14ac:dyDescent="0.3">
      <c r="A2708" t="s">
        <v>2743</v>
      </c>
      <c r="B2708" t="s">
        <v>26</v>
      </c>
      <c r="C2708">
        <v>1840000</v>
      </c>
      <c r="D2708">
        <v>81640</v>
      </c>
      <c r="E2708">
        <v>3.6900000000000002E-2</v>
      </c>
      <c r="F2708">
        <v>9.3799999999999994E-2</v>
      </c>
    </row>
    <row r="2709" spans="1:6" x14ac:dyDescent="0.3">
      <c r="A2709" t="s">
        <v>2744</v>
      </c>
      <c r="B2709" t="s">
        <v>30</v>
      </c>
      <c r="C2709">
        <v>1950000</v>
      </c>
      <c r="D2709">
        <v>2388843.4</v>
      </c>
      <c r="E2709">
        <v>3.7000000000000002E-3</v>
      </c>
      <c r="F2709">
        <v>8.2199999999999995E-2</v>
      </c>
    </row>
    <row r="2710" spans="1:6" x14ac:dyDescent="0.3">
      <c r="A2710" t="s">
        <v>2745</v>
      </c>
      <c r="B2710" t="s">
        <v>21</v>
      </c>
      <c r="C2710">
        <v>1250000</v>
      </c>
      <c r="D2710">
        <v>362091.3</v>
      </c>
      <c r="E2710">
        <v>1.9599999999999999E-2</v>
      </c>
      <c r="F2710">
        <v>4.6199999999999998E-2</v>
      </c>
    </row>
    <row r="2711" spans="1:6" x14ac:dyDescent="0.3">
      <c r="A2711" t="s">
        <v>2746</v>
      </c>
      <c r="B2711" t="s">
        <v>41</v>
      </c>
      <c r="C2711">
        <v>1820000</v>
      </c>
      <c r="D2711">
        <v>87.4</v>
      </c>
      <c r="E2711">
        <v>5.1999999999999998E-3</v>
      </c>
      <c r="F2711">
        <v>0.23710000000000001</v>
      </c>
    </row>
    <row r="2712" spans="1:6" x14ac:dyDescent="0.3">
      <c r="A2712" t="s">
        <v>2747</v>
      </c>
      <c r="B2712" t="s">
        <v>62</v>
      </c>
      <c r="C2712">
        <v>689000</v>
      </c>
      <c r="D2712">
        <v>1803.9</v>
      </c>
      <c r="E2712">
        <v>1.12E-2</v>
      </c>
      <c r="F2712">
        <v>0.14710000000000001</v>
      </c>
    </row>
    <row r="2713" spans="1:6" x14ac:dyDescent="0.3">
      <c r="A2713" t="s">
        <v>2748</v>
      </c>
      <c r="B2713" t="s">
        <v>26</v>
      </c>
      <c r="C2713">
        <v>1070000</v>
      </c>
      <c r="D2713">
        <v>2942.5</v>
      </c>
      <c r="E2713">
        <v>3.6900000000000002E-2</v>
      </c>
      <c r="F2713">
        <v>0.11700000000000001</v>
      </c>
    </row>
    <row r="2714" spans="1:6" x14ac:dyDescent="0.3">
      <c r="A2714" t="s">
        <v>2749</v>
      </c>
      <c r="B2714" t="s">
        <v>26</v>
      </c>
      <c r="C2714">
        <v>1070000</v>
      </c>
      <c r="D2714">
        <v>24137.9</v>
      </c>
      <c r="E2714">
        <v>3.0300000000000001E-2</v>
      </c>
      <c r="F2714">
        <v>9.3799999999999994E-2</v>
      </c>
    </row>
    <row r="2715" spans="1:6" x14ac:dyDescent="0.3">
      <c r="A2715" t="s">
        <v>2750</v>
      </c>
      <c r="B2715" t="s">
        <v>30</v>
      </c>
      <c r="C2715">
        <v>1300000</v>
      </c>
      <c r="D2715">
        <v>1338546</v>
      </c>
      <c r="E2715">
        <v>3.8E-3</v>
      </c>
      <c r="F2715">
        <v>8.2199999999999995E-2</v>
      </c>
    </row>
    <row r="2716" spans="1:6" x14ac:dyDescent="0.3">
      <c r="A2716" t="s">
        <v>2751</v>
      </c>
      <c r="B2716" t="s">
        <v>21</v>
      </c>
      <c r="C2716">
        <v>2060000</v>
      </c>
      <c r="D2716">
        <v>1350.7</v>
      </c>
      <c r="E2716">
        <v>3.2899999999999999E-2</v>
      </c>
      <c r="F2716">
        <v>0.49819999999999998</v>
      </c>
    </row>
    <row r="2717" spans="1:6" x14ac:dyDescent="0.3">
      <c r="A2717" t="s">
        <v>2752</v>
      </c>
      <c r="B2717" t="s">
        <v>287</v>
      </c>
      <c r="C2717">
        <v>1130000</v>
      </c>
      <c r="D2717">
        <v>171087.1</v>
      </c>
      <c r="E2717">
        <v>1.0699999999999999E-2</v>
      </c>
      <c r="F2717">
        <v>0.14710000000000001</v>
      </c>
    </row>
    <row r="2718" spans="1:6" x14ac:dyDescent="0.3">
      <c r="A2718" t="s">
        <v>2753</v>
      </c>
      <c r="B2718" t="s">
        <v>21</v>
      </c>
      <c r="C2718">
        <v>1200000</v>
      </c>
      <c r="D2718">
        <v>553769.69999999995</v>
      </c>
      <c r="E2718">
        <v>5.4300000000000001E-2</v>
      </c>
      <c r="F2718">
        <v>0.1226</v>
      </c>
    </row>
    <row r="2719" spans="1:6" x14ac:dyDescent="0.3">
      <c r="A2719" t="s">
        <v>2754</v>
      </c>
      <c r="B2719" t="s">
        <v>81</v>
      </c>
      <c r="C2719">
        <v>1310000</v>
      </c>
      <c r="D2719">
        <v>317767</v>
      </c>
      <c r="E2719">
        <v>2.8E-3</v>
      </c>
      <c r="F2719">
        <v>6.54E-2</v>
      </c>
    </row>
    <row r="2720" spans="1:6" x14ac:dyDescent="0.3">
      <c r="A2720" t="s">
        <v>2755</v>
      </c>
      <c r="B2720" t="s">
        <v>41</v>
      </c>
      <c r="C2720">
        <v>1220000</v>
      </c>
      <c r="D2720">
        <v>4772.5</v>
      </c>
      <c r="F2720">
        <v>9.5100000000000004E-2</v>
      </c>
    </row>
    <row r="2721" spans="1:6" x14ac:dyDescent="0.3">
      <c r="A2721" t="s">
        <v>2756</v>
      </c>
      <c r="B2721" t="s">
        <v>88</v>
      </c>
      <c r="C2721">
        <v>1040000</v>
      </c>
      <c r="D2721">
        <v>4133.7</v>
      </c>
      <c r="E2721">
        <v>3.85E-2</v>
      </c>
      <c r="F2721">
        <v>9.5100000000000004E-2</v>
      </c>
    </row>
    <row r="2722" spans="1:6" x14ac:dyDescent="0.3">
      <c r="A2722" t="s">
        <v>2757</v>
      </c>
      <c r="B2722" t="s">
        <v>53</v>
      </c>
      <c r="C2722">
        <v>496000</v>
      </c>
      <c r="D2722">
        <v>40627.9</v>
      </c>
      <c r="E2722">
        <v>6.4999999999999997E-3</v>
      </c>
      <c r="F2722">
        <v>8.2199999999999995E-2</v>
      </c>
    </row>
    <row r="2723" spans="1:6" x14ac:dyDescent="0.3">
      <c r="A2723" t="s">
        <v>2758</v>
      </c>
      <c r="B2723" t="s">
        <v>32</v>
      </c>
      <c r="C2723">
        <v>1100000</v>
      </c>
      <c r="D2723">
        <v>34698.5</v>
      </c>
      <c r="E2723">
        <v>2.58E-2</v>
      </c>
      <c r="F2723">
        <v>0.17100000000000001</v>
      </c>
    </row>
    <row r="2724" spans="1:6" x14ac:dyDescent="0.3">
      <c r="A2724" t="s">
        <v>2759</v>
      </c>
      <c r="B2724" t="s">
        <v>26</v>
      </c>
      <c r="C2724">
        <v>1130000</v>
      </c>
      <c r="D2724">
        <v>2113.5</v>
      </c>
      <c r="E2724">
        <v>6.6299999999999998E-2</v>
      </c>
      <c r="F2724">
        <v>7.5899999999999995E-2</v>
      </c>
    </row>
    <row r="2725" spans="1:6" x14ac:dyDescent="0.3">
      <c r="A2725" t="s">
        <v>2760</v>
      </c>
      <c r="B2725" t="s">
        <v>26</v>
      </c>
      <c r="C2725">
        <v>1200000</v>
      </c>
      <c r="D2725">
        <v>735549.4</v>
      </c>
      <c r="E2725">
        <v>6.2399999999999997E-2</v>
      </c>
      <c r="F2725">
        <v>9.5100000000000004E-2</v>
      </c>
    </row>
    <row r="2726" spans="1:6" x14ac:dyDescent="0.3">
      <c r="A2726" t="s">
        <v>2761</v>
      </c>
      <c r="B2726" t="s">
        <v>53</v>
      </c>
      <c r="C2726">
        <v>1100000</v>
      </c>
      <c r="D2726">
        <v>944.3</v>
      </c>
      <c r="E2726">
        <v>1.52E-2</v>
      </c>
      <c r="F2726">
        <v>0.13270000000000001</v>
      </c>
    </row>
    <row r="2727" spans="1:6" x14ac:dyDescent="0.3">
      <c r="A2727" t="s">
        <v>2762</v>
      </c>
      <c r="B2727" t="s">
        <v>26</v>
      </c>
      <c r="C2727">
        <v>2110000</v>
      </c>
      <c r="D2727">
        <v>500844.3</v>
      </c>
      <c r="E2727">
        <v>4.8899999999999999E-2</v>
      </c>
      <c r="F2727">
        <v>4.0899999999999999E-2</v>
      </c>
    </row>
    <row r="2728" spans="1:6" x14ac:dyDescent="0.3">
      <c r="A2728" t="s">
        <v>2763</v>
      </c>
      <c r="B2728" t="s">
        <v>53</v>
      </c>
      <c r="C2728">
        <v>1210000</v>
      </c>
      <c r="D2728">
        <v>126318.3</v>
      </c>
      <c r="E2728">
        <v>0.153</v>
      </c>
      <c r="F2728">
        <v>7.5899999999999995E-2</v>
      </c>
    </row>
    <row r="2729" spans="1:6" x14ac:dyDescent="0.3">
      <c r="A2729" t="s">
        <v>2764</v>
      </c>
      <c r="B2729" t="s">
        <v>88</v>
      </c>
      <c r="C2729">
        <v>1280000</v>
      </c>
      <c r="D2729">
        <v>323512.59999999998</v>
      </c>
      <c r="E2729">
        <v>5.2999999999999999E-2</v>
      </c>
      <c r="F2729">
        <v>7.5899999999999995E-2</v>
      </c>
    </row>
    <row r="2730" spans="1:6" x14ac:dyDescent="0.3">
      <c r="A2730" t="s">
        <v>2765</v>
      </c>
      <c r="B2730" t="s">
        <v>214</v>
      </c>
      <c r="C2730">
        <v>1090000</v>
      </c>
      <c r="D2730">
        <v>4987.5</v>
      </c>
      <c r="E2730">
        <v>3.1699999999999999E-2</v>
      </c>
      <c r="F2730">
        <v>7.5899999999999995E-2</v>
      </c>
    </row>
    <row r="2731" spans="1:6" x14ac:dyDescent="0.3">
      <c r="A2731" t="s">
        <v>2766</v>
      </c>
      <c r="B2731" t="s">
        <v>21</v>
      </c>
      <c r="C2731">
        <v>1070000</v>
      </c>
      <c r="D2731">
        <v>122179.1</v>
      </c>
      <c r="E2731">
        <v>3.6999999999999998E-2</v>
      </c>
      <c r="F2731">
        <v>9.5100000000000004E-2</v>
      </c>
    </row>
    <row r="2732" spans="1:6" x14ac:dyDescent="0.3">
      <c r="A2732" t="s">
        <v>2767</v>
      </c>
      <c r="B2732" t="s">
        <v>71</v>
      </c>
      <c r="C2732">
        <v>1050000</v>
      </c>
      <c r="D2732">
        <v>70709.600000000006</v>
      </c>
      <c r="E2732">
        <v>4.3799999999999999E-2</v>
      </c>
      <c r="F2732">
        <v>0.1057</v>
      </c>
    </row>
    <row r="2733" spans="1:6" x14ac:dyDescent="0.3">
      <c r="A2733" t="s">
        <v>2768</v>
      </c>
      <c r="B2733" t="s">
        <v>92</v>
      </c>
      <c r="C2733">
        <v>1950000</v>
      </c>
      <c r="D2733">
        <v>10968.5</v>
      </c>
      <c r="E2733">
        <v>4.0800000000000003E-2</v>
      </c>
      <c r="F2733">
        <v>7.5899999999999995E-2</v>
      </c>
    </row>
    <row r="2734" spans="1:6" x14ac:dyDescent="0.3">
      <c r="A2734" t="s">
        <v>2769</v>
      </c>
      <c r="B2734" t="s">
        <v>21</v>
      </c>
      <c r="C2734">
        <v>1850000</v>
      </c>
      <c r="D2734">
        <v>5188.2</v>
      </c>
      <c r="E2734">
        <v>1.4E-2</v>
      </c>
      <c r="F2734">
        <v>4.6199999999999998E-2</v>
      </c>
    </row>
    <row r="2735" spans="1:6" x14ac:dyDescent="0.3">
      <c r="A2735" t="s">
        <v>2770</v>
      </c>
      <c r="B2735" t="s">
        <v>88</v>
      </c>
      <c r="C2735">
        <v>1520000</v>
      </c>
      <c r="D2735">
        <v>971.8</v>
      </c>
      <c r="E2735">
        <v>2.7400000000000001E-2</v>
      </c>
      <c r="F2735">
        <v>0.11700000000000001</v>
      </c>
    </row>
    <row r="2736" spans="1:6" x14ac:dyDescent="0.3">
      <c r="A2736" t="s">
        <v>2771</v>
      </c>
      <c r="B2736" t="s">
        <v>26</v>
      </c>
      <c r="C2736">
        <v>1620000</v>
      </c>
      <c r="D2736">
        <v>128884.5</v>
      </c>
      <c r="E2736">
        <v>4.7699999999999999E-2</v>
      </c>
      <c r="F2736">
        <v>4.0899999999999999E-2</v>
      </c>
    </row>
    <row r="2737" spans="1:6" x14ac:dyDescent="0.3">
      <c r="A2737" t="s">
        <v>2772</v>
      </c>
      <c r="B2737" t="s">
        <v>81</v>
      </c>
      <c r="C2737">
        <v>1220000</v>
      </c>
      <c r="D2737">
        <v>12855.8</v>
      </c>
      <c r="E2737">
        <v>2.5399999999999999E-2</v>
      </c>
      <c r="F2737">
        <v>0.1053</v>
      </c>
    </row>
    <row r="2738" spans="1:6" x14ac:dyDescent="0.3">
      <c r="A2738" t="s">
        <v>2773</v>
      </c>
      <c r="B2738" t="s">
        <v>53</v>
      </c>
      <c r="C2738">
        <v>1610000</v>
      </c>
      <c r="D2738">
        <v>61975.4</v>
      </c>
      <c r="E2738">
        <v>5.3800000000000001E-2</v>
      </c>
      <c r="F2738">
        <v>5.0999999999999997E-2</v>
      </c>
    </row>
    <row r="2739" spans="1:6" x14ac:dyDescent="0.3">
      <c r="A2739" t="s">
        <v>2774</v>
      </c>
      <c r="B2739" t="s">
        <v>41</v>
      </c>
      <c r="C2739">
        <v>1710000</v>
      </c>
      <c r="D2739">
        <v>355109.1</v>
      </c>
      <c r="E2739">
        <v>9.4299999999999995E-2</v>
      </c>
      <c r="F2739">
        <v>5.0999999999999997E-2</v>
      </c>
    </row>
    <row r="2740" spans="1:6" x14ac:dyDescent="0.3">
      <c r="A2740" t="s">
        <v>2775</v>
      </c>
      <c r="B2740" t="s">
        <v>26</v>
      </c>
      <c r="C2740">
        <v>1140000</v>
      </c>
      <c r="D2740">
        <v>154.19999999999999</v>
      </c>
      <c r="E2740">
        <v>1.9E-2</v>
      </c>
      <c r="F2740">
        <v>0.13719999999999999</v>
      </c>
    </row>
    <row r="2741" spans="1:6" x14ac:dyDescent="0.3">
      <c r="A2741" t="s">
        <v>2776</v>
      </c>
      <c r="B2741" t="s">
        <v>50</v>
      </c>
      <c r="C2741">
        <v>1040000</v>
      </c>
      <c r="D2741">
        <v>526</v>
      </c>
      <c r="E2741">
        <v>1.5699999999999999E-2</v>
      </c>
      <c r="F2741">
        <v>6.08E-2</v>
      </c>
    </row>
    <row r="2742" spans="1:6" x14ac:dyDescent="0.3">
      <c r="A2742" t="s">
        <v>2777</v>
      </c>
      <c r="B2742" t="s">
        <v>53</v>
      </c>
      <c r="C2742">
        <v>1280000</v>
      </c>
      <c r="D2742">
        <v>864.7</v>
      </c>
      <c r="E2742">
        <v>3.0999999999999999E-3</v>
      </c>
      <c r="F2742">
        <v>8.2199999999999995E-2</v>
      </c>
    </row>
    <row r="2743" spans="1:6" x14ac:dyDescent="0.3">
      <c r="A2743" t="s">
        <v>2778</v>
      </c>
      <c r="B2743" t="s">
        <v>26</v>
      </c>
      <c r="C2743">
        <v>1190000</v>
      </c>
      <c r="D2743">
        <v>204176.6</v>
      </c>
      <c r="E2743">
        <v>2.8500000000000001E-2</v>
      </c>
      <c r="F2743">
        <v>9.5100000000000004E-2</v>
      </c>
    </row>
    <row r="2744" spans="1:6" x14ac:dyDescent="0.3">
      <c r="A2744" t="s">
        <v>2779</v>
      </c>
      <c r="B2744" t="s">
        <v>50</v>
      </c>
      <c r="C2744">
        <v>1080000</v>
      </c>
      <c r="D2744">
        <v>827.3</v>
      </c>
      <c r="E2744">
        <v>2.2499999999999999E-2</v>
      </c>
      <c r="F2744">
        <v>7.2499999999999995E-2</v>
      </c>
    </row>
    <row r="2745" spans="1:6" x14ac:dyDescent="0.3">
      <c r="A2745" t="s">
        <v>2780</v>
      </c>
      <c r="B2745" t="s">
        <v>32</v>
      </c>
      <c r="C2745">
        <v>1060000</v>
      </c>
      <c r="D2745">
        <v>3420</v>
      </c>
      <c r="E2745">
        <v>0.04</v>
      </c>
      <c r="F2745">
        <v>9.98E-2</v>
      </c>
    </row>
    <row r="2746" spans="1:6" x14ac:dyDescent="0.3">
      <c r="A2746" t="s">
        <v>2781</v>
      </c>
      <c r="B2746" t="s">
        <v>71</v>
      </c>
      <c r="C2746">
        <v>1090000</v>
      </c>
      <c r="D2746">
        <v>16311</v>
      </c>
      <c r="E2746">
        <v>2.5899999999999999E-2</v>
      </c>
      <c r="F2746">
        <v>0.13250000000000001</v>
      </c>
    </row>
    <row r="2747" spans="1:6" x14ac:dyDescent="0.3">
      <c r="A2747" t="s">
        <v>2782</v>
      </c>
      <c r="B2747" t="s">
        <v>41</v>
      </c>
      <c r="C2747">
        <v>1160000</v>
      </c>
      <c r="D2747">
        <v>531.6</v>
      </c>
      <c r="E2747">
        <v>7.2400000000000006E-2</v>
      </c>
      <c r="F2747">
        <v>9.3799999999999994E-2</v>
      </c>
    </row>
    <row r="2748" spans="1:6" x14ac:dyDescent="0.3">
      <c r="A2748" t="s">
        <v>2783</v>
      </c>
      <c r="B2748" t="s">
        <v>41</v>
      </c>
      <c r="C2748">
        <v>1480000</v>
      </c>
      <c r="D2748">
        <v>27.4</v>
      </c>
      <c r="E2748">
        <v>2.76E-2</v>
      </c>
      <c r="F2748">
        <v>0.30349999999999999</v>
      </c>
    </row>
    <row r="2749" spans="1:6" x14ac:dyDescent="0.3">
      <c r="A2749" t="s">
        <v>2784</v>
      </c>
      <c r="B2749" t="s">
        <v>24</v>
      </c>
      <c r="C2749">
        <v>1220000</v>
      </c>
      <c r="D2749">
        <v>10454.700000000001</v>
      </c>
      <c r="E2749">
        <v>0.25140000000000001</v>
      </c>
      <c r="F2749">
        <v>9.3799999999999994E-2</v>
      </c>
    </row>
    <row r="2750" spans="1:6" x14ac:dyDescent="0.3">
      <c r="A2750" t="s">
        <v>2785</v>
      </c>
      <c r="B2750" t="s">
        <v>26</v>
      </c>
      <c r="C2750">
        <v>1340000</v>
      </c>
      <c r="D2750">
        <v>81922.8</v>
      </c>
      <c r="E2750">
        <v>3.78E-2</v>
      </c>
      <c r="F2750">
        <v>9.3799999999999994E-2</v>
      </c>
    </row>
    <row r="2751" spans="1:6" x14ac:dyDescent="0.3">
      <c r="A2751" t="s">
        <v>2786</v>
      </c>
      <c r="B2751" t="s">
        <v>88</v>
      </c>
      <c r="C2751">
        <v>1290000</v>
      </c>
      <c r="D2751">
        <v>10636.6</v>
      </c>
      <c r="E2751">
        <v>5.5E-2</v>
      </c>
      <c r="F2751">
        <v>9.3799999999999994E-2</v>
      </c>
    </row>
    <row r="2752" spans="1:6" x14ac:dyDescent="0.3">
      <c r="A2752" t="s">
        <v>2787</v>
      </c>
      <c r="B2752" t="s">
        <v>26</v>
      </c>
      <c r="C2752">
        <v>1110000</v>
      </c>
      <c r="D2752">
        <v>2820.2</v>
      </c>
      <c r="E2752">
        <v>1.6E-2</v>
      </c>
      <c r="F2752">
        <v>9.5000000000000001E-2</v>
      </c>
    </row>
    <row r="2753" spans="1:6" x14ac:dyDescent="0.3">
      <c r="A2753" t="s">
        <v>2788</v>
      </c>
      <c r="B2753" t="s">
        <v>30</v>
      </c>
      <c r="C2753">
        <v>2050000</v>
      </c>
      <c r="D2753">
        <v>401555.7</v>
      </c>
      <c r="E2753">
        <v>2.5700000000000001E-2</v>
      </c>
      <c r="F2753">
        <v>5.2200000000000003E-2</v>
      </c>
    </row>
    <row r="2754" spans="1:6" x14ac:dyDescent="0.3">
      <c r="A2754" t="s">
        <v>2789</v>
      </c>
      <c r="B2754" t="s">
        <v>26</v>
      </c>
      <c r="C2754">
        <v>1350000</v>
      </c>
      <c r="D2754">
        <v>81733.8</v>
      </c>
      <c r="E2754">
        <v>5.5599999999999997E-2</v>
      </c>
      <c r="F2754">
        <v>7.5899999999999995E-2</v>
      </c>
    </row>
    <row r="2755" spans="1:6" x14ac:dyDescent="0.3">
      <c r="A2755" t="s">
        <v>2790</v>
      </c>
      <c r="B2755" t="s">
        <v>21</v>
      </c>
      <c r="C2755">
        <v>1050000</v>
      </c>
      <c r="D2755">
        <v>903.7</v>
      </c>
      <c r="E2755">
        <v>1.0200000000000001E-2</v>
      </c>
      <c r="F2755">
        <v>8.2100000000000006E-2</v>
      </c>
    </row>
    <row r="2756" spans="1:6" x14ac:dyDescent="0.3">
      <c r="A2756" t="s">
        <v>2791</v>
      </c>
      <c r="B2756" t="s">
        <v>88</v>
      </c>
      <c r="C2756">
        <v>1020000</v>
      </c>
      <c r="D2756">
        <v>154.4</v>
      </c>
      <c r="E2756">
        <v>6.1699999999999998E-2</v>
      </c>
      <c r="F2756">
        <v>6.4399999999999999E-2</v>
      </c>
    </row>
    <row r="2757" spans="1:6" x14ac:dyDescent="0.3">
      <c r="A2757" t="s">
        <v>2792</v>
      </c>
      <c r="B2757" t="s">
        <v>92</v>
      </c>
      <c r="C2757">
        <v>1140000</v>
      </c>
      <c r="D2757">
        <v>77391.5</v>
      </c>
      <c r="E2757">
        <v>3.2599999999999997E-2</v>
      </c>
      <c r="F2757">
        <v>4.3200000000000002E-2</v>
      </c>
    </row>
    <row r="2758" spans="1:6" x14ac:dyDescent="0.3">
      <c r="A2758" t="s">
        <v>2793</v>
      </c>
      <c r="B2758" t="s">
        <v>24</v>
      </c>
      <c r="C2758">
        <v>1080000</v>
      </c>
      <c r="D2758">
        <v>108887</v>
      </c>
      <c r="E2758">
        <v>1.5299999999999999E-2</v>
      </c>
      <c r="F2758">
        <v>4.6199999999999998E-2</v>
      </c>
    </row>
    <row r="2759" spans="1:6" x14ac:dyDescent="0.3">
      <c r="A2759" t="s">
        <v>2794</v>
      </c>
      <c r="B2759" t="s">
        <v>62</v>
      </c>
      <c r="C2759">
        <v>1070000</v>
      </c>
      <c r="D2759">
        <v>73112.3</v>
      </c>
      <c r="E2759">
        <v>3.2599999999999997E-2</v>
      </c>
      <c r="F2759">
        <v>7.5899999999999995E-2</v>
      </c>
    </row>
    <row r="2760" spans="1:6" x14ac:dyDescent="0.3">
      <c r="A2760" t="s">
        <v>2795</v>
      </c>
      <c r="B2760" t="s">
        <v>92</v>
      </c>
      <c r="C2760">
        <v>1110000</v>
      </c>
      <c r="D2760">
        <v>110386.8</v>
      </c>
      <c r="E2760">
        <v>1.4500000000000001E-2</v>
      </c>
      <c r="F2760">
        <v>4.8800000000000003E-2</v>
      </c>
    </row>
    <row r="2761" spans="1:6" x14ac:dyDescent="0.3">
      <c r="A2761" t="s">
        <v>2796</v>
      </c>
      <c r="B2761" t="s">
        <v>26</v>
      </c>
      <c r="C2761">
        <v>1020000</v>
      </c>
      <c r="D2761">
        <v>29685.1</v>
      </c>
      <c r="E2761">
        <v>4.6600000000000003E-2</v>
      </c>
      <c r="F2761">
        <v>8.4500000000000006E-2</v>
      </c>
    </row>
    <row r="2762" spans="1:6" x14ac:dyDescent="0.3">
      <c r="A2762" t="s">
        <v>2797</v>
      </c>
      <c r="B2762" t="s">
        <v>214</v>
      </c>
      <c r="C2762">
        <v>1040000</v>
      </c>
      <c r="D2762">
        <v>6804.3</v>
      </c>
      <c r="E2762">
        <v>1.24E-2</v>
      </c>
      <c r="F2762">
        <v>0.14710000000000001</v>
      </c>
    </row>
    <row r="2763" spans="1:6" x14ac:dyDescent="0.3">
      <c r="A2763" t="s">
        <v>2798</v>
      </c>
      <c r="B2763" t="s">
        <v>26</v>
      </c>
      <c r="C2763">
        <v>1140000</v>
      </c>
      <c r="D2763">
        <v>1249688.2</v>
      </c>
      <c r="E2763">
        <v>3.9E-2</v>
      </c>
      <c r="F2763">
        <v>9.5100000000000004E-2</v>
      </c>
    </row>
    <row r="2764" spans="1:6" x14ac:dyDescent="0.3">
      <c r="A2764" t="s">
        <v>2799</v>
      </c>
      <c r="B2764" t="s">
        <v>41</v>
      </c>
      <c r="C2764">
        <v>1400000</v>
      </c>
      <c r="D2764">
        <v>4051.4</v>
      </c>
      <c r="E2764">
        <v>2.1899999999999999E-2</v>
      </c>
      <c r="F2764">
        <v>0.1053</v>
      </c>
    </row>
    <row r="2765" spans="1:6" x14ac:dyDescent="0.3">
      <c r="A2765" t="s">
        <v>2800</v>
      </c>
      <c r="B2765" t="s">
        <v>74</v>
      </c>
      <c r="C2765">
        <v>1130000</v>
      </c>
      <c r="D2765">
        <v>69024</v>
      </c>
      <c r="E2765">
        <v>4.36E-2</v>
      </c>
      <c r="F2765">
        <v>9.5100000000000004E-2</v>
      </c>
    </row>
    <row r="2766" spans="1:6" x14ac:dyDescent="0.3">
      <c r="A2766" t="s">
        <v>2801</v>
      </c>
      <c r="B2766" t="s">
        <v>21</v>
      </c>
      <c r="C2766">
        <v>1390000</v>
      </c>
      <c r="D2766">
        <v>1775.3</v>
      </c>
      <c r="F2766">
        <v>9.5100000000000004E-2</v>
      </c>
    </row>
    <row r="2767" spans="1:6" x14ac:dyDescent="0.3">
      <c r="A2767" t="s">
        <v>2802</v>
      </c>
      <c r="B2767" t="s">
        <v>26</v>
      </c>
      <c r="C2767">
        <v>1230000</v>
      </c>
      <c r="D2767">
        <v>182949.3</v>
      </c>
      <c r="E2767">
        <v>2.81E-2</v>
      </c>
      <c r="F2767">
        <v>4.0899999999999999E-2</v>
      </c>
    </row>
    <row r="2768" spans="1:6" x14ac:dyDescent="0.3">
      <c r="A2768" t="s">
        <v>2803</v>
      </c>
      <c r="B2768" t="s">
        <v>53</v>
      </c>
      <c r="C2768">
        <v>1780000</v>
      </c>
      <c r="D2768">
        <v>2558.9</v>
      </c>
      <c r="E2768">
        <v>1.15E-2</v>
      </c>
      <c r="F2768">
        <v>7.2599999999999998E-2</v>
      </c>
    </row>
    <row r="2769" spans="1:6" x14ac:dyDescent="0.3">
      <c r="A2769" t="s">
        <v>2804</v>
      </c>
      <c r="B2769" t="s">
        <v>50</v>
      </c>
      <c r="C2769">
        <v>1110000</v>
      </c>
      <c r="D2769">
        <v>1313.8</v>
      </c>
      <c r="E2769">
        <v>1.47E-2</v>
      </c>
      <c r="F2769">
        <v>8.5400000000000004E-2</v>
      </c>
    </row>
    <row r="2770" spans="1:6" x14ac:dyDescent="0.3">
      <c r="A2770" t="s">
        <v>2805</v>
      </c>
      <c r="B2770" t="s">
        <v>53</v>
      </c>
      <c r="C2770">
        <v>2440000</v>
      </c>
      <c r="D2770">
        <v>18830.7</v>
      </c>
      <c r="E2770">
        <v>1.26E-2</v>
      </c>
      <c r="F2770">
        <v>7.2599999999999998E-2</v>
      </c>
    </row>
    <row r="2771" spans="1:6" x14ac:dyDescent="0.3">
      <c r="A2771" t="s">
        <v>2806</v>
      </c>
      <c r="B2771" t="s">
        <v>74</v>
      </c>
      <c r="C2771">
        <v>1500000</v>
      </c>
      <c r="D2771">
        <v>18433.599999999999</v>
      </c>
      <c r="E2771">
        <v>2.81E-2</v>
      </c>
      <c r="F2771">
        <v>4.0899999999999999E-2</v>
      </c>
    </row>
    <row r="2772" spans="1:6" x14ac:dyDescent="0.3">
      <c r="A2772" t="s">
        <v>2807</v>
      </c>
      <c r="B2772" t="s">
        <v>88</v>
      </c>
      <c r="C2772">
        <v>1000000</v>
      </c>
      <c r="D2772">
        <v>1933.8</v>
      </c>
      <c r="E2772">
        <v>4.2599999999999999E-2</v>
      </c>
      <c r="F2772">
        <v>8.4500000000000006E-2</v>
      </c>
    </row>
    <row r="2773" spans="1:6" x14ac:dyDescent="0.3">
      <c r="A2773" t="s">
        <v>2808</v>
      </c>
      <c r="B2773" t="s">
        <v>195</v>
      </c>
      <c r="C2773">
        <v>1160000</v>
      </c>
      <c r="D2773">
        <v>35461.1</v>
      </c>
      <c r="E2773">
        <v>3.6200000000000003E-2</v>
      </c>
      <c r="F2773">
        <v>9.5100000000000004E-2</v>
      </c>
    </row>
    <row r="2774" spans="1:6" x14ac:dyDescent="0.3">
      <c r="A2774" t="s">
        <v>2809</v>
      </c>
      <c r="B2774" t="s">
        <v>26</v>
      </c>
      <c r="C2774">
        <v>525000</v>
      </c>
      <c r="D2774">
        <v>68489.600000000006</v>
      </c>
      <c r="E2774">
        <v>3.8100000000000002E-2</v>
      </c>
      <c r="F2774">
        <v>4.3200000000000002E-2</v>
      </c>
    </row>
    <row r="2775" spans="1:6" x14ac:dyDescent="0.3">
      <c r="A2775" t="s">
        <v>2810</v>
      </c>
      <c r="B2775" t="s">
        <v>195</v>
      </c>
      <c r="C2775">
        <v>1010000</v>
      </c>
      <c r="D2775">
        <v>397.2</v>
      </c>
      <c r="E2775">
        <v>6.4000000000000003E-3</v>
      </c>
      <c r="F2775">
        <v>6.54E-2</v>
      </c>
    </row>
    <row r="2776" spans="1:6" x14ac:dyDescent="0.3">
      <c r="A2776" t="s">
        <v>2811</v>
      </c>
      <c r="B2776" t="s">
        <v>26</v>
      </c>
      <c r="C2776">
        <v>1080000</v>
      </c>
      <c r="D2776">
        <v>5207.3999999999996</v>
      </c>
      <c r="E2776">
        <v>1.5599999999999999E-2</v>
      </c>
      <c r="F2776">
        <v>0.1053</v>
      </c>
    </row>
    <row r="2777" spans="1:6" x14ac:dyDescent="0.3">
      <c r="A2777" t="s">
        <v>2812</v>
      </c>
      <c r="B2777" t="s">
        <v>88</v>
      </c>
      <c r="C2777">
        <v>1200000</v>
      </c>
      <c r="D2777">
        <v>2390.9</v>
      </c>
      <c r="E2777">
        <v>7.8700000000000006E-2</v>
      </c>
      <c r="F2777">
        <v>9.3799999999999994E-2</v>
      </c>
    </row>
    <row r="2778" spans="1:6" x14ac:dyDescent="0.3">
      <c r="A2778" t="s">
        <v>2813</v>
      </c>
      <c r="B2778" t="s">
        <v>81</v>
      </c>
      <c r="C2778">
        <v>1260000</v>
      </c>
      <c r="D2778">
        <v>29291.200000000001</v>
      </c>
      <c r="E2778">
        <v>2.9899999999999999E-2</v>
      </c>
      <c r="F2778">
        <v>9.5100000000000004E-2</v>
      </c>
    </row>
    <row r="2779" spans="1:6" x14ac:dyDescent="0.3">
      <c r="A2779" t="s">
        <v>2814</v>
      </c>
      <c r="B2779" t="s">
        <v>50</v>
      </c>
      <c r="C2779">
        <v>2160000</v>
      </c>
      <c r="D2779">
        <v>17263369.600000001</v>
      </c>
      <c r="E2779">
        <v>2.2000000000000001E-3</v>
      </c>
      <c r="F2779">
        <v>8.2199999999999995E-2</v>
      </c>
    </row>
    <row r="2780" spans="1:6" x14ac:dyDescent="0.3">
      <c r="A2780" t="s">
        <v>2815</v>
      </c>
      <c r="B2780" t="s">
        <v>92</v>
      </c>
      <c r="C2780">
        <v>3040000</v>
      </c>
      <c r="D2780">
        <v>79743.399999999994</v>
      </c>
      <c r="E2780">
        <v>2.0199999999999999E-2</v>
      </c>
      <c r="F2780">
        <v>4.6199999999999998E-2</v>
      </c>
    </row>
    <row r="2781" spans="1:6" x14ac:dyDescent="0.3">
      <c r="A2781" t="s">
        <v>2816</v>
      </c>
      <c r="B2781" t="s">
        <v>26</v>
      </c>
      <c r="C2781">
        <v>955000</v>
      </c>
      <c r="D2781">
        <v>3105.4</v>
      </c>
      <c r="E2781">
        <v>5.8799999999999998E-2</v>
      </c>
      <c r="F2781">
        <v>9.5100000000000004E-2</v>
      </c>
    </row>
    <row r="2782" spans="1:6" x14ac:dyDescent="0.3">
      <c r="A2782" t="s">
        <v>2817</v>
      </c>
      <c r="B2782" t="s">
        <v>53</v>
      </c>
      <c r="C2782">
        <v>1300000</v>
      </c>
      <c r="D2782">
        <v>274452.90000000002</v>
      </c>
      <c r="E2782">
        <v>9.1999999999999998E-3</v>
      </c>
      <c r="F2782">
        <v>8.2199999999999995E-2</v>
      </c>
    </row>
    <row r="2783" spans="1:6" x14ac:dyDescent="0.3">
      <c r="A2783" t="s">
        <v>2818</v>
      </c>
      <c r="B2783" t="s">
        <v>26</v>
      </c>
      <c r="C2783">
        <v>1560000</v>
      </c>
      <c r="D2783">
        <v>1708697</v>
      </c>
      <c r="E2783">
        <v>1.43E-2</v>
      </c>
      <c r="F2783">
        <v>4.6199999999999998E-2</v>
      </c>
    </row>
    <row r="2784" spans="1:6" x14ac:dyDescent="0.3">
      <c r="A2784" t="s">
        <v>2819</v>
      </c>
      <c r="B2784" t="s">
        <v>30</v>
      </c>
      <c r="C2784">
        <v>2110000</v>
      </c>
      <c r="D2784">
        <v>12406493.800000001</v>
      </c>
      <c r="E2784">
        <v>5.5999999999999999E-3</v>
      </c>
      <c r="F2784">
        <v>8.2199999999999995E-2</v>
      </c>
    </row>
    <row r="2785" spans="1:6" x14ac:dyDescent="0.3">
      <c r="A2785" t="s">
        <v>2820</v>
      </c>
      <c r="B2785" t="s">
        <v>41</v>
      </c>
      <c r="C2785">
        <v>649000</v>
      </c>
      <c r="D2785">
        <v>32278.6</v>
      </c>
      <c r="E2785">
        <v>5.6099999999999997E-2</v>
      </c>
      <c r="F2785">
        <v>7.5899999999999995E-2</v>
      </c>
    </row>
    <row r="2786" spans="1:6" x14ac:dyDescent="0.3">
      <c r="A2786" t="s">
        <v>2821</v>
      </c>
      <c r="B2786" t="s">
        <v>26</v>
      </c>
      <c r="C2786">
        <v>1570000</v>
      </c>
      <c r="D2786">
        <v>49824.4</v>
      </c>
      <c r="E2786">
        <v>6.4299999999999996E-2</v>
      </c>
      <c r="F2786">
        <v>7.5899999999999995E-2</v>
      </c>
    </row>
    <row r="2787" spans="1:6" x14ac:dyDescent="0.3">
      <c r="A2787" t="s">
        <v>2822</v>
      </c>
      <c r="B2787" t="s">
        <v>26</v>
      </c>
      <c r="C2787">
        <v>1110000</v>
      </c>
      <c r="D2787">
        <v>169826.2</v>
      </c>
      <c r="E2787">
        <v>4.7E-2</v>
      </c>
      <c r="F2787">
        <v>9.5100000000000004E-2</v>
      </c>
    </row>
    <row r="2788" spans="1:6" x14ac:dyDescent="0.3">
      <c r="A2788" t="s">
        <v>2823</v>
      </c>
      <c r="B2788" t="s">
        <v>26</v>
      </c>
      <c r="C2788">
        <v>1150000</v>
      </c>
      <c r="D2788">
        <v>77450.2</v>
      </c>
      <c r="E2788">
        <v>5.5500000000000001E-2</v>
      </c>
      <c r="F2788">
        <v>7.5899999999999995E-2</v>
      </c>
    </row>
    <row r="2789" spans="1:6" x14ac:dyDescent="0.3">
      <c r="A2789" t="s">
        <v>2824</v>
      </c>
      <c r="B2789" t="s">
        <v>24</v>
      </c>
      <c r="C2789">
        <v>1880000</v>
      </c>
      <c r="D2789">
        <v>1644.4</v>
      </c>
      <c r="E2789">
        <v>1.47E-2</v>
      </c>
      <c r="F2789">
        <v>7.6499999999999999E-2</v>
      </c>
    </row>
    <row r="2790" spans="1:6" x14ac:dyDescent="0.3">
      <c r="A2790" t="s">
        <v>2825</v>
      </c>
      <c r="B2790" t="s">
        <v>26</v>
      </c>
      <c r="C2790">
        <v>1330000</v>
      </c>
      <c r="D2790">
        <v>157983.5</v>
      </c>
      <c r="E2790">
        <v>3.8800000000000001E-2</v>
      </c>
      <c r="F2790">
        <v>9.3799999999999994E-2</v>
      </c>
    </row>
    <row r="2791" spans="1:6" x14ac:dyDescent="0.3">
      <c r="A2791" t="s">
        <v>2826</v>
      </c>
      <c r="B2791" t="s">
        <v>26</v>
      </c>
      <c r="C2791">
        <v>1140000</v>
      </c>
      <c r="D2791">
        <v>8396.4</v>
      </c>
      <c r="E2791">
        <v>1.2E-2</v>
      </c>
      <c r="F2791">
        <v>8.2199999999999995E-2</v>
      </c>
    </row>
    <row r="2792" spans="1:6" x14ac:dyDescent="0.3">
      <c r="A2792" t="s">
        <v>2827</v>
      </c>
      <c r="B2792" t="s">
        <v>26</v>
      </c>
      <c r="C2792">
        <v>1040000</v>
      </c>
      <c r="D2792">
        <v>16242.4</v>
      </c>
      <c r="E2792">
        <v>3.6700000000000003E-2</v>
      </c>
      <c r="F2792">
        <v>9.5100000000000004E-2</v>
      </c>
    </row>
    <row r="2793" spans="1:6" x14ac:dyDescent="0.3">
      <c r="A2793" t="s">
        <v>2828</v>
      </c>
      <c r="B2793" t="s">
        <v>21</v>
      </c>
      <c r="C2793">
        <v>3760000</v>
      </c>
      <c r="D2793">
        <v>752371.1</v>
      </c>
      <c r="E2793">
        <v>1.1900000000000001E-2</v>
      </c>
      <c r="F2793">
        <v>5.8400000000000001E-2</v>
      </c>
    </row>
    <row r="2794" spans="1:6" x14ac:dyDescent="0.3">
      <c r="A2794" t="s">
        <v>2829</v>
      </c>
      <c r="B2794" t="s">
        <v>26</v>
      </c>
      <c r="C2794">
        <v>1070000</v>
      </c>
      <c r="D2794">
        <v>13.3</v>
      </c>
      <c r="F2794">
        <v>4.0899999999999999E-2</v>
      </c>
    </row>
    <row r="2795" spans="1:6" x14ac:dyDescent="0.3">
      <c r="A2795" t="s">
        <v>2830</v>
      </c>
      <c r="B2795" t="s">
        <v>26</v>
      </c>
      <c r="C2795">
        <v>1140000</v>
      </c>
      <c r="D2795">
        <v>99118.5</v>
      </c>
      <c r="E2795">
        <v>6.9900000000000004E-2</v>
      </c>
      <c r="F2795">
        <v>9.5100000000000004E-2</v>
      </c>
    </row>
    <row r="2796" spans="1:6" x14ac:dyDescent="0.3">
      <c r="A2796" t="s">
        <v>2831</v>
      </c>
      <c r="B2796" t="s">
        <v>26</v>
      </c>
      <c r="C2796">
        <v>1520000</v>
      </c>
      <c r="D2796">
        <v>27686.1</v>
      </c>
      <c r="E2796">
        <v>2.1899999999999999E-2</v>
      </c>
      <c r="F2796">
        <v>5.7599999999999998E-2</v>
      </c>
    </row>
    <row r="2797" spans="1:6" x14ac:dyDescent="0.3">
      <c r="A2797" t="s">
        <v>2832</v>
      </c>
      <c r="B2797" t="s">
        <v>41</v>
      </c>
      <c r="C2797">
        <v>1840000</v>
      </c>
      <c r="D2797">
        <v>364.6</v>
      </c>
      <c r="E2797">
        <v>1.9900000000000001E-2</v>
      </c>
      <c r="F2797">
        <v>0.1053</v>
      </c>
    </row>
    <row r="2798" spans="1:6" x14ac:dyDescent="0.3">
      <c r="A2798" t="s">
        <v>2833</v>
      </c>
      <c r="B2798" t="s">
        <v>92</v>
      </c>
      <c r="C2798">
        <v>1240000</v>
      </c>
      <c r="D2798">
        <v>13143.7</v>
      </c>
      <c r="E2798">
        <v>1.0200000000000001E-2</v>
      </c>
      <c r="F2798">
        <v>6.54E-2</v>
      </c>
    </row>
    <row r="2799" spans="1:6" x14ac:dyDescent="0.3">
      <c r="A2799" t="s">
        <v>2834</v>
      </c>
      <c r="B2799" t="s">
        <v>26</v>
      </c>
      <c r="C2799">
        <v>1110000</v>
      </c>
      <c r="D2799">
        <v>74134.899999999994</v>
      </c>
      <c r="E2799">
        <v>3.8600000000000002E-2</v>
      </c>
      <c r="F2799">
        <v>7.5899999999999995E-2</v>
      </c>
    </row>
    <row r="2800" spans="1:6" x14ac:dyDescent="0.3">
      <c r="A2800" t="s">
        <v>2835</v>
      </c>
      <c r="B2800" t="s">
        <v>62</v>
      </c>
      <c r="C2800">
        <v>555000</v>
      </c>
      <c r="D2800">
        <v>72030.5</v>
      </c>
      <c r="E2800">
        <v>2.7900000000000001E-2</v>
      </c>
      <c r="F2800">
        <v>4.0899999999999999E-2</v>
      </c>
    </row>
    <row r="2801" spans="1:6" x14ac:dyDescent="0.3">
      <c r="A2801" t="s">
        <v>2836</v>
      </c>
      <c r="B2801" t="s">
        <v>26</v>
      </c>
      <c r="C2801">
        <v>1820000</v>
      </c>
      <c r="D2801">
        <v>241435.9</v>
      </c>
      <c r="E2801">
        <v>4.7800000000000002E-2</v>
      </c>
      <c r="F2801">
        <v>7.5899999999999995E-2</v>
      </c>
    </row>
    <row r="2802" spans="1:6" x14ac:dyDescent="0.3">
      <c r="A2802" t="s">
        <v>2837</v>
      </c>
      <c r="B2802" t="s">
        <v>26</v>
      </c>
      <c r="C2802">
        <v>1080000</v>
      </c>
      <c r="D2802">
        <v>23124.400000000001</v>
      </c>
      <c r="E2802">
        <v>2.7400000000000001E-2</v>
      </c>
      <c r="F2802">
        <v>9.5100000000000004E-2</v>
      </c>
    </row>
    <row r="2803" spans="1:6" x14ac:dyDescent="0.3">
      <c r="A2803" t="s">
        <v>2838</v>
      </c>
      <c r="B2803" t="s">
        <v>50</v>
      </c>
      <c r="C2803">
        <v>1870000</v>
      </c>
      <c r="D2803">
        <v>340135.7</v>
      </c>
      <c r="E2803">
        <v>8.8999999999999999E-3</v>
      </c>
      <c r="F2803">
        <v>8.2199999999999995E-2</v>
      </c>
    </row>
    <row r="2804" spans="1:6" x14ac:dyDescent="0.3">
      <c r="A2804" t="s">
        <v>2839</v>
      </c>
      <c r="B2804" t="s">
        <v>195</v>
      </c>
      <c r="C2804">
        <v>1230000</v>
      </c>
      <c r="D2804">
        <v>58749</v>
      </c>
      <c r="E2804">
        <v>4.3700000000000003E-2</v>
      </c>
      <c r="F2804">
        <v>4.0899999999999999E-2</v>
      </c>
    </row>
    <row r="2805" spans="1:6" x14ac:dyDescent="0.3">
      <c r="A2805" t="s">
        <v>2840</v>
      </c>
      <c r="B2805" t="s">
        <v>26</v>
      </c>
      <c r="C2805">
        <v>1310000</v>
      </c>
      <c r="D2805">
        <v>336811.7</v>
      </c>
      <c r="E2805">
        <v>4.5900000000000003E-2</v>
      </c>
      <c r="F2805">
        <v>4.0899999999999999E-2</v>
      </c>
    </row>
    <row r="2806" spans="1:6" x14ac:dyDescent="0.3">
      <c r="A2806" t="s">
        <v>2841</v>
      </c>
      <c r="B2806" t="s">
        <v>50</v>
      </c>
      <c r="C2806">
        <v>1180000</v>
      </c>
      <c r="D2806">
        <v>84991.1</v>
      </c>
      <c r="E2806">
        <v>2.06E-2</v>
      </c>
      <c r="F2806">
        <v>0.1053</v>
      </c>
    </row>
    <row r="2807" spans="1:6" x14ac:dyDescent="0.3">
      <c r="A2807" t="s">
        <v>2842</v>
      </c>
      <c r="B2807" t="s">
        <v>92</v>
      </c>
      <c r="C2807">
        <v>1520000</v>
      </c>
      <c r="D2807">
        <v>207145.7</v>
      </c>
      <c r="E2807">
        <v>1.04E-2</v>
      </c>
      <c r="F2807">
        <v>5.8400000000000001E-2</v>
      </c>
    </row>
    <row r="2808" spans="1:6" x14ac:dyDescent="0.3">
      <c r="A2808" t="s">
        <v>2843</v>
      </c>
      <c r="B2808" t="s">
        <v>53</v>
      </c>
      <c r="C2808">
        <v>2090000</v>
      </c>
      <c r="D2808">
        <v>5640191.4000000004</v>
      </c>
      <c r="E2808">
        <v>1.5100000000000001E-2</v>
      </c>
      <c r="F2808">
        <v>5.8500000000000003E-2</v>
      </c>
    </row>
    <row r="2809" spans="1:6" x14ac:dyDescent="0.3">
      <c r="A2809" t="s">
        <v>2844</v>
      </c>
      <c r="B2809" t="s">
        <v>490</v>
      </c>
      <c r="C2809">
        <v>1360000</v>
      </c>
      <c r="D2809">
        <v>15116.4</v>
      </c>
      <c r="E2809">
        <v>1.7999999999999999E-2</v>
      </c>
      <c r="F2809">
        <v>5.7599999999999998E-2</v>
      </c>
    </row>
    <row r="2810" spans="1:6" x14ac:dyDescent="0.3">
      <c r="A2810" t="s">
        <v>2845</v>
      </c>
      <c r="B2810" t="s">
        <v>62</v>
      </c>
      <c r="C2810">
        <v>1190000</v>
      </c>
      <c r="D2810">
        <v>46535.9</v>
      </c>
      <c r="E2810">
        <v>8.9999999999999993E-3</v>
      </c>
      <c r="F2810">
        <v>8.2199999999999995E-2</v>
      </c>
    </row>
    <row r="2811" spans="1:6" x14ac:dyDescent="0.3">
      <c r="A2811" t="s">
        <v>2846</v>
      </c>
      <c r="B2811" t="s">
        <v>88</v>
      </c>
      <c r="C2811">
        <v>1150000</v>
      </c>
      <c r="D2811">
        <v>249094.8</v>
      </c>
      <c r="E2811">
        <v>4.6800000000000001E-2</v>
      </c>
      <c r="F2811">
        <v>9.5100000000000004E-2</v>
      </c>
    </row>
    <row r="2812" spans="1:6" x14ac:dyDescent="0.3">
      <c r="A2812" t="s">
        <v>2847</v>
      </c>
      <c r="B2812" t="s">
        <v>32</v>
      </c>
      <c r="C2812">
        <v>1210000</v>
      </c>
      <c r="D2812">
        <v>8176.3</v>
      </c>
      <c r="E2812">
        <v>2.92E-2</v>
      </c>
      <c r="F2812">
        <v>4.0899999999999999E-2</v>
      </c>
    </row>
    <row r="2813" spans="1:6" x14ac:dyDescent="0.3">
      <c r="A2813" t="s">
        <v>2848</v>
      </c>
      <c r="B2813" t="s">
        <v>92</v>
      </c>
      <c r="C2813">
        <v>1090000</v>
      </c>
      <c r="D2813">
        <v>23213.7</v>
      </c>
      <c r="E2813">
        <v>2.0899999999999998E-2</v>
      </c>
      <c r="F2813">
        <v>7.5700000000000003E-2</v>
      </c>
    </row>
    <row r="2814" spans="1:6" x14ac:dyDescent="0.3">
      <c r="A2814" t="s">
        <v>2849</v>
      </c>
      <c r="B2814" t="s">
        <v>53</v>
      </c>
      <c r="C2814">
        <v>2960000</v>
      </c>
      <c r="D2814">
        <v>427324.3</v>
      </c>
      <c r="E2814">
        <v>3.9800000000000002E-2</v>
      </c>
      <c r="F2814">
        <v>7.5899999999999995E-2</v>
      </c>
    </row>
    <row r="2815" spans="1:6" x14ac:dyDescent="0.3">
      <c r="A2815" t="s">
        <v>2850</v>
      </c>
      <c r="B2815" t="s">
        <v>53</v>
      </c>
      <c r="C2815">
        <v>1180000</v>
      </c>
      <c r="D2815">
        <v>7366.9</v>
      </c>
      <c r="E2815">
        <v>1.6E-2</v>
      </c>
      <c r="F2815">
        <v>8.5400000000000004E-2</v>
      </c>
    </row>
    <row r="2816" spans="1:6" x14ac:dyDescent="0.3">
      <c r="A2816" t="s">
        <v>2851</v>
      </c>
      <c r="B2816" t="s">
        <v>26</v>
      </c>
      <c r="C2816">
        <v>1070000</v>
      </c>
      <c r="D2816">
        <v>12874.1</v>
      </c>
      <c r="E2816">
        <v>1.9E-2</v>
      </c>
      <c r="F2816">
        <v>4.6199999999999998E-2</v>
      </c>
    </row>
    <row r="2817" spans="1:6" x14ac:dyDescent="0.3">
      <c r="A2817" t="s">
        <v>2852</v>
      </c>
      <c r="B2817" t="s">
        <v>21</v>
      </c>
      <c r="C2817">
        <v>1960000</v>
      </c>
      <c r="D2817">
        <v>195864.2</v>
      </c>
      <c r="E2817">
        <v>3.95E-2</v>
      </c>
      <c r="F2817">
        <v>7.5899999999999995E-2</v>
      </c>
    </row>
    <row r="2818" spans="1:6" x14ac:dyDescent="0.3">
      <c r="A2818" t="s">
        <v>2853</v>
      </c>
      <c r="B2818" t="s">
        <v>41</v>
      </c>
      <c r="C2818">
        <v>1410000</v>
      </c>
      <c r="D2818">
        <v>121531.4</v>
      </c>
      <c r="E2818">
        <v>3.09E-2</v>
      </c>
      <c r="F2818">
        <v>6.7199999999999996E-2</v>
      </c>
    </row>
    <row r="2819" spans="1:6" x14ac:dyDescent="0.3">
      <c r="A2819" t="s">
        <v>2854</v>
      </c>
      <c r="B2819" t="s">
        <v>50</v>
      </c>
      <c r="C2819">
        <v>1860000</v>
      </c>
      <c r="D2819">
        <v>58029.599999999999</v>
      </c>
      <c r="E2819">
        <v>1.7999999999999999E-2</v>
      </c>
      <c r="F2819">
        <v>5.7599999999999998E-2</v>
      </c>
    </row>
    <row r="2820" spans="1:6" x14ac:dyDescent="0.3">
      <c r="A2820" t="s">
        <v>2855</v>
      </c>
      <c r="B2820" t="s">
        <v>92</v>
      </c>
      <c r="C2820">
        <v>1010000</v>
      </c>
      <c r="D2820">
        <v>639.70000000000005</v>
      </c>
      <c r="E2820">
        <v>3.78E-2</v>
      </c>
      <c r="F2820">
        <v>0.2545</v>
      </c>
    </row>
    <row r="2821" spans="1:6" x14ac:dyDescent="0.3">
      <c r="A2821" t="s">
        <v>2856</v>
      </c>
      <c r="B2821" t="s">
        <v>214</v>
      </c>
      <c r="C2821">
        <v>1170000</v>
      </c>
      <c r="D2821">
        <v>47147.8</v>
      </c>
      <c r="E2821">
        <v>3.3700000000000001E-2</v>
      </c>
      <c r="F2821">
        <v>9.5100000000000004E-2</v>
      </c>
    </row>
    <row r="2822" spans="1:6" x14ac:dyDescent="0.3">
      <c r="A2822" t="s">
        <v>2857</v>
      </c>
      <c r="B2822" t="s">
        <v>26</v>
      </c>
      <c r="C2822">
        <v>1050000</v>
      </c>
      <c r="D2822">
        <v>9351.7999999999993</v>
      </c>
      <c r="E2822">
        <v>0.1163</v>
      </c>
      <c r="F2822">
        <v>9.5100000000000004E-2</v>
      </c>
    </row>
    <row r="2823" spans="1:6" x14ac:dyDescent="0.3">
      <c r="A2823" t="s">
        <v>2858</v>
      </c>
      <c r="B2823" t="s">
        <v>50</v>
      </c>
      <c r="C2823">
        <v>1170000</v>
      </c>
      <c r="D2823">
        <v>8116.4</v>
      </c>
      <c r="E2823">
        <v>4.36E-2</v>
      </c>
      <c r="F2823">
        <v>7.5899999999999995E-2</v>
      </c>
    </row>
    <row r="2824" spans="1:6" x14ac:dyDescent="0.3">
      <c r="A2824" t="s">
        <v>2859</v>
      </c>
      <c r="B2824" t="s">
        <v>30</v>
      </c>
      <c r="C2824">
        <v>1090000</v>
      </c>
      <c r="D2824">
        <v>2036</v>
      </c>
      <c r="E2824">
        <v>3.8E-3</v>
      </c>
      <c r="F2824">
        <v>6.54E-2</v>
      </c>
    </row>
    <row r="2825" spans="1:6" x14ac:dyDescent="0.3">
      <c r="A2825" t="s">
        <v>2860</v>
      </c>
      <c r="B2825" t="s">
        <v>81</v>
      </c>
      <c r="C2825">
        <v>1740000</v>
      </c>
      <c r="D2825">
        <v>3554</v>
      </c>
      <c r="E2825">
        <v>3.2199999999999999E-2</v>
      </c>
      <c r="F2825">
        <v>9.3799999999999994E-2</v>
      </c>
    </row>
    <row r="2826" spans="1:6" x14ac:dyDescent="0.3">
      <c r="A2826" t="s">
        <v>2861</v>
      </c>
      <c r="B2826" t="s">
        <v>71</v>
      </c>
      <c r="C2826">
        <v>3010000</v>
      </c>
      <c r="D2826">
        <v>49606.2</v>
      </c>
      <c r="E2826">
        <v>7.6E-3</v>
      </c>
      <c r="F2826">
        <v>0.14710000000000001</v>
      </c>
    </row>
    <row r="2827" spans="1:6" x14ac:dyDescent="0.3">
      <c r="A2827" t="s">
        <v>2862</v>
      </c>
      <c r="B2827" t="s">
        <v>21</v>
      </c>
      <c r="C2827">
        <v>1430000</v>
      </c>
      <c r="D2827">
        <v>197113.3</v>
      </c>
      <c r="E2827">
        <v>2.1499999999999998E-2</v>
      </c>
      <c r="F2827">
        <v>5.7599999999999998E-2</v>
      </c>
    </row>
    <row r="2828" spans="1:6" x14ac:dyDescent="0.3">
      <c r="A2828" t="s">
        <v>2863</v>
      </c>
      <c r="B2828" t="s">
        <v>88</v>
      </c>
      <c r="C2828">
        <v>1300000</v>
      </c>
      <c r="D2828">
        <v>6541.7</v>
      </c>
      <c r="E2828">
        <v>4.0300000000000002E-2</v>
      </c>
      <c r="F2828">
        <v>9.3799999999999994E-2</v>
      </c>
    </row>
    <row r="2829" spans="1:6" x14ac:dyDescent="0.3">
      <c r="A2829" t="s">
        <v>2864</v>
      </c>
      <c r="B2829" t="s">
        <v>81</v>
      </c>
      <c r="C2829">
        <v>1030000</v>
      </c>
      <c r="D2829">
        <v>5830.8</v>
      </c>
      <c r="E2829">
        <v>2.0500000000000001E-2</v>
      </c>
      <c r="F2829">
        <v>0.1067</v>
      </c>
    </row>
    <row r="2830" spans="1:6" x14ac:dyDescent="0.3">
      <c r="A2830" t="s">
        <v>2865</v>
      </c>
      <c r="B2830" t="s">
        <v>24</v>
      </c>
      <c r="C2830">
        <v>1070000</v>
      </c>
      <c r="D2830">
        <v>8329</v>
      </c>
      <c r="E2830">
        <v>2.6100000000000002E-2</v>
      </c>
      <c r="F2830">
        <v>8.5400000000000004E-2</v>
      </c>
    </row>
    <row r="2831" spans="1:6" x14ac:dyDescent="0.3">
      <c r="A2831" t="s">
        <v>2866</v>
      </c>
      <c r="B2831" t="s">
        <v>53</v>
      </c>
      <c r="C2831">
        <v>2450000</v>
      </c>
      <c r="D2831">
        <v>2149279.5</v>
      </c>
      <c r="E2831">
        <v>2.5100000000000001E-2</v>
      </c>
      <c r="F2831">
        <v>8.5400000000000004E-2</v>
      </c>
    </row>
    <row r="2832" spans="1:6" x14ac:dyDescent="0.3">
      <c r="A2832" t="s">
        <v>2867</v>
      </c>
      <c r="B2832" t="s">
        <v>26</v>
      </c>
      <c r="C2832">
        <v>1090000</v>
      </c>
      <c r="D2832">
        <v>41790.300000000003</v>
      </c>
      <c r="E2832">
        <v>1.3299999999999999E-2</v>
      </c>
      <c r="F2832">
        <v>5.8500000000000003E-2</v>
      </c>
    </row>
    <row r="2833" spans="1:6" x14ac:dyDescent="0.3">
      <c r="A2833" t="s">
        <v>2868</v>
      </c>
      <c r="B2833" t="s">
        <v>88</v>
      </c>
      <c r="C2833">
        <v>1130000</v>
      </c>
      <c r="D2833">
        <v>1066</v>
      </c>
      <c r="E2833">
        <v>4.65E-2</v>
      </c>
      <c r="F2833">
        <v>9.3799999999999994E-2</v>
      </c>
    </row>
    <row r="2834" spans="1:6" x14ac:dyDescent="0.3">
      <c r="A2834" t="s">
        <v>2869</v>
      </c>
      <c r="B2834" t="s">
        <v>88</v>
      </c>
      <c r="C2834">
        <v>1310000</v>
      </c>
      <c r="D2834">
        <v>3468.1</v>
      </c>
      <c r="E2834">
        <v>4.0399999999999998E-2</v>
      </c>
      <c r="F2834">
        <v>7.5899999999999995E-2</v>
      </c>
    </row>
    <row r="2835" spans="1:6" x14ac:dyDescent="0.3">
      <c r="A2835" t="s">
        <v>2870</v>
      </c>
      <c r="B2835" t="s">
        <v>26</v>
      </c>
      <c r="C2835">
        <v>1160000</v>
      </c>
      <c r="D2835">
        <v>5250726</v>
      </c>
      <c r="E2835">
        <v>6.7999999999999996E-3</v>
      </c>
      <c r="F2835">
        <v>8.2199999999999995E-2</v>
      </c>
    </row>
    <row r="2836" spans="1:6" x14ac:dyDescent="0.3">
      <c r="A2836" t="s">
        <v>2871</v>
      </c>
      <c r="B2836" t="s">
        <v>62</v>
      </c>
      <c r="C2836">
        <v>2120000</v>
      </c>
      <c r="D2836">
        <v>31648.400000000001</v>
      </c>
      <c r="E2836">
        <v>2.53E-2</v>
      </c>
      <c r="F2836">
        <v>9.98E-2</v>
      </c>
    </row>
    <row r="2837" spans="1:6" x14ac:dyDescent="0.3">
      <c r="A2837" t="s">
        <v>2872</v>
      </c>
      <c r="B2837" t="s">
        <v>195</v>
      </c>
      <c r="C2837">
        <v>1000000</v>
      </c>
      <c r="D2837">
        <v>2003.2</v>
      </c>
      <c r="E2837">
        <v>2.1100000000000001E-2</v>
      </c>
      <c r="F2837">
        <v>9.5100000000000004E-2</v>
      </c>
    </row>
    <row r="2838" spans="1:6" x14ac:dyDescent="0.3">
      <c r="A2838" t="s">
        <v>2873</v>
      </c>
      <c r="B2838" t="s">
        <v>26</v>
      </c>
      <c r="C2838">
        <v>1900000</v>
      </c>
      <c r="D2838">
        <v>1122220.5</v>
      </c>
      <c r="E2838">
        <v>6.8599999999999994E-2</v>
      </c>
      <c r="F2838">
        <v>9.3799999999999994E-2</v>
      </c>
    </row>
    <row r="2839" spans="1:6" x14ac:dyDescent="0.3">
      <c r="A2839" t="s">
        <v>2874</v>
      </c>
      <c r="B2839" t="s">
        <v>71</v>
      </c>
      <c r="C2839">
        <v>1130000</v>
      </c>
      <c r="D2839">
        <v>13622.3</v>
      </c>
      <c r="E2839">
        <v>5.4000000000000003E-3</v>
      </c>
      <c r="F2839">
        <v>6.54E-2</v>
      </c>
    </row>
    <row r="2840" spans="1:6" x14ac:dyDescent="0.3">
      <c r="A2840" t="s">
        <v>2875</v>
      </c>
      <c r="B2840" t="s">
        <v>24</v>
      </c>
      <c r="C2840">
        <v>1510000</v>
      </c>
      <c r="D2840">
        <v>62433.2</v>
      </c>
      <c r="E2840">
        <v>1.2800000000000001E-2</v>
      </c>
      <c r="F2840">
        <v>5.8500000000000003E-2</v>
      </c>
    </row>
    <row r="2841" spans="1:6" x14ac:dyDescent="0.3">
      <c r="A2841" t="s">
        <v>2876</v>
      </c>
      <c r="B2841" t="s">
        <v>21</v>
      </c>
      <c r="C2841">
        <v>1020000</v>
      </c>
      <c r="D2841">
        <v>15584.7</v>
      </c>
      <c r="E2841">
        <v>5.9400000000000001E-2</v>
      </c>
      <c r="F2841">
        <v>9.5100000000000004E-2</v>
      </c>
    </row>
    <row r="2842" spans="1:6" x14ac:dyDescent="0.3">
      <c r="A2842" t="s">
        <v>2877</v>
      </c>
      <c r="B2842" t="s">
        <v>26</v>
      </c>
      <c r="C2842">
        <v>1180000</v>
      </c>
      <c r="D2842">
        <v>26794.799999999999</v>
      </c>
      <c r="E2842">
        <v>4.65E-2</v>
      </c>
      <c r="F2842">
        <v>7.5899999999999995E-2</v>
      </c>
    </row>
    <row r="2843" spans="1:6" x14ac:dyDescent="0.3">
      <c r="A2843" t="s">
        <v>2878</v>
      </c>
      <c r="B2843" t="s">
        <v>41</v>
      </c>
      <c r="C2843">
        <v>1440000</v>
      </c>
      <c r="D2843">
        <v>43.7</v>
      </c>
      <c r="E2843">
        <v>9.1999999999999998E-3</v>
      </c>
      <c r="F2843">
        <v>0.24099999999999999</v>
      </c>
    </row>
    <row r="2844" spans="1:6" x14ac:dyDescent="0.3">
      <c r="A2844" t="s">
        <v>2879</v>
      </c>
      <c r="B2844" t="s">
        <v>21</v>
      </c>
      <c r="C2844">
        <v>1300000</v>
      </c>
      <c r="D2844">
        <v>57966.400000000001</v>
      </c>
      <c r="E2844">
        <v>1.8700000000000001E-2</v>
      </c>
      <c r="F2844">
        <v>0.22939999999999999</v>
      </c>
    </row>
    <row r="2845" spans="1:6" x14ac:dyDescent="0.3">
      <c r="A2845" t="s">
        <v>2880</v>
      </c>
      <c r="B2845" t="s">
        <v>53</v>
      </c>
      <c r="C2845">
        <v>1160000</v>
      </c>
      <c r="D2845">
        <v>41014.6</v>
      </c>
      <c r="E2845">
        <v>6.7500000000000004E-2</v>
      </c>
      <c r="F2845">
        <v>5.3800000000000001E-2</v>
      </c>
    </row>
    <row r="2846" spans="1:6" x14ac:dyDescent="0.3">
      <c r="A2846" t="s">
        <v>2881</v>
      </c>
      <c r="B2846" t="s">
        <v>92</v>
      </c>
      <c r="C2846">
        <v>1270000</v>
      </c>
      <c r="D2846">
        <v>118091.6</v>
      </c>
      <c r="E2846">
        <v>1.2500000000000001E-2</v>
      </c>
      <c r="F2846">
        <v>8.1100000000000005E-2</v>
      </c>
    </row>
    <row r="2847" spans="1:6" x14ac:dyDescent="0.3">
      <c r="A2847" t="s">
        <v>2882</v>
      </c>
      <c r="B2847" t="s">
        <v>214</v>
      </c>
      <c r="C2847">
        <v>970000</v>
      </c>
      <c r="D2847">
        <v>6204.3</v>
      </c>
      <c r="E2847">
        <v>1.0999999999999999E-2</v>
      </c>
      <c r="F2847">
        <v>0.1452</v>
      </c>
    </row>
    <row r="2848" spans="1:6" x14ac:dyDescent="0.3">
      <c r="A2848" t="s">
        <v>2883</v>
      </c>
      <c r="B2848" t="s">
        <v>41</v>
      </c>
      <c r="C2848">
        <v>1250000</v>
      </c>
      <c r="D2848">
        <v>8065.7</v>
      </c>
      <c r="E2848">
        <v>3.1600000000000003E-2</v>
      </c>
      <c r="F2848">
        <v>9.5100000000000004E-2</v>
      </c>
    </row>
    <row r="2849" spans="1:6" x14ac:dyDescent="0.3">
      <c r="A2849" t="s">
        <v>2884</v>
      </c>
      <c r="B2849" t="s">
        <v>92</v>
      </c>
      <c r="C2849">
        <v>1040000</v>
      </c>
      <c r="D2849">
        <v>2472.5</v>
      </c>
      <c r="E2849">
        <v>3.8600000000000002E-2</v>
      </c>
      <c r="F2849">
        <v>9.3799999999999994E-2</v>
      </c>
    </row>
    <row r="2850" spans="1:6" x14ac:dyDescent="0.3">
      <c r="A2850" t="s">
        <v>2885</v>
      </c>
      <c r="B2850" t="s">
        <v>21</v>
      </c>
      <c r="C2850">
        <v>3380000</v>
      </c>
      <c r="D2850">
        <v>12244.4</v>
      </c>
      <c r="E2850">
        <v>0.13320000000000001</v>
      </c>
      <c r="F2850">
        <v>0.50609999999999999</v>
      </c>
    </row>
    <row r="2851" spans="1:6" x14ac:dyDescent="0.3">
      <c r="A2851" t="s">
        <v>2886</v>
      </c>
      <c r="B2851" t="s">
        <v>81</v>
      </c>
      <c r="C2851">
        <v>1250000</v>
      </c>
      <c r="D2851">
        <v>121496.2</v>
      </c>
      <c r="E2851">
        <v>2.5600000000000001E-2</v>
      </c>
      <c r="F2851">
        <v>7.5899999999999995E-2</v>
      </c>
    </row>
    <row r="2852" spans="1:6" x14ac:dyDescent="0.3">
      <c r="A2852" t="s">
        <v>2887</v>
      </c>
      <c r="B2852" t="s">
        <v>26</v>
      </c>
      <c r="C2852">
        <v>1080000</v>
      </c>
      <c r="D2852">
        <v>211456.6</v>
      </c>
      <c r="E2852">
        <v>2.1399999999999999E-2</v>
      </c>
      <c r="F2852">
        <v>5.1799999999999999E-2</v>
      </c>
    </row>
    <row r="2853" spans="1:6" x14ac:dyDescent="0.3">
      <c r="A2853" t="s">
        <v>2888</v>
      </c>
      <c r="B2853" t="s">
        <v>287</v>
      </c>
      <c r="C2853">
        <v>1290000</v>
      </c>
      <c r="D2853">
        <v>4082.7</v>
      </c>
      <c r="E2853">
        <v>1.6899999999999998E-2</v>
      </c>
      <c r="F2853">
        <v>5.7599999999999998E-2</v>
      </c>
    </row>
    <row r="2854" spans="1:6" x14ac:dyDescent="0.3">
      <c r="A2854" t="s">
        <v>2889</v>
      </c>
      <c r="B2854" t="s">
        <v>24</v>
      </c>
      <c r="C2854">
        <v>1030000</v>
      </c>
      <c r="D2854">
        <v>6490.7</v>
      </c>
      <c r="E2854">
        <v>9.8000000000000004E-2</v>
      </c>
      <c r="F2854">
        <v>7.5899999999999995E-2</v>
      </c>
    </row>
    <row r="2855" spans="1:6" x14ac:dyDescent="0.3">
      <c r="A2855" t="s">
        <v>2890</v>
      </c>
      <c r="B2855" t="s">
        <v>26</v>
      </c>
      <c r="C2855">
        <v>1210000</v>
      </c>
      <c r="D2855">
        <v>240871.5</v>
      </c>
      <c r="E2855">
        <v>6.2300000000000001E-2</v>
      </c>
      <c r="F2855">
        <v>7.5899999999999995E-2</v>
      </c>
    </row>
    <row r="2856" spans="1:6" x14ac:dyDescent="0.3">
      <c r="A2856" t="s">
        <v>2891</v>
      </c>
      <c r="B2856" t="s">
        <v>50</v>
      </c>
      <c r="C2856">
        <v>1990000</v>
      </c>
      <c r="D2856">
        <v>1749.9</v>
      </c>
      <c r="F2856">
        <v>7.5899999999999995E-2</v>
      </c>
    </row>
    <row r="2857" spans="1:6" x14ac:dyDescent="0.3">
      <c r="A2857" t="s">
        <v>2892</v>
      </c>
      <c r="B2857" t="s">
        <v>24</v>
      </c>
      <c r="C2857">
        <v>1140000</v>
      </c>
      <c r="D2857">
        <v>5636748.5999999996</v>
      </c>
      <c r="E2857">
        <v>1.11E-2</v>
      </c>
      <c r="F2857">
        <v>0.17100000000000001</v>
      </c>
    </row>
    <row r="2858" spans="1:6" x14ac:dyDescent="0.3">
      <c r="A2858" t="s">
        <v>2893</v>
      </c>
      <c r="B2858" t="s">
        <v>41</v>
      </c>
      <c r="C2858">
        <v>985000</v>
      </c>
      <c r="D2858">
        <v>1278.5</v>
      </c>
      <c r="E2858">
        <v>0.02</v>
      </c>
      <c r="F2858">
        <v>0.13900000000000001</v>
      </c>
    </row>
    <row r="2859" spans="1:6" x14ac:dyDescent="0.3">
      <c r="A2859" t="s">
        <v>2894</v>
      </c>
      <c r="B2859" t="s">
        <v>26</v>
      </c>
      <c r="C2859">
        <v>1100000</v>
      </c>
      <c r="D2859">
        <v>8989.9</v>
      </c>
      <c r="E2859">
        <v>1.2999999999999999E-2</v>
      </c>
      <c r="F2859">
        <v>5.8500000000000003E-2</v>
      </c>
    </row>
    <row r="2860" spans="1:6" x14ac:dyDescent="0.3">
      <c r="A2860" t="s">
        <v>2895</v>
      </c>
      <c r="B2860" t="s">
        <v>30</v>
      </c>
      <c r="C2860">
        <v>1560000</v>
      </c>
      <c r="D2860">
        <v>3633</v>
      </c>
      <c r="E2860">
        <v>3.3599999999999998E-2</v>
      </c>
      <c r="F2860">
        <v>9.5100000000000004E-2</v>
      </c>
    </row>
    <row r="2861" spans="1:6" x14ac:dyDescent="0.3">
      <c r="A2861" t="s">
        <v>2896</v>
      </c>
      <c r="B2861" t="s">
        <v>62</v>
      </c>
      <c r="C2861">
        <v>1060000</v>
      </c>
      <c r="D2861">
        <v>5194007.2</v>
      </c>
      <c r="E2861">
        <v>2.4E-2</v>
      </c>
      <c r="F2861">
        <v>0.1242</v>
      </c>
    </row>
    <row r="2862" spans="1:6" x14ac:dyDescent="0.3">
      <c r="A2862" t="s">
        <v>2897</v>
      </c>
      <c r="B2862" t="s">
        <v>88</v>
      </c>
      <c r="C2862">
        <v>1960000</v>
      </c>
      <c r="D2862">
        <v>17572.5</v>
      </c>
      <c r="E2862">
        <v>4.3999999999999997E-2</v>
      </c>
      <c r="F2862">
        <v>0.1168</v>
      </c>
    </row>
    <row r="2863" spans="1:6" x14ac:dyDescent="0.3">
      <c r="A2863" t="s">
        <v>2898</v>
      </c>
      <c r="B2863" t="s">
        <v>50</v>
      </c>
      <c r="C2863">
        <v>1020000</v>
      </c>
      <c r="D2863">
        <v>10464</v>
      </c>
      <c r="E2863">
        <v>2.12E-2</v>
      </c>
      <c r="F2863">
        <v>0.11700000000000001</v>
      </c>
    </row>
    <row r="2864" spans="1:6" x14ac:dyDescent="0.3">
      <c r="A2864" t="s">
        <v>2899</v>
      </c>
      <c r="B2864" t="s">
        <v>26</v>
      </c>
      <c r="C2864">
        <v>917000</v>
      </c>
      <c r="D2864">
        <v>10449.9</v>
      </c>
      <c r="E2864">
        <v>7.9000000000000008E-3</v>
      </c>
      <c r="F2864">
        <v>8.2199999999999995E-2</v>
      </c>
    </row>
    <row r="2865" spans="1:6" x14ac:dyDescent="0.3">
      <c r="A2865" t="s">
        <v>2900</v>
      </c>
      <c r="B2865" t="s">
        <v>88</v>
      </c>
      <c r="C2865">
        <v>1050000</v>
      </c>
      <c r="D2865">
        <v>2804</v>
      </c>
      <c r="E2865">
        <v>5.0200000000000002E-2</v>
      </c>
      <c r="F2865">
        <v>9.3799999999999994E-2</v>
      </c>
    </row>
    <row r="2866" spans="1:6" x14ac:dyDescent="0.3">
      <c r="A2866" t="s">
        <v>2901</v>
      </c>
      <c r="B2866" t="s">
        <v>92</v>
      </c>
      <c r="C2866">
        <v>1390000</v>
      </c>
      <c r="D2866">
        <v>12083.3</v>
      </c>
      <c r="E2866">
        <v>2.8299999999999999E-2</v>
      </c>
      <c r="F2866">
        <v>9.3799999999999994E-2</v>
      </c>
    </row>
    <row r="2867" spans="1:6" x14ac:dyDescent="0.3">
      <c r="A2867" t="s">
        <v>2902</v>
      </c>
      <c r="B2867" t="s">
        <v>24</v>
      </c>
      <c r="C2867">
        <v>1120000</v>
      </c>
      <c r="D2867">
        <v>1510.9</v>
      </c>
      <c r="E2867">
        <v>3.7499999999999999E-2</v>
      </c>
      <c r="F2867">
        <v>0.1241</v>
      </c>
    </row>
    <row r="2868" spans="1:6" x14ac:dyDescent="0.3">
      <c r="A2868" t="s">
        <v>2903</v>
      </c>
      <c r="B2868" t="s">
        <v>24</v>
      </c>
      <c r="C2868">
        <v>1230000</v>
      </c>
      <c r="D2868">
        <v>1668.8</v>
      </c>
      <c r="E2868">
        <v>3.73E-2</v>
      </c>
      <c r="F2868">
        <v>9.3799999999999994E-2</v>
      </c>
    </row>
    <row r="2869" spans="1:6" x14ac:dyDescent="0.3">
      <c r="A2869" t="s">
        <v>2904</v>
      </c>
      <c r="B2869" t="s">
        <v>92</v>
      </c>
      <c r="C2869">
        <v>1040000</v>
      </c>
      <c r="D2869">
        <v>32978.300000000003</v>
      </c>
      <c r="E2869">
        <v>2.6599999999999999E-2</v>
      </c>
      <c r="F2869">
        <v>9.5100000000000004E-2</v>
      </c>
    </row>
    <row r="2870" spans="1:6" x14ac:dyDescent="0.3">
      <c r="A2870" t="s">
        <v>2905</v>
      </c>
      <c r="B2870" t="s">
        <v>26</v>
      </c>
      <c r="C2870">
        <v>1270000</v>
      </c>
      <c r="D2870">
        <v>85104.8</v>
      </c>
      <c r="E2870">
        <v>4.9599999999999998E-2</v>
      </c>
      <c r="F2870">
        <v>7.5899999999999995E-2</v>
      </c>
    </row>
    <row r="2871" spans="1:6" x14ac:dyDescent="0.3">
      <c r="A2871" t="s">
        <v>2906</v>
      </c>
      <c r="B2871" t="s">
        <v>74</v>
      </c>
      <c r="C2871">
        <v>994000</v>
      </c>
      <c r="D2871">
        <v>7478.8</v>
      </c>
      <c r="E2871">
        <v>5.96E-2</v>
      </c>
      <c r="F2871">
        <v>9.5100000000000004E-2</v>
      </c>
    </row>
    <row r="2872" spans="1:6" x14ac:dyDescent="0.3">
      <c r="A2872" t="s">
        <v>2907</v>
      </c>
      <c r="B2872" t="s">
        <v>26</v>
      </c>
      <c r="C2872">
        <v>1140000</v>
      </c>
      <c r="D2872">
        <v>153351.70000000001</v>
      </c>
      <c r="E2872">
        <v>3.5000000000000003E-2</v>
      </c>
      <c r="F2872">
        <v>7.5899999999999995E-2</v>
      </c>
    </row>
    <row r="2873" spans="1:6" x14ac:dyDescent="0.3">
      <c r="A2873" t="s">
        <v>2908</v>
      </c>
      <c r="B2873" t="s">
        <v>26</v>
      </c>
      <c r="C2873">
        <v>1070000</v>
      </c>
      <c r="D2873">
        <v>174189.2</v>
      </c>
      <c r="E2873">
        <v>1.72E-2</v>
      </c>
      <c r="F2873">
        <v>5.1799999999999999E-2</v>
      </c>
    </row>
    <row r="2874" spans="1:6" x14ac:dyDescent="0.3">
      <c r="A2874" t="s">
        <v>2909</v>
      </c>
      <c r="B2874" t="s">
        <v>26</v>
      </c>
      <c r="C2874">
        <v>1060000</v>
      </c>
      <c r="D2874">
        <v>727</v>
      </c>
      <c r="E2874">
        <v>4.48E-2</v>
      </c>
      <c r="F2874">
        <v>9.3799999999999994E-2</v>
      </c>
    </row>
    <row r="2875" spans="1:6" x14ac:dyDescent="0.3">
      <c r="A2875" t="s">
        <v>2910</v>
      </c>
      <c r="B2875" t="s">
        <v>21</v>
      </c>
      <c r="C2875">
        <v>1310000</v>
      </c>
      <c r="D2875">
        <v>3583</v>
      </c>
      <c r="E2875">
        <v>5.96E-2</v>
      </c>
      <c r="F2875">
        <v>7.1300000000000002E-2</v>
      </c>
    </row>
    <row r="2876" spans="1:6" x14ac:dyDescent="0.3">
      <c r="A2876" t="s">
        <v>2911</v>
      </c>
      <c r="B2876" t="s">
        <v>26</v>
      </c>
      <c r="C2876">
        <v>1700000</v>
      </c>
      <c r="D2876">
        <v>529689.80000000005</v>
      </c>
      <c r="E2876">
        <v>3.8199999999999998E-2</v>
      </c>
      <c r="F2876">
        <v>4.0899999999999999E-2</v>
      </c>
    </row>
    <row r="2877" spans="1:6" x14ac:dyDescent="0.3">
      <c r="A2877" t="s">
        <v>2912</v>
      </c>
      <c r="B2877" t="s">
        <v>24</v>
      </c>
      <c r="C2877">
        <v>1340000</v>
      </c>
      <c r="D2877">
        <v>16013.5</v>
      </c>
      <c r="E2877">
        <v>1.84E-2</v>
      </c>
      <c r="F2877">
        <v>5.7599999999999998E-2</v>
      </c>
    </row>
    <row r="2878" spans="1:6" x14ac:dyDescent="0.3">
      <c r="A2878" t="s">
        <v>2913</v>
      </c>
      <c r="B2878" t="s">
        <v>62</v>
      </c>
      <c r="C2878">
        <v>1080000</v>
      </c>
      <c r="D2878">
        <v>15010.6</v>
      </c>
      <c r="E2878">
        <v>1.89E-2</v>
      </c>
      <c r="F2878">
        <v>4.6199999999999998E-2</v>
      </c>
    </row>
    <row r="2879" spans="1:6" x14ac:dyDescent="0.3">
      <c r="A2879" t="s">
        <v>2914</v>
      </c>
      <c r="B2879" t="s">
        <v>26</v>
      </c>
      <c r="C2879">
        <v>1000000</v>
      </c>
      <c r="D2879">
        <v>30788.799999999999</v>
      </c>
      <c r="E2879">
        <v>8.1799999999999998E-2</v>
      </c>
      <c r="F2879">
        <v>6.7900000000000002E-2</v>
      </c>
    </row>
    <row r="2880" spans="1:6" x14ac:dyDescent="0.3">
      <c r="A2880" t="s">
        <v>2915</v>
      </c>
      <c r="B2880" t="s">
        <v>287</v>
      </c>
      <c r="C2880">
        <v>1760000</v>
      </c>
      <c r="D2880">
        <v>8149.3</v>
      </c>
      <c r="E2880">
        <v>1.35E-2</v>
      </c>
      <c r="F2880">
        <v>8.1100000000000005E-2</v>
      </c>
    </row>
    <row r="2881" spans="1:6" x14ac:dyDescent="0.3">
      <c r="A2881" t="s">
        <v>2916</v>
      </c>
      <c r="B2881" t="s">
        <v>26</v>
      </c>
      <c r="C2881">
        <v>1090000</v>
      </c>
      <c r="D2881">
        <v>1055.5999999999999</v>
      </c>
      <c r="E2881">
        <v>5.1999999999999998E-2</v>
      </c>
      <c r="F2881">
        <v>7.5899999999999995E-2</v>
      </c>
    </row>
    <row r="2882" spans="1:6" x14ac:dyDescent="0.3">
      <c r="A2882" t="s">
        <v>2917</v>
      </c>
      <c r="B2882" t="s">
        <v>92</v>
      </c>
      <c r="C2882">
        <v>419000</v>
      </c>
      <c r="D2882">
        <v>10567.8</v>
      </c>
      <c r="E2882">
        <v>3.2399999999999998E-2</v>
      </c>
      <c r="F2882">
        <v>7.5899999999999995E-2</v>
      </c>
    </row>
    <row r="2883" spans="1:6" x14ac:dyDescent="0.3">
      <c r="A2883" t="s">
        <v>2918</v>
      </c>
      <c r="B2883" t="s">
        <v>41</v>
      </c>
      <c r="C2883">
        <v>1000000</v>
      </c>
      <c r="D2883">
        <v>27484.7</v>
      </c>
      <c r="E2883">
        <v>1.55E-2</v>
      </c>
      <c r="F2883">
        <v>7.2599999999999998E-2</v>
      </c>
    </row>
    <row r="2884" spans="1:6" x14ac:dyDescent="0.3">
      <c r="A2884" t="s">
        <v>2919</v>
      </c>
      <c r="B2884" t="s">
        <v>92</v>
      </c>
      <c r="C2884">
        <v>1110000</v>
      </c>
      <c r="D2884">
        <v>18154.099999999999</v>
      </c>
      <c r="E2884">
        <v>2.1000000000000001E-2</v>
      </c>
      <c r="F2884">
        <v>0.11700000000000001</v>
      </c>
    </row>
    <row r="2885" spans="1:6" x14ac:dyDescent="0.3">
      <c r="A2885" t="s">
        <v>2920</v>
      </c>
      <c r="B2885" t="s">
        <v>53</v>
      </c>
      <c r="C2885">
        <v>1000000</v>
      </c>
      <c r="D2885">
        <v>8409</v>
      </c>
      <c r="E2885">
        <v>1.9099999999999999E-2</v>
      </c>
      <c r="F2885">
        <v>8.5400000000000004E-2</v>
      </c>
    </row>
    <row r="2886" spans="1:6" x14ac:dyDescent="0.3">
      <c r="A2886" t="s">
        <v>2921</v>
      </c>
      <c r="B2886" t="s">
        <v>53</v>
      </c>
      <c r="C2886">
        <v>990000</v>
      </c>
      <c r="D2886">
        <v>166.5</v>
      </c>
      <c r="E2886">
        <v>5.1700000000000003E-2</v>
      </c>
      <c r="F2886">
        <v>7.5899999999999995E-2</v>
      </c>
    </row>
    <row r="2887" spans="1:6" x14ac:dyDescent="0.3">
      <c r="A2887" t="s">
        <v>2922</v>
      </c>
      <c r="B2887" t="s">
        <v>26</v>
      </c>
      <c r="C2887">
        <v>1000000</v>
      </c>
      <c r="D2887">
        <v>291.2</v>
      </c>
      <c r="E2887">
        <v>3.2500000000000001E-2</v>
      </c>
      <c r="F2887">
        <v>4.1200000000000001E-2</v>
      </c>
    </row>
    <row r="2888" spans="1:6" x14ac:dyDescent="0.3">
      <c r="A2888" t="s">
        <v>2923</v>
      </c>
      <c r="B2888" t="s">
        <v>30</v>
      </c>
      <c r="C2888">
        <v>1380000</v>
      </c>
      <c r="D2888">
        <v>73189.3</v>
      </c>
      <c r="E2888">
        <v>2.5600000000000001E-2</v>
      </c>
      <c r="F2888">
        <v>4.6199999999999998E-2</v>
      </c>
    </row>
    <row r="2889" spans="1:6" x14ac:dyDescent="0.3">
      <c r="A2889" t="s">
        <v>2924</v>
      </c>
      <c r="B2889" t="s">
        <v>92</v>
      </c>
      <c r="C2889">
        <v>1540000</v>
      </c>
      <c r="D2889">
        <v>129334.2</v>
      </c>
      <c r="E2889">
        <v>2.6700000000000002E-2</v>
      </c>
      <c r="F2889">
        <v>5.0999999999999997E-2</v>
      </c>
    </row>
    <row r="2890" spans="1:6" x14ac:dyDescent="0.3">
      <c r="A2890" t="s">
        <v>2925</v>
      </c>
      <c r="B2890" t="s">
        <v>490</v>
      </c>
      <c r="C2890">
        <v>1560000</v>
      </c>
      <c r="D2890">
        <v>69232.399999999994</v>
      </c>
      <c r="E2890">
        <v>2.12E-2</v>
      </c>
      <c r="F2890">
        <v>9.5100000000000004E-2</v>
      </c>
    </row>
    <row r="2891" spans="1:6" x14ac:dyDescent="0.3">
      <c r="A2891" t="s">
        <v>2926</v>
      </c>
      <c r="B2891" t="s">
        <v>30</v>
      </c>
      <c r="C2891">
        <v>1150000</v>
      </c>
      <c r="D2891">
        <v>720867.2</v>
      </c>
      <c r="E2891">
        <v>3.1E-2</v>
      </c>
      <c r="F2891">
        <v>4.0899999999999999E-2</v>
      </c>
    </row>
    <row r="2892" spans="1:6" x14ac:dyDescent="0.3">
      <c r="A2892" t="s">
        <v>2927</v>
      </c>
      <c r="B2892" t="s">
        <v>214</v>
      </c>
      <c r="C2892">
        <v>1090000</v>
      </c>
      <c r="D2892">
        <v>3112.3</v>
      </c>
      <c r="E2892">
        <v>4.3400000000000001E-2</v>
      </c>
      <c r="F2892">
        <v>7.5899999999999995E-2</v>
      </c>
    </row>
    <row r="2893" spans="1:6" x14ac:dyDescent="0.3">
      <c r="A2893" t="s">
        <v>2928</v>
      </c>
      <c r="B2893" t="s">
        <v>214</v>
      </c>
      <c r="C2893">
        <v>1070000</v>
      </c>
      <c r="D2893">
        <v>10353.4</v>
      </c>
      <c r="E2893">
        <v>1.34E-2</v>
      </c>
      <c r="F2893">
        <v>0.1452</v>
      </c>
    </row>
    <row r="2894" spans="1:6" x14ac:dyDescent="0.3">
      <c r="A2894" t="s">
        <v>2929</v>
      </c>
      <c r="B2894" t="s">
        <v>88</v>
      </c>
      <c r="C2894">
        <v>1010000</v>
      </c>
      <c r="D2894">
        <v>2427.1999999999998</v>
      </c>
      <c r="E2894">
        <v>3.44E-2</v>
      </c>
      <c r="F2894">
        <v>6.4399999999999999E-2</v>
      </c>
    </row>
    <row r="2895" spans="1:6" x14ac:dyDescent="0.3">
      <c r="A2895" t="s">
        <v>2930</v>
      </c>
      <c r="B2895" t="s">
        <v>92</v>
      </c>
      <c r="C2895">
        <v>1120000</v>
      </c>
      <c r="D2895">
        <v>42778</v>
      </c>
      <c r="E2895">
        <v>3.73E-2</v>
      </c>
      <c r="F2895">
        <v>5.0999999999999997E-2</v>
      </c>
    </row>
    <row r="2896" spans="1:6" x14ac:dyDescent="0.3">
      <c r="A2896" t="s">
        <v>2931</v>
      </c>
      <c r="B2896" t="s">
        <v>92</v>
      </c>
      <c r="C2896">
        <v>1410000</v>
      </c>
      <c r="D2896">
        <v>2169.3000000000002</v>
      </c>
      <c r="E2896">
        <v>9.5999999999999992E-3</v>
      </c>
      <c r="F2896">
        <v>0.1298</v>
      </c>
    </row>
    <row r="2897" spans="1:6" x14ac:dyDescent="0.3">
      <c r="A2897" t="s">
        <v>2932</v>
      </c>
      <c r="B2897" t="s">
        <v>88</v>
      </c>
      <c r="C2897">
        <v>1040000</v>
      </c>
      <c r="D2897">
        <v>7218</v>
      </c>
      <c r="E2897">
        <v>3.32E-2</v>
      </c>
      <c r="F2897">
        <v>9.3799999999999994E-2</v>
      </c>
    </row>
    <row r="2898" spans="1:6" x14ac:dyDescent="0.3">
      <c r="A2898" t="s">
        <v>2933</v>
      </c>
      <c r="B2898" t="s">
        <v>26</v>
      </c>
      <c r="C2898">
        <v>1540000</v>
      </c>
      <c r="D2898">
        <v>961127.4</v>
      </c>
      <c r="E2898">
        <v>2.98E-2</v>
      </c>
      <c r="F2898">
        <v>4.0899999999999999E-2</v>
      </c>
    </row>
    <row r="2899" spans="1:6" x14ac:dyDescent="0.3">
      <c r="A2899" t="s">
        <v>2934</v>
      </c>
      <c r="B2899" t="s">
        <v>41</v>
      </c>
      <c r="C2899">
        <v>1200000</v>
      </c>
      <c r="D2899">
        <v>364187.9</v>
      </c>
      <c r="E2899">
        <v>5.5E-2</v>
      </c>
      <c r="F2899">
        <v>0.1226</v>
      </c>
    </row>
    <row r="2900" spans="1:6" x14ac:dyDescent="0.3">
      <c r="A2900" t="s">
        <v>2935</v>
      </c>
      <c r="B2900" t="s">
        <v>32</v>
      </c>
      <c r="C2900">
        <v>949000</v>
      </c>
      <c r="D2900">
        <v>527718.80000000005</v>
      </c>
      <c r="E2900">
        <v>2.81E-2</v>
      </c>
      <c r="F2900">
        <v>9.5100000000000004E-2</v>
      </c>
    </row>
    <row r="2901" spans="1:6" x14ac:dyDescent="0.3">
      <c r="A2901" t="s">
        <v>2936</v>
      </c>
      <c r="B2901" t="s">
        <v>62</v>
      </c>
      <c r="C2901">
        <v>1120000</v>
      </c>
      <c r="D2901">
        <v>54368.7</v>
      </c>
      <c r="E2901">
        <v>3.2500000000000001E-2</v>
      </c>
      <c r="F2901">
        <v>7.5899999999999995E-2</v>
      </c>
    </row>
    <row r="2902" spans="1:6" x14ac:dyDescent="0.3">
      <c r="A2902" t="s">
        <v>2937</v>
      </c>
      <c r="B2902" t="s">
        <v>53</v>
      </c>
      <c r="C2902">
        <v>2170000</v>
      </c>
      <c r="D2902">
        <v>566924.80000000005</v>
      </c>
      <c r="E2902">
        <v>1.29E-2</v>
      </c>
      <c r="F2902">
        <v>0.14710000000000001</v>
      </c>
    </row>
    <row r="2903" spans="1:6" x14ac:dyDescent="0.3">
      <c r="A2903" t="s">
        <v>2938</v>
      </c>
      <c r="B2903" t="s">
        <v>26</v>
      </c>
      <c r="C2903">
        <v>1170000</v>
      </c>
      <c r="D2903">
        <v>56499.3</v>
      </c>
      <c r="E2903">
        <v>2.4E-2</v>
      </c>
      <c r="F2903">
        <v>4.6199999999999998E-2</v>
      </c>
    </row>
    <row r="2904" spans="1:6" x14ac:dyDescent="0.3">
      <c r="A2904" t="s">
        <v>2939</v>
      </c>
      <c r="B2904" t="s">
        <v>35</v>
      </c>
      <c r="C2904">
        <v>1030000</v>
      </c>
      <c r="D2904">
        <v>27376.9</v>
      </c>
      <c r="E2904">
        <v>6.25E-2</v>
      </c>
      <c r="F2904">
        <v>9.5100000000000004E-2</v>
      </c>
    </row>
    <row r="2905" spans="1:6" x14ac:dyDescent="0.3">
      <c r="A2905" t="s">
        <v>2940</v>
      </c>
      <c r="B2905" t="s">
        <v>32</v>
      </c>
      <c r="C2905">
        <v>1820000</v>
      </c>
      <c r="D2905">
        <v>9837.4</v>
      </c>
      <c r="E2905">
        <v>9.7999999999999997E-3</v>
      </c>
      <c r="F2905">
        <v>8.1100000000000005E-2</v>
      </c>
    </row>
    <row r="2906" spans="1:6" x14ac:dyDescent="0.3">
      <c r="A2906" t="s">
        <v>2941</v>
      </c>
      <c r="B2906" t="s">
        <v>92</v>
      </c>
      <c r="C2906">
        <v>1190000</v>
      </c>
      <c r="D2906">
        <v>6828.1</v>
      </c>
      <c r="E2906">
        <v>4.5100000000000001E-2</v>
      </c>
      <c r="F2906">
        <v>9.3799999999999994E-2</v>
      </c>
    </row>
    <row r="2907" spans="1:6" x14ac:dyDescent="0.3">
      <c r="A2907" t="s">
        <v>2942</v>
      </c>
      <c r="B2907" t="s">
        <v>41</v>
      </c>
      <c r="C2907">
        <v>1030000</v>
      </c>
      <c r="D2907">
        <v>799.9</v>
      </c>
      <c r="E2907">
        <v>4.2900000000000001E-2</v>
      </c>
      <c r="F2907">
        <v>5.3800000000000001E-2</v>
      </c>
    </row>
    <row r="2908" spans="1:6" x14ac:dyDescent="0.3">
      <c r="A2908" t="s">
        <v>2943</v>
      </c>
      <c r="B2908" t="s">
        <v>26</v>
      </c>
      <c r="C2908">
        <v>2570000</v>
      </c>
      <c r="D2908">
        <v>8082572.2999999998</v>
      </c>
      <c r="E2908">
        <v>2.87E-2</v>
      </c>
      <c r="F2908">
        <v>4.0899999999999999E-2</v>
      </c>
    </row>
    <row r="2909" spans="1:6" x14ac:dyDescent="0.3">
      <c r="A2909" t="s">
        <v>2944</v>
      </c>
      <c r="B2909" t="s">
        <v>26</v>
      </c>
      <c r="C2909">
        <v>1110000</v>
      </c>
      <c r="D2909">
        <v>1933029.9</v>
      </c>
      <c r="E2909">
        <v>4.8899999999999999E-2</v>
      </c>
      <c r="F2909">
        <v>9.5100000000000004E-2</v>
      </c>
    </row>
    <row r="2910" spans="1:6" x14ac:dyDescent="0.3">
      <c r="A2910" t="s">
        <v>2945</v>
      </c>
      <c r="B2910" t="s">
        <v>26</v>
      </c>
      <c r="C2910">
        <v>1240000</v>
      </c>
      <c r="D2910">
        <v>1394382</v>
      </c>
      <c r="E2910">
        <v>1.4E-2</v>
      </c>
      <c r="F2910">
        <v>4.6199999999999998E-2</v>
      </c>
    </row>
    <row r="2911" spans="1:6" x14ac:dyDescent="0.3">
      <c r="A2911" t="s">
        <v>2946</v>
      </c>
      <c r="B2911" t="s">
        <v>30</v>
      </c>
      <c r="C2911">
        <v>958000</v>
      </c>
      <c r="D2911">
        <v>2303.1</v>
      </c>
      <c r="E2911">
        <v>2.1700000000000001E-2</v>
      </c>
      <c r="F2911">
        <v>0.13250000000000001</v>
      </c>
    </row>
    <row r="2912" spans="1:6" x14ac:dyDescent="0.3">
      <c r="A2912" t="s">
        <v>2947</v>
      </c>
      <c r="B2912" t="s">
        <v>30</v>
      </c>
      <c r="C2912">
        <v>2110000</v>
      </c>
      <c r="D2912">
        <v>2275328.1</v>
      </c>
      <c r="E2912">
        <v>2.8299999999999999E-2</v>
      </c>
      <c r="F2912">
        <v>4.0899999999999999E-2</v>
      </c>
    </row>
    <row r="2913" spans="1:6" x14ac:dyDescent="0.3">
      <c r="A2913" t="s">
        <v>2948</v>
      </c>
      <c r="B2913" t="s">
        <v>62</v>
      </c>
      <c r="C2913">
        <v>1140000</v>
      </c>
      <c r="D2913">
        <v>2799.7</v>
      </c>
      <c r="E2913">
        <v>4.3900000000000002E-2</v>
      </c>
      <c r="F2913">
        <v>9.5100000000000004E-2</v>
      </c>
    </row>
    <row r="2914" spans="1:6" x14ac:dyDescent="0.3">
      <c r="A2914" t="s">
        <v>2949</v>
      </c>
      <c r="B2914" t="s">
        <v>26</v>
      </c>
      <c r="C2914">
        <v>1360000</v>
      </c>
      <c r="D2914">
        <v>1120.5</v>
      </c>
      <c r="E2914">
        <v>5.1000000000000004E-3</v>
      </c>
      <c r="F2914">
        <v>8.1100000000000005E-2</v>
      </c>
    </row>
    <row r="2915" spans="1:6" x14ac:dyDescent="0.3">
      <c r="A2915" t="s">
        <v>2950</v>
      </c>
      <c r="B2915" t="s">
        <v>26</v>
      </c>
      <c r="C2915">
        <v>1190000</v>
      </c>
      <c r="D2915">
        <v>84693.3</v>
      </c>
      <c r="E2915">
        <v>3.7999999999999999E-2</v>
      </c>
      <c r="F2915">
        <v>9.5100000000000004E-2</v>
      </c>
    </row>
    <row r="2916" spans="1:6" x14ac:dyDescent="0.3">
      <c r="A2916" t="s">
        <v>2951</v>
      </c>
      <c r="B2916" t="s">
        <v>26</v>
      </c>
      <c r="C2916">
        <v>997000</v>
      </c>
      <c r="D2916">
        <v>460306.6</v>
      </c>
      <c r="E2916">
        <v>1.14E-2</v>
      </c>
      <c r="F2916">
        <v>5.8400000000000001E-2</v>
      </c>
    </row>
    <row r="2917" spans="1:6" x14ac:dyDescent="0.3">
      <c r="A2917" t="s">
        <v>2952</v>
      </c>
      <c r="B2917" t="s">
        <v>88</v>
      </c>
      <c r="C2917">
        <v>1140000</v>
      </c>
      <c r="D2917">
        <v>370.2</v>
      </c>
      <c r="E2917">
        <v>5.6599999999999998E-2</v>
      </c>
      <c r="F2917">
        <v>7.5899999999999995E-2</v>
      </c>
    </row>
    <row r="2918" spans="1:6" x14ac:dyDescent="0.3">
      <c r="A2918" t="s">
        <v>2953</v>
      </c>
      <c r="B2918" t="s">
        <v>74</v>
      </c>
      <c r="C2918">
        <v>1030000</v>
      </c>
      <c r="D2918">
        <v>15504.6</v>
      </c>
      <c r="E2918">
        <v>3.2800000000000003E-2</v>
      </c>
      <c r="F2918">
        <v>9.3799999999999994E-2</v>
      </c>
    </row>
    <row r="2919" spans="1:6" x14ac:dyDescent="0.3">
      <c r="A2919" t="s">
        <v>2954</v>
      </c>
      <c r="B2919" t="s">
        <v>41</v>
      </c>
      <c r="C2919">
        <v>1410000</v>
      </c>
      <c r="D2919">
        <v>1658.7</v>
      </c>
      <c r="E2919">
        <v>1.9800000000000002E-2</v>
      </c>
      <c r="F2919">
        <v>0.1053</v>
      </c>
    </row>
    <row r="2920" spans="1:6" x14ac:dyDescent="0.3">
      <c r="A2920" t="s">
        <v>2955</v>
      </c>
      <c r="B2920" t="s">
        <v>26</v>
      </c>
      <c r="C2920">
        <v>1140000</v>
      </c>
      <c r="D2920">
        <v>22099.7</v>
      </c>
      <c r="E2920">
        <v>5.3699999999999998E-2</v>
      </c>
      <c r="F2920">
        <v>7.5899999999999995E-2</v>
      </c>
    </row>
    <row r="2921" spans="1:6" x14ac:dyDescent="0.3">
      <c r="A2921" t="s">
        <v>2956</v>
      </c>
      <c r="B2921" t="s">
        <v>88</v>
      </c>
      <c r="C2921">
        <v>1300000</v>
      </c>
      <c r="D2921">
        <v>197.2</v>
      </c>
      <c r="E2921">
        <v>2.87E-2</v>
      </c>
      <c r="F2921">
        <v>0.1308</v>
      </c>
    </row>
    <row r="2922" spans="1:6" x14ac:dyDescent="0.3">
      <c r="A2922" t="s">
        <v>2957</v>
      </c>
      <c r="B2922" t="s">
        <v>26</v>
      </c>
      <c r="C2922">
        <v>980000</v>
      </c>
      <c r="D2922">
        <v>551.9</v>
      </c>
      <c r="E2922">
        <v>2.4E-2</v>
      </c>
      <c r="F2922">
        <v>0.1182</v>
      </c>
    </row>
    <row r="2923" spans="1:6" x14ac:dyDescent="0.3">
      <c r="A2923" t="s">
        <v>2958</v>
      </c>
      <c r="B2923" t="s">
        <v>41</v>
      </c>
      <c r="C2923">
        <v>1270000</v>
      </c>
      <c r="D2923">
        <v>531.9</v>
      </c>
      <c r="E2923">
        <v>2.1999999999999999E-2</v>
      </c>
      <c r="F2923">
        <v>0.19289999999999999</v>
      </c>
    </row>
    <row r="2924" spans="1:6" x14ac:dyDescent="0.3">
      <c r="A2924" t="s">
        <v>2959</v>
      </c>
      <c r="B2924" t="s">
        <v>81</v>
      </c>
      <c r="C2924">
        <v>1360000</v>
      </c>
      <c r="D2924">
        <v>15864.3</v>
      </c>
      <c r="E2924">
        <v>4.0300000000000002E-2</v>
      </c>
      <c r="F2924">
        <v>8.3299999999999999E-2</v>
      </c>
    </row>
    <row r="2925" spans="1:6" x14ac:dyDescent="0.3">
      <c r="A2925" t="s">
        <v>2960</v>
      </c>
      <c r="B2925" t="s">
        <v>71</v>
      </c>
      <c r="C2925">
        <v>1080000</v>
      </c>
      <c r="D2925">
        <v>22268.400000000001</v>
      </c>
      <c r="E2925">
        <v>3.0800000000000001E-2</v>
      </c>
      <c r="F2925">
        <v>7.5899999999999995E-2</v>
      </c>
    </row>
    <row r="2926" spans="1:6" x14ac:dyDescent="0.3">
      <c r="A2926" t="s">
        <v>2961</v>
      </c>
      <c r="B2926" t="s">
        <v>26</v>
      </c>
      <c r="C2926">
        <v>2050000</v>
      </c>
      <c r="D2926">
        <v>39579.199999999997</v>
      </c>
      <c r="E2926">
        <v>2.1899999999999999E-2</v>
      </c>
      <c r="F2926">
        <v>5.1799999999999999E-2</v>
      </c>
    </row>
    <row r="2927" spans="1:6" x14ac:dyDescent="0.3">
      <c r="A2927" t="s">
        <v>2962</v>
      </c>
      <c r="B2927" t="s">
        <v>214</v>
      </c>
      <c r="C2927">
        <v>2820000</v>
      </c>
      <c r="D2927">
        <v>7819.9</v>
      </c>
      <c r="E2927">
        <v>4.8999999999999998E-3</v>
      </c>
      <c r="F2927">
        <v>8.1100000000000005E-2</v>
      </c>
    </row>
    <row r="2928" spans="1:6" x14ac:dyDescent="0.3">
      <c r="A2928" t="s">
        <v>2963</v>
      </c>
      <c r="B2928" t="s">
        <v>26</v>
      </c>
      <c r="C2928">
        <v>1180000</v>
      </c>
      <c r="D2928">
        <v>98614.2</v>
      </c>
      <c r="E2928">
        <v>5.2400000000000002E-2</v>
      </c>
      <c r="F2928">
        <v>7.5899999999999995E-2</v>
      </c>
    </row>
    <row r="2929" spans="1:6" x14ac:dyDescent="0.3">
      <c r="A2929" t="s">
        <v>2964</v>
      </c>
      <c r="B2929" t="s">
        <v>92</v>
      </c>
      <c r="C2929">
        <v>984000</v>
      </c>
      <c r="D2929">
        <v>1109.5999999999999</v>
      </c>
      <c r="E2929">
        <v>3.5700000000000003E-2</v>
      </c>
      <c r="F2929">
        <v>9.5100000000000004E-2</v>
      </c>
    </row>
    <row r="2930" spans="1:6" x14ac:dyDescent="0.3">
      <c r="A2930" t="s">
        <v>2965</v>
      </c>
      <c r="B2930" t="s">
        <v>92</v>
      </c>
      <c r="C2930">
        <v>992000</v>
      </c>
      <c r="D2930">
        <v>2134.1</v>
      </c>
      <c r="E2930">
        <v>2.5600000000000001E-2</v>
      </c>
      <c r="F2930">
        <v>9.5100000000000004E-2</v>
      </c>
    </row>
    <row r="2931" spans="1:6" x14ac:dyDescent="0.3">
      <c r="A2931" t="s">
        <v>2966</v>
      </c>
      <c r="B2931" t="s">
        <v>62</v>
      </c>
      <c r="C2931">
        <v>973000</v>
      </c>
      <c r="D2931">
        <v>28296.1</v>
      </c>
      <c r="E2931">
        <v>1.1599999999999999E-2</v>
      </c>
      <c r="F2931">
        <v>7.7499999999999999E-2</v>
      </c>
    </row>
    <row r="2932" spans="1:6" x14ac:dyDescent="0.3">
      <c r="A2932" t="s">
        <v>2967</v>
      </c>
      <c r="B2932" t="s">
        <v>24</v>
      </c>
      <c r="C2932">
        <v>1690000</v>
      </c>
      <c r="D2932">
        <v>6718.7</v>
      </c>
      <c r="E2932">
        <v>1.4999999999999999E-2</v>
      </c>
      <c r="F2932">
        <v>8.5400000000000004E-2</v>
      </c>
    </row>
    <row r="2933" spans="1:6" x14ac:dyDescent="0.3">
      <c r="A2933" t="s">
        <v>2968</v>
      </c>
      <c r="B2933" t="s">
        <v>74</v>
      </c>
      <c r="C2933">
        <v>16200000</v>
      </c>
      <c r="D2933">
        <v>2738945.3</v>
      </c>
      <c r="E2933">
        <v>3.0999999999999999E-3</v>
      </c>
      <c r="F2933">
        <v>0.25259999999999999</v>
      </c>
    </row>
    <row r="2934" spans="1:6" x14ac:dyDescent="0.3">
      <c r="A2934" t="s">
        <v>2969</v>
      </c>
      <c r="B2934" t="s">
        <v>24</v>
      </c>
      <c r="C2934">
        <v>1280000</v>
      </c>
      <c r="D2934">
        <v>7446.4</v>
      </c>
      <c r="E2934">
        <v>3.6999999999999998E-2</v>
      </c>
      <c r="F2934">
        <v>9.5100000000000004E-2</v>
      </c>
    </row>
    <row r="2935" spans="1:6" x14ac:dyDescent="0.3">
      <c r="A2935" t="s">
        <v>2970</v>
      </c>
      <c r="B2935" t="s">
        <v>62</v>
      </c>
      <c r="C2935">
        <v>2250000</v>
      </c>
      <c r="D2935">
        <v>17396.8</v>
      </c>
      <c r="E2935">
        <v>1.0500000000000001E-2</v>
      </c>
      <c r="F2935">
        <v>7.2599999999999998E-2</v>
      </c>
    </row>
    <row r="2936" spans="1:6" x14ac:dyDescent="0.3">
      <c r="A2936" t="s">
        <v>2971</v>
      </c>
      <c r="B2936" t="s">
        <v>88</v>
      </c>
      <c r="C2936">
        <v>1390000</v>
      </c>
      <c r="D2936">
        <v>3118.8</v>
      </c>
      <c r="E2936">
        <v>0.1237</v>
      </c>
      <c r="F2936">
        <v>9.3799999999999994E-2</v>
      </c>
    </row>
    <row r="2937" spans="1:6" x14ac:dyDescent="0.3">
      <c r="A2937" t="s">
        <v>2972</v>
      </c>
      <c r="B2937" t="s">
        <v>26</v>
      </c>
      <c r="C2937">
        <v>1320000</v>
      </c>
      <c r="D2937">
        <v>643898.4</v>
      </c>
      <c r="E2937">
        <v>3.2399999999999998E-2</v>
      </c>
      <c r="F2937">
        <v>7.5899999999999995E-2</v>
      </c>
    </row>
    <row r="2938" spans="1:6" x14ac:dyDescent="0.3">
      <c r="A2938" t="s">
        <v>2973</v>
      </c>
      <c r="B2938" t="s">
        <v>41</v>
      </c>
      <c r="C2938">
        <v>1000000</v>
      </c>
      <c r="D2938">
        <v>80064.800000000003</v>
      </c>
      <c r="E2938">
        <v>2.9999999999999997E-4</v>
      </c>
      <c r="F2938">
        <v>8.2199999999999995E-2</v>
      </c>
    </row>
    <row r="2939" spans="1:6" x14ac:dyDescent="0.3">
      <c r="A2939" t="s">
        <v>2974</v>
      </c>
      <c r="B2939" t="s">
        <v>26</v>
      </c>
      <c r="C2939">
        <v>1640000</v>
      </c>
      <c r="D2939">
        <v>282305.8</v>
      </c>
      <c r="E2939">
        <v>6.0699999999999997E-2</v>
      </c>
      <c r="F2939">
        <v>4.0899999999999999E-2</v>
      </c>
    </row>
    <row r="2940" spans="1:6" x14ac:dyDescent="0.3">
      <c r="A2940" t="s">
        <v>2975</v>
      </c>
      <c r="B2940" t="s">
        <v>26</v>
      </c>
      <c r="C2940">
        <v>1120000</v>
      </c>
      <c r="D2940">
        <v>11100.1</v>
      </c>
      <c r="E2940">
        <v>4.65E-2</v>
      </c>
      <c r="F2940">
        <v>7.5899999999999995E-2</v>
      </c>
    </row>
    <row r="2941" spans="1:6" x14ac:dyDescent="0.3">
      <c r="A2941" t="s">
        <v>2976</v>
      </c>
      <c r="B2941" t="s">
        <v>74</v>
      </c>
      <c r="C2941">
        <v>1140000</v>
      </c>
      <c r="D2941">
        <v>2383.3000000000002</v>
      </c>
      <c r="E2941">
        <v>2.6700000000000002E-2</v>
      </c>
      <c r="F2941">
        <v>5.0999999999999997E-2</v>
      </c>
    </row>
    <row r="2942" spans="1:6" x14ac:dyDescent="0.3">
      <c r="A2942" t="s">
        <v>2977</v>
      </c>
      <c r="B2942" t="s">
        <v>88</v>
      </c>
      <c r="C2942">
        <v>1020000</v>
      </c>
      <c r="D2942">
        <v>5556.4</v>
      </c>
      <c r="E2942">
        <v>3.1899999999999998E-2</v>
      </c>
      <c r="F2942">
        <v>9.3799999999999994E-2</v>
      </c>
    </row>
    <row r="2943" spans="1:6" x14ac:dyDescent="0.3">
      <c r="A2943" t="s">
        <v>2978</v>
      </c>
      <c r="B2943" t="s">
        <v>214</v>
      </c>
      <c r="C2943">
        <v>1110000</v>
      </c>
      <c r="D2943">
        <v>1404.8</v>
      </c>
      <c r="E2943">
        <v>3.44E-2</v>
      </c>
      <c r="F2943">
        <v>9.3799999999999994E-2</v>
      </c>
    </row>
    <row r="2944" spans="1:6" x14ac:dyDescent="0.3">
      <c r="A2944" t="s">
        <v>2979</v>
      </c>
      <c r="B2944" t="s">
        <v>71</v>
      </c>
      <c r="C2944">
        <v>974000</v>
      </c>
      <c r="D2944">
        <v>3808.8</v>
      </c>
      <c r="E2944">
        <v>3.1699999999999999E-2</v>
      </c>
      <c r="F2944">
        <v>0.1308</v>
      </c>
    </row>
    <row r="2945" spans="1:6" x14ac:dyDescent="0.3">
      <c r="A2945" t="s">
        <v>2980</v>
      </c>
      <c r="B2945" t="s">
        <v>26</v>
      </c>
      <c r="C2945">
        <v>968000</v>
      </c>
      <c r="D2945">
        <v>867.2</v>
      </c>
      <c r="E2945">
        <v>2.23E-2</v>
      </c>
      <c r="F2945">
        <v>0.16880000000000001</v>
      </c>
    </row>
    <row r="2946" spans="1:6" x14ac:dyDescent="0.3">
      <c r="A2946" t="s">
        <v>2981</v>
      </c>
      <c r="B2946" t="s">
        <v>28</v>
      </c>
      <c r="C2946">
        <v>1060000</v>
      </c>
      <c r="D2946">
        <v>32386.799999999999</v>
      </c>
      <c r="E2946">
        <v>8.0000000000000004E-4</v>
      </c>
      <c r="F2946">
        <v>8.2199999999999995E-2</v>
      </c>
    </row>
    <row r="2947" spans="1:6" x14ac:dyDescent="0.3">
      <c r="A2947" t="s">
        <v>2982</v>
      </c>
      <c r="B2947" t="s">
        <v>214</v>
      </c>
      <c r="C2947">
        <v>1200000</v>
      </c>
      <c r="D2947">
        <v>89300.2</v>
      </c>
      <c r="E2947">
        <v>3.5499999999999997E-2</v>
      </c>
      <c r="F2947">
        <v>8.4500000000000006E-2</v>
      </c>
    </row>
    <row r="2948" spans="1:6" x14ac:dyDescent="0.3">
      <c r="A2948" t="s">
        <v>2983</v>
      </c>
      <c r="B2948" t="s">
        <v>50</v>
      </c>
      <c r="C2948">
        <v>1010000</v>
      </c>
      <c r="D2948">
        <v>34243.5</v>
      </c>
      <c r="E2948">
        <v>3.49E-2</v>
      </c>
      <c r="F2948">
        <v>9.5100000000000004E-2</v>
      </c>
    </row>
    <row r="2949" spans="1:6" x14ac:dyDescent="0.3">
      <c r="A2949" t="s">
        <v>2984</v>
      </c>
      <c r="B2949" t="s">
        <v>195</v>
      </c>
      <c r="C2949">
        <v>1280000</v>
      </c>
      <c r="D2949">
        <v>16301.8</v>
      </c>
      <c r="F2949">
        <v>5.3800000000000001E-2</v>
      </c>
    </row>
    <row r="2950" spans="1:6" x14ac:dyDescent="0.3">
      <c r="A2950" t="s">
        <v>2985</v>
      </c>
      <c r="B2950" t="s">
        <v>88</v>
      </c>
      <c r="C2950">
        <v>1120000</v>
      </c>
      <c r="D2950">
        <v>47096.1</v>
      </c>
      <c r="E2950">
        <v>4.4299999999999999E-2</v>
      </c>
      <c r="F2950">
        <v>9.5100000000000004E-2</v>
      </c>
    </row>
    <row r="2951" spans="1:6" x14ac:dyDescent="0.3">
      <c r="A2951" t="s">
        <v>2986</v>
      </c>
      <c r="B2951" t="s">
        <v>26</v>
      </c>
      <c r="C2951">
        <v>960000</v>
      </c>
      <c r="D2951">
        <v>1297562</v>
      </c>
      <c r="E2951">
        <v>4.4999999999999997E-3</v>
      </c>
      <c r="F2951">
        <v>8.2199999999999995E-2</v>
      </c>
    </row>
    <row r="2952" spans="1:6" x14ac:dyDescent="0.3">
      <c r="A2952" t="s">
        <v>2987</v>
      </c>
      <c r="B2952" t="s">
        <v>214</v>
      </c>
      <c r="C2952">
        <v>1330000</v>
      </c>
      <c r="D2952">
        <v>1997.3</v>
      </c>
      <c r="F2952">
        <v>4.0899999999999999E-2</v>
      </c>
    </row>
    <row r="2953" spans="1:6" x14ac:dyDescent="0.3">
      <c r="A2953" t="s">
        <v>2988</v>
      </c>
      <c r="B2953" t="s">
        <v>24</v>
      </c>
      <c r="C2953">
        <v>1630000</v>
      </c>
      <c r="D2953">
        <v>10222.5</v>
      </c>
      <c r="E2953">
        <v>0.1129</v>
      </c>
      <c r="F2953">
        <v>9.3799999999999994E-2</v>
      </c>
    </row>
    <row r="2954" spans="1:6" x14ac:dyDescent="0.3">
      <c r="A2954" t="s">
        <v>2989</v>
      </c>
      <c r="B2954" t="s">
        <v>287</v>
      </c>
      <c r="C2954">
        <v>955000</v>
      </c>
      <c r="D2954">
        <v>3478.9</v>
      </c>
      <c r="E2954">
        <v>1.66E-2</v>
      </c>
      <c r="F2954">
        <v>4.6199999999999998E-2</v>
      </c>
    </row>
    <row r="2955" spans="1:6" x14ac:dyDescent="0.3">
      <c r="A2955" t="s">
        <v>2990</v>
      </c>
      <c r="B2955" t="s">
        <v>24</v>
      </c>
      <c r="C2955">
        <v>1180000</v>
      </c>
      <c r="D2955">
        <v>4224.6000000000004</v>
      </c>
      <c r="E2955">
        <v>1.9199999999999998E-2</v>
      </c>
      <c r="F2955">
        <v>7.5899999999999995E-2</v>
      </c>
    </row>
    <row r="2956" spans="1:6" x14ac:dyDescent="0.3">
      <c r="A2956" t="s">
        <v>2991</v>
      </c>
      <c r="B2956" t="s">
        <v>26</v>
      </c>
      <c r="C2956">
        <v>1200000</v>
      </c>
      <c r="D2956">
        <v>35794.199999999997</v>
      </c>
      <c r="E2956">
        <v>4.9200000000000001E-2</v>
      </c>
      <c r="F2956">
        <v>9.3799999999999994E-2</v>
      </c>
    </row>
    <row r="2957" spans="1:6" x14ac:dyDescent="0.3">
      <c r="A2957" t="s">
        <v>2992</v>
      </c>
      <c r="B2957" t="s">
        <v>214</v>
      </c>
      <c r="C2957">
        <v>998000</v>
      </c>
      <c r="D2957">
        <v>7888.7</v>
      </c>
      <c r="E2957">
        <v>1.38E-2</v>
      </c>
      <c r="F2957">
        <v>6.5699999999999995E-2</v>
      </c>
    </row>
    <row r="2958" spans="1:6" x14ac:dyDescent="0.3">
      <c r="A2958" t="s">
        <v>2993</v>
      </c>
      <c r="B2958" t="s">
        <v>41</v>
      </c>
      <c r="C2958">
        <v>1370000</v>
      </c>
      <c r="D2958">
        <v>890004.7</v>
      </c>
      <c r="E2958">
        <v>1.8599999999999998E-2</v>
      </c>
      <c r="F2958">
        <v>4.6199999999999998E-2</v>
      </c>
    </row>
    <row r="2959" spans="1:6" x14ac:dyDescent="0.3">
      <c r="A2959" t="s">
        <v>2994</v>
      </c>
      <c r="B2959" t="s">
        <v>92</v>
      </c>
      <c r="C2959">
        <v>962000</v>
      </c>
      <c r="D2959">
        <v>4095.7</v>
      </c>
      <c r="E2959">
        <v>1.61E-2</v>
      </c>
      <c r="F2959">
        <v>0.1067</v>
      </c>
    </row>
    <row r="2960" spans="1:6" x14ac:dyDescent="0.3">
      <c r="A2960" t="s">
        <v>2995</v>
      </c>
      <c r="B2960" t="s">
        <v>26</v>
      </c>
      <c r="C2960">
        <v>1910000</v>
      </c>
      <c r="D2960">
        <v>21386.799999999999</v>
      </c>
      <c r="E2960">
        <v>4.1000000000000002E-2</v>
      </c>
      <c r="F2960">
        <v>5.1799999999999999E-2</v>
      </c>
    </row>
    <row r="2961" spans="1:6" x14ac:dyDescent="0.3">
      <c r="A2961" t="s">
        <v>2996</v>
      </c>
      <c r="B2961" t="s">
        <v>35</v>
      </c>
      <c r="C2961">
        <v>988000</v>
      </c>
      <c r="D2961">
        <v>2668.9</v>
      </c>
      <c r="E2961">
        <v>2.2700000000000001E-2</v>
      </c>
      <c r="F2961">
        <v>8.5400000000000004E-2</v>
      </c>
    </row>
    <row r="2962" spans="1:6" x14ac:dyDescent="0.3">
      <c r="A2962" t="s">
        <v>2997</v>
      </c>
      <c r="B2962" t="s">
        <v>88</v>
      </c>
      <c r="C2962">
        <v>1310000</v>
      </c>
      <c r="D2962">
        <v>865794.2</v>
      </c>
      <c r="E2962">
        <v>3.27E-2</v>
      </c>
      <c r="F2962">
        <v>5.1799999999999999E-2</v>
      </c>
    </row>
    <row r="2963" spans="1:6" x14ac:dyDescent="0.3">
      <c r="A2963" t="s">
        <v>2998</v>
      </c>
      <c r="B2963" t="s">
        <v>88</v>
      </c>
      <c r="C2963">
        <v>976000</v>
      </c>
      <c r="D2963">
        <v>2089.4</v>
      </c>
      <c r="E2963">
        <v>2.75E-2</v>
      </c>
      <c r="F2963">
        <v>7.5899999999999995E-2</v>
      </c>
    </row>
    <row r="2964" spans="1:6" x14ac:dyDescent="0.3">
      <c r="A2964" t="s">
        <v>2999</v>
      </c>
      <c r="B2964" t="s">
        <v>21</v>
      </c>
      <c r="C2964">
        <v>1200000</v>
      </c>
      <c r="D2964">
        <v>845.6</v>
      </c>
      <c r="E2964">
        <v>9.7999999999999997E-3</v>
      </c>
      <c r="F2964">
        <v>0.1013</v>
      </c>
    </row>
    <row r="2965" spans="1:6" x14ac:dyDescent="0.3">
      <c r="A2965" t="s">
        <v>3000</v>
      </c>
      <c r="B2965" t="s">
        <v>41</v>
      </c>
      <c r="C2965">
        <v>1140000</v>
      </c>
      <c r="D2965">
        <v>898.3</v>
      </c>
      <c r="E2965">
        <v>6.2100000000000002E-2</v>
      </c>
      <c r="F2965">
        <v>0.15160000000000001</v>
      </c>
    </row>
    <row r="2966" spans="1:6" x14ac:dyDescent="0.3">
      <c r="A2966" t="s">
        <v>3001</v>
      </c>
      <c r="B2966" t="s">
        <v>26</v>
      </c>
      <c r="C2966">
        <v>1080000</v>
      </c>
      <c r="D2966">
        <v>196148.9</v>
      </c>
      <c r="E2966">
        <v>1.3599999999999999E-2</v>
      </c>
      <c r="F2966">
        <v>6.9199999999999998E-2</v>
      </c>
    </row>
    <row r="2967" spans="1:6" x14ac:dyDescent="0.3">
      <c r="A2967" t="s">
        <v>3002</v>
      </c>
      <c r="B2967" t="s">
        <v>21</v>
      </c>
      <c r="C2967">
        <v>1270000</v>
      </c>
      <c r="D2967">
        <v>358.5</v>
      </c>
      <c r="E2967">
        <v>3.4700000000000002E-2</v>
      </c>
      <c r="F2967">
        <v>5.0999999999999997E-2</v>
      </c>
    </row>
    <row r="2968" spans="1:6" x14ac:dyDescent="0.3">
      <c r="A2968" t="s">
        <v>3003</v>
      </c>
      <c r="B2968" t="s">
        <v>26</v>
      </c>
      <c r="C2968">
        <v>1110000</v>
      </c>
      <c r="D2968">
        <v>31592.1</v>
      </c>
      <c r="E2968">
        <v>6.2399999999999997E-2</v>
      </c>
      <c r="F2968">
        <v>7.5899999999999995E-2</v>
      </c>
    </row>
    <row r="2969" spans="1:6" x14ac:dyDescent="0.3">
      <c r="A2969" t="s">
        <v>3004</v>
      </c>
      <c r="B2969" t="s">
        <v>41</v>
      </c>
      <c r="C2969">
        <v>1030000</v>
      </c>
      <c r="D2969">
        <v>2696</v>
      </c>
      <c r="E2969">
        <v>1.14E-2</v>
      </c>
      <c r="F2969">
        <v>0.22670000000000001</v>
      </c>
    </row>
    <row r="2970" spans="1:6" x14ac:dyDescent="0.3">
      <c r="A2970" t="s">
        <v>3005</v>
      </c>
      <c r="B2970" t="s">
        <v>26</v>
      </c>
      <c r="C2970">
        <v>2080000</v>
      </c>
      <c r="D2970">
        <v>75417.7</v>
      </c>
      <c r="F2970">
        <v>4.1200000000000001E-2</v>
      </c>
    </row>
    <row r="2971" spans="1:6" x14ac:dyDescent="0.3">
      <c r="A2971" t="s">
        <v>3006</v>
      </c>
      <c r="B2971" t="s">
        <v>92</v>
      </c>
      <c r="C2971">
        <v>983000</v>
      </c>
      <c r="D2971">
        <v>5819.3</v>
      </c>
      <c r="E2971">
        <v>3.4200000000000001E-2</v>
      </c>
      <c r="F2971">
        <v>7.5899999999999995E-2</v>
      </c>
    </row>
    <row r="2972" spans="1:6" x14ac:dyDescent="0.3">
      <c r="A2972" t="s">
        <v>3007</v>
      </c>
      <c r="B2972" t="s">
        <v>81</v>
      </c>
      <c r="C2972">
        <v>1340000</v>
      </c>
      <c r="D2972">
        <v>18094.3</v>
      </c>
      <c r="E2972">
        <v>2.4400000000000002E-2</v>
      </c>
      <c r="F2972">
        <v>5.0999999999999997E-2</v>
      </c>
    </row>
    <row r="2973" spans="1:6" x14ac:dyDescent="0.3">
      <c r="A2973" t="s">
        <v>3008</v>
      </c>
      <c r="B2973" t="s">
        <v>26</v>
      </c>
      <c r="C2973">
        <v>1080000</v>
      </c>
      <c r="D2973">
        <v>272844.40000000002</v>
      </c>
      <c r="E2973">
        <v>2.2800000000000001E-2</v>
      </c>
      <c r="F2973">
        <v>9.5100000000000004E-2</v>
      </c>
    </row>
    <row r="2974" spans="1:6" x14ac:dyDescent="0.3">
      <c r="A2974" t="s">
        <v>3009</v>
      </c>
      <c r="B2974" t="s">
        <v>30</v>
      </c>
      <c r="C2974">
        <v>994000</v>
      </c>
      <c r="D2974">
        <v>983.1</v>
      </c>
      <c r="E2974">
        <v>7.4000000000000003E-3</v>
      </c>
      <c r="F2974">
        <v>8.1100000000000005E-2</v>
      </c>
    </row>
    <row r="2975" spans="1:6" x14ac:dyDescent="0.3">
      <c r="A2975" t="s">
        <v>3010</v>
      </c>
      <c r="B2975" t="s">
        <v>88</v>
      </c>
      <c r="C2975">
        <v>1160000</v>
      </c>
      <c r="D2975">
        <v>1544</v>
      </c>
      <c r="E2975">
        <v>6.6E-3</v>
      </c>
      <c r="F2975">
        <v>8.2199999999999995E-2</v>
      </c>
    </row>
    <row r="2976" spans="1:6" x14ac:dyDescent="0.3">
      <c r="A2976" t="s">
        <v>3011</v>
      </c>
      <c r="B2976" t="s">
        <v>92</v>
      </c>
      <c r="C2976">
        <v>1030000</v>
      </c>
      <c r="D2976">
        <v>168705.4</v>
      </c>
      <c r="E2976">
        <v>1.46E-2</v>
      </c>
      <c r="F2976">
        <v>8.5400000000000004E-2</v>
      </c>
    </row>
    <row r="2977" spans="1:6" x14ac:dyDescent="0.3">
      <c r="A2977" t="s">
        <v>3012</v>
      </c>
      <c r="B2977" t="s">
        <v>26</v>
      </c>
      <c r="C2977">
        <v>2100000</v>
      </c>
      <c r="D2977">
        <v>753577.4</v>
      </c>
      <c r="E2977">
        <v>8.5000000000000006E-3</v>
      </c>
      <c r="F2977">
        <v>6.54E-2</v>
      </c>
    </row>
    <row r="2978" spans="1:6" x14ac:dyDescent="0.3">
      <c r="A2978" t="s">
        <v>3013</v>
      </c>
      <c r="B2978" t="s">
        <v>214</v>
      </c>
      <c r="C2978">
        <v>1230000</v>
      </c>
      <c r="D2978">
        <v>38624</v>
      </c>
      <c r="E2978">
        <v>3.15E-2</v>
      </c>
      <c r="F2978">
        <v>9.5100000000000004E-2</v>
      </c>
    </row>
    <row r="2979" spans="1:6" x14ac:dyDescent="0.3">
      <c r="A2979" t="s">
        <v>3014</v>
      </c>
      <c r="B2979" t="s">
        <v>74</v>
      </c>
      <c r="C2979">
        <v>1240000</v>
      </c>
      <c r="D2979">
        <v>39560.800000000003</v>
      </c>
      <c r="E2979">
        <v>3.6499999999999998E-2</v>
      </c>
      <c r="F2979">
        <v>9.3799999999999994E-2</v>
      </c>
    </row>
    <row r="2980" spans="1:6" x14ac:dyDescent="0.3">
      <c r="A2980" t="s">
        <v>3015</v>
      </c>
      <c r="B2980" t="s">
        <v>53</v>
      </c>
      <c r="C2980">
        <v>1430000</v>
      </c>
      <c r="D2980">
        <v>67097.100000000006</v>
      </c>
      <c r="E2980">
        <v>1.04E-2</v>
      </c>
      <c r="F2980">
        <v>6.54E-2</v>
      </c>
    </row>
    <row r="2981" spans="1:6" x14ac:dyDescent="0.3">
      <c r="A2981" t="s">
        <v>3016</v>
      </c>
      <c r="B2981" t="s">
        <v>26</v>
      </c>
      <c r="C2981">
        <v>964000</v>
      </c>
      <c r="D2981">
        <v>3713.7</v>
      </c>
      <c r="E2981">
        <v>4.3900000000000002E-2</v>
      </c>
      <c r="F2981">
        <v>9.5100000000000004E-2</v>
      </c>
    </row>
    <row r="2982" spans="1:6" x14ac:dyDescent="0.3">
      <c r="A2982" t="s">
        <v>3017</v>
      </c>
      <c r="B2982" t="s">
        <v>71</v>
      </c>
      <c r="C2982">
        <v>1000000</v>
      </c>
      <c r="D2982">
        <v>34815.5</v>
      </c>
      <c r="E2982">
        <v>1.5800000000000002E-2</v>
      </c>
      <c r="F2982">
        <v>9.3700000000000006E-2</v>
      </c>
    </row>
    <row r="2983" spans="1:6" x14ac:dyDescent="0.3">
      <c r="A2983" t="s">
        <v>3018</v>
      </c>
      <c r="B2983" t="s">
        <v>26</v>
      </c>
      <c r="C2983">
        <v>1100000</v>
      </c>
      <c r="D2983">
        <v>1598.7</v>
      </c>
      <c r="E2983">
        <v>4.4000000000000003E-3</v>
      </c>
      <c r="F2983">
        <v>0.10680000000000001</v>
      </c>
    </row>
    <row r="2984" spans="1:6" x14ac:dyDescent="0.3">
      <c r="A2984" t="s">
        <v>3019</v>
      </c>
      <c r="B2984" t="s">
        <v>81</v>
      </c>
      <c r="C2984">
        <v>1000000</v>
      </c>
      <c r="D2984">
        <v>16063</v>
      </c>
      <c r="E2984">
        <v>6.3500000000000001E-2</v>
      </c>
      <c r="F2984">
        <v>7.5899999999999995E-2</v>
      </c>
    </row>
    <row r="2985" spans="1:6" x14ac:dyDescent="0.3">
      <c r="A2985" t="s">
        <v>3020</v>
      </c>
      <c r="B2985" t="s">
        <v>24</v>
      </c>
      <c r="C2985">
        <v>1100000</v>
      </c>
      <c r="D2985">
        <v>41771.199999999997</v>
      </c>
      <c r="E2985">
        <v>3.56E-2</v>
      </c>
      <c r="F2985">
        <v>9.5100000000000004E-2</v>
      </c>
    </row>
    <row r="2986" spans="1:6" x14ac:dyDescent="0.3">
      <c r="A2986" t="s">
        <v>3021</v>
      </c>
      <c r="B2986" t="s">
        <v>62</v>
      </c>
      <c r="C2986">
        <v>1520000</v>
      </c>
      <c r="D2986">
        <v>238875.3</v>
      </c>
      <c r="E2986">
        <v>4.2099999999999999E-2</v>
      </c>
      <c r="F2986">
        <v>7.5899999999999995E-2</v>
      </c>
    </row>
    <row r="2987" spans="1:6" x14ac:dyDescent="0.3">
      <c r="A2987" t="s">
        <v>3022</v>
      </c>
      <c r="B2987" t="s">
        <v>214</v>
      </c>
      <c r="C2987">
        <v>976000</v>
      </c>
      <c r="D2987">
        <v>8149.8</v>
      </c>
      <c r="E2987">
        <v>4.6899999999999997E-2</v>
      </c>
      <c r="F2987">
        <v>7.5899999999999995E-2</v>
      </c>
    </row>
    <row r="2988" spans="1:6" x14ac:dyDescent="0.3">
      <c r="A2988" t="s">
        <v>3023</v>
      </c>
      <c r="B2988" t="s">
        <v>92</v>
      </c>
      <c r="C2988">
        <v>1010000</v>
      </c>
      <c r="D2988">
        <v>438659.2</v>
      </c>
      <c r="E2988">
        <v>4.7100000000000003E-2</v>
      </c>
      <c r="F2988">
        <v>4.0899999999999999E-2</v>
      </c>
    </row>
    <row r="2989" spans="1:6" x14ac:dyDescent="0.3">
      <c r="A2989" t="s">
        <v>3024</v>
      </c>
      <c r="B2989" t="s">
        <v>26</v>
      </c>
      <c r="C2989">
        <v>1030000</v>
      </c>
      <c r="D2989">
        <v>39217.5</v>
      </c>
      <c r="F2989">
        <v>5.1799999999999999E-2</v>
      </c>
    </row>
    <row r="2990" spans="1:6" x14ac:dyDescent="0.3">
      <c r="A2990" t="s">
        <v>3025</v>
      </c>
      <c r="B2990" t="s">
        <v>26</v>
      </c>
      <c r="C2990">
        <v>1020000</v>
      </c>
      <c r="D2990">
        <v>1441.9</v>
      </c>
      <c r="E2990">
        <v>2.1600000000000001E-2</v>
      </c>
      <c r="F2990">
        <v>0.1053</v>
      </c>
    </row>
    <row r="2991" spans="1:6" x14ac:dyDescent="0.3">
      <c r="A2991" t="s">
        <v>3026</v>
      </c>
      <c r="B2991" t="s">
        <v>88</v>
      </c>
      <c r="C2991">
        <v>1180000</v>
      </c>
      <c r="D2991">
        <v>16818.2</v>
      </c>
      <c r="E2991">
        <v>5.67E-2</v>
      </c>
      <c r="F2991">
        <v>9.3799999999999994E-2</v>
      </c>
    </row>
    <row r="2992" spans="1:6" x14ac:dyDescent="0.3">
      <c r="A2992" t="s">
        <v>3027</v>
      </c>
      <c r="B2992" t="s">
        <v>53</v>
      </c>
      <c r="C2992">
        <v>2620000</v>
      </c>
      <c r="D2992">
        <v>1528952.7</v>
      </c>
      <c r="E2992">
        <v>2.0199999999999999E-2</v>
      </c>
      <c r="F2992">
        <v>7.5899999999999995E-2</v>
      </c>
    </row>
    <row r="2993" spans="1:6" x14ac:dyDescent="0.3">
      <c r="A2993" t="s">
        <v>3028</v>
      </c>
      <c r="B2993" t="s">
        <v>88</v>
      </c>
      <c r="C2993">
        <v>1290000</v>
      </c>
      <c r="D2993">
        <v>1130517.3999999999</v>
      </c>
      <c r="E2993">
        <v>2.0199999999999999E-2</v>
      </c>
      <c r="F2993">
        <v>0.1067</v>
      </c>
    </row>
    <row r="2994" spans="1:6" x14ac:dyDescent="0.3">
      <c r="A2994" t="s">
        <v>3029</v>
      </c>
      <c r="B2994" t="s">
        <v>26</v>
      </c>
      <c r="C2994">
        <v>1000000</v>
      </c>
      <c r="D2994">
        <v>8792.7000000000007</v>
      </c>
      <c r="E2994">
        <v>2.7400000000000001E-2</v>
      </c>
      <c r="F2994">
        <v>9.5100000000000004E-2</v>
      </c>
    </row>
    <row r="2995" spans="1:6" x14ac:dyDescent="0.3">
      <c r="A2995" t="s">
        <v>3030</v>
      </c>
      <c r="B2995" t="s">
        <v>50</v>
      </c>
      <c r="C2995">
        <v>1360000</v>
      </c>
      <c r="D2995">
        <v>642924.9</v>
      </c>
      <c r="E2995">
        <v>3.0099999999999998E-2</v>
      </c>
      <c r="F2995">
        <v>5.1799999999999999E-2</v>
      </c>
    </row>
    <row r="2996" spans="1:6" x14ac:dyDescent="0.3">
      <c r="A2996" t="s">
        <v>3031</v>
      </c>
      <c r="B2996" t="s">
        <v>21</v>
      </c>
      <c r="C2996">
        <v>1060000</v>
      </c>
      <c r="D2996">
        <v>476.7</v>
      </c>
      <c r="E2996">
        <v>4.6699999999999998E-2</v>
      </c>
      <c r="F2996">
        <v>9.3799999999999994E-2</v>
      </c>
    </row>
    <row r="2997" spans="1:6" x14ac:dyDescent="0.3">
      <c r="A2997" t="s">
        <v>3032</v>
      </c>
      <c r="B2997" t="s">
        <v>26</v>
      </c>
      <c r="C2997">
        <v>1930000</v>
      </c>
      <c r="D2997">
        <v>81688.899999999994</v>
      </c>
      <c r="E2997">
        <v>4.8899999999999999E-2</v>
      </c>
      <c r="F2997">
        <v>7.5899999999999995E-2</v>
      </c>
    </row>
    <row r="2998" spans="1:6" x14ac:dyDescent="0.3">
      <c r="A2998" t="s">
        <v>3033</v>
      </c>
      <c r="B2998" t="s">
        <v>21</v>
      </c>
      <c r="C2998">
        <v>3930000</v>
      </c>
      <c r="D2998">
        <v>43635.6</v>
      </c>
      <c r="E2998">
        <v>6.1000000000000004E-3</v>
      </c>
      <c r="F2998">
        <v>6.54E-2</v>
      </c>
    </row>
    <row r="2999" spans="1:6" x14ac:dyDescent="0.3">
      <c r="A2999" t="s">
        <v>3034</v>
      </c>
      <c r="B2999" t="s">
        <v>26</v>
      </c>
      <c r="C2999">
        <v>1260000</v>
      </c>
      <c r="D2999">
        <v>49457.7</v>
      </c>
      <c r="E2999">
        <v>2.4E-2</v>
      </c>
      <c r="F2999">
        <v>9.5100000000000004E-2</v>
      </c>
    </row>
    <row r="3000" spans="1:6" x14ac:dyDescent="0.3">
      <c r="A3000" t="s">
        <v>3035</v>
      </c>
      <c r="B3000" t="s">
        <v>24</v>
      </c>
      <c r="C3000">
        <v>4220000</v>
      </c>
      <c r="D3000">
        <v>1378401.7</v>
      </c>
      <c r="E3000">
        <v>5.74E-2</v>
      </c>
      <c r="F3000">
        <v>4.0899999999999999E-2</v>
      </c>
    </row>
    <row r="3001" spans="1:6" x14ac:dyDescent="0.3">
      <c r="A3001" t="s">
        <v>3036</v>
      </c>
      <c r="B3001" t="s">
        <v>26</v>
      </c>
      <c r="C3001">
        <v>916000</v>
      </c>
      <c r="F3001">
        <v>7.5899999999999995E-2</v>
      </c>
    </row>
    <row r="3002" spans="1:6" x14ac:dyDescent="0.3">
      <c r="A3002" t="s">
        <v>3037</v>
      </c>
      <c r="B3002" t="s">
        <v>26</v>
      </c>
      <c r="C3002">
        <v>1080000</v>
      </c>
      <c r="D3002">
        <v>46714.8</v>
      </c>
      <c r="E3002">
        <v>3.0800000000000001E-2</v>
      </c>
      <c r="F3002">
        <v>4.0899999999999999E-2</v>
      </c>
    </row>
    <row r="3003" spans="1:6" x14ac:dyDescent="0.3">
      <c r="A3003" t="s">
        <v>3038</v>
      </c>
      <c r="B3003" t="s">
        <v>74</v>
      </c>
      <c r="C3003">
        <v>986000</v>
      </c>
      <c r="D3003">
        <v>155314.79999999999</v>
      </c>
      <c r="E3003">
        <v>3.4000000000000002E-2</v>
      </c>
      <c r="F3003">
        <v>9.5100000000000004E-2</v>
      </c>
    </row>
    <row r="3004" spans="1:6" x14ac:dyDescent="0.3">
      <c r="A3004" t="s">
        <v>3039</v>
      </c>
      <c r="B3004" t="s">
        <v>88</v>
      </c>
      <c r="C3004">
        <v>1470000</v>
      </c>
      <c r="D3004">
        <v>1253.0999999999999</v>
      </c>
      <c r="E3004">
        <v>2.2499999999999999E-2</v>
      </c>
      <c r="F3004">
        <v>9.3799999999999994E-2</v>
      </c>
    </row>
    <row r="3005" spans="1:6" x14ac:dyDescent="0.3">
      <c r="A3005" t="s">
        <v>3040</v>
      </c>
      <c r="B3005" t="s">
        <v>74</v>
      </c>
      <c r="C3005">
        <v>960000</v>
      </c>
      <c r="D3005">
        <v>8790.4</v>
      </c>
      <c r="E3005">
        <v>9.0899999999999995E-2</v>
      </c>
      <c r="F3005">
        <v>7.5899999999999995E-2</v>
      </c>
    </row>
    <row r="3006" spans="1:6" x14ac:dyDescent="0.3">
      <c r="A3006" t="s">
        <v>3041</v>
      </c>
      <c r="B3006" t="s">
        <v>26</v>
      </c>
      <c r="C3006">
        <v>1110000</v>
      </c>
      <c r="D3006">
        <v>1018505.1</v>
      </c>
      <c r="E3006">
        <v>1.11E-2</v>
      </c>
      <c r="F3006">
        <v>8.2199999999999995E-2</v>
      </c>
    </row>
    <row r="3007" spans="1:6" x14ac:dyDescent="0.3">
      <c r="A3007" t="s">
        <v>3042</v>
      </c>
      <c r="B3007" t="s">
        <v>81</v>
      </c>
      <c r="C3007">
        <v>1060000</v>
      </c>
      <c r="D3007">
        <v>305153.2</v>
      </c>
      <c r="E3007">
        <v>1.7100000000000001E-2</v>
      </c>
      <c r="F3007">
        <v>0.1067</v>
      </c>
    </row>
    <row r="3008" spans="1:6" x14ac:dyDescent="0.3">
      <c r="A3008" t="s">
        <v>3043</v>
      </c>
      <c r="B3008" t="s">
        <v>26</v>
      </c>
      <c r="C3008">
        <v>1000000</v>
      </c>
      <c r="D3008">
        <v>72671.3</v>
      </c>
      <c r="E3008">
        <v>1.7100000000000001E-2</v>
      </c>
      <c r="F3008">
        <v>0.1067</v>
      </c>
    </row>
    <row r="3009" spans="1:6" x14ac:dyDescent="0.3">
      <c r="A3009" t="s">
        <v>3044</v>
      </c>
      <c r="B3009" t="s">
        <v>24</v>
      </c>
      <c r="C3009">
        <v>1130000</v>
      </c>
      <c r="D3009">
        <v>2031.6</v>
      </c>
      <c r="E3009">
        <v>1.7299999999999999E-2</v>
      </c>
      <c r="F3009">
        <v>4.6199999999999998E-2</v>
      </c>
    </row>
    <row r="3010" spans="1:6" x14ac:dyDescent="0.3">
      <c r="A3010" t="s">
        <v>3045</v>
      </c>
      <c r="B3010" t="s">
        <v>92</v>
      </c>
      <c r="C3010">
        <v>1010000</v>
      </c>
      <c r="D3010">
        <v>9049.2999999999993</v>
      </c>
      <c r="E3010">
        <v>1.5599999999999999E-2</v>
      </c>
      <c r="F3010">
        <v>0.1053</v>
      </c>
    </row>
    <row r="3011" spans="1:6" x14ac:dyDescent="0.3">
      <c r="A3011" t="s">
        <v>3046</v>
      </c>
      <c r="B3011" t="s">
        <v>88</v>
      </c>
      <c r="C3011">
        <v>2100000</v>
      </c>
      <c r="D3011">
        <v>8735</v>
      </c>
      <c r="E3011">
        <v>8.7999999999999995E-2</v>
      </c>
      <c r="F3011">
        <v>9.3799999999999994E-2</v>
      </c>
    </row>
    <row r="3012" spans="1:6" x14ac:dyDescent="0.3">
      <c r="A3012" t="s">
        <v>3047</v>
      </c>
      <c r="B3012" t="s">
        <v>26</v>
      </c>
      <c r="C3012">
        <v>1390000</v>
      </c>
      <c r="D3012">
        <v>15278.8</v>
      </c>
      <c r="E3012">
        <v>5.2499999999999998E-2</v>
      </c>
      <c r="F3012">
        <v>9.3799999999999994E-2</v>
      </c>
    </row>
    <row r="3013" spans="1:6" x14ac:dyDescent="0.3">
      <c r="A3013" t="s">
        <v>3048</v>
      </c>
      <c r="B3013" t="s">
        <v>287</v>
      </c>
      <c r="C3013">
        <v>985000</v>
      </c>
      <c r="D3013">
        <v>20404.5</v>
      </c>
      <c r="E3013">
        <v>2.4400000000000002E-2</v>
      </c>
      <c r="F3013">
        <v>7.5899999999999995E-2</v>
      </c>
    </row>
    <row r="3014" spans="1:6" x14ac:dyDescent="0.3">
      <c r="A3014" t="s">
        <v>3049</v>
      </c>
      <c r="B3014" t="s">
        <v>21</v>
      </c>
      <c r="C3014">
        <v>1180000</v>
      </c>
      <c r="D3014">
        <v>27612</v>
      </c>
      <c r="E3014">
        <v>4.2000000000000003E-2</v>
      </c>
      <c r="F3014">
        <v>0.15160000000000001</v>
      </c>
    </row>
    <row r="3015" spans="1:6" x14ac:dyDescent="0.3">
      <c r="A3015" t="s">
        <v>3050</v>
      </c>
      <c r="B3015" t="s">
        <v>24</v>
      </c>
      <c r="C3015">
        <v>1550000</v>
      </c>
      <c r="D3015">
        <v>109246.7</v>
      </c>
      <c r="E3015">
        <v>1.2699999999999999E-2</v>
      </c>
      <c r="F3015">
        <v>4.6199999999999998E-2</v>
      </c>
    </row>
    <row r="3016" spans="1:6" x14ac:dyDescent="0.3">
      <c r="A3016" t="s">
        <v>3051</v>
      </c>
      <c r="B3016" t="s">
        <v>287</v>
      </c>
      <c r="C3016">
        <v>979000</v>
      </c>
      <c r="D3016">
        <v>33774.1</v>
      </c>
      <c r="E3016">
        <v>1.7399999999999999E-2</v>
      </c>
      <c r="F3016">
        <v>0.14460000000000001</v>
      </c>
    </row>
    <row r="3017" spans="1:6" x14ac:dyDescent="0.3">
      <c r="A3017" t="s">
        <v>3052</v>
      </c>
      <c r="B3017" t="s">
        <v>26</v>
      </c>
      <c r="C3017">
        <v>1140000</v>
      </c>
      <c r="D3017">
        <v>83403.199999999997</v>
      </c>
      <c r="E3017">
        <v>2.7300000000000001E-2</v>
      </c>
      <c r="F3017">
        <v>5.1799999999999999E-2</v>
      </c>
    </row>
    <row r="3018" spans="1:6" x14ac:dyDescent="0.3">
      <c r="A3018" t="s">
        <v>3053</v>
      </c>
      <c r="B3018" t="s">
        <v>88</v>
      </c>
      <c r="C3018">
        <v>982000</v>
      </c>
      <c r="D3018">
        <v>925.2</v>
      </c>
      <c r="E3018">
        <v>2.4500000000000001E-2</v>
      </c>
      <c r="F3018">
        <v>0.11700000000000001</v>
      </c>
    </row>
    <row r="3019" spans="1:6" x14ac:dyDescent="0.3">
      <c r="A3019" t="s">
        <v>3054</v>
      </c>
      <c r="B3019" t="s">
        <v>26</v>
      </c>
      <c r="C3019">
        <v>959000</v>
      </c>
      <c r="D3019">
        <v>1125.8</v>
      </c>
      <c r="E3019">
        <v>2.6100000000000002E-2</v>
      </c>
      <c r="F3019">
        <v>7.5899999999999995E-2</v>
      </c>
    </row>
    <row r="3020" spans="1:6" x14ac:dyDescent="0.3">
      <c r="A3020" t="s">
        <v>3055</v>
      </c>
      <c r="B3020" t="s">
        <v>26</v>
      </c>
      <c r="C3020">
        <v>955000</v>
      </c>
      <c r="D3020">
        <v>176386</v>
      </c>
      <c r="E3020">
        <v>7.7999999999999996E-3</v>
      </c>
      <c r="F3020">
        <v>0.1187</v>
      </c>
    </row>
    <row r="3021" spans="1:6" x14ac:dyDescent="0.3">
      <c r="A3021" t="s">
        <v>3056</v>
      </c>
      <c r="B3021" t="s">
        <v>287</v>
      </c>
      <c r="C3021">
        <v>1180000</v>
      </c>
      <c r="D3021">
        <v>1195.3</v>
      </c>
      <c r="E3021">
        <v>2.41E-2</v>
      </c>
      <c r="F3021">
        <v>5.0999999999999997E-2</v>
      </c>
    </row>
    <row r="3022" spans="1:6" x14ac:dyDescent="0.3">
      <c r="A3022" t="s">
        <v>3057</v>
      </c>
      <c r="B3022" t="s">
        <v>41</v>
      </c>
      <c r="C3022">
        <v>1140000</v>
      </c>
      <c r="D3022">
        <v>61250.9</v>
      </c>
      <c r="E3022">
        <v>1.01E-2</v>
      </c>
      <c r="F3022">
        <v>6.54E-2</v>
      </c>
    </row>
    <row r="3023" spans="1:6" x14ac:dyDescent="0.3">
      <c r="A3023" t="s">
        <v>3058</v>
      </c>
      <c r="B3023" t="s">
        <v>92</v>
      </c>
      <c r="C3023">
        <v>965000</v>
      </c>
      <c r="D3023">
        <v>4555.5</v>
      </c>
      <c r="E3023">
        <v>2.8799999999999999E-2</v>
      </c>
      <c r="F3023">
        <v>7.5899999999999995E-2</v>
      </c>
    </row>
    <row r="3024" spans="1:6" x14ac:dyDescent="0.3">
      <c r="A3024" t="s">
        <v>3059</v>
      </c>
      <c r="B3024" t="s">
        <v>26</v>
      </c>
      <c r="C3024">
        <v>950000</v>
      </c>
      <c r="D3024">
        <v>2277</v>
      </c>
      <c r="E3024">
        <v>2.3800000000000002E-2</v>
      </c>
      <c r="F3024">
        <v>9.5100000000000004E-2</v>
      </c>
    </row>
    <row r="3025" spans="1:6" x14ac:dyDescent="0.3">
      <c r="A3025" t="s">
        <v>3060</v>
      </c>
      <c r="B3025" t="s">
        <v>214</v>
      </c>
      <c r="C3025">
        <v>1000000</v>
      </c>
      <c r="D3025">
        <v>3174.2</v>
      </c>
      <c r="E3025">
        <v>1.6299999999999999E-2</v>
      </c>
      <c r="F3025">
        <v>9.4899999999999998E-2</v>
      </c>
    </row>
    <row r="3026" spans="1:6" x14ac:dyDescent="0.3">
      <c r="A3026" t="s">
        <v>3061</v>
      </c>
      <c r="B3026" t="s">
        <v>24</v>
      </c>
      <c r="C3026">
        <v>1190000</v>
      </c>
      <c r="D3026">
        <v>631514.6</v>
      </c>
      <c r="E3026">
        <v>2.0500000000000001E-2</v>
      </c>
      <c r="F3026">
        <v>0.1067</v>
      </c>
    </row>
    <row r="3027" spans="1:6" x14ac:dyDescent="0.3">
      <c r="A3027" t="s">
        <v>3062</v>
      </c>
      <c r="B3027" t="s">
        <v>26</v>
      </c>
      <c r="C3027">
        <v>1300000</v>
      </c>
      <c r="D3027">
        <v>464684.1</v>
      </c>
      <c r="E3027">
        <v>1.5699999999999999E-2</v>
      </c>
      <c r="F3027">
        <v>6.88E-2</v>
      </c>
    </row>
    <row r="3028" spans="1:6" x14ac:dyDescent="0.3">
      <c r="A3028" t="s">
        <v>3063</v>
      </c>
      <c r="B3028" t="s">
        <v>24</v>
      </c>
      <c r="C3028">
        <v>1270000</v>
      </c>
      <c r="D3028">
        <v>26308.2</v>
      </c>
      <c r="E3028">
        <v>2.9700000000000001E-2</v>
      </c>
      <c r="F3028">
        <v>7.5899999999999995E-2</v>
      </c>
    </row>
    <row r="3029" spans="1:6" x14ac:dyDescent="0.3">
      <c r="A3029" t="s">
        <v>3064</v>
      </c>
      <c r="B3029" t="s">
        <v>62</v>
      </c>
      <c r="C3029">
        <v>960000</v>
      </c>
      <c r="D3029">
        <v>23089.200000000001</v>
      </c>
      <c r="E3029">
        <v>3.5400000000000001E-2</v>
      </c>
      <c r="F3029">
        <v>9.5100000000000004E-2</v>
      </c>
    </row>
    <row r="3030" spans="1:6" x14ac:dyDescent="0.3">
      <c r="A3030" t="s">
        <v>3065</v>
      </c>
      <c r="B3030" t="s">
        <v>214</v>
      </c>
      <c r="C3030">
        <v>3070000</v>
      </c>
      <c r="D3030">
        <v>35715.9</v>
      </c>
      <c r="E3030">
        <v>1.2200000000000001E-2</v>
      </c>
      <c r="F3030">
        <v>4.6199999999999998E-2</v>
      </c>
    </row>
    <row r="3031" spans="1:6" x14ac:dyDescent="0.3">
      <c r="A3031" t="s">
        <v>3066</v>
      </c>
      <c r="B3031" t="s">
        <v>88</v>
      </c>
      <c r="C3031">
        <v>1520000</v>
      </c>
      <c r="D3031">
        <v>31932.9</v>
      </c>
      <c r="E3031">
        <v>7.3499999999999996E-2</v>
      </c>
      <c r="F3031">
        <v>9.3799999999999994E-2</v>
      </c>
    </row>
    <row r="3032" spans="1:6" x14ac:dyDescent="0.3">
      <c r="A3032" t="s">
        <v>3067</v>
      </c>
      <c r="B3032" t="s">
        <v>26</v>
      </c>
      <c r="C3032">
        <v>1590000</v>
      </c>
      <c r="D3032">
        <v>39865.800000000003</v>
      </c>
      <c r="E3032">
        <v>5.6300000000000003E-2</v>
      </c>
      <c r="F3032">
        <v>9.3799999999999994E-2</v>
      </c>
    </row>
    <row r="3033" spans="1:6" x14ac:dyDescent="0.3">
      <c r="A3033" t="s">
        <v>3068</v>
      </c>
      <c r="B3033" t="s">
        <v>30</v>
      </c>
      <c r="C3033">
        <v>1080000</v>
      </c>
      <c r="D3033">
        <v>1769919.4</v>
      </c>
      <c r="E3033">
        <v>5.11E-2</v>
      </c>
      <c r="F3033">
        <v>9.5100000000000004E-2</v>
      </c>
    </row>
    <row r="3034" spans="1:6" x14ac:dyDescent="0.3">
      <c r="A3034" t="s">
        <v>3069</v>
      </c>
      <c r="B3034" t="s">
        <v>62</v>
      </c>
      <c r="C3034">
        <v>2440000</v>
      </c>
      <c r="D3034">
        <v>357910.6</v>
      </c>
      <c r="E3034">
        <v>4.3900000000000002E-2</v>
      </c>
      <c r="F3034">
        <v>7.5899999999999995E-2</v>
      </c>
    </row>
    <row r="3035" spans="1:6" x14ac:dyDescent="0.3">
      <c r="A3035" t="s">
        <v>3070</v>
      </c>
      <c r="B3035" t="s">
        <v>26</v>
      </c>
      <c r="C3035">
        <v>1690000</v>
      </c>
      <c r="D3035">
        <v>32273.3</v>
      </c>
      <c r="E3035">
        <v>6.3E-3</v>
      </c>
      <c r="F3035">
        <v>0.14360000000000001</v>
      </c>
    </row>
    <row r="3036" spans="1:6" x14ac:dyDescent="0.3">
      <c r="A3036" t="s">
        <v>3071</v>
      </c>
      <c r="B3036" t="s">
        <v>30</v>
      </c>
      <c r="C3036">
        <v>1510000</v>
      </c>
      <c r="D3036">
        <v>131261.29999999999</v>
      </c>
      <c r="E3036">
        <v>2.0500000000000001E-2</v>
      </c>
      <c r="F3036">
        <v>5.7599999999999998E-2</v>
      </c>
    </row>
    <row r="3037" spans="1:6" x14ac:dyDescent="0.3">
      <c r="A3037" t="s">
        <v>3072</v>
      </c>
      <c r="B3037" t="s">
        <v>41</v>
      </c>
      <c r="C3037">
        <v>961000</v>
      </c>
      <c r="D3037">
        <v>601175.9</v>
      </c>
      <c r="E3037">
        <v>3.5200000000000002E-2</v>
      </c>
      <c r="F3037">
        <v>9.5100000000000004E-2</v>
      </c>
    </row>
    <row r="3038" spans="1:6" x14ac:dyDescent="0.3">
      <c r="A3038" t="s">
        <v>3073</v>
      </c>
      <c r="B3038" t="s">
        <v>26</v>
      </c>
      <c r="C3038">
        <v>1060000</v>
      </c>
      <c r="D3038">
        <v>3709.5</v>
      </c>
      <c r="E3038">
        <v>1.43E-2</v>
      </c>
      <c r="F3038">
        <v>4.6199999999999998E-2</v>
      </c>
    </row>
    <row r="3039" spans="1:6" x14ac:dyDescent="0.3">
      <c r="A3039" t="s">
        <v>3074</v>
      </c>
      <c r="B3039" t="s">
        <v>92</v>
      </c>
      <c r="C3039">
        <v>1390000</v>
      </c>
      <c r="D3039">
        <v>74877.899999999994</v>
      </c>
      <c r="E3039">
        <v>2.5999999999999999E-3</v>
      </c>
      <c r="F3039">
        <v>8.2100000000000006E-2</v>
      </c>
    </row>
    <row r="3040" spans="1:6" x14ac:dyDescent="0.3">
      <c r="A3040" t="s">
        <v>3075</v>
      </c>
      <c r="B3040" t="s">
        <v>62</v>
      </c>
      <c r="C3040">
        <v>1520000</v>
      </c>
      <c r="D3040">
        <v>47704</v>
      </c>
      <c r="E3040">
        <v>6.4799999999999996E-2</v>
      </c>
      <c r="F3040">
        <v>7.5899999999999995E-2</v>
      </c>
    </row>
    <row r="3041" spans="1:6" x14ac:dyDescent="0.3">
      <c r="A3041" t="s">
        <v>3076</v>
      </c>
      <c r="B3041" t="s">
        <v>62</v>
      </c>
      <c r="C3041">
        <v>1530000</v>
      </c>
      <c r="D3041">
        <v>43662.9</v>
      </c>
      <c r="E3041">
        <v>1.11E-2</v>
      </c>
      <c r="F3041">
        <v>8.1100000000000005E-2</v>
      </c>
    </row>
    <row r="3042" spans="1:6" x14ac:dyDescent="0.3">
      <c r="A3042" t="s">
        <v>3077</v>
      </c>
      <c r="B3042" t="s">
        <v>26</v>
      </c>
      <c r="C3042">
        <v>947000</v>
      </c>
      <c r="D3042">
        <v>46988.4</v>
      </c>
      <c r="E3042">
        <v>1.15E-2</v>
      </c>
      <c r="F3042">
        <v>0.14710000000000001</v>
      </c>
    </row>
    <row r="3043" spans="1:6" x14ac:dyDescent="0.3">
      <c r="A3043" t="s">
        <v>3078</v>
      </c>
      <c r="B3043" t="s">
        <v>214</v>
      </c>
      <c r="C3043">
        <v>923000</v>
      </c>
      <c r="D3043">
        <v>1089.5999999999999</v>
      </c>
      <c r="E3043">
        <v>5.62E-2</v>
      </c>
      <c r="F3043">
        <v>9.3799999999999994E-2</v>
      </c>
    </row>
    <row r="3044" spans="1:6" x14ac:dyDescent="0.3">
      <c r="A3044" t="s">
        <v>3079</v>
      </c>
      <c r="B3044" t="s">
        <v>50</v>
      </c>
      <c r="C3044">
        <v>926000</v>
      </c>
      <c r="D3044">
        <v>10599.6</v>
      </c>
      <c r="E3044">
        <v>2.8899999999999999E-2</v>
      </c>
      <c r="F3044">
        <v>9.5100000000000004E-2</v>
      </c>
    </row>
    <row r="3045" spans="1:6" x14ac:dyDescent="0.3">
      <c r="A3045" t="s">
        <v>3080</v>
      </c>
      <c r="B3045" t="s">
        <v>88</v>
      </c>
      <c r="C3045">
        <v>1370000</v>
      </c>
      <c r="D3045">
        <v>1157.5</v>
      </c>
      <c r="E3045">
        <v>7.0900000000000005E-2</v>
      </c>
      <c r="F3045">
        <v>9.3799999999999994E-2</v>
      </c>
    </row>
    <row r="3046" spans="1:6" x14ac:dyDescent="0.3">
      <c r="A3046" t="s">
        <v>3081</v>
      </c>
      <c r="B3046" t="s">
        <v>88</v>
      </c>
      <c r="C3046">
        <v>1300000</v>
      </c>
      <c r="D3046">
        <v>16364.6</v>
      </c>
      <c r="E3046">
        <v>4.6800000000000001E-2</v>
      </c>
      <c r="F3046">
        <v>0.11700000000000001</v>
      </c>
    </row>
    <row r="3047" spans="1:6" x14ac:dyDescent="0.3">
      <c r="A3047" t="s">
        <v>3082</v>
      </c>
      <c r="B3047" t="s">
        <v>88</v>
      </c>
      <c r="C3047">
        <v>2560000</v>
      </c>
      <c r="D3047">
        <v>339.9</v>
      </c>
      <c r="E3047">
        <v>7.17E-2</v>
      </c>
      <c r="F3047">
        <v>9.3799999999999994E-2</v>
      </c>
    </row>
    <row r="3048" spans="1:6" x14ac:dyDescent="0.3">
      <c r="A3048" t="s">
        <v>3083</v>
      </c>
      <c r="B3048" t="s">
        <v>26</v>
      </c>
      <c r="C3048">
        <v>1080000</v>
      </c>
      <c r="D3048">
        <v>2377</v>
      </c>
      <c r="F3048">
        <v>5.4600000000000003E-2</v>
      </c>
    </row>
    <row r="3049" spans="1:6" x14ac:dyDescent="0.3">
      <c r="A3049" t="s">
        <v>3084</v>
      </c>
      <c r="B3049" t="s">
        <v>24</v>
      </c>
      <c r="C3049">
        <v>1160000</v>
      </c>
      <c r="D3049">
        <v>36689.800000000003</v>
      </c>
      <c r="E3049">
        <v>5.5399999999999998E-2</v>
      </c>
      <c r="F3049">
        <v>9.3799999999999994E-2</v>
      </c>
    </row>
    <row r="3050" spans="1:6" x14ac:dyDescent="0.3">
      <c r="A3050" t="s">
        <v>3085</v>
      </c>
      <c r="B3050" t="s">
        <v>26</v>
      </c>
      <c r="C3050">
        <v>948000</v>
      </c>
      <c r="D3050">
        <v>7713.1</v>
      </c>
      <c r="E3050">
        <v>1.95E-2</v>
      </c>
      <c r="F3050">
        <v>9.5100000000000004E-2</v>
      </c>
    </row>
    <row r="3051" spans="1:6" x14ac:dyDescent="0.3">
      <c r="A3051" t="s">
        <v>3086</v>
      </c>
      <c r="B3051" t="s">
        <v>62</v>
      </c>
      <c r="C3051">
        <v>912000</v>
      </c>
      <c r="D3051">
        <v>2589.1999999999998</v>
      </c>
      <c r="E3051">
        <v>2.58E-2</v>
      </c>
      <c r="F3051">
        <v>9.5100000000000004E-2</v>
      </c>
    </row>
    <row r="3052" spans="1:6" x14ac:dyDescent="0.3">
      <c r="A3052" t="s">
        <v>3087</v>
      </c>
      <c r="B3052" t="s">
        <v>26</v>
      </c>
      <c r="C3052">
        <v>1620000</v>
      </c>
      <c r="D3052">
        <v>17838.099999999999</v>
      </c>
      <c r="E3052">
        <v>3.4799999999999998E-2</v>
      </c>
      <c r="F3052">
        <v>5.0999999999999997E-2</v>
      </c>
    </row>
    <row r="3053" spans="1:6" x14ac:dyDescent="0.3">
      <c r="A3053" t="s">
        <v>3088</v>
      </c>
      <c r="B3053" t="s">
        <v>24</v>
      </c>
      <c r="C3053">
        <v>1050000</v>
      </c>
      <c r="D3053">
        <v>394724.6</v>
      </c>
      <c r="E3053">
        <v>4.7199999999999999E-2</v>
      </c>
      <c r="F3053">
        <v>9.5100000000000004E-2</v>
      </c>
    </row>
    <row r="3054" spans="1:6" x14ac:dyDescent="0.3">
      <c r="A3054" t="s">
        <v>3089</v>
      </c>
      <c r="B3054" t="s">
        <v>88</v>
      </c>
      <c r="C3054">
        <v>1240000</v>
      </c>
      <c r="D3054">
        <v>884.9</v>
      </c>
      <c r="E3054">
        <v>5.74E-2</v>
      </c>
      <c r="F3054">
        <v>5.3800000000000001E-2</v>
      </c>
    </row>
    <row r="3055" spans="1:6" x14ac:dyDescent="0.3">
      <c r="A3055" t="s">
        <v>3090</v>
      </c>
      <c r="B3055" t="s">
        <v>50</v>
      </c>
      <c r="C3055">
        <v>1550000</v>
      </c>
      <c r="D3055">
        <v>397884.3</v>
      </c>
      <c r="E3055">
        <v>3.6299999999999999E-2</v>
      </c>
      <c r="F3055">
        <v>7.5899999999999995E-2</v>
      </c>
    </row>
    <row r="3056" spans="1:6" x14ac:dyDescent="0.3">
      <c r="A3056" t="s">
        <v>3091</v>
      </c>
      <c r="B3056" t="s">
        <v>26</v>
      </c>
      <c r="C3056">
        <v>907000</v>
      </c>
      <c r="D3056">
        <v>2351.1999999999998</v>
      </c>
      <c r="E3056">
        <v>4.5900000000000003E-2</v>
      </c>
      <c r="F3056">
        <v>7.5899999999999995E-2</v>
      </c>
    </row>
    <row r="3057" spans="1:6" x14ac:dyDescent="0.3">
      <c r="A3057" t="s">
        <v>3092</v>
      </c>
      <c r="B3057" t="s">
        <v>41</v>
      </c>
      <c r="C3057">
        <v>1650000</v>
      </c>
      <c r="D3057">
        <v>5343.3</v>
      </c>
      <c r="E3057">
        <v>2.2499999999999999E-2</v>
      </c>
      <c r="F3057">
        <v>9.3799999999999994E-2</v>
      </c>
    </row>
    <row r="3058" spans="1:6" x14ac:dyDescent="0.3">
      <c r="A3058" t="s">
        <v>3093</v>
      </c>
      <c r="B3058" t="s">
        <v>26</v>
      </c>
      <c r="C3058">
        <v>979000</v>
      </c>
      <c r="D3058">
        <v>1394.3</v>
      </c>
      <c r="E3058">
        <v>4.1000000000000003E-3</v>
      </c>
      <c r="F3058">
        <v>8.2199999999999995E-2</v>
      </c>
    </row>
    <row r="3059" spans="1:6" x14ac:dyDescent="0.3">
      <c r="A3059" t="s">
        <v>3094</v>
      </c>
      <c r="B3059" t="s">
        <v>88</v>
      </c>
      <c r="C3059">
        <v>2620000</v>
      </c>
      <c r="D3059">
        <v>101333.9</v>
      </c>
      <c r="E3059">
        <v>3.4099999999999998E-2</v>
      </c>
      <c r="F3059">
        <v>7.5899999999999995E-2</v>
      </c>
    </row>
    <row r="3060" spans="1:6" x14ac:dyDescent="0.3">
      <c r="A3060" t="s">
        <v>3095</v>
      </c>
      <c r="B3060" t="s">
        <v>41</v>
      </c>
      <c r="C3060">
        <v>1080000</v>
      </c>
      <c r="D3060">
        <v>12954.5</v>
      </c>
      <c r="E3060">
        <v>6.93E-2</v>
      </c>
      <c r="F3060">
        <v>5.0999999999999997E-2</v>
      </c>
    </row>
    <row r="3061" spans="1:6" x14ac:dyDescent="0.3">
      <c r="A3061" t="s">
        <v>3096</v>
      </c>
      <c r="B3061" t="s">
        <v>26</v>
      </c>
      <c r="C3061">
        <v>979000</v>
      </c>
      <c r="D3061">
        <v>14490.7</v>
      </c>
      <c r="E3061">
        <v>2.8799999999999999E-2</v>
      </c>
      <c r="F3061">
        <v>9.5100000000000004E-2</v>
      </c>
    </row>
    <row r="3062" spans="1:6" x14ac:dyDescent="0.3">
      <c r="A3062" t="s">
        <v>3097</v>
      </c>
      <c r="B3062" t="s">
        <v>26</v>
      </c>
      <c r="C3062">
        <v>1130000</v>
      </c>
      <c r="D3062">
        <v>52877.9</v>
      </c>
      <c r="E3062">
        <v>2.5700000000000001E-2</v>
      </c>
      <c r="F3062">
        <v>5.3800000000000001E-2</v>
      </c>
    </row>
    <row r="3063" spans="1:6" x14ac:dyDescent="0.3">
      <c r="A3063" t="s">
        <v>3098</v>
      </c>
      <c r="B3063" t="s">
        <v>26</v>
      </c>
      <c r="C3063">
        <v>1450000</v>
      </c>
      <c r="D3063">
        <v>256911.7</v>
      </c>
      <c r="E3063">
        <v>3.44E-2</v>
      </c>
      <c r="F3063">
        <v>7.5899999999999995E-2</v>
      </c>
    </row>
    <row r="3064" spans="1:6" x14ac:dyDescent="0.3">
      <c r="A3064" t="s">
        <v>3099</v>
      </c>
      <c r="B3064" t="s">
        <v>24</v>
      </c>
      <c r="C3064">
        <v>1040000</v>
      </c>
      <c r="D3064">
        <v>271721.09999999998</v>
      </c>
      <c r="E3064">
        <v>4.3499999999999997E-2</v>
      </c>
      <c r="F3064">
        <v>7.5899999999999995E-2</v>
      </c>
    </row>
    <row r="3065" spans="1:6" x14ac:dyDescent="0.3">
      <c r="A3065" t="s">
        <v>3100</v>
      </c>
      <c r="B3065" t="s">
        <v>88</v>
      </c>
      <c r="C3065">
        <v>1060000</v>
      </c>
      <c r="D3065">
        <v>189.4</v>
      </c>
      <c r="E3065">
        <v>2.07E-2</v>
      </c>
      <c r="F3065">
        <v>5.7599999999999998E-2</v>
      </c>
    </row>
    <row r="3066" spans="1:6" x14ac:dyDescent="0.3">
      <c r="A3066" t="s">
        <v>3101</v>
      </c>
      <c r="B3066" t="s">
        <v>26</v>
      </c>
      <c r="C3066">
        <v>991000</v>
      </c>
      <c r="D3066">
        <v>3642.5</v>
      </c>
      <c r="E3066">
        <v>1.4500000000000001E-2</v>
      </c>
      <c r="F3066">
        <v>4.6199999999999998E-2</v>
      </c>
    </row>
    <row r="3067" spans="1:6" x14ac:dyDescent="0.3">
      <c r="A3067" t="s">
        <v>3102</v>
      </c>
      <c r="B3067" t="s">
        <v>92</v>
      </c>
      <c r="C3067">
        <v>935000</v>
      </c>
      <c r="D3067">
        <v>1281.3</v>
      </c>
      <c r="E3067">
        <v>1.8599999999999998E-2</v>
      </c>
      <c r="F3067">
        <v>4.6199999999999998E-2</v>
      </c>
    </row>
    <row r="3068" spans="1:6" x14ac:dyDescent="0.3">
      <c r="A3068" t="s">
        <v>3103</v>
      </c>
      <c r="B3068" t="s">
        <v>41</v>
      </c>
      <c r="C3068">
        <v>1100000</v>
      </c>
      <c r="D3068">
        <v>9907.4</v>
      </c>
      <c r="E3068">
        <v>2.3099999999999999E-2</v>
      </c>
      <c r="F3068">
        <v>7.5899999999999995E-2</v>
      </c>
    </row>
    <row r="3069" spans="1:6" x14ac:dyDescent="0.3">
      <c r="A3069" t="s">
        <v>3104</v>
      </c>
      <c r="B3069" t="s">
        <v>26</v>
      </c>
      <c r="C3069">
        <v>897000</v>
      </c>
      <c r="D3069">
        <v>3553.7</v>
      </c>
      <c r="E3069">
        <v>1.67E-2</v>
      </c>
      <c r="F3069">
        <v>6.1600000000000002E-2</v>
      </c>
    </row>
    <row r="3070" spans="1:6" x14ac:dyDescent="0.3">
      <c r="A3070" t="s">
        <v>3105</v>
      </c>
      <c r="B3070" t="s">
        <v>26</v>
      </c>
      <c r="C3070">
        <v>1140000</v>
      </c>
      <c r="D3070">
        <v>223620</v>
      </c>
      <c r="E3070">
        <v>3.9899999999999998E-2</v>
      </c>
      <c r="F3070">
        <v>7.5899999999999995E-2</v>
      </c>
    </row>
    <row r="3071" spans="1:6" x14ac:dyDescent="0.3">
      <c r="A3071" t="s">
        <v>3106</v>
      </c>
      <c r="B3071" t="s">
        <v>74</v>
      </c>
      <c r="C3071">
        <v>1210000</v>
      </c>
      <c r="D3071">
        <v>16681</v>
      </c>
      <c r="E3071">
        <v>6.4000000000000001E-2</v>
      </c>
      <c r="F3071">
        <v>7.5899999999999995E-2</v>
      </c>
    </row>
    <row r="3072" spans="1:6" x14ac:dyDescent="0.3">
      <c r="A3072" t="s">
        <v>3107</v>
      </c>
      <c r="B3072" t="s">
        <v>214</v>
      </c>
      <c r="C3072">
        <v>956000</v>
      </c>
      <c r="D3072">
        <v>4841.5</v>
      </c>
      <c r="E3072">
        <v>2.8899999999999999E-2</v>
      </c>
      <c r="F3072">
        <v>7.5899999999999995E-2</v>
      </c>
    </row>
    <row r="3073" spans="1:6" x14ac:dyDescent="0.3">
      <c r="A3073" t="s">
        <v>3108</v>
      </c>
      <c r="B3073" t="s">
        <v>92</v>
      </c>
      <c r="C3073">
        <v>1040000</v>
      </c>
      <c r="D3073">
        <v>5440.5</v>
      </c>
      <c r="E3073">
        <v>8.0999999999999996E-3</v>
      </c>
      <c r="F3073">
        <v>6.54E-2</v>
      </c>
    </row>
    <row r="3074" spans="1:6" x14ac:dyDescent="0.3">
      <c r="A3074" t="s">
        <v>3109</v>
      </c>
      <c r="B3074" t="s">
        <v>26</v>
      </c>
      <c r="C3074">
        <v>893000</v>
      </c>
      <c r="D3074">
        <v>581</v>
      </c>
      <c r="E3074">
        <v>3.44E-2</v>
      </c>
      <c r="F3074">
        <v>5.1799999999999999E-2</v>
      </c>
    </row>
    <row r="3075" spans="1:6" x14ac:dyDescent="0.3">
      <c r="A3075" t="s">
        <v>3110</v>
      </c>
      <c r="B3075" t="s">
        <v>62</v>
      </c>
      <c r="C3075">
        <v>1040000</v>
      </c>
      <c r="D3075">
        <v>342.3</v>
      </c>
      <c r="E3075">
        <v>2.9899999999999999E-2</v>
      </c>
      <c r="F3075">
        <v>0.13869999999999999</v>
      </c>
    </row>
    <row r="3076" spans="1:6" x14ac:dyDescent="0.3">
      <c r="A3076" t="s">
        <v>3111</v>
      </c>
      <c r="B3076" t="s">
        <v>71</v>
      </c>
      <c r="C3076">
        <v>1000000</v>
      </c>
      <c r="D3076">
        <v>42751.4</v>
      </c>
      <c r="E3076">
        <v>3.9199999999999999E-2</v>
      </c>
      <c r="F3076">
        <v>0.1241</v>
      </c>
    </row>
    <row r="3077" spans="1:6" x14ac:dyDescent="0.3">
      <c r="A3077" t="s">
        <v>3112</v>
      </c>
      <c r="B3077" t="s">
        <v>74</v>
      </c>
      <c r="C3077">
        <v>1020000</v>
      </c>
      <c r="D3077">
        <v>32394.3</v>
      </c>
      <c r="E3077">
        <v>0.1196</v>
      </c>
      <c r="F3077">
        <v>7.5899999999999995E-2</v>
      </c>
    </row>
    <row r="3078" spans="1:6" x14ac:dyDescent="0.3">
      <c r="A3078" t="s">
        <v>3113</v>
      </c>
      <c r="B3078" t="s">
        <v>26</v>
      </c>
      <c r="C3078">
        <v>1290000</v>
      </c>
      <c r="D3078">
        <v>37186.800000000003</v>
      </c>
      <c r="E3078">
        <v>4.2999999999999997E-2</v>
      </c>
      <c r="F3078">
        <v>4.3200000000000002E-2</v>
      </c>
    </row>
    <row r="3079" spans="1:6" x14ac:dyDescent="0.3">
      <c r="A3079" t="s">
        <v>3114</v>
      </c>
      <c r="B3079" t="s">
        <v>26</v>
      </c>
      <c r="C3079">
        <v>1060000</v>
      </c>
      <c r="D3079">
        <v>42853.3</v>
      </c>
      <c r="E3079">
        <v>2.92E-2</v>
      </c>
      <c r="F3079">
        <v>5.0999999999999997E-2</v>
      </c>
    </row>
    <row r="3080" spans="1:6" x14ac:dyDescent="0.3">
      <c r="A3080" t="s">
        <v>3115</v>
      </c>
      <c r="B3080" t="s">
        <v>71</v>
      </c>
      <c r="C3080">
        <v>946000</v>
      </c>
      <c r="D3080">
        <v>4618.1000000000004</v>
      </c>
      <c r="E3080">
        <v>4.9200000000000001E-2</v>
      </c>
      <c r="F3080">
        <v>9.5100000000000004E-2</v>
      </c>
    </row>
    <row r="3081" spans="1:6" x14ac:dyDescent="0.3">
      <c r="A3081" t="s">
        <v>3116</v>
      </c>
      <c r="B3081" t="s">
        <v>287</v>
      </c>
      <c r="C3081">
        <v>969000</v>
      </c>
      <c r="D3081">
        <v>2380.9</v>
      </c>
      <c r="E3081">
        <v>2.6700000000000002E-2</v>
      </c>
      <c r="F3081">
        <v>0.1053</v>
      </c>
    </row>
    <row r="3082" spans="1:6" x14ac:dyDescent="0.3">
      <c r="A3082" t="s">
        <v>3117</v>
      </c>
      <c r="B3082" t="s">
        <v>26</v>
      </c>
      <c r="C3082">
        <v>1020000</v>
      </c>
      <c r="D3082">
        <v>5238.7</v>
      </c>
      <c r="E3082">
        <v>0.1062</v>
      </c>
      <c r="F3082">
        <v>7.5899999999999995E-2</v>
      </c>
    </row>
    <row r="3083" spans="1:6" x14ac:dyDescent="0.3">
      <c r="A3083" t="s">
        <v>3118</v>
      </c>
      <c r="B3083" t="s">
        <v>41</v>
      </c>
      <c r="C3083">
        <v>1650000</v>
      </c>
      <c r="D3083">
        <v>802116.5</v>
      </c>
      <c r="E3083">
        <v>6.3200000000000006E-2</v>
      </c>
      <c r="F3083">
        <v>7.5899999999999995E-2</v>
      </c>
    </row>
    <row r="3084" spans="1:6" x14ac:dyDescent="0.3">
      <c r="A3084" t="s">
        <v>3119</v>
      </c>
      <c r="B3084" t="s">
        <v>26</v>
      </c>
      <c r="C3084">
        <v>1280000</v>
      </c>
      <c r="D3084">
        <v>2362239.7000000002</v>
      </c>
      <c r="E3084">
        <v>2.8799999999999999E-2</v>
      </c>
      <c r="F3084">
        <v>7.5899999999999995E-2</v>
      </c>
    </row>
    <row r="3085" spans="1:6" x14ac:dyDescent="0.3">
      <c r="A3085" t="s">
        <v>3120</v>
      </c>
      <c r="B3085" t="s">
        <v>26</v>
      </c>
      <c r="C3085">
        <v>1440000</v>
      </c>
      <c r="D3085">
        <v>46733.9</v>
      </c>
      <c r="E3085">
        <v>3.1399999999999997E-2</v>
      </c>
      <c r="F3085">
        <v>9.3799999999999994E-2</v>
      </c>
    </row>
    <row r="3086" spans="1:6" x14ac:dyDescent="0.3">
      <c r="A3086" t="s">
        <v>3121</v>
      </c>
      <c r="B3086" t="s">
        <v>26</v>
      </c>
      <c r="C3086">
        <v>991000</v>
      </c>
      <c r="D3086">
        <v>96364.9</v>
      </c>
      <c r="E3086">
        <v>3.39E-2</v>
      </c>
      <c r="F3086">
        <v>4.0899999999999999E-2</v>
      </c>
    </row>
    <row r="3087" spans="1:6" x14ac:dyDescent="0.3">
      <c r="A3087" t="s">
        <v>3122</v>
      </c>
      <c r="B3087" t="s">
        <v>287</v>
      </c>
      <c r="C3087">
        <v>949000</v>
      </c>
      <c r="D3087">
        <v>10910.2</v>
      </c>
      <c r="E3087">
        <v>8.9999999999999993E-3</v>
      </c>
      <c r="F3087">
        <v>8.2199999999999995E-2</v>
      </c>
    </row>
    <row r="3088" spans="1:6" x14ac:dyDescent="0.3">
      <c r="A3088" t="s">
        <v>3123</v>
      </c>
      <c r="B3088" t="s">
        <v>195</v>
      </c>
      <c r="C3088">
        <v>1090000</v>
      </c>
      <c r="D3088">
        <v>5792.4</v>
      </c>
      <c r="E3088">
        <v>1.9300000000000001E-2</v>
      </c>
      <c r="F3088">
        <v>0.1053</v>
      </c>
    </row>
    <row r="3089" spans="1:6" x14ac:dyDescent="0.3">
      <c r="A3089" t="s">
        <v>3124</v>
      </c>
      <c r="B3089" t="s">
        <v>26</v>
      </c>
      <c r="C3089">
        <v>931000</v>
      </c>
      <c r="D3089">
        <v>96306.4</v>
      </c>
      <c r="E3089">
        <v>3.1899999999999998E-2</v>
      </c>
      <c r="F3089">
        <v>5.1799999999999999E-2</v>
      </c>
    </row>
    <row r="3090" spans="1:6" x14ac:dyDescent="0.3">
      <c r="A3090" t="s">
        <v>3125</v>
      </c>
      <c r="B3090" t="s">
        <v>41</v>
      </c>
      <c r="C3090">
        <v>1700000</v>
      </c>
      <c r="D3090">
        <v>22122.1</v>
      </c>
      <c r="E3090">
        <v>3.5099999999999999E-2</v>
      </c>
      <c r="F3090">
        <v>9.3799999999999994E-2</v>
      </c>
    </row>
    <row r="3091" spans="1:6" x14ac:dyDescent="0.3">
      <c r="A3091" t="s">
        <v>3126</v>
      </c>
      <c r="B3091" t="s">
        <v>53</v>
      </c>
      <c r="C3091">
        <v>1090000</v>
      </c>
      <c r="D3091">
        <v>112659.9</v>
      </c>
      <c r="E3091">
        <v>0.12529999999999999</v>
      </c>
      <c r="F3091">
        <v>8.4500000000000006E-2</v>
      </c>
    </row>
    <row r="3092" spans="1:6" x14ac:dyDescent="0.3">
      <c r="A3092" t="s">
        <v>3127</v>
      </c>
      <c r="B3092" t="s">
        <v>26</v>
      </c>
      <c r="C3092">
        <v>1180000</v>
      </c>
      <c r="D3092">
        <v>388529.2</v>
      </c>
      <c r="E3092">
        <v>1.5599999999999999E-2</v>
      </c>
      <c r="F3092">
        <v>4.6199999999999998E-2</v>
      </c>
    </row>
    <row r="3093" spans="1:6" x14ac:dyDescent="0.3">
      <c r="A3093" t="s">
        <v>3128</v>
      </c>
      <c r="B3093" t="s">
        <v>490</v>
      </c>
      <c r="C3093">
        <v>972000</v>
      </c>
      <c r="D3093">
        <v>13779</v>
      </c>
      <c r="E3093">
        <v>5.3E-3</v>
      </c>
      <c r="F3093">
        <v>8.1100000000000005E-2</v>
      </c>
    </row>
    <row r="3094" spans="1:6" x14ac:dyDescent="0.3">
      <c r="A3094" t="s">
        <v>3129</v>
      </c>
      <c r="B3094" t="s">
        <v>32</v>
      </c>
      <c r="C3094">
        <v>965000</v>
      </c>
      <c r="D3094">
        <v>6280.1</v>
      </c>
      <c r="E3094">
        <v>2.7199999999999998E-2</v>
      </c>
      <c r="F3094">
        <v>6.4399999999999999E-2</v>
      </c>
    </row>
    <row r="3095" spans="1:6" x14ac:dyDescent="0.3">
      <c r="A3095" t="s">
        <v>3130</v>
      </c>
      <c r="B3095" t="s">
        <v>41</v>
      </c>
      <c r="C3095">
        <v>1230000</v>
      </c>
      <c r="D3095">
        <v>1404</v>
      </c>
      <c r="E3095">
        <v>0.02</v>
      </c>
      <c r="F3095">
        <v>5.7599999999999998E-2</v>
      </c>
    </row>
    <row r="3096" spans="1:6" x14ac:dyDescent="0.3">
      <c r="A3096" t="s">
        <v>3131</v>
      </c>
      <c r="B3096" t="s">
        <v>21</v>
      </c>
      <c r="C3096">
        <v>1570000</v>
      </c>
      <c r="D3096">
        <v>1509781.4</v>
      </c>
      <c r="E3096">
        <v>2.07E-2</v>
      </c>
      <c r="F3096">
        <v>4.0899999999999999E-2</v>
      </c>
    </row>
    <row r="3097" spans="1:6" x14ac:dyDescent="0.3">
      <c r="A3097" t="s">
        <v>3132</v>
      </c>
      <c r="B3097" t="s">
        <v>24</v>
      </c>
      <c r="C3097">
        <v>1070000</v>
      </c>
      <c r="D3097">
        <v>18451.7</v>
      </c>
      <c r="E3097">
        <v>0.13519999999999999</v>
      </c>
      <c r="F3097">
        <v>9.3799999999999994E-2</v>
      </c>
    </row>
    <row r="3098" spans="1:6" x14ac:dyDescent="0.3">
      <c r="A3098" t="s">
        <v>3133</v>
      </c>
      <c r="B3098" t="s">
        <v>214</v>
      </c>
      <c r="C3098">
        <v>1320000</v>
      </c>
      <c r="D3098">
        <v>1059065</v>
      </c>
      <c r="E3098">
        <v>2.12E-2</v>
      </c>
      <c r="F3098">
        <v>4.6199999999999998E-2</v>
      </c>
    </row>
    <row r="3099" spans="1:6" x14ac:dyDescent="0.3">
      <c r="A3099" t="s">
        <v>3134</v>
      </c>
      <c r="B3099" t="s">
        <v>32</v>
      </c>
      <c r="C3099">
        <v>1370000</v>
      </c>
      <c r="D3099">
        <v>4513639.2</v>
      </c>
      <c r="E3099">
        <v>2.7400000000000001E-2</v>
      </c>
      <c r="F3099">
        <v>9.5100000000000004E-2</v>
      </c>
    </row>
    <row r="3100" spans="1:6" x14ac:dyDescent="0.3">
      <c r="A3100" t="s">
        <v>3135</v>
      </c>
      <c r="B3100" t="s">
        <v>26</v>
      </c>
      <c r="C3100">
        <v>1040000</v>
      </c>
      <c r="D3100">
        <v>376996.8</v>
      </c>
      <c r="E3100">
        <v>1.7100000000000001E-2</v>
      </c>
      <c r="F3100">
        <v>5.8900000000000001E-2</v>
      </c>
    </row>
    <row r="3101" spans="1:6" x14ac:dyDescent="0.3">
      <c r="A3101" t="s">
        <v>3136</v>
      </c>
      <c r="B3101" t="s">
        <v>287</v>
      </c>
      <c r="C3101">
        <v>1100000</v>
      </c>
      <c r="D3101">
        <v>68011.600000000006</v>
      </c>
      <c r="E3101">
        <v>4.1200000000000001E-2</v>
      </c>
      <c r="F3101">
        <v>9.5100000000000004E-2</v>
      </c>
    </row>
    <row r="3102" spans="1:6" x14ac:dyDescent="0.3">
      <c r="A3102" t="s">
        <v>3137</v>
      </c>
      <c r="B3102" t="s">
        <v>287</v>
      </c>
      <c r="C3102">
        <v>1210000</v>
      </c>
      <c r="D3102">
        <v>14076</v>
      </c>
      <c r="E3102">
        <v>7.1999999999999998E-3</v>
      </c>
      <c r="F3102">
        <v>6.54E-2</v>
      </c>
    </row>
    <row r="3103" spans="1:6" x14ac:dyDescent="0.3">
      <c r="A3103" t="s">
        <v>3138</v>
      </c>
      <c r="B3103" t="s">
        <v>92</v>
      </c>
      <c r="C3103">
        <v>987000</v>
      </c>
      <c r="D3103">
        <v>8305.2000000000007</v>
      </c>
      <c r="E3103">
        <v>1.4800000000000001E-2</v>
      </c>
      <c r="F3103">
        <v>0.16980000000000001</v>
      </c>
    </row>
    <row r="3104" spans="1:6" x14ac:dyDescent="0.3">
      <c r="A3104" t="s">
        <v>3139</v>
      </c>
      <c r="B3104" t="s">
        <v>26</v>
      </c>
      <c r="C3104">
        <v>961000</v>
      </c>
      <c r="D3104">
        <v>1775.1</v>
      </c>
      <c r="E3104">
        <v>2.6100000000000002E-2</v>
      </c>
      <c r="F3104">
        <v>0.1749</v>
      </c>
    </row>
    <row r="3105" spans="1:6" x14ac:dyDescent="0.3">
      <c r="A3105" t="s">
        <v>3140</v>
      </c>
      <c r="B3105" t="s">
        <v>214</v>
      </c>
      <c r="C3105">
        <v>944000</v>
      </c>
      <c r="D3105">
        <v>899.2</v>
      </c>
      <c r="E3105">
        <v>3.6200000000000003E-2</v>
      </c>
      <c r="F3105">
        <v>7.5899999999999995E-2</v>
      </c>
    </row>
    <row r="3106" spans="1:6" x14ac:dyDescent="0.3">
      <c r="A3106" t="s">
        <v>3141</v>
      </c>
      <c r="B3106" t="s">
        <v>26</v>
      </c>
      <c r="C3106">
        <v>1240000</v>
      </c>
      <c r="D3106">
        <v>449068.1</v>
      </c>
      <c r="E3106">
        <v>6.1400000000000003E-2</v>
      </c>
      <c r="F3106">
        <v>4.0899999999999999E-2</v>
      </c>
    </row>
    <row r="3107" spans="1:6" x14ac:dyDescent="0.3">
      <c r="A3107" t="s">
        <v>3142</v>
      </c>
      <c r="B3107" t="s">
        <v>74</v>
      </c>
      <c r="C3107">
        <v>1080000</v>
      </c>
      <c r="D3107">
        <v>99660.9</v>
      </c>
      <c r="E3107">
        <v>1.72E-2</v>
      </c>
      <c r="F3107">
        <v>4.6199999999999998E-2</v>
      </c>
    </row>
    <row r="3108" spans="1:6" x14ac:dyDescent="0.3">
      <c r="A3108" t="s">
        <v>3143</v>
      </c>
      <c r="B3108" t="s">
        <v>88</v>
      </c>
      <c r="C3108">
        <v>1510000</v>
      </c>
      <c r="D3108">
        <v>11343.7</v>
      </c>
      <c r="E3108">
        <v>4.9700000000000001E-2</v>
      </c>
      <c r="F3108">
        <v>7.5899999999999995E-2</v>
      </c>
    </row>
    <row r="3109" spans="1:6" x14ac:dyDescent="0.3">
      <c r="A3109" t="s">
        <v>3144</v>
      </c>
      <c r="B3109" t="s">
        <v>41</v>
      </c>
      <c r="C3109">
        <v>1010000</v>
      </c>
      <c r="F3109">
        <v>7.5899999999999995E-2</v>
      </c>
    </row>
    <row r="3110" spans="1:6" x14ac:dyDescent="0.3">
      <c r="A3110" t="s">
        <v>3145</v>
      </c>
      <c r="B3110" t="s">
        <v>26</v>
      </c>
      <c r="C3110">
        <v>973000</v>
      </c>
      <c r="D3110">
        <v>600653</v>
      </c>
      <c r="E3110">
        <v>2.2200000000000001E-2</v>
      </c>
      <c r="F3110">
        <v>4.0899999999999999E-2</v>
      </c>
    </row>
    <row r="3111" spans="1:6" x14ac:dyDescent="0.3">
      <c r="A3111" t="s">
        <v>3146</v>
      </c>
      <c r="B3111" t="s">
        <v>92</v>
      </c>
      <c r="C3111">
        <v>971000</v>
      </c>
      <c r="D3111">
        <v>669.1</v>
      </c>
      <c r="E3111">
        <v>7.3400000000000007E-2</v>
      </c>
      <c r="F3111">
        <v>7.5899999999999995E-2</v>
      </c>
    </row>
    <row r="3112" spans="1:6" x14ac:dyDescent="0.3">
      <c r="A3112" t="s">
        <v>3147</v>
      </c>
      <c r="B3112" t="s">
        <v>26</v>
      </c>
      <c r="C3112">
        <v>4570000</v>
      </c>
      <c r="D3112">
        <v>384281.3</v>
      </c>
      <c r="E3112">
        <v>3.3799999999999997E-2</v>
      </c>
      <c r="F3112">
        <v>5.3800000000000001E-2</v>
      </c>
    </row>
    <row r="3113" spans="1:6" x14ac:dyDescent="0.3">
      <c r="A3113" t="s">
        <v>3148</v>
      </c>
      <c r="B3113" t="s">
        <v>26</v>
      </c>
      <c r="C3113">
        <v>929000</v>
      </c>
      <c r="D3113">
        <v>2708.6</v>
      </c>
      <c r="E3113">
        <v>1.44E-2</v>
      </c>
      <c r="F3113">
        <v>0.18859999999999999</v>
      </c>
    </row>
    <row r="3114" spans="1:6" x14ac:dyDescent="0.3">
      <c r="A3114" t="s">
        <v>3149</v>
      </c>
      <c r="B3114" t="s">
        <v>26</v>
      </c>
      <c r="C3114">
        <v>1150000</v>
      </c>
      <c r="D3114">
        <v>685693</v>
      </c>
      <c r="E3114">
        <v>3.7900000000000003E-2</v>
      </c>
      <c r="F3114">
        <v>9.5100000000000004E-2</v>
      </c>
    </row>
    <row r="3115" spans="1:6" x14ac:dyDescent="0.3">
      <c r="A3115" t="s">
        <v>3150</v>
      </c>
      <c r="B3115" t="s">
        <v>53</v>
      </c>
      <c r="C3115">
        <v>968000</v>
      </c>
      <c r="D3115">
        <v>11055.2</v>
      </c>
      <c r="E3115">
        <v>6.4399999999999999E-2</v>
      </c>
      <c r="F3115">
        <v>7.5899999999999995E-2</v>
      </c>
    </row>
    <row r="3116" spans="1:6" x14ac:dyDescent="0.3">
      <c r="A3116" t="s">
        <v>3151</v>
      </c>
      <c r="B3116" t="s">
        <v>74</v>
      </c>
      <c r="C3116">
        <v>1010000</v>
      </c>
      <c r="D3116">
        <v>2160.5</v>
      </c>
      <c r="E3116">
        <v>4.7899999999999998E-2</v>
      </c>
      <c r="F3116">
        <v>9.3799999999999994E-2</v>
      </c>
    </row>
    <row r="3117" spans="1:6" x14ac:dyDescent="0.3">
      <c r="A3117" t="s">
        <v>3152</v>
      </c>
      <c r="B3117" t="s">
        <v>88</v>
      </c>
      <c r="C3117">
        <v>1000000</v>
      </c>
      <c r="D3117">
        <v>16027.6</v>
      </c>
      <c r="E3117">
        <v>3.4799999999999998E-2</v>
      </c>
      <c r="F3117">
        <v>9.5100000000000004E-2</v>
      </c>
    </row>
    <row r="3118" spans="1:6" x14ac:dyDescent="0.3">
      <c r="A3118" t="s">
        <v>3153</v>
      </c>
      <c r="B3118" t="s">
        <v>24</v>
      </c>
      <c r="C3118">
        <v>1210000</v>
      </c>
      <c r="D3118">
        <v>19384.3</v>
      </c>
      <c r="E3118">
        <v>9.9000000000000008E-3</v>
      </c>
      <c r="F3118">
        <v>5.8400000000000001E-2</v>
      </c>
    </row>
    <row r="3119" spans="1:6" x14ac:dyDescent="0.3">
      <c r="A3119" t="s">
        <v>3154</v>
      </c>
      <c r="B3119" t="s">
        <v>81</v>
      </c>
      <c r="C3119">
        <v>959000</v>
      </c>
      <c r="D3119">
        <v>4230.6000000000004</v>
      </c>
      <c r="E3119">
        <v>1.17E-2</v>
      </c>
      <c r="F3119">
        <v>0.1452</v>
      </c>
    </row>
    <row r="3120" spans="1:6" x14ac:dyDescent="0.3">
      <c r="A3120" t="s">
        <v>3155</v>
      </c>
      <c r="B3120" t="s">
        <v>41</v>
      </c>
      <c r="C3120">
        <v>952000</v>
      </c>
      <c r="D3120">
        <v>5692</v>
      </c>
      <c r="E3120">
        <v>7.1400000000000005E-2</v>
      </c>
      <c r="F3120">
        <v>9.3799999999999994E-2</v>
      </c>
    </row>
    <row r="3121" spans="1:6" x14ac:dyDescent="0.3">
      <c r="A3121" t="s">
        <v>3156</v>
      </c>
      <c r="B3121" t="s">
        <v>26</v>
      </c>
      <c r="C3121">
        <v>922000</v>
      </c>
      <c r="D3121">
        <v>20004.3</v>
      </c>
      <c r="E3121">
        <v>6.6299999999999998E-2</v>
      </c>
      <c r="F3121">
        <v>8.4500000000000006E-2</v>
      </c>
    </row>
    <row r="3122" spans="1:6" x14ac:dyDescent="0.3">
      <c r="A3122" t="s">
        <v>3157</v>
      </c>
      <c r="B3122" t="s">
        <v>50</v>
      </c>
      <c r="C3122">
        <v>1630000</v>
      </c>
      <c r="D3122">
        <v>272547.40000000002</v>
      </c>
      <c r="E3122">
        <v>7.4399999999999994E-2</v>
      </c>
      <c r="F3122">
        <v>4.0899999999999999E-2</v>
      </c>
    </row>
    <row r="3123" spans="1:6" x14ac:dyDescent="0.3">
      <c r="A3123" t="s">
        <v>3158</v>
      </c>
      <c r="B3123" t="s">
        <v>287</v>
      </c>
      <c r="C3123">
        <v>893000</v>
      </c>
      <c r="D3123">
        <v>14833.2</v>
      </c>
      <c r="F3123">
        <v>7.5899999999999995E-2</v>
      </c>
    </row>
    <row r="3124" spans="1:6" x14ac:dyDescent="0.3">
      <c r="A3124" t="s">
        <v>3159</v>
      </c>
      <c r="B3124" t="s">
        <v>50</v>
      </c>
      <c r="C3124">
        <v>1080000</v>
      </c>
      <c r="D3124">
        <v>189268.3</v>
      </c>
      <c r="E3124">
        <v>5.91E-2</v>
      </c>
      <c r="F3124">
        <v>7.5899999999999995E-2</v>
      </c>
    </row>
    <row r="3125" spans="1:6" x14ac:dyDescent="0.3">
      <c r="A3125" t="s">
        <v>3160</v>
      </c>
      <c r="B3125" t="s">
        <v>26</v>
      </c>
      <c r="C3125">
        <v>935000</v>
      </c>
      <c r="D3125">
        <v>1529.7</v>
      </c>
      <c r="E3125">
        <v>6.8999999999999999E-3</v>
      </c>
      <c r="F3125">
        <v>0.1187</v>
      </c>
    </row>
    <row r="3126" spans="1:6" x14ac:dyDescent="0.3">
      <c r="A3126" t="s">
        <v>3161</v>
      </c>
      <c r="B3126" t="s">
        <v>26</v>
      </c>
      <c r="C3126">
        <v>1040000</v>
      </c>
      <c r="D3126">
        <v>556092.19999999995</v>
      </c>
      <c r="E3126">
        <v>2.07E-2</v>
      </c>
      <c r="F3126">
        <v>4.6199999999999998E-2</v>
      </c>
    </row>
    <row r="3127" spans="1:6" x14ac:dyDescent="0.3">
      <c r="A3127" t="s">
        <v>3162</v>
      </c>
      <c r="B3127" t="s">
        <v>195</v>
      </c>
      <c r="C3127">
        <v>883000</v>
      </c>
      <c r="D3127">
        <v>14977.1</v>
      </c>
      <c r="E3127">
        <v>1.54E-2</v>
      </c>
      <c r="F3127">
        <v>0.13100000000000001</v>
      </c>
    </row>
    <row r="3128" spans="1:6" x14ac:dyDescent="0.3">
      <c r="A3128" t="s">
        <v>3163</v>
      </c>
      <c r="B3128" t="s">
        <v>62</v>
      </c>
      <c r="C3128">
        <v>1070000</v>
      </c>
      <c r="D3128">
        <v>8714.2999999999993</v>
      </c>
      <c r="E3128">
        <v>1.7100000000000001E-2</v>
      </c>
      <c r="F3128">
        <v>5.7599999999999998E-2</v>
      </c>
    </row>
    <row r="3129" spans="1:6" x14ac:dyDescent="0.3">
      <c r="A3129" t="s">
        <v>3164</v>
      </c>
      <c r="B3129" t="s">
        <v>41</v>
      </c>
      <c r="C3129">
        <v>1540000</v>
      </c>
      <c r="D3129">
        <v>44424.5</v>
      </c>
      <c r="E3129">
        <v>2.0400000000000001E-2</v>
      </c>
      <c r="F3129">
        <v>8.5400000000000004E-2</v>
      </c>
    </row>
    <row r="3130" spans="1:6" x14ac:dyDescent="0.3">
      <c r="A3130" t="s">
        <v>3165</v>
      </c>
      <c r="B3130" t="s">
        <v>24</v>
      </c>
      <c r="C3130">
        <v>958000</v>
      </c>
      <c r="D3130">
        <v>46330.2</v>
      </c>
      <c r="E3130">
        <v>2.3699999999999999E-2</v>
      </c>
      <c r="F3130">
        <v>7.5899999999999995E-2</v>
      </c>
    </row>
    <row r="3131" spans="1:6" x14ac:dyDescent="0.3">
      <c r="A3131" t="s">
        <v>3166</v>
      </c>
      <c r="B3131" t="s">
        <v>62</v>
      </c>
      <c r="C3131">
        <v>1000000</v>
      </c>
      <c r="D3131">
        <v>6712.6</v>
      </c>
      <c r="E3131">
        <v>5.7099999999999998E-2</v>
      </c>
      <c r="F3131">
        <v>9.3799999999999994E-2</v>
      </c>
    </row>
    <row r="3132" spans="1:6" x14ac:dyDescent="0.3">
      <c r="A3132" t="s">
        <v>3167</v>
      </c>
      <c r="B3132" t="s">
        <v>26</v>
      </c>
      <c r="C3132">
        <v>962000</v>
      </c>
      <c r="D3132">
        <v>22525.7</v>
      </c>
      <c r="E3132">
        <v>7.4000000000000003E-3</v>
      </c>
      <c r="F3132">
        <v>6.54E-2</v>
      </c>
    </row>
    <row r="3133" spans="1:6" x14ac:dyDescent="0.3">
      <c r="A3133" t="s">
        <v>3168</v>
      </c>
      <c r="B3133" t="s">
        <v>92</v>
      </c>
      <c r="C3133">
        <v>972000</v>
      </c>
      <c r="D3133">
        <v>207330.3</v>
      </c>
      <c r="E3133">
        <v>2.1899999999999999E-2</v>
      </c>
      <c r="F3133">
        <v>4.3200000000000002E-2</v>
      </c>
    </row>
    <row r="3134" spans="1:6" x14ac:dyDescent="0.3">
      <c r="A3134" t="s">
        <v>3169</v>
      </c>
      <c r="B3134" t="s">
        <v>26</v>
      </c>
      <c r="C3134">
        <v>1410000</v>
      </c>
      <c r="D3134">
        <v>712.7</v>
      </c>
      <c r="E3134">
        <v>2.3699999999999999E-2</v>
      </c>
      <c r="F3134">
        <v>5.0999999999999997E-2</v>
      </c>
    </row>
    <row r="3135" spans="1:6" x14ac:dyDescent="0.3">
      <c r="A3135" t="s">
        <v>3170</v>
      </c>
      <c r="B3135" t="s">
        <v>30</v>
      </c>
      <c r="C3135">
        <v>1140000</v>
      </c>
      <c r="D3135">
        <v>32269.8</v>
      </c>
      <c r="E3135">
        <v>3.6400000000000002E-2</v>
      </c>
      <c r="F3135">
        <v>7.5899999999999995E-2</v>
      </c>
    </row>
    <row r="3136" spans="1:6" x14ac:dyDescent="0.3">
      <c r="A3136" t="s">
        <v>3171</v>
      </c>
      <c r="B3136" t="s">
        <v>41</v>
      </c>
      <c r="C3136">
        <v>2030000</v>
      </c>
      <c r="D3136">
        <v>44765.7</v>
      </c>
      <c r="E3136">
        <v>2.9399999999999999E-2</v>
      </c>
      <c r="F3136">
        <v>7.5899999999999995E-2</v>
      </c>
    </row>
    <row r="3137" spans="1:6" x14ac:dyDescent="0.3">
      <c r="A3137" t="s">
        <v>3172</v>
      </c>
      <c r="B3137" t="s">
        <v>32</v>
      </c>
      <c r="C3137">
        <v>1050000</v>
      </c>
      <c r="D3137">
        <v>15353.8</v>
      </c>
      <c r="E3137">
        <v>1.2999999999999999E-2</v>
      </c>
      <c r="F3137">
        <v>0.18659999999999999</v>
      </c>
    </row>
    <row r="3138" spans="1:6" x14ac:dyDescent="0.3">
      <c r="A3138" t="s">
        <v>3173</v>
      </c>
      <c r="B3138" t="s">
        <v>71</v>
      </c>
      <c r="C3138">
        <v>988000</v>
      </c>
      <c r="D3138">
        <v>149512.5</v>
      </c>
      <c r="E3138">
        <v>4.3499999999999997E-2</v>
      </c>
      <c r="F3138">
        <v>7.5899999999999995E-2</v>
      </c>
    </row>
    <row r="3139" spans="1:6" x14ac:dyDescent="0.3">
      <c r="A3139" t="s">
        <v>3174</v>
      </c>
      <c r="B3139" t="s">
        <v>62</v>
      </c>
      <c r="C3139">
        <v>1520000</v>
      </c>
      <c r="D3139">
        <v>159070.1</v>
      </c>
      <c r="E3139">
        <v>4.24E-2</v>
      </c>
      <c r="F3139">
        <v>5.0999999999999997E-2</v>
      </c>
    </row>
    <row r="3140" spans="1:6" x14ac:dyDescent="0.3">
      <c r="A3140" t="s">
        <v>3175</v>
      </c>
      <c r="B3140" t="s">
        <v>50</v>
      </c>
      <c r="C3140">
        <v>1220000</v>
      </c>
      <c r="D3140">
        <v>75741.899999999994</v>
      </c>
      <c r="E3140">
        <v>2.4199999999999999E-2</v>
      </c>
      <c r="F3140">
        <v>4.3200000000000002E-2</v>
      </c>
    </row>
    <row r="3141" spans="1:6" x14ac:dyDescent="0.3">
      <c r="A3141" t="s">
        <v>3176</v>
      </c>
      <c r="B3141" t="s">
        <v>88</v>
      </c>
      <c r="C3141">
        <v>1150000</v>
      </c>
      <c r="D3141">
        <v>58778.3</v>
      </c>
      <c r="E3141">
        <v>5.4800000000000001E-2</v>
      </c>
      <c r="F3141">
        <v>9.5100000000000004E-2</v>
      </c>
    </row>
    <row r="3142" spans="1:6" x14ac:dyDescent="0.3">
      <c r="A3142" t="s">
        <v>3177</v>
      </c>
      <c r="B3142" t="s">
        <v>92</v>
      </c>
      <c r="C3142">
        <v>798000</v>
      </c>
      <c r="D3142">
        <v>6201.5</v>
      </c>
      <c r="E3142">
        <v>2.1499999999999998E-2</v>
      </c>
      <c r="F3142">
        <v>7.3499999999999996E-2</v>
      </c>
    </row>
    <row r="3143" spans="1:6" x14ac:dyDescent="0.3">
      <c r="A3143" t="s">
        <v>3178</v>
      </c>
      <c r="B3143" t="s">
        <v>62</v>
      </c>
      <c r="C3143">
        <v>867000</v>
      </c>
      <c r="D3143">
        <v>5013.3</v>
      </c>
      <c r="E3143">
        <v>1.23E-2</v>
      </c>
      <c r="F3143">
        <v>6.5699999999999995E-2</v>
      </c>
    </row>
    <row r="3144" spans="1:6" x14ac:dyDescent="0.3">
      <c r="A3144" t="s">
        <v>3179</v>
      </c>
      <c r="B3144" t="s">
        <v>32</v>
      </c>
      <c r="C3144">
        <v>1040000</v>
      </c>
      <c r="D3144">
        <v>3798.8</v>
      </c>
      <c r="E3144">
        <v>2.12E-2</v>
      </c>
      <c r="F3144">
        <v>7.5899999999999995E-2</v>
      </c>
    </row>
    <row r="3145" spans="1:6" x14ac:dyDescent="0.3">
      <c r="A3145" t="s">
        <v>3180</v>
      </c>
      <c r="B3145" t="s">
        <v>50</v>
      </c>
      <c r="C3145">
        <v>1160000</v>
      </c>
      <c r="D3145">
        <v>57683.6</v>
      </c>
      <c r="E3145">
        <v>3.1600000000000003E-2</v>
      </c>
      <c r="F3145">
        <v>6.7199999999999996E-2</v>
      </c>
    </row>
    <row r="3146" spans="1:6" x14ac:dyDescent="0.3">
      <c r="A3146" t="s">
        <v>3181</v>
      </c>
      <c r="B3146" t="s">
        <v>32</v>
      </c>
      <c r="C3146">
        <v>1030000</v>
      </c>
      <c r="D3146">
        <v>5168.3</v>
      </c>
      <c r="E3146">
        <v>3.5000000000000001E-3</v>
      </c>
      <c r="F3146">
        <v>6.54E-2</v>
      </c>
    </row>
    <row r="3147" spans="1:6" x14ac:dyDescent="0.3">
      <c r="A3147" t="s">
        <v>3182</v>
      </c>
      <c r="B3147" t="s">
        <v>53</v>
      </c>
      <c r="C3147">
        <v>1040000</v>
      </c>
      <c r="D3147">
        <v>177101.2</v>
      </c>
      <c r="E3147">
        <v>7.2800000000000004E-2</v>
      </c>
      <c r="F3147">
        <v>7.5899999999999995E-2</v>
      </c>
    </row>
    <row r="3148" spans="1:6" x14ac:dyDescent="0.3">
      <c r="A3148" t="s">
        <v>3183</v>
      </c>
      <c r="B3148" t="s">
        <v>88</v>
      </c>
      <c r="C3148">
        <v>945000</v>
      </c>
      <c r="D3148">
        <v>114.8</v>
      </c>
      <c r="E3148">
        <v>1.4800000000000001E-2</v>
      </c>
      <c r="F3148">
        <v>5.7599999999999998E-2</v>
      </c>
    </row>
    <row r="3149" spans="1:6" x14ac:dyDescent="0.3">
      <c r="A3149" t="s">
        <v>3184</v>
      </c>
      <c r="B3149" t="s">
        <v>53</v>
      </c>
      <c r="C3149">
        <v>2370000</v>
      </c>
      <c r="D3149">
        <v>5867838.5999999996</v>
      </c>
      <c r="E3149">
        <v>5.4999999999999997E-3</v>
      </c>
      <c r="F3149">
        <v>6.54E-2</v>
      </c>
    </row>
    <row r="3150" spans="1:6" x14ac:dyDescent="0.3">
      <c r="A3150" t="s">
        <v>3185</v>
      </c>
      <c r="B3150" t="s">
        <v>92</v>
      </c>
      <c r="C3150">
        <v>895000</v>
      </c>
      <c r="D3150">
        <v>1324.6</v>
      </c>
      <c r="E3150">
        <v>7.3000000000000001E-3</v>
      </c>
      <c r="F3150">
        <v>8.2199999999999995E-2</v>
      </c>
    </row>
    <row r="3151" spans="1:6" x14ac:dyDescent="0.3">
      <c r="A3151" t="s">
        <v>3186</v>
      </c>
      <c r="B3151" t="s">
        <v>41</v>
      </c>
      <c r="C3151">
        <v>1110000</v>
      </c>
      <c r="D3151">
        <v>9643.4</v>
      </c>
      <c r="E3151">
        <v>4.1000000000000002E-2</v>
      </c>
      <c r="F3151">
        <v>9.3799999999999994E-2</v>
      </c>
    </row>
    <row r="3152" spans="1:6" x14ac:dyDescent="0.3">
      <c r="A3152" t="s">
        <v>3187</v>
      </c>
      <c r="B3152" t="s">
        <v>32</v>
      </c>
      <c r="C3152">
        <v>1020000</v>
      </c>
      <c r="D3152">
        <v>40654.6</v>
      </c>
      <c r="E3152">
        <v>3.3999999999999998E-3</v>
      </c>
      <c r="F3152">
        <v>8.1100000000000005E-2</v>
      </c>
    </row>
    <row r="3153" spans="1:6" x14ac:dyDescent="0.3">
      <c r="A3153" t="s">
        <v>3188</v>
      </c>
      <c r="B3153" t="s">
        <v>26</v>
      </c>
      <c r="C3153">
        <v>1910000</v>
      </c>
      <c r="D3153">
        <v>299018.09999999998</v>
      </c>
      <c r="E3153">
        <v>3.3399999999999999E-2</v>
      </c>
      <c r="F3153">
        <v>4.0899999999999999E-2</v>
      </c>
    </row>
    <row r="3154" spans="1:6" x14ac:dyDescent="0.3">
      <c r="A3154" t="s">
        <v>3189</v>
      </c>
      <c r="B3154" t="s">
        <v>26</v>
      </c>
      <c r="C3154">
        <v>1040000</v>
      </c>
      <c r="D3154">
        <v>47467.6</v>
      </c>
      <c r="E3154">
        <v>5.0700000000000002E-2</v>
      </c>
      <c r="F3154">
        <v>9.3799999999999994E-2</v>
      </c>
    </row>
    <row r="3155" spans="1:6" x14ac:dyDescent="0.3">
      <c r="A3155" t="s">
        <v>3190</v>
      </c>
      <c r="B3155" t="s">
        <v>62</v>
      </c>
      <c r="C3155">
        <v>995000</v>
      </c>
      <c r="D3155">
        <v>48500.5</v>
      </c>
      <c r="E3155">
        <v>5.5899999999999998E-2</v>
      </c>
      <c r="F3155">
        <v>7.5899999999999995E-2</v>
      </c>
    </row>
    <row r="3156" spans="1:6" x14ac:dyDescent="0.3">
      <c r="A3156" t="s">
        <v>3191</v>
      </c>
      <c r="B3156" t="s">
        <v>24</v>
      </c>
      <c r="C3156">
        <v>1150000</v>
      </c>
      <c r="D3156">
        <v>45545.1</v>
      </c>
      <c r="E3156">
        <v>1.4E-2</v>
      </c>
      <c r="F3156">
        <v>0.13270000000000001</v>
      </c>
    </row>
    <row r="3157" spans="1:6" x14ac:dyDescent="0.3">
      <c r="A3157" t="s">
        <v>3192</v>
      </c>
      <c r="B3157" t="s">
        <v>24</v>
      </c>
      <c r="C3157">
        <v>2620000</v>
      </c>
      <c r="D3157">
        <v>1208151.5</v>
      </c>
      <c r="E3157">
        <v>4.1799999999999997E-2</v>
      </c>
      <c r="F3157">
        <v>6.7199999999999996E-2</v>
      </c>
    </row>
    <row r="3158" spans="1:6" x14ac:dyDescent="0.3">
      <c r="A3158" t="s">
        <v>3193</v>
      </c>
      <c r="B3158" t="s">
        <v>88</v>
      </c>
      <c r="C3158">
        <v>922000</v>
      </c>
      <c r="D3158">
        <v>694.1</v>
      </c>
      <c r="E3158">
        <v>1.9599999999999999E-2</v>
      </c>
      <c r="F3158">
        <v>0.1067</v>
      </c>
    </row>
    <row r="3159" spans="1:6" x14ac:dyDescent="0.3">
      <c r="A3159" t="s">
        <v>3194</v>
      </c>
      <c r="B3159" t="s">
        <v>26</v>
      </c>
      <c r="C3159">
        <v>942000</v>
      </c>
      <c r="D3159">
        <v>702.7</v>
      </c>
      <c r="E3159">
        <v>1.3899999999999999E-2</v>
      </c>
      <c r="F3159">
        <v>7.2999999999999995E-2</v>
      </c>
    </row>
    <row r="3160" spans="1:6" x14ac:dyDescent="0.3">
      <c r="A3160" t="s">
        <v>3195</v>
      </c>
      <c r="B3160" t="s">
        <v>287</v>
      </c>
      <c r="C3160">
        <v>888000</v>
      </c>
      <c r="D3160">
        <v>624.9</v>
      </c>
      <c r="E3160">
        <v>1.5599999999999999E-2</v>
      </c>
      <c r="F3160">
        <v>6.1600000000000002E-2</v>
      </c>
    </row>
    <row r="3161" spans="1:6" x14ac:dyDescent="0.3">
      <c r="A3161" t="s">
        <v>3196</v>
      </c>
      <c r="B3161" t="s">
        <v>214</v>
      </c>
      <c r="C3161">
        <v>1360000</v>
      </c>
      <c r="D3161">
        <v>148913.5</v>
      </c>
      <c r="E3161">
        <v>1.9699999999999999E-2</v>
      </c>
      <c r="F3161">
        <v>8.5400000000000004E-2</v>
      </c>
    </row>
    <row r="3162" spans="1:6" x14ac:dyDescent="0.3">
      <c r="A3162" t="s">
        <v>3197</v>
      </c>
      <c r="B3162" t="s">
        <v>81</v>
      </c>
      <c r="C3162">
        <v>962000</v>
      </c>
      <c r="D3162">
        <v>63230.5</v>
      </c>
      <c r="E3162">
        <v>1.24E-2</v>
      </c>
      <c r="F3162">
        <v>9.5600000000000004E-2</v>
      </c>
    </row>
    <row r="3163" spans="1:6" x14ac:dyDescent="0.3">
      <c r="A3163" t="s">
        <v>3198</v>
      </c>
      <c r="B3163" t="s">
        <v>214</v>
      </c>
      <c r="C3163">
        <v>1010000</v>
      </c>
      <c r="D3163">
        <v>7815.5</v>
      </c>
      <c r="E3163">
        <v>7.1000000000000004E-3</v>
      </c>
      <c r="F3163">
        <v>8.1100000000000005E-2</v>
      </c>
    </row>
    <row r="3164" spans="1:6" x14ac:dyDescent="0.3">
      <c r="A3164" t="s">
        <v>3199</v>
      </c>
      <c r="B3164" t="s">
        <v>88</v>
      </c>
      <c r="C3164">
        <v>1290000</v>
      </c>
      <c r="D3164">
        <v>42758.400000000001</v>
      </c>
      <c r="E3164">
        <v>3.5900000000000001E-2</v>
      </c>
      <c r="F3164">
        <v>9.3799999999999994E-2</v>
      </c>
    </row>
    <row r="3165" spans="1:6" x14ac:dyDescent="0.3">
      <c r="A3165" t="s">
        <v>3200</v>
      </c>
      <c r="B3165" t="s">
        <v>92</v>
      </c>
      <c r="C3165">
        <v>1030000</v>
      </c>
      <c r="D3165">
        <v>66973.399999999994</v>
      </c>
      <c r="E3165">
        <v>6.3700000000000007E-2</v>
      </c>
      <c r="F3165">
        <v>7.5899999999999995E-2</v>
      </c>
    </row>
    <row r="3166" spans="1:6" x14ac:dyDescent="0.3">
      <c r="A3166" t="s">
        <v>3201</v>
      </c>
      <c r="B3166" t="s">
        <v>53</v>
      </c>
      <c r="C3166">
        <v>1240000</v>
      </c>
      <c r="D3166">
        <v>57707.8</v>
      </c>
      <c r="E3166">
        <v>5.0700000000000002E-2</v>
      </c>
      <c r="F3166">
        <v>7.5899999999999995E-2</v>
      </c>
    </row>
    <row r="3167" spans="1:6" x14ac:dyDescent="0.3">
      <c r="A3167" t="s">
        <v>3202</v>
      </c>
      <c r="B3167" t="s">
        <v>41</v>
      </c>
      <c r="C3167">
        <v>904000</v>
      </c>
      <c r="D3167">
        <v>96100.7</v>
      </c>
      <c r="E3167">
        <v>3.1199999999999999E-2</v>
      </c>
      <c r="F3167">
        <v>4.0899999999999999E-2</v>
      </c>
    </row>
    <row r="3168" spans="1:6" x14ac:dyDescent="0.3">
      <c r="A3168" t="s">
        <v>3203</v>
      </c>
      <c r="B3168" t="s">
        <v>92</v>
      </c>
      <c r="C3168">
        <v>943000</v>
      </c>
      <c r="D3168">
        <v>52368.5</v>
      </c>
      <c r="E3168">
        <v>3.1800000000000002E-2</v>
      </c>
      <c r="F3168">
        <v>9.5100000000000004E-2</v>
      </c>
    </row>
    <row r="3169" spans="1:6" x14ac:dyDescent="0.3">
      <c r="A3169" t="s">
        <v>3204</v>
      </c>
      <c r="B3169" t="s">
        <v>21</v>
      </c>
      <c r="C3169">
        <v>2360000</v>
      </c>
      <c r="D3169">
        <v>8426.9</v>
      </c>
      <c r="E3169">
        <v>1.77E-2</v>
      </c>
      <c r="F3169">
        <v>0.1053</v>
      </c>
    </row>
    <row r="3170" spans="1:6" x14ac:dyDescent="0.3">
      <c r="A3170" t="s">
        <v>3205</v>
      </c>
      <c r="B3170" t="s">
        <v>26</v>
      </c>
      <c r="C3170">
        <v>872000</v>
      </c>
      <c r="D3170">
        <v>97554.4</v>
      </c>
      <c r="E3170">
        <v>2.5100000000000001E-2</v>
      </c>
      <c r="F3170">
        <v>4.0899999999999999E-2</v>
      </c>
    </row>
    <row r="3171" spans="1:6" x14ac:dyDescent="0.3">
      <c r="A3171" t="s">
        <v>3206</v>
      </c>
      <c r="B3171" t="s">
        <v>92</v>
      </c>
      <c r="C3171">
        <v>916000</v>
      </c>
      <c r="D3171">
        <v>15851.8</v>
      </c>
      <c r="E3171">
        <v>1.35E-2</v>
      </c>
      <c r="F3171">
        <v>0.1067</v>
      </c>
    </row>
    <row r="3172" spans="1:6" x14ac:dyDescent="0.3">
      <c r="A3172" t="s">
        <v>3207</v>
      </c>
      <c r="B3172" t="s">
        <v>214</v>
      </c>
      <c r="C3172">
        <v>934000</v>
      </c>
      <c r="D3172">
        <v>12864</v>
      </c>
      <c r="E3172">
        <v>1.55E-2</v>
      </c>
      <c r="F3172">
        <v>0.1067</v>
      </c>
    </row>
    <row r="3173" spans="1:6" x14ac:dyDescent="0.3">
      <c r="A3173" t="s">
        <v>3208</v>
      </c>
      <c r="B3173" t="s">
        <v>62</v>
      </c>
      <c r="C3173">
        <v>1240000</v>
      </c>
      <c r="D3173">
        <v>9796980.9000000004</v>
      </c>
      <c r="E3173">
        <v>6.1999999999999998E-3</v>
      </c>
      <c r="F3173">
        <v>6.54E-2</v>
      </c>
    </row>
    <row r="3174" spans="1:6" x14ac:dyDescent="0.3">
      <c r="A3174" t="s">
        <v>3209</v>
      </c>
      <c r="B3174" t="s">
        <v>74</v>
      </c>
      <c r="C3174">
        <v>928000</v>
      </c>
      <c r="D3174">
        <v>6898.3</v>
      </c>
      <c r="E3174">
        <v>1.7999999999999999E-2</v>
      </c>
      <c r="F3174">
        <v>0.13100000000000001</v>
      </c>
    </row>
    <row r="3175" spans="1:6" x14ac:dyDescent="0.3">
      <c r="A3175" t="s">
        <v>3210</v>
      </c>
      <c r="B3175" t="s">
        <v>24</v>
      </c>
      <c r="C3175">
        <v>1090000</v>
      </c>
      <c r="D3175">
        <v>45893</v>
      </c>
      <c r="E3175">
        <v>3.7199999999999997E-2</v>
      </c>
      <c r="F3175">
        <v>7.5899999999999995E-2</v>
      </c>
    </row>
    <row r="3176" spans="1:6" x14ac:dyDescent="0.3">
      <c r="A3176" t="s">
        <v>3211</v>
      </c>
      <c r="B3176" t="s">
        <v>74</v>
      </c>
      <c r="C3176">
        <v>1020000</v>
      </c>
      <c r="D3176">
        <v>358532.8</v>
      </c>
      <c r="E3176">
        <v>5.1299999999999998E-2</v>
      </c>
      <c r="F3176">
        <v>7.5899999999999995E-2</v>
      </c>
    </row>
    <row r="3177" spans="1:6" x14ac:dyDescent="0.3">
      <c r="A3177" t="s">
        <v>3212</v>
      </c>
      <c r="B3177" t="s">
        <v>41</v>
      </c>
      <c r="C3177">
        <v>1170000</v>
      </c>
      <c r="D3177">
        <v>3297.1</v>
      </c>
      <c r="E3177">
        <v>2.1700000000000001E-2</v>
      </c>
      <c r="F3177">
        <v>5.7599999999999998E-2</v>
      </c>
    </row>
    <row r="3178" spans="1:6" x14ac:dyDescent="0.3">
      <c r="A3178" t="s">
        <v>3213</v>
      </c>
      <c r="B3178" t="s">
        <v>81</v>
      </c>
      <c r="C3178">
        <v>910000</v>
      </c>
      <c r="D3178">
        <v>2642.1</v>
      </c>
      <c r="E3178">
        <v>4.7800000000000002E-2</v>
      </c>
      <c r="F3178">
        <v>7.5899999999999995E-2</v>
      </c>
    </row>
    <row r="3179" spans="1:6" x14ac:dyDescent="0.3">
      <c r="A3179" t="s">
        <v>3214</v>
      </c>
      <c r="B3179" t="s">
        <v>24</v>
      </c>
      <c r="C3179">
        <v>977000</v>
      </c>
      <c r="D3179">
        <v>1680.1</v>
      </c>
      <c r="E3179">
        <v>1.03E-2</v>
      </c>
      <c r="F3179">
        <v>8.1100000000000005E-2</v>
      </c>
    </row>
    <row r="3180" spans="1:6" x14ac:dyDescent="0.3">
      <c r="A3180" t="s">
        <v>3215</v>
      </c>
      <c r="B3180" t="s">
        <v>26</v>
      </c>
      <c r="C3180">
        <v>966000</v>
      </c>
      <c r="D3180">
        <v>88727.1</v>
      </c>
      <c r="E3180">
        <v>5.1700000000000003E-2</v>
      </c>
      <c r="F3180">
        <v>4.0899999999999999E-2</v>
      </c>
    </row>
    <row r="3181" spans="1:6" x14ac:dyDescent="0.3">
      <c r="A3181" t="s">
        <v>3216</v>
      </c>
      <c r="B3181" t="s">
        <v>88</v>
      </c>
      <c r="C3181">
        <v>897000</v>
      </c>
      <c r="D3181">
        <v>1613.7</v>
      </c>
      <c r="E3181">
        <v>6.3100000000000003E-2</v>
      </c>
      <c r="F3181">
        <v>9.3799999999999994E-2</v>
      </c>
    </row>
    <row r="3182" spans="1:6" x14ac:dyDescent="0.3">
      <c r="A3182" t="s">
        <v>3217</v>
      </c>
      <c r="B3182" t="s">
        <v>195</v>
      </c>
      <c r="C3182">
        <v>909000</v>
      </c>
      <c r="D3182">
        <v>275.10000000000002</v>
      </c>
      <c r="E3182">
        <v>5.7000000000000002E-3</v>
      </c>
      <c r="F3182">
        <v>0.1133</v>
      </c>
    </row>
    <row r="3183" spans="1:6" x14ac:dyDescent="0.3">
      <c r="A3183" t="s">
        <v>3218</v>
      </c>
      <c r="B3183" t="s">
        <v>41</v>
      </c>
      <c r="C3183">
        <v>952000</v>
      </c>
      <c r="D3183">
        <v>9375.1</v>
      </c>
      <c r="E3183">
        <v>4.9200000000000001E-2</v>
      </c>
      <c r="F3183">
        <v>9.3799999999999994E-2</v>
      </c>
    </row>
    <row r="3184" spans="1:6" x14ac:dyDescent="0.3">
      <c r="A3184" t="s">
        <v>3219</v>
      </c>
      <c r="B3184" t="s">
        <v>26</v>
      </c>
      <c r="C3184">
        <v>1050000</v>
      </c>
      <c r="D3184">
        <v>177749.2</v>
      </c>
      <c r="E3184">
        <v>4.6399999999999997E-2</v>
      </c>
      <c r="F3184">
        <v>4.3200000000000002E-2</v>
      </c>
    </row>
    <row r="3185" spans="1:6" x14ac:dyDescent="0.3">
      <c r="A3185" t="s">
        <v>3220</v>
      </c>
      <c r="B3185" t="s">
        <v>26</v>
      </c>
      <c r="C3185">
        <v>2910000</v>
      </c>
      <c r="D3185">
        <v>291966.3</v>
      </c>
      <c r="F3185">
        <v>5.0999999999999997E-2</v>
      </c>
    </row>
    <row r="3186" spans="1:6" x14ac:dyDescent="0.3">
      <c r="A3186" t="s">
        <v>3221</v>
      </c>
      <c r="B3186" t="s">
        <v>41</v>
      </c>
      <c r="C3186">
        <v>1010000</v>
      </c>
      <c r="D3186">
        <v>818.6</v>
      </c>
      <c r="E3186">
        <v>2.06E-2</v>
      </c>
      <c r="F3186">
        <v>0.1053</v>
      </c>
    </row>
    <row r="3187" spans="1:6" x14ac:dyDescent="0.3">
      <c r="A3187" t="s">
        <v>3222</v>
      </c>
      <c r="B3187" t="s">
        <v>21</v>
      </c>
      <c r="C3187">
        <v>926000</v>
      </c>
      <c r="D3187">
        <v>63030.1</v>
      </c>
      <c r="E3187">
        <v>3.9E-2</v>
      </c>
      <c r="F3187">
        <v>9.5100000000000004E-2</v>
      </c>
    </row>
    <row r="3188" spans="1:6" x14ac:dyDescent="0.3">
      <c r="A3188" t="s">
        <v>3223</v>
      </c>
      <c r="B3188" t="s">
        <v>50</v>
      </c>
      <c r="C3188">
        <v>1120000</v>
      </c>
      <c r="D3188">
        <v>122634.1</v>
      </c>
      <c r="E3188">
        <v>4.9099999999999998E-2</v>
      </c>
      <c r="F3188">
        <v>7.5899999999999995E-2</v>
      </c>
    </row>
    <row r="3189" spans="1:6" x14ac:dyDescent="0.3">
      <c r="A3189" t="s">
        <v>3224</v>
      </c>
      <c r="B3189" t="s">
        <v>81</v>
      </c>
      <c r="C3189">
        <v>1370000</v>
      </c>
      <c r="D3189">
        <v>19719.099999999999</v>
      </c>
      <c r="E3189">
        <v>9.1999999999999998E-3</v>
      </c>
      <c r="F3189">
        <v>8.1100000000000005E-2</v>
      </c>
    </row>
    <row r="3190" spans="1:6" x14ac:dyDescent="0.3">
      <c r="A3190" t="s">
        <v>3225</v>
      </c>
      <c r="B3190" t="s">
        <v>92</v>
      </c>
      <c r="C3190">
        <v>1540000</v>
      </c>
      <c r="D3190">
        <v>732310.5</v>
      </c>
      <c r="E3190">
        <v>1.9800000000000002E-2</v>
      </c>
      <c r="F3190">
        <v>5.7599999999999998E-2</v>
      </c>
    </row>
    <row r="3191" spans="1:6" x14ac:dyDescent="0.3">
      <c r="A3191" t="s">
        <v>3226</v>
      </c>
      <c r="B3191" t="s">
        <v>26</v>
      </c>
      <c r="C3191">
        <v>2430000</v>
      </c>
      <c r="D3191">
        <v>27613.5</v>
      </c>
      <c r="F3191">
        <v>4.3200000000000002E-2</v>
      </c>
    </row>
    <row r="3192" spans="1:6" x14ac:dyDescent="0.3">
      <c r="A3192" t="s">
        <v>3227</v>
      </c>
      <c r="B3192" t="s">
        <v>24</v>
      </c>
      <c r="C3192">
        <v>1200000</v>
      </c>
      <c r="D3192">
        <v>4320.7</v>
      </c>
      <c r="E3192">
        <v>2.2599999999999999E-2</v>
      </c>
      <c r="F3192">
        <v>9.3799999999999994E-2</v>
      </c>
    </row>
    <row r="3193" spans="1:6" x14ac:dyDescent="0.3">
      <c r="A3193" t="s">
        <v>3228</v>
      </c>
      <c r="B3193" t="s">
        <v>41</v>
      </c>
      <c r="C3193">
        <v>1280000</v>
      </c>
      <c r="D3193">
        <v>1748.3</v>
      </c>
      <c r="E3193">
        <v>1.35E-2</v>
      </c>
      <c r="F3193">
        <v>5.7599999999999998E-2</v>
      </c>
    </row>
    <row r="3194" spans="1:6" x14ac:dyDescent="0.3">
      <c r="A3194" t="s">
        <v>3229</v>
      </c>
      <c r="B3194" t="s">
        <v>26</v>
      </c>
      <c r="C3194">
        <v>1240000</v>
      </c>
      <c r="D3194">
        <v>3316.2</v>
      </c>
      <c r="E3194">
        <v>1.9E-2</v>
      </c>
      <c r="F3194">
        <v>0.1053</v>
      </c>
    </row>
    <row r="3195" spans="1:6" x14ac:dyDescent="0.3">
      <c r="A3195" t="s">
        <v>3230</v>
      </c>
      <c r="B3195" t="s">
        <v>41</v>
      </c>
      <c r="C3195">
        <v>2430000</v>
      </c>
      <c r="D3195">
        <v>3284.5</v>
      </c>
      <c r="E3195">
        <v>1.15E-2</v>
      </c>
      <c r="F3195">
        <v>0.18659999999999999</v>
      </c>
    </row>
    <row r="3196" spans="1:6" x14ac:dyDescent="0.3">
      <c r="A3196" t="s">
        <v>3231</v>
      </c>
      <c r="B3196" t="s">
        <v>26</v>
      </c>
      <c r="C3196">
        <v>1100000</v>
      </c>
      <c r="D3196">
        <v>268787.40000000002</v>
      </c>
      <c r="E3196">
        <v>1.9300000000000001E-2</v>
      </c>
      <c r="F3196">
        <v>0.22939999999999999</v>
      </c>
    </row>
    <row r="3197" spans="1:6" x14ac:dyDescent="0.3">
      <c r="A3197" t="s">
        <v>3232</v>
      </c>
      <c r="B3197" t="s">
        <v>50</v>
      </c>
      <c r="C3197">
        <v>1410000</v>
      </c>
      <c r="D3197">
        <v>8967.2999999999993</v>
      </c>
      <c r="E3197">
        <v>3.1699999999999999E-2</v>
      </c>
      <c r="F3197">
        <v>9.3799999999999994E-2</v>
      </c>
    </row>
    <row r="3198" spans="1:6" x14ac:dyDescent="0.3">
      <c r="A3198" t="s">
        <v>3233</v>
      </c>
      <c r="B3198" t="s">
        <v>24</v>
      </c>
      <c r="C3198">
        <v>1310000</v>
      </c>
      <c r="D3198">
        <v>12459.7</v>
      </c>
      <c r="E3198">
        <v>1.43E-2</v>
      </c>
      <c r="F3198">
        <v>6.8900000000000003E-2</v>
      </c>
    </row>
    <row r="3199" spans="1:6" x14ac:dyDescent="0.3">
      <c r="A3199" t="s">
        <v>3234</v>
      </c>
      <c r="B3199" t="s">
        <v>26</v>
      </c>
      <c r="C3199">
        <v>1000000</v>
      </c>
      <c r="D3199">
        <v>40881.9</v>
      </c>
      <c r="E3199">
        <v>3.1699999999999999E-2</v>
      </c>
      <c r="F3199">
        <v>5.1799999999999999E-2</v>
      </c>
    </row>
    <row r="3200" spans="1:6" x14ac:dyDescent="0.3">
      <c r="A3200" t="s">
        <v>3235</v>
      </c>
      <c r="B3200" t="s">
        <v>32</v>
      </c>
      <c r="C3200">
        <v>1860000</v>
      </c>
      <c r="D3200">
        <v>1153.5</v>
      </c>
      <c r="E3200">
        <v>2.7400000000000001E-2</v>
      </c>
      <c r="F3200">
        <v>4.0899999999999999E-2</v>
      </c>
    </row>
    <row r="3201" spans="1:6" x14ac:dyDescent="0.3">
      <c r="A3201" t="s">
        <v>3236</v>
      </c>
      <c r="B3201" t="s">
        <v>92</v>
      </c>
      <c r="C3201">
        <v>1950000</v>
      </c>
      <c r="D3201">
        <v>86678.1</v>
      </c>
      <c r="E3201">
        <v>2.9899999999999999E-2</v>
      </c>
      <c r="F3201">
        <v>4.0899999999999999E-2</v>
      </c>
    </row>
    <row r="3202" spans="1:6" x14ac:dyDescent="0.3">
      <c r="A3202" t="s">
        <v>3237</v>
      </c>
      <c r="B3202" t="s">
        <v>50</v>
      </c>
      <c r="C3202">
        <v>869000</v>
      </c>
      <c r="D3202">
        <v>793.4</v>
      </c>
      <c r="E3202">
        <v>3.0599999999999999E-2</v>
      </c>
      <c r="F3202">
        <v>0.13869999999999999</v>
      </c>
    </row>
    <row r="3203" spans="1:6" x14ac:dyDescent="0.3">
      <c r="A3203" t="s">
        <v>3238</v>
      </c>
      <c r="B3203" t="s">
        <v>26</v>
      </c>
      <c r="C3203">
        <v>1040000</v>
      </c>
      <c r="D3203">
        <v>61328.6</v>
      </c>
      <c r="E3203">
        <v>1.7399999999999999E-2</v>
      </c>
      <c r="F3203">
        <v>0.1709</v>
      </c>
    </row>
    <row r="3204" spans="1:6" x14ac:dyDescent="0.3">
      <c r="A3204" t="s">
        <v>3239</v>
      </c>
      <c r="B3204" t="s">
        <v>41</v>
      </c>
      <c r="C3204">
        <v>1060000</v>
      </c>
      <c r="D3204">
        <v>5538.8</v>
      </c>
      <c r="E3204">
        <v>1.35E-2</v>
      </c>
      <c r="F3204">
        <v>0.1067</v>
      </c>
    </row>
    <row r="3205" spans="1:6" x14ac:dyDescent="0.3">
      <c r="A3205" t="s">
        <v>3240</v>
      </c>
      <c r="B3205" t="s">
        <v>62</v>
      </c>
      <c r="C3205">
        <v>883000</v>
      </c>
      <c r="D3205">
        <v>1443.4</v>
      </c>
      <c r="E3205">
        <v>9.1999999999999998E-3</v>
      </c>
      <c r="F3205">
        <v>6.54E-2</v>
      </c>
    </row>
    <row r="3206" spans="1:6" x14ac:dyDescent="0.3">
      <c r="A3206" t="s">
        <v>3241</v>
      </c>
      <c r="B3206" t="s">
        <v>26</v>
      </c>
      <c r="C3206">
        <v>1250000</v>
      </c>
      <c r="D3206">
        <v>130.19999999999999</v>
      </c>
      <c r="E3206">
        <v>1.61E-2</v>
      </c>
      <c r="F3206">
        <v>0.65329999999999999</v>
      </c>
    </row>
    <row r="3207" spans="1:6" x14ac:dyDescent="0.3">
      <c r="A3207" t="s">
        <v>3242</v>
      </c>
      <c r="B3207" t="s">
        <v>26</v>
      </c>
      <c r="C3207">
        <v>861000</v>
      </c>
      <c r="D3207">
        <v>392.4</v>
      </c>
      <c r="E3207">
        <v>1.0200000000000001E-2</v>
      </c>
      <c r="F3207">
        <v>0.16980000000000001</v>
      </c>
    </row>
    <row r="3208" spans="1:6" x14ac:dyDescent="0.3">
      <c r="A3208" t="s">
        <v>3243</v>
      </c>
      <c r="B3208" t="s">
        <v>214</v>
      </c>
      <c r="C3208">
        <v>1160000</v>
      </c>
      <c r="D3208">
        <v>62934.3</v>
      </c>
      <c r="E3208">
        <v>2.9000000000000001E-2</v>
      </c>
      <c r="F3208">
        <v>7.5899999999999995E-2</v>
      </c>
    </row>
    <row r="3209" spans="1:6" x14ac:dyDescent="0.3">
      <c r="A3209" t="s">
        <v>3244</v>
      </c>
      <c r="B3209" t="s">
        <v>21</v>
      </c>
      <c r="C3209">
        <v>892000</v>
      </c>
      <c r="D3209">
        <v>241.7</v>
      </c>
      <c r="E3209">
        <v>5.9400000000000001E-2</v>
      </c>
      <c r="F3209">
        <v>8.9399999999999993E-2</v>
      </c>
    </row>
    <row r="3210" spans="1:6" x14ac:dyDescent="0.3">
      <c r="A3210" t="s">
        <v>3245</v>
      </c>
      <c r="B3210" t="s">
        <v>30</v>
      </c>
      <c r="C3210">
        <v>883000</v>
      </c>
      <c r="D3210">
        <v>46745.2</v>
      </c>
      <c r="E3210">
        <v>4.6300000000000001E-2</v>
      </c>
      <c r="F3210">
        <v>6.7199999999999996E-2</v>
      </c>
    </row>
    <row r="3211" spans="1:6" x14ac:dyDescent="0.3">
      <c r="A3211" t="s">
        <v>3246</v>
      </c>
      <c r="B3211" t="s">
        <v>26</v>
      </c>
      <c r="C3211">
        <v>1080000</v>
      </c>
      <c r="D3211">
        <v>95854.3</v>
      </c>
      <c r="E3211">
        <v>4.2799999999999998E-2</v>
      </c>
      <c r="F3211">
        <v>5.4600000000000003E-2</v>
      </c>
    </row>
    <row r="3212" spans="1:6" x14ac:dyDescent="0.3">
      <c r="A3212" t="s">
        <v>3247</v>
      </c>
      <c r="B3212" t="s">
        <v>88</v>
      </c>
      <c r="C3212">
        <v>871000</v>
      </c>
      <c r="D3212">
        <v>897</v>
      </c>
      <c r="E3212">
        <v>3.3300000000000003E-2</v>
      </c>
      <c r="F3212">
        <v>9.3799999999999994E-2</v>
      </c>
    </row>
    <row r="3213" spans="1:6" x14ac:dyDescent="0.3">
      <c r="A3213" t="s">
        <v>3248</v>
      </c>
      <c r="B3213" t="s">
        <v>81</v>
      </c>
      <c r="C3213">
        <v>388000</v>
      </c>
      <c r="D3213">
        <v>777.9</v>
      </c>
      <c r="E3213">
        <v>2.46E-2</v>
      </c>
      <c r="F3213">
        <v>7.5899999999999995E-2</v>
      </c>
    </row>
    <row r="3214" spans="1:6" x14ac:dyDescent="0.3">
      <c r="A3214" t="s">
        <v>3249</v>
      </c>
      <c r="B3214" t="s">
        <v>214</v>
      </c>
      <c r="C3214">
        <v>1070000</v>
      </c>
      <c r="D3214">
        <v>10559.5</v>
      </c>
      <c r="E3214">
        <v>3.8300000000000001E-2</v>
      </c>
      <c r="F3214">
        <v>9.3799999999999994E-2</v>
      </c>
    </row>
    <row r="3215" spans="1:6" x14ac:dyDescent="0.3">
      <c r="A3215" t="s">
        <v>3250</v>
      </c>
      <c r="B3215" t="s">
        <v>92</v>
      </c>
      <c r="C3215">
        <v>959000</v>
      </c>
      <c r="D3215">
        <v>4890.2</v>
      </c>
      <c r="E3215">
        <v>2.8799999999999999E-2</v>
      </c>
      <c r="F3215">
        <v>9.5100000000000004E-2</v>
      </c>
    </row>
    <row r="3216" spans="1:6" x14ac:dyDescent="0.3">
      <c r="A3216" t="s">
        <v>3251</v>
      </c>
      <c r="B3216" t="s">
        <v>92</v>
      </c>
      <c r="C3216">
        <v>1000000</v>
      </c>
      <c r="D3216">
        <v>13449.4</v>
      </c>
      <c r="E3216">
        <v>3.2399999999999998E-2</v>
      </c>
      <c r="F3216">
        <v>9.3799999999999994E-2</v>
      </c>
    </row>
    <row r="3217" spans="1:6" x14ac:dyDescent="0.3">
      <c r="A3217" t="s">
        <v>3252</v>
      </c>
      <c r="B3217" t="s">
        <v>88</v>
      </c>
      <c r="C3217">
        <v>1030000</v>
      </c>
      <c r="D3217">
        <v>16350</v>
      </c>
      <c r="E3217">
        <v>5.79E-2</v>
      </c>
      <c r="F3217">
        <v>9.3799999999999994E-2</v>
      </c>
    </row>
    <row r="3218" spans="1:6" x14ac:dyDescent="0.3">
      <c r="A3218" t="s">
        <v>3253</v>
      </c>
      <c r="B3218" t="s">
        <v>287</v>
      </c>
      <c r="C3218">
        <v>1020000</v>
      </c>
      <c r="D3218">
        <v>23729.3</v>
      </c>
      <c r="E3218">
        <v>6.1000000000000004E-3</v>
      </c>
      <c r="F3218">
        <v>0.3805</v>
      </c>
    </row>
    <row r="3219" spans="1:6" x14ac:dyDescent="0.3">
      <c r="A3219" t="s">
        <v>3254</v>
      </c>
      <c r="B3219" t="s">
        <v>88</v>
      </c>
      <c r="C3219">
        <v>1520000</v>
      </c>
      <c r="D3219">
        <v>49390.400000000001</v>
      </c>
      <c r="E3219">
        <v>7.2499999999999995E-2</v>
      </c>
      <c r="F3219">
        <v>7.5899999999999995E-2</v>
      </c>
    </row>
    <row r="3220" spans="1:6" x14ac:dyDescent="0.3">
      <c r="A3220" t="s">
        <v>3255</v>
      </c>
      <c r="B3220" t="s">
        <v>50</v>
      </c>
      <c r="C3220">
        <v>1120000</v>
      </c>
      <c r="D3220">
        <v>7537</v>
      </c>
      <c r="E3220">
        <v>0.15509999999999999</v>
      </c>
      <c r="F3220">
        <v>0.2747</v>
      </c>
    </row>
    <row r="3221" spans="1:6" x14ac:dyDescent="0.3">
      <c r="A3221" t="s">
        <v>3256</v>
      </c>
      <c r="B3221" t="s">
        <v>41</v>
      </c>
      <c r="C3221">
        <v>1050000</v>
      </c>
      <c r="D3221">
        <v>130.30000000000001</v>
      </c>
      <c r="E3221">
        <v>4.7399999999999998E-2</v>
      </c>
      <c r="F3221">
        <v>0.1226</v>
      </c>
    </row>
    <row r="3222" spans="1:6" x14ac:dyDescent="0.3">
      <c r="A3222" t="s">
        <v>3257</v>
      </c>
      <c r="B3222" t="s">
        <v>26</v>
      </c>
      <c r="C3222">
        <v>974000</v>
      </c>
      <c r="D3222">
        <v>30757</v>
      </c>
      <c r="E3222">
        <v>2.9499999999999998E-2</v>
      </c>
      <c r="F3222">
        <v>5.1799999999999999E-2</v>
      </c>
    </row>
    <row r="3223" spans="1:6" x14ac:dyDescent="0.3">
      <c r="A3223" t="s">
        <v>3258</v>
      </c>
      <c r="B3223" t="s">
        <v>92</v>
      </c>
      <c r="C3223">
        <v>910000</v>
      </c>
      <c r="D3223">
        <v>346869.2</v>
      </c>
      <c r="E3223">
        <v>4.9599999999999998E-2</v>
      </c>
      <c r="F3223">
        <v>5.1799999999999999E-2</v>
      </c>
    </row>
    <row r="3224" spans="1:6" x14ac:dyDescent="0.3">
      <c r="A3224" t="s">
        <v>3259</v>
      </c>
      <c r="B3224" t="s">
        <v>26</v>
      </c>
      <c r="C3224">
        <v>877000</v>
      </c>
      <c r="D3224">
        <v>999.6</v>
      </c>
      <c r="E3224">
        <v>6.3500000000000001E-2</v>
      </c>
      <c r="F3224">
        <v>9.5100000000000004E-2</v>
      </c>
    </row>
    <row r="3225" spans="1:6" x14ac:dyDescent="0.3">
      <c r="A3225" t="s">
        <v>3260</v>
      </c>
      <c r="B3225" t="s">
        <v>24</v>
      </c>
      <c r="C3225">
        <v>1260000</v>
      </c>
      <c r="D3225">
        <v>1232998.1000000001</v>
      </c>
      <c r="E3225">
        <v>2.4400000000000002E-2</v>
      </c>
      <c r="F3225">
        <v>0.1067</v>
      </c>
    </row>
    <row r="3226" spans="1:6" x14ac:dyDescent="0.3">
      <c r="A3226" t="s">
        <v>3261</v>
      </c>
      <c r="B3226" t="s">
        <v>26</v>
      </c>
      <c r="C3226">
        <v>1010000</v>
      </c>
      <c r="D3226">
        <v>397012.6</v>
      </c>
      <c r="E3226">
        <v>5.7700000000000001E-2</v>
      </c>
      <c r="F3226">
        <v>0.1057</v>
      </c>
    </row>
    <row r="3227" spans="1:6" x14ac:dyDescent="0.3">
      <c r="A3227" t="s">
        <v>3262</v>
      </c>
      <c r="B3227" t="s">
        <v>53</v>
      </c>
      <c r="C3227">
        <v>924000</v>
      </c>
      <c r="D3227">
        <v>105331.9</v>
      </c>
      <c r="E3227">
        <v>6.9500000000000006E-2</v>
      </c>
      <c r="F3227">
        <v>7.5899999999999995E-2</v>
      </c>
    </row>
    <row r="3228" spans="1:6" x14ac:dyDescent="0.3">
      <c r="A3228" t="s">
        <v>3263</v>
      </c>
      <c r="B3228" t="s">
        <v>26</v>
      </c>
      <c r="C3228">
        <v>1220000</v>
      </c>
      <c r="D3228">
        <v>8844.2999999999993</v>
      </c>
      <c r="E3228">
        <v>9.5999999999999992E-3</v>
      </c>
      <c r="F3228">
        <v>6.54E-2</v>
      </c>
    </row>
    <row r="3229" spans="1:6" x14ac:dyDescent="0.3">
      <c r="A3229" t="s">
        <v>3264</v>
      </c>
      <c r="B3229" t="s">
        <v>26</v>
      </c>
      <c r="C3229">
        <v>1020000</v>
      </c>
      <c r="D3229">
        <v>531904.80000000005</v>
      </c>
      <c r="E3229">
        <v>4.5699999999999998E-2</v>
      </c>
      <c r="F3229">
        <v>4.0899999999999999E-2</v>
      </c>
    </row>
    <row r="3230" spans="1:6" x14ac:dyDescent="0.3">
      <c r="A3230" t="s">
        <v>3265</v>
      </c>
      <c r="B3230" t="s">
        <v>71</v>
      </c>
      <c r="C3230">
        <v>1030000</v>
      </c>
      <c r="D3230">
        <v>87372.6</v>
      </c>
      <c r="E3230">
        <v>3.44E-2</v>
      </c>
      <c r="F3230">
        <v>7.5899999999999995E-2</v>
      </c>
    </row>
    <row r="3231" spans="1:6" x14ac:dyDescent="0.3">
      <c r="A3231" t="s">
        <v>3266</v>
      </c>
      <c r="B3231" t="s">
        <v>88</v>
      </c>
      <c r="C3231">
        <v>911000</v>
      </c>
      <c r="D3231">
        <v>2152.8000000000002</v>
      </c>
      <c r="E3231">
        <v>1.6500000000000001E-2</v>
      </c>
      <c r="F3231">
        <v>9.5000000000000001E-2</v>
      </c>
    </row>
    <row r="3232" spans="1:6" x14ac:dyDescent="0.3">
      <c r="A3232" t="s">
        <v>3267</v>
      </c>
      <c r="B3232" t="s">
        <v>88</v>
      </c>
      <c r="C3232">
        <v>1220000</v>
      </c>
      <c r="D3232">
        <v>2566.8000000000002</v>
      </c>
      <c r="E3232">
        <v>4.0500000000000001E-2</v>
      </c>
      <c r="F3232">
        <v>9.3799999999999994E-2</v>
      </c>
    </row>
    <row r="3233" spans="1:6" x14ac:dyDescent="0.3">
      <c r="A3233" t="s">
        <v>3268</v>
      </c>
      <c r="B3233" t="s">
        <v>24</v>
      </c>
      <c r="C3233">
        <v>1820000</v>
      </c>
      <c r="D3233">
        <v>72491.600000000006</v>
      </c>
      <c r="E3233">
        <v>2.6700000000000002E-2</v>
      </c>
      <c r="F3233">
        <v>7.5899999999999995E-2</v>
      </c>
    </row>
    <row r="3234" spans="1:6" x14ac:dyDescent="0.3">
      <c r="A3234" t="s">
        <v>3269</v>
      </c>
      <c r="B3234" t="s">
        <v>26</v>
      </c>
      <c r="C3234">
        <v>1090000</v>
      </c>
      <c r="D3234">
        <v>505390.8</v>
      </c>
      <c r="E3234">
        <v>0.06</v>
      </c>
      <c r="F3234">
        <v>9.5100000000000004E-2</v>
      </c>
    </row>
    <row r="3235" spans="1:6" x14ac:dyDescent="0.3">
      <c r="A3235" t="s">
        <v>3270</v>
      </c>
      <c r="B3235" t="s">
        <v>88</v>
      </c>
      <c r="C3235">
        <v>969000</v>
      </c>
      <c r="D3235">
        <v>16110.5</v>
      </c>
      <c r="E3235">
        <v>2.8500000000000001E-2</v>
      </c>
      <c r="F3235">
        <v>0.1226</v>
      </c>
    </row>
    <row r="3236" spans="1:6" x14ac:dyDescent="0.3">
      <c r="A3236" t="s">
        <v>3271</v>
      </c>
      <c r="B3236" t="s">
        <v>81</v>
      </c>
      <c r="C3236">
        <v>891000</v>
      </c>
      <c r="D3236">
        <v>24463.9</v>
      </c>
      <c r="E3236">
        <v>3.3799999999999997E-2</v>
      </c>
      <c r="F3236">
        <v>7.5899999999999995E-2</v>
      </c>
    </row>
    <row r="3237" spans="1:6" x14ac:dyDescent="0.3">
      <c r="A3237" t="s">
        <v>3272</v>
      </c>
      <c r="B3237" t="s">
        <v>88</v>
      </c>
      <c r="C3237">
        <v>941000</v>
      </c>
      <c r="D3237">
        <v>3344.9</v>
      </c>
      <c r="E3237">
        <v>3.5999999999999997E-2</v>
      </c>
      <c r="F3237">
        <v>7.5899999999999995E-2</v>
      </c>
    </row>
    <row r="3238" spans="1:6" x14ac:dyDescent="0.3">
      <c r="A3238" t="s">
        <v>3273</v>
      </c>
      <c r="B3238" t="s">
        <v>92</v>
      </c>
      <c r="C3238">
        <v>857000</v>
      </c>
      <c r="D3238">
        <v>9239.5</v>
      </c>
      <c r="E3238">
        <v>4.9399999999999999E-2</v>
      </c>
      <c r="F3238">
        <v>9.5100000000000004E-2</v>
      </c>
    </row>
    <row r="3239" spans="1:6" x14ac:dyDescent="0.3">
      <c r="A3239" t="s">
        <v>3274</v>
      </c>
      <c r="B3239" t="s">
        <v>214</v>
      </c>
      <c r="C3239">
        <v>858000</v>
      </c>
      <c r="D3239">
        <v>1821.9</v>
      </c>
      <c r="E3239">
        <v>2.4899999999999999E-2</v>
      </c>
      <c r="F3239">
        <v>9.5100000000000004E-2</v>
      </c>
    </row>
    <row r="3240" spans="1:6" x14ac:dyDescent="0.3">
      <c r="A3240" t="s">
        <v>3275</v>
      </c>
      <c r="B3240" t="s">
        <v>88</v>
      </c>
      <c r="C3240">
        <v>1080000</v>
      </c>
      <c r="D3240">
        <v>17647</v>
      </c>
      <c r="E3240">
        <v>1.8700000000000001E-2</v>
      </c>
      <c r="F3240">
        <v>0.1053</v>
      </c>
    </row>
    <row r="3241" spans="1:6" x14ac:dyDescent="0.3">
      <c r="A3241" t="s">
        <v>3276</v>
      </c>
      <c r="B3241" t="s">
        <v>92</v>
      </c>
      <c r="C3241">
        <v>1030000</v>
      </c>
      <c r="D3241">
        <v>32442.2</v>
      </c>
      <c r="E3241">
        <v>8.8000000000000005E-3</v>
      </c>
      <c r="F3241">
        <v>8.2199999999999995E-2</v>
      </c>
    </row>
    <row r="3242" spans="1:6" x14ac:dyDescent="0.3">
      <c r="A3242" t="s">
        <v>3277</v>
      </c>
      <c r="B3242" t="s">
        <v>92</v>
      </c>
      <c r="C3242">
        <v>883000</v>
      </c>
      <c r="D3242">
        <v>15648.2</v>
      </c>
      <c r="E3242">
        <v>2.8199999999999999E-2</v>
      </c>
      <c r="F3242">
        <v>4.0899999999999999E-2</v>
      </c>
    </row>
    <row r="3243" spans="1:6" x14ac:dyDescent="0.3">
      <c r="A3243" t="s">
        <v>3278</v>
      </c>
      <c r="B3243" t="s">
        <v>26</v>
      </c>
      <c r="C3243">
        <v>989000</v>
      </c>
      <c r="D3243">
        <v>949764.7</v>
      </c>
      <c r="E3243">
        <v>5.8799999999999998E-2</v>
      </c>
      <c r="F3243">
        <v>5.1799999999999999E-2</v>
      </c>
    </row>
    <row r="3244" spans="1:6" x14ac:dyDescent="0.3">
      <c r="A3244" t="s">
        <v>3279</v>
      </c>
      <c r="B3244" t="s">
        <v>21</v>
      </c>
      <c r="C3244">
        <v>865000</v>
      </c>
      <c r="D3244">
        <v>161.5</v>
      </c>
      <c r="E3244">
        <v>1.0200000000000001E-2</v>
      </c>
      <c r="F3244">
        <v>0.10150000000000001</v>
      </c>
    </row>
    <row r="3245" spans="1:6" x14ac:dyDescent="0.3">
      <c r="A3245" t="s">
        <v>3280</v>
      </c>
      <c r="B3245" t="s">
        <v>287</v>
      </c>
      <c r="C3245">
        <v>973000</v>
      </c>
      <c r="D3245">
        <v>2942.9</v>
      </c>
      <c r="E3245">
        <v>6.6E-3</v>
      </c>
      <c r="F3245">
        <v>6.54E-2</v>
      </c>
    </row>
    <row r="3246" spans="1:6" x14ac:dyDescent="0.3">
      <c r="A3246" t="s">
        <v>3281</v>
      </c>
      <c r="B3246" t="s">
        <v>26</v>
      </c>
      <c r="C3246">
        <v>834000</v>
      </c>
      <c r="D3246">
        <v>2117.1</v>
      </c>
      <c r="E3246">
        <v>3.0099999999999998E-2</v>
      </c>
      <c r="F3246">
        <v>0.11700000000000001</v>
      </c>
    </row>
    <row r="3247" spans="1:6" x14ac:dyDescent="0.3">
      <c r="A3247" t="s">
        <v>3282</v>
      </c>
      <c r="B3247" t="s">
        <v>195</v>
      </c>
      <c r="C3247">
        <v>885000</v>
      </c>
      <c r="D3247">
        <v>618</v>
      </c>
      <c r="E3247">
        <v>2.47E-2</v>
      </c>
      <c r="F3247">
        <v>9.3799999999999994E-2</v>
      </c>
    </row>
    <row r="3248" spans="1:6" x14ac:dyDescent="0.3">
      <c r="A3248" t="s">
        <v>3283</v>
      </c>
      <c r="B3248" t="s">
        <v>287</v>
      </c>
      <c r="C3248">
        <v>3070000</v>
      </c>
      <c r="D3248">
        <v>1843.9</v>
      </c>
      <c r="E3248">
        <v>8.8999999999999999E-3</v>
      </c>
      <c r="F3248">
        <v>8.1100000000000005E-2</v>
      </c>
    </row>
    <row r="3249" spans="1:6" x14ac:dyDescent="0.3">
      <c r="A3249" t="s">
        <v>3284</v>
      </c>
      <c r="B3249" t="s">
        <v>21</v>
      </c>
      <c r="C3249">
        <v>877000</v>
      </c>
      <c r="D3249">
        <v>2881.3</v>
      </c>
      <c r="E3249">
        <v>0.03</v>
      </c>
      <c r="F3249">
        <v>6.4399999999999999E-2</v>
      </c>
    </row>
    <row r="3250" spans="1:6" x14ac:dyDescent="0.3">
      <c r="A3250" t="s">
        <v>3285</v>
      </c>
      <c r="B3250" t="s">
        <v>21</v>
      </c>
      <c r="C3250">
        <v>905000</v>
      </c>
      <c r="D3250">
        <v>2206.3000000000002</v>
      </c>
      <c r="E3250">
        <v>2.2100000000000002E-2</v>
      </c>
      <c r="F3250">
        <v>7.5899999999999995E-2</v>
      </c>
    </row>
    <row r="3251" spans="1:6" x14ac:dyDescent="0.3">
      <c r="A3251" t="s">
        <v>3286</v>
      </c>
      <c r="B3251" t="s">
        <v>26</v>
      </c>
      <c r="C3251">
        <v>823000</v>
      </c>
      <c r="D3251">
        <v>18147.5</v>
      </c>
      <c r="E3251">
        <v>2.2200000000000001E-2</v>
      </c>
      <c r="F3251">
        <v>0.13900000000000001</v>
      </c>
    </row>
    <row r="3252" spans="1:6" x14ac:dyDescent="0.3">
      <c r="A3252" t="s">
        <v>3287</v>
      </c>
      <c r="B3252" t="s">
        <v>62</v>
      </c>
      <c r="C3252">
        <v>893000</v>
      </c>
      <c r="D3252">
        <v>12034.3</v>
      </c>
      <c r="E3252">
        <v>5.0299999999999997E-2</v>
      </c>
      <c r="F3252">
        <v>9.5100000000000004E-2</v>
      </c>
    </row>
    <row r="3253" spans="1:6" x14ac:dyDescent="0.3">
      <c r="A3253" t="s">
        <v>3288</v>
      </c>
      <c r="B3253" t="s">
        <v>81</v>
      </c>
      <c r="C3253">
        <v>878000</v>
      </c>
      <c r="D3253">
        <v>10733.5</v>
      </c>
      <c r="E3253">
        <v>3.7600000000000001E-2</v>
      </c>
      <c r="F3253">
        <v>9.5100000000000004E-2</v>
      </c>
    </row>
    <row r="3254" spans="1:6" x14ac:dyDescent="0.3">
      <c r="A3254" t="s">
        <v>3289</v>
      </c>
      <c r="B3254" t="s">
        <v>74</v>
      </c>
      <c r="C3254">
        <v>951000</v>
      </c>
      <c r="D3254">
        <v>12503.6</v>
      </c>
      <c r="E3254">
        <v>4.02E-2</v>
      </c>
      <c r="F3254">
        <v>7.5899999999999995E-2</v>
      </c>
    </row>
    <row r="3255" spans="1:6" x14ac:dyDescent="0.3">
      <c r="A3255" t="s">
        <v>3290</v>
      </c>
      <c r="B3255" t="s">
        <v>92</v>
      </c>
      <c r="C3255">
        <v>1410000</v>
      </c>
      <c r="D3255">
        <v>1500025.2</v>
      </c>
      <c r="E3255">
        <v>7.1999999999999998E-3</v>
      </c>
      <c r="F3255">
        <v>8.1100000000000005E-2</v>
      </c>
    </row>
    <row r="3256" spans="1:6" x14ac:dyDescent="0.3">
      <c r="A3256" t="s">
        <v>3291</v>
      </c>
      <c r="B3256" t="s">
        <v>32</v>
      </c>
      <c r="C3256">
        <v>932000</v>
      </c>
      <c r="D3256">
        <v>85034.9</v>
      </c>
      <c r="E3256">
        <v>1.5900000000000001E-2</v>
      </c>
      <c r="F3256">
        <v>5.8900000000000001E-2</v>
      </c>
    </row>
    <row r="3257" spans="1:6" x14ac:dyDescent="0.3">
      <c r="A3257" t="s">
        <v>3292</v>
      </c>
      <c r="B3257" t="s">
        <v>88</v>
      </c>
      <c r="C3257">
        <v>955000</v>
      </c>
      <c r="D3257">
        <v>120.1</v>
      </c>
      <c r="E3257">
        <v>3.32E-2</v>
      </c>
      <c r="F3257">
        <v>9.3799999999999994E-2</v>
      </c>
    </row>
    <row r="3258" spans="1:6" x14ac:dyDescent="0.3">
      <c r="A3258" t="s">
        <v>3293</v>
      </c>
      <c r="B3258" t="s">
        <v>53</v>
      </c>
      <c r="C3258">
        <v>1020000</v>
      </c>
      <c r="D3258">
        <v>79702.899999999994</v>
      </c>
      <c r="E3258">
        <v>8.1699999999999995E-2</v>
      </c>
      <c r="F3258">
        <v>5.1799999999999999E-2</v>
      </c>
    </row>
    <row r="3259" spans="1:6" x14ac:dyDescent="0.3">
      <c r="A3259" t="s">
        <v>3294</v>
      </c>
      <c r="B3259" t="s">
        <v>32</v>
      </c>
      <c r="C3259">
        <v>1010000</v>
      </c>
      <c r="D3259">
        <v>28949</v>
      </c>
      <c r="E3259">
        <v>3.2000000000000001E-2</v>
      </c>
      <c r="F3259">
        <v>9.5100000000000004E-2</v>
      </c>
    </row>
    <row r="3260" spans="1:6" x14ac:dyDescent="0.3">
      <c r="A3260" t="s">
        <v>3295</v>
      </c>
      <c r="B3260" t="s">
        <v>41</v>
      </c>
      <c r="C3260">
        <v>891000</v>
      </c>
      <c r="D3260">
        <v>5310.6</v>
      </c>
      <c r="E3260">
        <v>2.35E-2</v>
      </c>
      <c r="F3260">
        <v>0.14460000000000001</v>
      </c>
    </row>
    <row r="3261" spans="1:6" x14ac:dyDescent="0.3">
      <c r="A3261" t="s">
        <v>3296</v>
      </c>
      <c r="B3261" t="s">
        <v>92</v>
      </c>
      <c r="C3261">
        <v>887000</v>
      </c>
      <c r="D3261">
        <v>38556.1</v>
      </c>
      <c r="E3261">
        <v>2.1899999999999999E-2</v>
      </c>
      <c r="F3261">
        <v>7.5899999999999995E-2</v>
      </c>
    </row>
    <row r="3262" spans="1:6" x14ac:dyDescent="0.3">
      <c r="A3262" t="s">
        <v>3297</v>
      </c>
      <c r="B3262" t="s">
        <v>74</v>
      </c>
      <c r="C3262">
        <v>1070000</v>
      </c>
      <c r="D3262">
        <v>41766.300000000003</v>
      </c>
      <c r="E3262">
        <v>4.6199999999999998E-2</v>
      </c>
      <c r="F3262">
        <v>7.5899999999999995E-2</v>
      </c>
    </row>
    <row r="3263" spans="1:6" x14ac:dyDescent="0.3">
      <c r="A3263" t="s">
        <v>3298</v>
      </c>
      <c r="B3263" t="s">
        <v>26</v>
      </c>
      <c r="C3263">
        <v>846000</v>
      </c>
      <c r="D3263">
        <v>590184.69999999995</v>
      </c>
      <c r="E3263">
        <v>0.129</v>
      </c>
      <c r="F3263">
        <v>9.5100000000000004E-2</v>
      </c>
    </row>
    <row r="3264" spans="1:6" x14ac:dyDescent="0.3">
      <c r="A3264" t="s">
        <v>3299</v>
      </c>
      <c r="B3264" t="s">
        <v>24</v>
      </c>
      <c r="C3264">
        <v>1100000</v>
      </c>
      <c r="D3264">
        <v>6008.3</v>
      </c>
      <c r="E3264">
        <v>5.7000000000000002E-3</v>
      </c>
      <c r="F3264">
        <v>8.2199999999999995E-2</v>
      </c>
    </row>
    <row r="3265" spans="1:6" x14ac:dyDescent="0.3">
      <c r="A3265" t="s">
        <v>3300</v>
      </c>
      <c r="B3265" t="s">
        <v>26</v>
      </c>
      <c r="C3265">
        <v>354000</v>
      </c>
      <c r="D3265">
        <v>543.20000000000005</v>
      </c>
      <c r="E3265">
        <v>1.2500000000000001E-2</v>
      </c>
      <c r="F3265">
        <v>7.3599999999999999E-2</v>
      </c>
    </row>
    <row r="3266" spans="1:6" x14ac:dyDescent="0.3">
      <c r="A3266" t="s">
        <v>3301</v>
      </c>
      <c r="B3266" t="s">
        <v>53</v>
      </c>
      <c r="C3266">
        <v>1000000</v>
      </c>
      <c r="D3266">
        <v>115209.5</v>
      </c>
      <c r="E3266">
        <v>3.5200000000000002E-2</v>
      </c>
      <c r="F3266">
        <v>7.5899999999999995E-2</v>
      </c>
    </row>
    <row r="3267" spans="1:6" x14ac:dyDescent="0.3">
      <c r="A3267" t="s">
        <v>3302</v>
      </c>
      <c r="B3267" t="s">
        <v>26</v>
      </c>
      <c r="C3267">
        <v>1270000</v>
      </c>
      <c r="D3267">
        <v>14055205.4</v>
      </c>
      <c r="E3267">
        <v>1.5699999999999999E-2</v>
      </c>
      <c r="F3267">
        <v>0.1953</v>
      </c>
    </row>
    <row r="3268" spans="1:6" x14ac:dyDescent="0.3">
      <c r="A3268" t="s">
        <v>3303</v>
      </c>
      <c r="B3268" t="s">
        <v>88</v>
      </c>
      <c r="C3268">
        <v>882000</v>
      </c>
      <c r="D3268">
        <v>141245.4</v>
      </c>
      <c r="E3268">
        <v>4.2900000000000001E-2</v>
      </c>
      <c r="F3268">
        <v>7.5899999999999995E-2</v>
      </c>
    </row>
    <row r="3269" spans="1:6" x14ac:dyDescent="0.3">
      <c r="A3269" t="s">
        <v>3304</v>
      </c>
      <c r="B3269" t="s">
        <v>26</v>
      </c>
      <c r="C3269">
        <v>891000</v>
      </c>
      <c r="D3269">
        <v>30852.400000000001</v>
      </c>
      <c r="E3269">
        <v>3.9800000000000002E-2</v>
      </c>
      <c r="F3269">
        <v>9.3799999999999994E-2</v>
      </c>
    </row>
    <row r="3270" spans="1:6" x14ac:dyDescent="0.3">
      <c r="A3270" t="s">
        <v>3305</v>
      </c>
      <c r="B3270" t="s">
        <v>74</v>
      </c>
      <c r="C3270">
        <v>871000</v>
      </c>
      <c r="D3270">
        <v>1023.2</v>
      </c>
      <c r="E3270">
        <v>3.8899999999999997E-2</v>
      </c>
      <c r="F3270">
        <v>9.5100000000000004E-2</v>
      </c>
    </row>
    <row r="3271" spans="1:6" x14ac:dyDescent="0.3">
      <c r="A3271" t="s">
        <v>3306</v>
      </c>
      <c r="B3271" t="s">
        <v>214</v>
      </c>
      <c r="C3271">
        <v>1220000</v>
      </c>
      <c r="D3271">
        <v>35963.300000000003</v>
      </c>
      <c r="E3271">
        <v>2.47E-2</v>
      </c>
      <c r="F3271">
        <v>4.0899999999999999E-2</v>
      </c>
    </row>
    <row r="3272" spans="1:6" x14ac:dyDescent="0.3">
      <c r="A3272" t="s">
        <v>3307</v>
      </c>
      <c r="B3272" t="s">
        <v>88</v>
      </c>
      <c r="C3272">
        <v>1020000</v>
      </c>
      <c r="D3272">
        <v>301.10000000000002</v>
      </c>
      <c r="E3272">
        <v>1.54E-2</v>
      </c>
      <c r="F3272">
        <v>0.57140000000000002</v>
      </c>
    </row>
    <row r="3273" spans="1:6" x14ac:dyDescent="0.3">
      <c r="A3273" t="s">
        <v>3308</v>
      </c>
      <c r="B3273" t="s">
        <v>26</v>
      </c>
      <c r="C3273">
        <v>1500000</v>
      </c>
      <c r="D3273">
        <v>229820</v>
      </c>
      <c r="E3273">
        <v>4.6300000000000001E-2</v>
      </c>
      <c r="F3273">
        <v>7.5899999999999995E-2</v>
      </c>
    </row>
    <row r="3274" spans="1:6" x14ac:dyDescent="0.3">
      <c r="A3274" t="s">
        <v>3309</v>
      </c>
      <c r="B3274" t="s">
        <v>62</v>
      </c>
      <c r="C3274">
        <v>1080000</v>
      </c>
      <c r="D3274">
        <v>29372.799999999999</v>
      </c>
      <c r="E3274">
        <v>5.8500000000000003E-2</v>
      </c>
      <c r="F3274">
        <v>7.5899999999999995E-2</v>
      </c>
    </row>
    <row r="3275" spans="1:6" x14ac:dyDescent="0.3">
      <c r="A3275" t="s">
        <v>3310</v>
      </c>
      <c r="B3275" t="s">
        <v>26</v>
      </c>
      <c r="C3275">
        <v>1510000</v>
      </c>
      <c r="D3275">
        <v>5060.8999999999996</v>
      </c>
      <c r="E3275">
        <v>2.3300000000000001E-2</v>
      </c>
      <c r="F3275">
        <v>9.3799999999999994E-2</v>
      </c>
    </row>
    <row r="3276" spans="1:6" x14ac:dyDescent="0.3">
      <c r="A3276" t="s">
        <v>3311</v>
      </c>
      <c r="B3276" t="s">
        <v>53</v>
      </c>
      <c r="C3276">
        <v>839000</v>
      </c>
      <c r="D3276">
        <v>6324.3</v>
      </c>
      <c r="E3276">
        <v>7.9200000000000007E-2</v>
      </c>
      <c r="F3276">
        <v>0.11700000000000001</v>
      </c>
    </row>
    <row r="3277" spans="1:6" x14ac:dyDescent="0.3">
      <c r="A3277" t="s">
        <v>3312</v>
      </c>
      <c r="B3277" t="s">
        <v>21</v>
      </c>
      <c r="C3277">
        <v>919000</v>
      </c>
      <c r="D3277">
        <v>26019.1</v>
      </c>
      <c r="E3277">
        <v>3.3099999999999997E-2</v>
      </c>
      <c r="F3277">
        <v>7.2499999999999995E-2</v>
      </c>
    </row>
    <row r="3278" spans="1:6" x14ac:dyDescent="0.3">
      <c r="A3278" t="s">
        <v>3313</v>
      </c>
      <c r="B3278" t="s">
        <v>26</v>
      </c>
      <c r="C3278">
        <v>1410000</v>
      </c>
      <c r="D3278">
        <v>237654.5</v>
      </c>
      <c r="E3278">
        <v>2.0899999999999998E-2</v>
      </c>
      <c r="F3278">
        <v>8.5400000000000004E-2</v>
      </c>
    </row>
    <row r="3279" spans="1:6" x14ac:dyDescent="0.3">
      <c r="A3279" t="s">
        <v>3314</v>
      </c>
      <c r="B3279" t="s">
        <v>41</v>
      </c>
      <c r="C3279">
        <v>921000</v>
      </c>
      <c r="D3279">
        <v>136103</v>
      </c>
      <c r="E3279">
        <v>1.77E-2</v>
      </c>
      <c r="F3279">
        <v>0.13100000000000001</v>
      </c>
    </row>
    <row r="3280" spans="1:6" x14ac:dyDescent="0.3">
      <c r="A3280" t="s">
        <v>3315</v>
      </c>
      <c r="B3280" t="s">
        <v>195</v>
      </c>
      <c r="C3280">
        <v>974000</v>
      </c>
      <c r="D3280">
        <v>101.6</v>
      </c>
      <c r="E3280">
        <v>3.1800000000000002E-2</v>
      </c>
      <c r="F3280">
        <v>5.0999999999999997E-2</v>
      </c>
    </row>
    <row r="3281" spans="1:6" x14ac:dyDescent="0.3">
      <c r="A3281" t="s">
        <v>3316</v>
      </c>
      <c r="B3281" t="s">
        <v>26</v>
      </c>
      <c r="C3281">
        <v>1010000</v>
      </c>
      <c r="D3281">
        <v>999366.4</v>
      </c>
      <c r="E3281">
        <v>2.6100000000000002E-2</v>
      </c>
      <c r="F3281">
        <v>4.0899999999999999E-2</v>
      </c>
    </row>
    <row r="3282" spans="1:6" x14ac:dyDescent="0.3">
      <c r="A3282" t="s">
        <v>3317</v>
      </c>
      <c r="B3282" t="s">
        <v>41</v>
      </c>
      <c r="C3282">
        <v>886000</v>
      </c>
      <c r="D3282">
        <v>85.5</v>
      </c>
      <c r="E3282">
        <v>1.35E-2</v>
      </c>
      <c r="F3282">
        <v>0.32979999999999998</v>
      </c>
    </row>
    <row r="3283" spans="1:6" x14ac:dyDescent="0.3">
      <c r="A3283" t="s">
        <v>3318</v>
      </c>
      <c r="B3283" t="s">
        <v>26</v>
      </c>
      <c r="C3283">
        <v>1160000</v>
      </c>
      <c r="D3283">
        <v>837588.7</v>
      </c>
      <c r="E3283">
        <v>4.7999999999999996E-3</v>
      </c>
      <c r="F3283">
        <v>8.2199999999999995E-2</v>
      </c>
    </row>
    <row r="3284" spans="1:6" x14ac:dyDescent="0.3">
      <c r="A3284" t="s">
        <v>3319</v>
      </c>
      <c r="B3284" t="s">
        <v>71</v>
      </c>
      <c r="C3284">
        <v>1060000</v>
      </c>
      <c r="D3284">
        <v>4852.3</v>
      </c>
      <c r="E3284">
        <v>5.5100000000000003E-2</v>
      </c>
      <c r="F3284">
        <v>9.3799999999999994E-2</v>
      </c>
    </row>
    <row r="3285" spans="1:6" x14ac:dyDescent="0.3">
      <c r="A3285" t="s">
        <v>3320</v>
      </c>
      <c r="B3285" t="s">
        <v>287</v>
      </c>
      <c r="C3285">
        <v>985000</v>
      </c>
      <c r="D3285">
        <v>31441.4</v>
      </c>
      <c r="E3285">
        <v>2.5000000000000001E-2</v>
      </c>
      <c r="F3285">
        <v>9.3799999999999994E-2</v>
      </c>
    </row>
    <row r="3286" spans="1:6" x14ac:dyDescent="0.3">
      <c r="A3286" t="s">
        <v>3321</v>
      </c>
      <c r="B3286" t="s">
        <v>287</v>
      </c>
      <c r="C3286">
        <v>1050000</v>
      </c>
      <c r="D3286">
        <v>337168.4</v>
      </c>
      <c r="E3286">
        <v>1.5100000000000001E-2</v>
      </c>
      <c r="F3286">
        <v>4.6199999999999998E-2</v>
      </c>
    </row>
    <row r="3287" spans="1:6" x14ac:dyDescent="0.3">
      <c r="A3287" t="s">
        <v>3322</v>
      </c>
      <c r="B3287" t="s">
        <v>26</v>
      </c>
      <c r="C3287">
        <v>1080000</v>
      </c>
      <c r="D3287">
        <v>300847.90000000002</v>
      </c>
      <c r="E3287">
        <v>6.0299999999999999E-2</v>
      </c>
      <c r="F3287">
        <v>4.0899999999999999E-2</v>
      </c>
    </row>
    <row r="3288" spans="1:6" x14ac:dyDescent="0.3">
      <c r="A3288" t="s">
        <v>3323</v>
      </c>
      <c r="B3288" t="s">
        <v>195</v>
      </c>
      <c r="C3288">
        <v>833000</v>
      </c>
      <c r="D3288">
        <v>823</v>
      </c>
      <c r="E3288">
        <v>1.7399999999999999E-2</v>
      </c>
      <c r="F3288">
        <v>0.2089</v>
      </c>
    </row>
    <row r="3289" spans="1:6" x14ac:dyDescent="0.3">
      <c r="A3289" t="s">
        <v>3324</v>
      </c>
      <c r="B3289" t="s">
        <v>26</v>
      </c>
      <c r="C3289">
        <v>1490000</v>
      </c>
      <c r="D3289">
        <v>5819512</v>
      </c>
      <c r="E3289">
        <v>5.2299999999999999E-2</v>
      </c>
      <c r="F3289">
        <v>5.1799999999999999E-2</v>
      </c>
    </row>
    <row r="3290" spans="1:6" x14ac:dyDescent="0.3">
      <c r="A3290" t="s">
        <v>3325</v>
      </c>
      <c r="B3290" t="s">
        <v>32</v>
      </c>
      <c r="C3290">
        <v>943000</v>
      </c>
      <c r="D3290">
        <v>16164</v>
      </c>
      <c r="E3290">
        <v>1.54E-2</v>
      </c>
      <c r="F3290">
        <v>5.8500000000000003E-2</v>
      </c>
    </row>
    <row r="3291" spans="1:6" x14ac:dyDescent="0.3">
      <c r="A3291" t="s">
        <v>3326</v>
      </c>
      <c r="B3291" t="s">
        <v>214</v>
      </c>
      <c r="C3291">
        <v>987000</v>
      </c>
      <c r="D3291">
        <v>59635.3</v>
      </c>
      <c r="E3291">
        <v>2.07E-2</v>
      </c>
      <c r="F3291">
        <v>4.0899999999999999E-2</v>
      </c>
    </row>
    <row r="3292" spans="1:6" x14ac:dyDescent="0.3">
      <c r="A3292" t="s">
        <v>3327</v>
      </c>
      <c r="B3292" t="s">
        <v>26</v>
      </c>
      <c r="C3292">
        <v>864000</v>
      </c>
      <c r="D3292">
        <v>4735</v>
      </c>
      <c r="E3292">
        <v>3.9399999999999998E-2</v>
      </c>
      <c r="F3292">
        <v>9.3799999999999994E-2</v>
      </c>
    </row>
    <row r="3293" spans="1:6" x14ac:dyDescent="0.3">
      <c r="A3293" t="s">
        <v>3328</v>
      </c>
      <c r="B3293" t="s">
        <v>88</v>
      </c>
      <c r="C3293">
        <v>813000</v>
      </c>
      <c r="D3293">
        <v>1476.2</v>
      </c>
      <c r="E3293">
        <v>2.1600000000000001E-2</v>
      </c>
      <c r="F3293">
        <v>0.11700000000000001</v>
      </c>
    </row>
    <row r="3294" spans="1:6" x14ac:dyDescent="0.3">
      <c r="A3294" t="s">
        <v>3329</v>
      </c>
      <c r="B3294" t="s">
        <v>92</v>
      </c>
      <c r="C3294">
        <v>892000</v>
      </c>
      <c r="D3294">
        <v>1292.5999999999999</v>
      </c>
      <c r="E3294">
        <v>2.1899999999999999E-2</v>
      </c>
      <c r="F3294">
        <v>4.6199999999999998E-2</v>
      </c>
    </row>
    <row r="3295" spans="1:6" x14ac:dyDescent="0.3">
      <c r="A3295" t="s">
        <v>3330</v>
      </c>
      <c r="B3295" t="s">
        <v>41</v>
      </c>
      <c r="C3295">
        <v>2070000</v>
      </c>
      <c r="D3295">
        <v>107851.6</v>
      </c>
      <c r="E3295">
        <v>8.6E-3</v>
      </c>
      <c r="F3295">
        <v>6.54E-2</v>
      </c>
    </row>
    <row r="3296" spans="1:6" x14ac:dyDescent="0.3">
      <c r="A3296" t="s">
        <v>3331</v>
      </c>
      <c r="B3296" t="s">
        <v>32</v>
      </c>
      <c r="C3296">
        <v>350000</v>
      </c>
      <c r="D3296">
        <v>141476</v>
      </c>
      <c r="E3296">
        <v>4.9599999999999998E-2</v>
      </c>
      <c r="F3296">
        <v>0.12429999999999999</v>
      </c>
    </row>
    <row r="3297" spans="1:6" x14ac:dyDescent="0.3">
      <c r="A3297" t="s">
        <v>3332</v>
      </c>
      <c r="B3297" t="s">
        <v>24</v>
      </c>
      <c r="C3297">
        <v>984000</v>
      </c>
      <c r="D3297">
        <v>6729.2</v>
      </c>
      <c r="E3297">
        <v>4.6199999999999998E-2</v>
      </c>
      <c r="F3297">
        <v>9.3799999999999994E-2</v>
      </c>
    </row>
    <row r="3298" spans="1:6" x14ac:dyDescent="0.3">
      <c r="A3298" t="s">
        <v>3333</v>
      </c>
      <c r="B3298" t="s">
        <v>24</v>
      </c>
      <c r="C3298">
        <v>1730000</v>
      </c>
      <c r="D3298">
        <v>85177.2</v>
      </c>
      <c r="E3298">
        <v>1.44E-2</v>
      </c>
      <c r="F3298">
        <v>6.1600000000000002E-2</v>
      </c>
    </row>
    <row r="3299" spans="1:6" x14ac:dyDescent="0.3">
      <c r="A3299" t="s">
        <v>3334</v>
      </c>
      <c r="B3299" t="s">
        <v>41</v>
      </c>
      <c r="C3299">
        <v>1110000</v>
      </c>
      <c r="D3299">
        <v>2953.2</v>
      </c>
      <c r="E3299">
        <v>2.01E-2</v>
      </c>
      <c r="F3299">
        <v>0.22670000000000001</v>
      </c>
    </row>
    <row r="3300" spans="1:6" x14ac:dyDescent="0.3">
      <c r="A3300" t="s">
        <v>3335</v>
      </c>
      <c r="B3300" t="s">
        <v>287</v>
      </c>
      <c r="C3300">
        <v>1000000</v>
      </c>
      <c r="D3300">
        <v>3839.7</v>
      </c>
      <c r="E3300">
        <v>1.06E-2</v>
      </c>
      <c r="F3300">
        <v>0.1406</v>
      </c>
    </row>
    <row r="3301" spans="1:6" x14ac:dyDescent="0.3">
      <c r="A3301" t="s">
        <v>3336</v>
      </c>
      <c r="B3301" t="s">
        <v>214</v>
      </c>
      <c r="C3301">
        <v>899000</v>
      </c>
      <c r="D3301">
        <v>5208.5</v>
      </c>
      <c r="E3301">
        <v>0.01</v>
      </c>
      <c r="F3301">
        <v>0.1067</v>
      </c>
    </row>
    <row r="3302" spans="1:6" x14ac:dyDescent="0.3">
      <c r="A3302" t="s">
        <v>3337</v>
      </c>
      <c r="B3302" t="s">
        <v>74</v>
      </c>
      <c r="C3302">
        <v>1070000</v>
      </c>
      <c r="D3302">
        <v>6374.7</v>
      </c>
      <c r="E3302">
        <v>5.2600000000000001E-2</v>
      </c>
      <c r="F3302">
        <v>9.3799999999999994E-2</v>
      </c>
    </row>
    <row r="3303" spans="1:6" x14ac:dyDescent="0.3">
      <c r="A3303" t="s">
        <v>3338</v>
      </c>
      <c r="B3303" t="s">
        <v>26</v>
      </c>
      <c r="C3303">
        <v>859000</v>
      </c>
      <c r="D3303">
        <v>111190.1</v>
      </c>
      <c r="E3303">
        <v>7.2300000000000003E-2</v>
      </c>
      <c r="F3303">
        <v>9.3799999999999994E-2</v>
      </c>
    </row>
    <row r="3304" spans="1:6" x14ac:dyDescent="0.3">
      <c r="A3304" t="s">
        <v>3339</v>
      </c>
      <c r="B3304" t="s">
        <v>62</v>
      </c>
      <c r="C3304">
        <v>832000</v>
      </c>
      <c r="D3304">
        <v>643.20000000000005</v>
      </c>
      <c r="E3304">
        <v>1.5800000000000002E-2</v>
      </c>
      <c r="F3304">
        <v>5.7599999999999998E-2</v>
      </c>
    </row>
    <row r="3305" spans="1:6" x14ac:dyDescent="0.3">
      <c r="A3305" t="s">
        <v>3340</v>
      </c>
      <c r="B3305" t="s">
        <v>24</v>
      </c>
      <c r="C3305">
        <v>1420000</v>
      </c>
      <c r="D3305">
        <v>77048.100000000006</v>
      </c>
      <c r="E3305">
        <v>3.4500000000000003E-2</v>
      </c>
      <c r="F3305">
        <v>7.5899999999999995E-2</v>
      </c>
    </row>
    <row r="3306" spans="1:6" x14ac:dyDescent="0.3">
      <c r="A3306" t="s">
        <v>3341</v>
      </c>
      <c r="B3306" t="s">
        <v>41</v>
      </c>
      <c r="C3306">
        <v>836000</v>
      </c>
      <c r="D3306">
        <v>715.9</v>
      </c>
      <c r="E3306">
        <v>1.03E-2</v>
      </c>
      <c r="F3306">
        <v>0.17860000000000001</v>
      </c>
    </row>
    <row r="3307" spans="1:6" x14ac:dyDescent="0.3">
      <c r="A3307" t="s">
        <v>3342</v>
      </c>
      <c r="B3307" t="s">
        <v>26</v>
      </c>
      <c r="C3307">
        <v>1110000</v>
      </c>
      <c r="D3307">
        <v>275104.2</v>
      </c>
      <c r="E3307">
        <v>5.0299999999999997E-2</v>
      </c>
      <c r="F3307">
        <v>4.0899999999999999E-2</v>
      </c>
    </row>
    <row r="3308" spans="1:6" x14ac:dyDescent="0.3">
      <c r="A3308" t="s">
        <v>3343</v>
      </c>
      <c r="B3308" t="s">
        <v>26</v>
      </c>
      <c r="C3308">
        <v>961000</v>
      </c>
      <c r="D3308">
        <v>3565.9</v>
      </c>
      <c r="E3308">
        <v>4.3400000000000001E-2</v>
      </c>
      <c r="F3308">
        <v>7.5899999999999995E-2</v>
      </c>
    </row>
    <row r="3309" spans="1:6" x14ac:dyDescent="0.3">
      <c r="A3309" t="s">
        <v>3344</v>
      </c>
      <c r="B3309" t="s">
        <v>24</v>
      </c>
      <c r="C3309">
        <v>989000</v>
      </c>
      <c r="D3309">
        <v>272525.90000000002</v>
      </c>
      <c r="E3309">
        <v>2.69E-2</v>
      </c>
      <c r="F3309">
        <v>5.1799999999999999E-2</v>
      </c>
    </row>
    <row r="3310" spans="1:6" x14ac:dyDescent="0.3">
      <c r="A3310" t="s">
        <v>3345</v>
      </c>
      <c r="B3310" t="s">
        <v>26</v>
      </c>
      <c r="C3310">
        <v>885000</v>
      </c>
      <c r="D3310">
        <v>1883.2</v>
      </c>
      <c r="E3310">
        <v>6.1999999999999998E-3</v>
      </c>
      <c r="F3310">
        <v>8.1100000000000005E-2</v>
      </c>
    </row>
    <row r="3311" spans="1:6" x14ac:dyDescent="0.3">
      <c r="A3311" t="s">
        <v>3346</v>
      </c>
      <c r="B3311" t="s">
        <v>41</v>
      </c>
      <c r="C3311">
        <v>1030000</v>
      </c>
      <c r="D3311">
        <v>3214.4</v>
      </c>
      <c r="E3311">
        <v>1.7500000000000002E-2</v>
      </c>
      <c r="F3311">
        <v>0.1053</v>
      </c>
    </row>
    <row r="3312" spans="1:6" x14ac:dyDescent="0.3">
      <c r="A3312" t="s">
        <v>3347</v>
      </c>
      <c r="B3312" t="s">
        <v>214</v>
      </c>
      <c r="C3312">
        <v>1840000</v>
      </c>
      <c r="D3312">
        <v>83191.5</v>
      </c>
      <c r="E3312">
        <v>3.09E-2</v>
      </c>
      <c r="F3312">
        <v>4.0899999999999999E-2</v>
      </c>
    </row>
    <row r="3313" spans="1:6" x14ac:dyDescent="0.3">
      <c r="A3313" t="s">
        <v>3348</v>
      </c>
      <c r="B3313" t="s">
        <v>71</v>
      </c>
      <c r="C3313">
        <v>1540000</v>
      </c>
      <c r="D3313">
        <v>112709.3</v>
      </c>
      <c r="E3313">
        <v>6.7900000000000002E-2</v>
      </c>
      <c r="F3313">
        <v>7.5899999999999995E-2</v>
      </c>
    </row>
    <row r="3314" spans="1:6" x14ac:dyDescent="0.3">
      <c r="A3314" t="s">
        <v>3349</v>
      </c>
      <c r="B3314" t="s">
        <v>26</v>
      </c>
      <c r="C3314">
        <v>1050000</v>
      </c>
      <c r="D3314">
        <v>11830.1</v>
      </c>
      <c r="E3314">
        <v>5.9200000000000003E-2</v>
      </c>
      <c r="F3314">
        <v>7.5899999999999995E-2</v>
      </c>
    </row>
    <row r="3315" spans="1:6" x14ac:dyDescent="0.3">
      <c r="A3315" t="s">
        <v>3350</v>
      </c>
      <c r="B3315" t="s">
        <v>92</v>
      </c>
      <c r="C3315">
        <v>1170000</v>
      </c>
      <c r="D3315">
        <v>136643.29999999999</v>
      </c>
      <c r="E3315">
        <v>1.5100000000000001E-2</v>
      </c>
      <c r="F3315">
        <v>5.7599999999999998E-2</v>
      </c>
    </row>
    <row r="3316" spans="1:6" x14ac:dyDescent="0.3">
      <c r="A3316" t="s">
        <v>3351</v>
      </c>
      <c r="B3316" t="s">
        <v>26</v>
      </c>
      <c r="C3316">
        <v>1570000</v>
      </c>
      <c r="D3316">
        <v>140566.6</v>
      </c>
      <c r="E3316">
        <v>6.4699999999999994E-2</v>
      </c>
      <c r="F3316">
        <v>9.3799999999999994E-2</v>
      </c>
    </row>
    <row r="3317" spans="1:6" x14ac:dyDescent="0.3">
      <c r="A3317" t="s">
        <v>3352</v>
      </c>
      <c r="B3317" t="s">
        <v>26</v>
      </c>
      <c r="C3317">
        <v>2790000</v>
      </c>
      <c r="D3317">
        <v>292999.7</v>
      </c>
      <c r="E3317">
        <v>1.2699999999999999E-2</v>
      </c>
      <c r="F3317">
        <v>5.7599999999999998E-2</v>
      </c>
    </row>
    <row r="3318" spans="1:6" x14ac:dyDescent="0.3">
      <c r="A3318" t="s">
        <v>3353</v>
      </c>
      <c r="B3318" t="s">
        <v>32</v>
      </c>
      <c r="C3318">
        <v>892000</v>
      </c>
      <c r="D3318">
        <v>605.6</v>
      </c>
      <c r="E3318">
        <v>2.1299999999999999E-2</v>
      </c>
      <c r="F3318">
        <v>9.5100000000000004E-2</v>
      </c>
    </row>
    <row r="3319" spans="1:6" x14ac:dyDescent="0.3">
      <c r="A3319" t="s">
        <v>3354</v>
      </c>
      <c r="B3319" t="s">
        <v>26</v>
      </c>
      <c r="C3319">
        <v>504000</v>
      </c>
      <c r="D3319">
        <v>31260.7</v>
      </c>
      <c r="E3319">
        <v>8.2400000000000001E-2</v>
      </c>
      <c r="F3319">
        <v>9.5100000000000004E-2</v>
      </c>
    </row>
    <row r="3320" spans="1:6" x14ac:dyDescent="0.3">
      <c r="A3320" t="s">
        <v>3355</v>
      </c>
      <c r="B3320" t="s">
        <v>50</v>
      </c>
      <c r="C3320">
        <v>2020000</v>
      </c>
      <c r="D3320">
        <v>433231</v>
      </c>
      <c r="E3320">
        <v>3.5299999999999998E-2</v>
      </c>
      <c r="F3320">
        <v>7.5899999999999995E-2</v>
      </c>
    </row>
    <row r="3321" spans="1:6" x14ac:dyDescent="0.3">
      <c r="A3321" t="s">
        <v>3356</v>
      </c>
      <c r="B3321" t="s">
        <v>24</v>
      </c>
      <c r="C3321">
        <v>975000</v>
      </c>
      <c r="D3321">
        <v>9236.4</v>
      </c>
      <c r="E3321">
        <v>2.0299999999999999E-2</v>
      </c>
      <c r="F3321">
        <v>5.0999999999999997E-2</v>
      </c>
    </row>
    <row r="3322" spans="1:6" x14ac:dyDescent="0.3">
      <c r="A3322" t="s">
        <v>3357</v>
      </c>
      <c r="B3322" t="s">
        <v>26</v>
      </c>
      <c r="C3322">
        <v>883000</v>
      </c>
      <c r="D3322">
        <v>63270.9</v>
      </c>
      <c r="F3322">
        <v>4.0899999999999999E-2</v>
      </c>
    </row>
    <row r="3323" spans="1:6" x14ac:dyDescent="0.3">
      <c r="A3323" t="s">
        <v>3358</v>
      </c>
      <c r="B3323" t="s">
        <v>28</v>
      </c>
      <c r="C3323">
        <v>1290000</v>
      </c>
      <c r="D3323">
        <v>26712.1</v>
      </c>
      <c r="E3323">
        <v>1.14E-2</v>
      </c>
      <c r="F3323">
        <v>5.8400000000000001E-2</v>
      </c>
    </row>
    <row r="3324" spans="1:6" x14ac:dyDescent="0.3">
      <c r="A3324" t="s">
        <v>3359</v>
      </c>
      <c r="B3324" t="s">
        <v>26</v>
      </c>
      <c r="C3324">
        <v>1030000</v>
      </c>
      <c r="D3324">
        <v>1492</v>
      </c>
      <c r="E3324">
        <v>0.1661</v>
      </c>
      <c r="F3324">
        <v>0.13769999999999999</v>
      </c>
    </row>
    <row r="3325" spans="1:6" x14ac:dyDescent="0.3">
      <c r="A3325" t="s">
        <v>3360</v>
      </c>
      <c r="B3325" t="s">
        <v>30</v>
      </c>
      <c r="C3325">
        <v>960000</v>
      </c>
      <c r="D3325">
        <v>514172.4</v>
      </c>
      <c r="E3325">
        <v>1.9199999999999998E-2</v>
      </c>
      <c r="F3325">
        <v>4.6199999999999998E-2</v>
      </c>
    </row>
    <row r="3326" spans="1:6" x14ac:dyDescent="0.3">
      <c r="A3326" t="s">
        <v>3361</v>
      </c>
      <c r="B3326" t="s">
        <v>92</v>
      </c>
      <c r="C3326">
        <v>1200000</v>
      </c>
      <c r="D3326">
        <v>22606.799999999999</v>
      </c>
      <c r="E3326">
        <v>2.3300000000000001E-2</v>
      </c>
      <c r="F3326">
        <v>4.1200000000000001E-2</v>
      </c>
    </row>
    <row r="3327" spans="1:6" x14ac:dyDescent="0.3">
      <c r="A3327" t="s">
        <v>3362</v>
      </c>
      <c r="B3327" t="s">
        <v>50</v>
      </c>
      <c r="C3327">
        <v>1040000</v>
      </c>
      <c r="D3327">
        <v>58777.4</v>
      </c>
      <c r="E3327">
        <v>3.5299999999999998E-2</v>
      </c>
      <c r="F3327">
        <v>7.5899999999999995E-2</v>
      </c>
    </row>
    <row r="3328" spans="1:6" x14ac:dyDescent="0.3">
      <c r="A3328" t="s">
        <v>3363</v>
      </c>
      <c r="B3328" t="s">
        <v>88</v>
      </c>
      <c r="C3328">
        <v>913000</v>
      </c>
      <c r="D3328">
        <v>1161.0999999999999</v>
      </c>
      <c r="E3328">
        <v>4.9700000000000001E-2</v>
      </c>
      <c r="F3328">
        <v>9.3799999999999994E-2</v>
      </c>
    </row>
    <row r="3329" spans="1:6" x14ac:dyDescent="0.3">
      <c r="A3329" t="s">
        <v>3364</v>
      </c>
      <c r="B3329" t="s">
        <v>21</v>
      </c>
      <c r="C3329">
        <v>1640000</v>
      </c>
      <c r="D3329">
        <v>19486</v>
      </c>
      <c r="E3329">
        <v>4.9200000000000001E-2</v>
      </c>
      <c r="F3329">
        <v>9.3799999999999994E-2</v>
      </c>
    </row>
    <row r="3330" spans="1:6" x14ac:dyDescent="0.3">
      <c r="A3330" t="s">
        <v>3365</v>
      </c>
      <c r="B3330" t="s">
        <v>26</v>
      </c>
      <c r="C3330">
        <v>782000</v>
      </c>
      <c r="D3330">
        <v>1069766.3</v>
      </c>
      <c r="E3330">
        <v>0.10580000000000001</v>
      </c>
      <c r="F3330">
        <v>9.5100000000000004E-2</v>
      </c>
    </row>
    <row r="3331" spans="1:6" x14ac:dyDescent="0.3">
      <c r="A3331" t="s">
        <v>3366</v>
      </c>
      <c r="B3331" t="s">
        <v>41</v>
      </c>
      <c r="C3331">
        <v>946000</v>
      </c>
      <c r="D3331">
        <v>4194.5</v>
      </c>
      <c r="E3331">
        <v>2.29E-2</v>
      </c>
      <c r="F3331">
        <v>7.2499999999999995E-2</v>
      </c>
    </row>
    <row r="3332" spans="1:6" x14ac:dyDescent="0.3">
      <c r="A3332" t="s">
        <v>3367</v>
      </c>
      <c r="B3332" t="s">
        <v>74</v>
      </c>
      <c r="C3332">
        <v>458000</v>
      </c>
      <c r="D3332">
        <v>876772.2</v>
      </c>
      <c r="E3332">
        <v>4.0899999999999999E-2</v>
      </c>
      <c r="F3332">
        <v>6.8699999999999997E-2</v>
      </c>
    </row>
    <row r="3333" spans="1:6" x14ac:dyDescent="0.3">
      <c r="A3333" t="s">
        <v>3368</v>
      </c>
      <c r="B3333" t="s">
        <v>26</v>
      </c>
      <c r="C3333">
        <v>1240000</v>
      </c>
      <c r="D3333">
        <v>12242.6</v>
      </c>
      <c r="F3333">
        <v>7.5899999999999995E-2</v>
      </c>
    </row>
    <row r="3334" spans="1:6" x14ac:dyDescent="0.3">
      <c r="A3334" t="s">
        <v>3369</v>
      </c>
      <c r="B3334" t="s">
        <v>26</v>
      </c>
      <c r="C3334">
        <v>840000</v>
      </c>
      <c r="D3334">
        <v>11680.9</v>
      </c>
      <c r="E3334">
        <v>1.8200000000000001E-2</v>
      </c>
      <c r="F3334">
        <v>8.5400000000000004E-2</v>
      </c>
    </row>
    <row r="3335" spans="1:6" x14ac:dyDescent="0.3">
      <c r="A3335" t="s">
        <v>3370</v>
      </c>
      <c r="B3335" t="s">
        <v>26</v>
      </c>
      <c r="C3335">
        <v>853000</v>
      </c>
      <c r="D3335">
        <v>2982</v>
      </c>
      <c r="E3335">
        <v>2.18E-2</v>
      </c>
      <c r="F3335">
        <v>9.5100000000000004E-2</v>
      </c>
    </row>
    <row r="3336" spans="1:6" x14ac:dyDescent="0.3">
      <c r="A3336" t="s">
        <v>3371</v>
      </c>
      <c r="B3336" t="s">
        <v>195</v>
      </c>
      <c r="C3336">
        <v>832000</v>
      </c>
      <c r="D3336">
        <v>6588.8</v>
      </c>
      <c r="E3336">
        <v>1.7999999999999999E-2</v>
      </c>
      <c r="F3336">
        <v>7.5700000000000003E-2</v>
      </c>
    </row>
    <row r="3337" spans="1:6" x14ac:dyDescent="0.3">
      <c r="A3337" t="s">
        <v>3372</v>
      </c>
      <c r="B3337" t="s">
        <v>30</v>
      </c>
      <c r="C3337">
        <v>1500000</v>
      </c>
      <c r="D3337">
        <v>518371.1</v>
      </c>
      <c r="E3337">
        <v>2.75E-2</v>
      </c>
      <c r="F3337">
        <v>4.0899999999999999E-2</v>
      </c>
    </row>
    <row r="3338" spans="1:6" x14ac:dyDescent="0.3">
      <c r="A3338" t="s">
        <v>3373</v>
      </c>
      <c r="B3338" t="s">
        <v>195</v>
      </c>
      <c r="C3338">
        <v>1770000</v>
      </c>
      <c r="D3338">
        <v>23451</v>
      </c>
      <c r="E3338">
        <v>1.9599999999999999E-2</v>
      </c>
      <c r="F3338">
        <v>7.3499999999999996E-2</v>
      </c>
    </row>
    <row r="3339" spans="1:6" x14ac:dyDescent="0.3">
      <c r="A3339" t="s">
        <v>3374</v>
      </c>
      <c r="B3339" t="s">
        <v>26</v>
      </c>
      <c r="C3339">
        <v>1580000</v>
      </c>
      <c r="D3339">
        <v>1769937.4</v>
      </c>
      <c r="E3339">
        <v>9.5999999999999992E-3</v>
      </c>
      <c r="F3339">
        <v>6.54E-2</v>
      </c>
    </row>
    <row r="3340" spans="1:6" x14ac:dyDescent="0.3">
      <c r="A3340" t="s">
        <v>3375</v>
      </c>
      <c r="B3340" t="s">
        <v>88</v>
      </c>
      <c r="C3340">
        <v>989000</v>
      </c>
      <c r="D3340">
        <v>338.8</v>
      </c>
      <c r="E3340">
        <v>1.6400000000000001E-2</v>
      </c>
      <c r="F3340">
        <v>5.7599999999999998E-2</v>
      </c>
    </row>
    <row r="3341" spans="1:6" x14ac:dyDescent="0.3">
      <c r="A3341" t="s">
        <v>3376</v>
      </c>
      <c r="B3341" t="s">
        <v>26</v>
      </c>
      <c r="C3341">
        <v>939000</v>
      </c>
      <c r="D3341">
        <v>20390.5</v>
      </c>
      <c r="E3341">
        <v>1.17E-2</v>
      </c>
      <c r="F3341">
        <v>7.3599999999999999E-2</v>
      </c>
    </row>
    <row r="3342" spans="1:6" x14ac:dyDescent="0.3">
      <c r="A3342" t="s">
        <v>3377</v>
      </c>
      <c r="B3342" t="s">
        <v>92</v>
      </c>
      <c r="C3342">
        <v>1010000</v>
      </c>
      <c r="D3342">
        <v>19464.400000000001</v>
      </c>
      <c r="E3342">
        <v>1.6400000000000001E-2</v>
      </c>
      <c r="F3342">
        <v>5.7599999999999998E-2</v>
      </c>
    </row>
    <row r="3343" spans="1:6" x14ac:dyDescent="0.3">
      <c r="A3343" t="s">
        <v>3378</v>
      </c>
      <c r="B3343" t="s">
        <v>71</v>
      </c>
      <c r="C3343">
        <v>847000</v>
      </c>
      <c r="D3343">
        <v>38974.400000000001</v>
      </c>
      <c r="E3343">
        <v>7.6E-3</v>
      </c>
      <c r="F3343">
        <v>8.2199999999999995E-2</v>
      </c>
    </row>
    <row r="3344" spans="1:6" x14ac:dyDescent="0.3">
      <c r="A3344" t="s">
        <v>3379</v>
      </c>
      <c r="B3344" t="s">
        <v>53</v>
      </c>
      <c r="C3344">
        <v>773000</v>
      </c>
      <c r="D3344">
        <v>1497.7</v>
      </c>
      <c r="E3344">
        <v>1.4999999999999999E-2</v>
      </c>
      <c r="F3344">
        <v>0.1168</v>
      </c>
    </row>
    <row r="3345" spans="1:6" x14ac:dyDescent="0.3">
      <c r="A3345" t="s">
        <v>3380</v>
      </c>
      <c r="B3345" t="s">
        <v>92</v>
      </c>
      <c r="C3345">
        <v>1040000</v>
      </c>
      <c r="D3345">
        <v>16314.4</v>
      </c>
      <c r="E3345">
        <v>1.11E-2</v>
      </c>
      <c r="F3345">
        <v>8.1100000000000005E-2</v>
      </c>
    </row>
    <row r="3346" spans="1:6" x14ac:dyDescent="0.3">
      <c r="A3346" t="s">
        <v>3381</v>
      </c>
      <c r="B3346" t="s">
        <v>26</v>
      </c>
      <c r="C3346">
        <v>1050000</v>
      </c>
      <c r="D3346">
        <v>261223.6</v>
      </c>
      <c r="E3346">
        <v>1.7000000000000001E-2</v>
      </c>
      <c r="F3346">
        <v>4.6199999999999998E-2</v>
      </c>
    </row>
    <row r="3347" spans="1:6" x14ac:dyDescent="0.3">
      <c r="A3347" t="s">
        <v>3382</v>
      </c>
      <c r="B3347" t="s">
        <v>41</v>
      </c>
      <c r="C3347">
        <v>1010000</v>
      </c>
      <c r="D3347">
        <v>1054.3</v>
      </c>
      <c r="E3347">
        <v>1.4500000000000001E-2</v>
      </c>
      <c r="F3347">
        <v>5.7599999999999998E-2</v>
      </c>
    </row>
    <row r="3348" spans="1:6" x14ac:dyDescent="0.3">
      <c r="A3348" t="s">
        <v>3383</v>
      </c>
      <c r="B3348" t="s">
        <v>26</v>
      </c>
      <c r="C3348">
        <v>920000</v>
      </c>
      <c r="D3348">
        <v>43389.4</v>
      </c>
      <c r="E3348">
        <v>3.3700000000000001E-2</v>
      </c>
      <c r="F3348">
        <v>9.3799999999999994E-2</v>
      </c>
    </row>
    <row r="3349" spans="1:6" x14ac:dyDescent="0.3">
      <c r="A3349" t="s">
        <v>3384</v>
      </c>
      <c r="B3349" t="s">
        <v>53</v>
      </c>
      <c r="C3349">
        <v>1200000</v>
      </c>
      <c r="D3349">
        <v>480702.8</v>
      </c>
      <c r="E3349">
        <v>5.5399999999999998E-2</v>
      </c>
      <c r="F3349">
        <v>7.5899999999999995E-2</v>
      </c>
    </row>
    <row r="3350" spans="1:6" x14ac:dyDescent="0.3">
      <c r="A3350" t="s">
        <v>3385</v>
      </c>
      <c r="B3350" t="s">
        <v>214</v>
      </c>
      <c r="C3350">
        <v>890000</v>
      </c>
      <c r="D3350">
        <v>8973.5</v>
      </c>
      <c r="E3350">
        <v>2.41E-2</v>
      </c>
      <c r="F3350">
        <v>4.0899999999999999E-2</v>
      </c>
    </row>
    <row r="3351" spans="1:6" x14ac:dyDescent="0.3">
      <c r="A3351" t="s">
        <v>3386</v>
      </c>
      <c r="B3351" t="s">
        <v>26</v>
      </c>
      <c r="C3351">
        <v>889000</v>
      </c>
      <c r="D3351">
        <v>66696.100000000006</v>
      </c>
      <c r="E3351">
        <v>3.4299999999999997E-2</v>
      </c>
      <c r="F3351">
        <v>7.5899999999999995E-2</v>
      </c>
    </row>
    <row r="3352" spans="1:6" x14ac:dyDescent="0.3">
      <c r="A3352" t="s">
        <v>3387</v>
      </c>
      <c r="B3352" t="s">
        <v>26</v>
      </c>
      <c r="C3352">
        <v>887000</v>
      </c>
      <c r="D3352">
        <v>1167937.6000000001</v>
      </c>
      <c r="E3352">
        <v>2.4899999999999999E-2</v>
      </c>
      <c r="F3352">
        <v>0.17100000000000001</v>
      </c>
    </row>
    <row r="3353" spans="1:6" x14ac:dyDescent="0.3">
      <c r="A3353" t="s">
        <v>3388</v>
      </c>
      <c r="B3353" t="s">
        <v>26</v>
      </c>
      <c r="C3353">
        <v>313000</v>
      </c>
      <c r="D3353">
        <v>13850.1</v>
      </c>
      <c r="E3353">
        <v>1.6E-2</v>
      </c>
      <c r="F3353">
        <v>0.22939999999999999</v>
      </c>
    </row>
    <row r="3354" spans="1:6" x14ac:dyDescent="0.3">
      <c r="A3354" t="s">
        <v>3389</v>
      </c>
      <c r="B3354" t="s">
        <v>41</v>
      </c>
      <c r="C3354">
        <v>2210000</v>
      </c>
      <c r="D3354">
        <v>137.9</v>
      </c>
      <c r="E3354">
        <v>1.8E-3</v>
      </c>
      <c r="F3354">
        <v>0.20949999999999999</v>
      </c>
    </row>
    <row r="3355" spans="1:6" x14ac:dyDescent="0.3">
      <c r="A3355" t="s">
        <v>3390</v>
      </c>
      <c r="B3355" t="s">
        <v>24</v>
      </c>
      <c r="C3355">
        <v>1160000</v>
      </c>
      <c r="D3355">
        <v>18257.3</v>
      </c>
      <c r="E3355">
        <v>3.5499999999999997E-2</v>
      </c>
      <c r="F3355">
        <v>9.3799999999999994E-2</v>
      </c>
    </row>
    <row r="3356" spans="1:6" x14ac:dyDescent="0.3">
      <c r="A3356" t="s">
        <v>3391</v>
      </c>
      <c r="B3356" t="s">
        <v>74</v>
      </c>
      <c r="C3356">
        <v>898000</v>
      </c>
      <c r="D3356">
        <v>1376</v>
      </c>
      <c r="E3356">
        <v>4.5699999999999998E-2</v>
      </c>
      <c r="F3356">
        <v>7.5899999999999995E-2</v>
      </c>
    </row>
    <row r="3357" spans="1:6" x14ac:dyDescent="0.3">
      <c r="A3357" t="s">
        <v>3392</v>
      </c>
      <c r="B3357" t="s">
        <v>287</v>
      </c>
      <c r="C3357">
        <v>864000</v>
      </c>
      <c r="D3357">
        <v>14227.9</v>
      </c>
      <c r="E3357">
        <v>2.93E-2</v>
      </c>
      <c r="F3357">
        <v>9.98E-2</v>
      </c>
    </row>
    <row r="3358" spans="1:6" x14ac:dyDescent="0.3">
      <c r="A3358" t="s">
        <v>3393</v>
      </c>
      <c r="B3358" t="s">
        <v>287</v>
      </c>
      <c r="C3358">
        <v>1070000</v>
      </c>
      <c r="D3358">
        <v>23139.599999999999</v>
      </c>
      <c r="E3358">
        <v>1.52E-2</v>
      </c>
      <c r="F3358">
        <v>8.5400000000000004E-2</v>
      </c>
    </row>
    <row r="3359" spans="1:6" x14ac:dyDescent="0.3">
      <c r="A3359" t="s">
        <v>3394</v>
      </c>
      <c r="B3359" t="s">
        <v>26</v>
      </c>
      <c r="C3359">
        <v>903000</v>
      </c>
      <c r="D3359">
        <v>8173.2</v>
      </c>
      <c r="E3359">
        <v>1.1599999999999999E-2</v>
      </c>
      <c r="F3359">
        <v>5.7599999999999998E-2</v>
      </c>
    </row>
    <row r="3360" spans="1:6" x14ac:dyDescent="0.3">
      <c r="A3360" t="s">
        <v>3395</v>
      </c>
      <c r="B3360" t="s">
        <v>26</v>
      </c>
      <c r="C3360">
        <v>913000</v>
      </c>
      <c r="D3360">
        <v>129026.6</v>
      </c>
      <c r="E3360">
        <v>2.8400000000000002E-2</v>
      </c>
      <c r="F3360">
        <v>5.1799999999999999E-2</v>
      </c>
    </row>
    <row r="3361" spans="1:6" x14ac:dyDescent="0.3">
      <c r="A3361" t="s">
        <v>3396</v>
      </c>
      <c r="B3361" t="s">
        <v>50</v>
      </c>
      <c r="C3361">
        <v>963000</v>
      </c>
      <c r="D3361">
        <v>57389</v>
      </c>
      <c r="E3361">
        <v>8.0199999999999994E-2</v>
      </c>
      <c r="F3361">
        <v>9.3799999999999994E-2</v>
      </c>
    </row>
    <row r="3362" spans="1:6" x14ac:dyDescent="0.3">
      <c r="A3362" t="s">
        <v>3397</v>
      </c>
      <c r="B3362" t="s">
        <v>24</v>
      </c>
      <c r="C3362">
        <v>857000</v>
      </c>
      <c r="D3362">
        <v>206304</v>
      </c>
      <c r="E3362">
        <v>9.9000000000000008E-3</v>
      </c>
      <c r="F3362">
        <v>8.2199999999999995E-2</v>
      </c>
    </row>
    <row r="3363" spans="1:6" x14ac:dyDescent="0.3">
      <c r="A3363" t="s">
        <v>3398</v>
      </c>
      <c r="B3363" t="s">
        <v>214</v>
      </c>
      <c r="C3363">
        <v>916000</v>
      </c>
      <c r="D3363">
        <v>18806.2</v>
      </c>
      <c r="F3363">
        <v>4.3200000000000002E-2</v>
      </c>
    </row>
    <row r="3364" spans="1:6" x14ac:dyDescent="0.3">
      <c r="A3364" t="s">
        <v>3399</v>
      </c>
      <c r="B3364" t="s">
        <v>26</v>
      </c>
      <c r="C3364">
        <v>383000</v>
      </c>
      <c r="D3364">
        <v>19371.400000000001</v>
      </c>
      <c r="E3364">
        <v>4.2200000000000001E-2</v>
      </c>
      <c r="F3364">
        <v>7.5899999999999995E-2</v>
      </c>
    </row>
    <row r="3365" spans="1:6" x14ac:dyDescent="0.3">
      <c r="A3365" t="s">
        <v>3400</v>
      </c>
      <c r="B3365" t="s">
        <v>24</v>
      </c>
      <c r="C3365">
        <v>2030000</v>
      </c>
      <c r="D3365">
        <v>52805.4</v>
      </c>
      <c r="E3365">
        <v>8.2000000000000007E-3</v>
      </c>
      <c r="F3365">
        <v>6.54E-2</v>
      </c>
    </row>
    <row r="3366" spans="1:6" x14ac:dyDescent="0.3">
      <c r="A3366" t="s">
        <v>3401</v>
      </c>
      <c r="B3366" t="s">
        <v>92</v>
      </c>
      <c r="C3366">
        <v>1150000</v>
      </c>
      <c r="D3366">
        <v>54838.6</v>
      </c>
      <c r="E3366">
        <v>1.0200000000000001E-2</v>
      </c>
      <c r="F3366">
        <v>8.2199999999999995E-2</v>
      </c>
    </row>
    <row r="3367" spans="1:6" x14ac:dyDescent="0.3">
      <c r="A3367" t="s">
        <v>3402</v>
      </c>
      <c r="B3367" t="s">
        <v>92</v>
      </c>
      <c r="C3367">
        <v>862000</v>
      </c>
      <c r="D3367">
        <v>47678.1</v>
      </c>
      <c r="E3367">
        <v>3.95E-2</v>
      </c>
      <c r="F3367">
        <v>5.1799999999999999E-2</v>
      </c>
    </row>
    <row r="3368" spans="1:6" x14ac:dyDescent="0.3">
      <c r="A3368" t="s">
        <v>3403</v>
      </c>
      <c r="B3368" t="s">
        <v>214</v>
      </c>
      <c r="C3368">
        <v>1140000</v>
      </c>
      <c r="D3368">
        <v>6794.1</v>
      </c>
      <c r="E3368">
        <v>1.6400000000000001E-2</v>
      </c>
      <c r="F3368">
        <v>0.1176</v>
      </c>
    </row>
    <row r="3369" spans="1:6" x14ac:dyDescent="0.3">
      <c r="A3369" t="s">
        <v>3404</v>
      </c>
      <c r="B3369" t="s">
        <v>81</v>
      </c>
      <c r="C3369">
        <v>877000</v>
      </c>
      <c r="D3369">
        <v>8831.1</v>
      </c>
      <c r="E3369">
        <v>2.6599999999999999E-2</v>
      </c>
      <c r="F3369">
        <v>7.5899999999999995E-2</v>
      </c>
    </row>
    <row r="3370" spans="1:6" x14ac:dyDescent="0.3">
      <c r="A3370" t="s">
        <v>3405</v>
      </c>
      <c r="B3370" t="s">
        <v>41</v>
      </c>
      <c r="C3370">
        <v>962000</v>
      </c>
      <c r="D3370">
        <v>60652.1</v>
      </c>
      <c r="E3370">
        <v>4.5699999999999998E-2</v>
      </c>
      <c r="F3370">
        <v>9.3799999999999994E-2</v>
      </c>
    </row>
    <row r="3371" spans="1:6" x14ac:dyDescent="0.3">
      <c r="A3371" t="s">
        <v>3406</v>
      </c>
      <c r="B3371" t="s">
        <v>24</v>
      </c>
      <c r="C3371">
        <v>1220000</v>
      </c>
      <c r="D3371">
        <v>249714.5</v>
      </c>
      <c r="E3371">
        <v>3.5000000000000003E-2</v>
      </c>
      <c r="F3371">
        <v>4.0899999999999999E-2</v>
      </c>
    </row>
    <row r="3372" spans="1:6" x14ac:dyDescent="0.3">
      <c r="A3372" t="s">
        <v>3407</v>
      </c>
      <c r="B3372" t="s">
        <v>53</v>
      </c>
      <c r="C3372">
        <v>1170000</v>
      </c>
      <c r="D3372">
        <v>163092.20000000001</v>
      </c>
      <c r="E3372">
        <v>4.0800000000000003E-2</v>
      </c>
      <c r="F3372">
        <v>5.1799999999999999E-2</v>
      </c>
    </row>
    <row r="3373" spans="1:6" x14ac:dyDescent="0.3">
      <c r="A3373" t="s">
        <v>3408</v>
      </c>
      <c r="B3373" t="s">
        <v>74</v>
      </c>
      <c r="C3373">
        <v>831000</v>
      </c>
      <c r="D3373">
        <v>2861185.2</v>
      </c>
      <c r="F3373">
        <v>0.11700000000000001</v>
      </c>
    </row>
    <row r="3374" spans="1:6" x14ac:dyDescent="0.3">
      <c r="A3374" t="s">
        <v>3409</v>
      </c>
      <c r="B3374" t="s">
        <v>41</v>
      </c>
      <c r="C3374">
        <v>852000</v>
      </c>
      <c r="D3374">
        <v>336.7</v>
      </c>
      <c r="E3374">
        <v>1.7299999999999999E-2</v>
      </c>
      <c r="F3374">
        <v>0.1067</v>
      </c>
    </row>
    <row r="3375" spans="1:6" x14ac:dyDescent="0.3">
      <c r="A3375" t="s">
        <v>3410</v>
      </c>
      <c r="B3375" t="s">
        <v>21</v>
      </c>
      <c r="C3375">
        <v>824000</v>
      </c>
      <c r="D3375">
        <v>4668.2</v>
      </c>
      <c r="E3375">
        <v>0.1134</v>
      </c>
      <c r="F3375">
        <v>9.3799999999999994E-2</v>
      </c>
    </row>
    <row r="3376" spans="1:6" x14ac:dyDescent="0.3">
      <c r="A3376" t="s">
        <v>3411</v>
      </c>
      <c r="B3376" t="s">
        <v>26</v>
      </c>
      <c r="C3376">
        <v>815000</v>
      </c>
      <c r="D3376">
        <v>5062</v>
      </c>
      <c r="E3376">
        <v>9.7999999999999997E-3</v>
      </c>
      <c r="F3376">
        <v>0.14710000000000001</v>
      </c>
    </row>
    <row r="3377" spans="1:6" x14ac:dyDescent="0.3">
      <c r="A3377" t="s">
        <v>3412</v>
      </c>
      <c r="B3377" t="s">
        <v>26</v>
      </c>
      <c r="C3377">
        <v>817000</v>
      </c>
      <c r="D3377">
        <v>50289.4</v>
      </c>
      <c r="E3377">
        <v>1.3599999999999999E-2</v>
      </c>
      <c r="F3377">
        <v>8.2199999999999995E-2</v>
      </c>
    </row>
    <row r="3378" spans="1:6" x14ac:dyDescent="0.3">
      <c r="A3378" t="s">
        <v>3413</v>
      </c>
      <c r="B3378" t="s">
        <v>71</v>
      </c>
      <c r="C3378">
        <v>802000</v>
      </c>
      <c r="D3378">
        <v>46090.7</v>
      </c>
      <c r="E3378">
        <v>4.2999999999999997E-2</v>
      </c>
      <c r="F3378">
        <v>7.5899999999999995E-2</v>
      </c>
    </row>
    <row r="3379" spans="1:6" x14ac:dyDescent="0.3">
      <c r="A3379" t="s">
        <v>3414</v>
      </c>
      <c r="B3379" t="s">
        <v>214</v>
      </c>
      <c r="C3379">
        <v>932000</v>
      </c>
      <c r="D3379">
        <v>17968.5</v>
      </c>
      <c r="E3379">
        <v>3.5700000000000003E-2</v>
      </c>
      <c r="F3379">
        <v>7.5899999999999995E-2</v>
      </c>
    </row>
    <row r="3380" spans="1:6" x14ac:dyDescent="0.3">
      <c r="A3380" t="s">
        <v>3415</v>
      </c>
      <c r="B3380" t="s">
        <v>35</v>
      </c>
      <c r="C3380">
        <v>803000</v>
      </c>
      <c r="D3380">
        <v>33497.699999999997</v>
      </c>
      <c r="E3380">
        <v>1.72E-2</v>
      </c>
      <c r="F3380">
        <v>0.1067</v>
      </c>
    </row>
    <row r="3381" spans="1:6" x14ac:dyDescent="0.3">
      <c r="A3381" t="s">
        <v>3416</v>
      </c>
      <c r="B3381" t="s">
        <v>24</v>
      </c>
      <c r="C3381">
        <v>1160000</v>
      </c>
      <c r="D3381">
        <v>53215.7</v>
      </c>
      <c r="E3381">
        <v>4.3099999999999999E-2</v>
      </c>
      <c r="F3381">
        <v>9.3799999999999994E-2</v>
      </c>
    </row>
    <row r="3382" spans="1:6" x14ac:dyDescent="0.3">
      <c r="A3382" t="s">
        <v>3417</v>
      </c>
      <c r="B3382" t="s">
        <v>88</v>
      </c>
      <c r="C3382">
        <v>1020000</v>
      </c>
      <c r="D3382">
        <v>238.1</v>
      </c>
      <c r="E3382">
        <v>4.5400000000000003E-2</v>
      </c>
      <c r="F3382">
        <v>9.3799999999999994E-2</v>
      </c>
    </row>
    <row r="3383" spans="1:6" x14ac:dyDescent="0.3">
      <c r="A3383" t="s">
        <v>3418</v>
      </c>
      <c r="B3383" t="s">
        <v>88</v>
      </c>
      <c r="C3383">
        <v>1030000</v>
      </c>
      <c r="D3383">
        <v>1239.8</v>
      </c>
      <c r="E3383">
        <v>5.6899999999999999E-2</v>
      </c>
      <c r="F3383">
        <v>9.3799999999999994E-2</v>
      </c>
    </row>
    <row r="3384" spans="1:6" x14ac:dyDescent="0.3">
      <c r="A3384" t="s">
        <v>3419</v>
      </c>
      <c r="B3384" t="s">
        <v>26</v>
      </c>
      <c r="C3384">
        <v>814000</v>
      </c>
      <c r="D3384">
        <v>26191.7</v>
      </c>
      <c r="E3384">
        <v>1.4800000000000001E-2</v>
      </c>
      <c r="F3384">
        <v>9.5000000000000001E-2</v>
      </c>
    </row>
    <row r="3385" spans="1:6" x14ac:dyDescent="0.3">
      <c r="A3385" t="s">
        <v>3420</v>
      </c>
      <c r="B3385" t="s">
        <v>41</v>
      </c>
      <c r="C3385">
        <v>817000</v>
      </c>
      <c r="D3385">
        <v>871518.9</v>
      </c>
      <c r="E3385">
        <v>2.1299999999999999E-2</v>
      </c>
      <c r="F3385">
        <v>0.1067</v>
      </c>
    </row>
    <row r="3386" spans="1:6" x14ac:dyDescent="0.3">
      <c r="A3386" t="s">
        <v>3421</v>
      </c>
      <c r="B3386" t="s">
        <v>26</v>
      </c>
      <c r="C3386">
        <v>814000</v>
      </c>
      <c r="D3386">
        <v>371170.8</v>
      </c>
      <c r="E3386">
        <v>3.0700000000000002E-2</v>
      </c>
      <c r="F3386">
        <v>9.98E-2</v>
      </c>
    </row>
    <row r="3387" spans="1:6" x14ac:dyDescent="0.3">
      <c r="A3387" t="s">
        <v>3422</v>
      </c>
      <c r="B3387" t="s">
        <v>88</v>
      </c>
      <c r="C3387">
        <v>760000</v>
      </c>
      <c r="D3387">
        <v>587.29999999999995</v>
      </c>
      <c r="E3387">
        <v>2.0199999999999999E-2</v>
      </c>
      <c r="F3387">
        <v>4.6199999999999998E-2</v>
      </c>
    </row>
    <row r="3388" spans="1:6" x14ac:dyDescent="0.3">
      <c r="A3388" t="s">
        <v>3423</v>
      </c>
      <c r="B3388" t="s">
        <v>21</v>
      </c>
      <c r="C3388">
        <v>1270000</v>
      </c>
      <c r="D3388">
        <v>49218</v>
      </c>
      <c r="E3388">
        <v>7.7000000000000002E-3</v>
      </c>
      <c r="F3388">
        <v>8.1100000000000005E-2</v>
      </c>
    </row>
    <row r="3389" spans="1:6" x14ac:dyDescent="0.3">
      <c r="A3389" t="s">
        <v>3424</v>
      </c>
      <c r="B3389" t="s">
        <v>32</v>
      </c>
      <c r="C3389">
        <v>1150000</v>
      </c>
      <c r="D3389">
        <v>11190.9</v>
      </c>
      <c r="E3389">
        <v>2.06E-2</v>
      </c>
      <c r="F3389">
        <v>5.7599999999999998E-2</v>
      </c>
    </row>
    <row r="3390" spans="1:6" x14ac:dyDescent="0.3">
      <c r="A3390" t="s">
        <v>3425</v>
      </c>
      <c r="B3390" t="s">
        <v>32</v>
      </c>
      <c r="C3390">
        <v>940000</v>
      </c>
      <c r="D3390">
        <v>636591.80000000005</v>
      </c>
      <c r="E3390">
        <v>6.4000000000000003E-3</v>
      </c>
      <c r="F3390">
        <v>8.2199999999999995E-2</v>
      </c>
    </row>
    <row r="3391" spans="1:6" x14ac:dyDescent="0.3">
      <c r="A3391" t="s">
        <v>3426</v>
      </c>
      <c r="B3391" t="s">
        <v>30</v>
      </c>
      <c r="C3391">
        <v>1080000</v>
      </c>
      <c r="D3391">
        <v>607659.6</v>
      </c>
      <c r="E3391">
        <v>1.4500000000000001E-2</v>
      </c>
      <c r="F3391">
        <v>5.8500000000000003E-2</v>
      </c>
    </row>
    <row r="3392" spans="1:6" x14ac:dyDescent="0.3">
      <c r="A3392" t="s">
        <v>3427</v>
      </c>
      <c r="B3392" t="s">
        <v>26</v>
      </c>
      <c r="C3392">
        <v>1590000</v>
      </c>
      <c r="D3392">
        <v>6230.1</v>
      </c>
      <c r="F3392">
        <v>4.0899999999999999E-2</v>
      </c>
    </row>
    <row r="3393" spans="1:6" x14ac:dyDescent="0.3">
      <c r="A3393" t="s">
        <v>3428</v>
      </c>
      <c r="B3393" t="s">
        <v>24</v>
      </c>
      <c r="C3393">
        <v>3830000</v>
      </c>
      <c r="D3393">
        <v>5706301.2000000002</v>
      </c>
      <c r="E3393">
        <v>1.8700000000000001E-2</v>
      </c>
      <c r="F3393">
        <v>5.8500000000000003E-2</v>
      </c>
    </row>
    <row r="3394" spans="1:6" x14ac:dyDescent="0.3">
      <c r="A3394" t="s">
        <v>3429</v>
      </c>
      <c r="B3394" t="s">
        <v>88</v>
      </c>
      <c r="C3394">
        <v>1040000</v>
      </c>
      <c r="D3394">
        <v>4405</v>
      </c>
      <c r="E3394">
        <v>6.13E-2</v>
      </c>
      <c r="F3394">
        <v>9.3799999999999994E-2</v>
      </c>
    </row>
    <row r="3395" spans="1:6" x14ac:dyDescent="0.3">
      <c r="A3395" t="s">
        <v>3430</v>
      </c>
      <c r="B3395" t="s">
        <v>92</v>
      </c>
      <c r="C3395">
        <v>1340000</v>
      </c>
      <c r="D3395">
        <v>18764.2</v>
      </c>
      <c r="E3395">
        <v>1.01E-2</v>
      </c>
      <c r="F3395">
        <v>8.2199999999999995E-2</v>
      </c>
    </row>
    <row r="3396" spans="1:6" x14ac:dyDescent="0.3">
      <c r="A3396" t="s">
        <v>3431</v>
      </c>
      <c r="B3396" t="s">
        <v>195</v>
      </c>
      <c r="C3396">
        <v>898000</v>
      </c>
      <c r="D3396">
        <v>7039.8</v>
      </c>
      <c r="E3396">
        <v>2.1100000000000001E-2</v>
      </c>
      <c r="F3396">
        <v>8.5400000000000004E-2</v>
      </c>
    </row>
    <row r="3397" spans="1:6" x14ac:dyDescent="0.3">
      <c r="A3397" t="s">
        <v>3432</v>
      </c>
      <c r="B3397" t="s">
        <v>92</v>
      </c>
      <c r="C3397">
        <v>868000</v>
      </c>
      <c r="D3397">
        <v>95354.1</v>
      </c>
      <c r="E3397">
        <v>1.61E-2</v>
      </c>
      <c r="F3397">
        <v>5.7599999999999998E-2</v>
      </c>
    </row>
    <row r="3398" spans="1:6" x14ac:dyDescent="0.3">
      <c r="A3398" t="s">
        <v>3433</v>
      </c>
      <c r="B3398" t="s">
        <v>195</v>
      </c>
      <c r="C3398">
        <v>969000</v>
      </c>
      <c r="D3398">
        <v>39640.199999999997</v>
      </c>
      <c r="E3398">
        <v>2.24E-2</v>
      </c>
      <c r="F3398">
        <v>8.5400000000000004E-2</v>
      </c>
    </row>
    <row r="3399" spans="1:6" x14ac:dyDescent="0.3">
      <c r="A3399" t="s">
        <v>3434</v>
      </c>
      <c r="B3399" t="s">
        <v>92</v>
      </c>
      <c r="C3399">
        <v>940000</v>
      </c>
      <c r="D3399">
        <v>208384</v>
      </c>
      <c r="E3399">
        <v>4.1099999999999998E-2</v>
      </c>
      <c r="F3399">
        <v>4.0899999999999999E-2</v>
      </c>
    </row>
    <row r="3400" spans="1:6" x14ac:dyDescent="0.3">
      <c r="A3400" t="s">
        <v>3435</v>
      </c>
      <c r="B3400" t="s">
        <v>26</v>
      </c>
      <c r="C3400">
        <v>1240000</v>
      </c>
      <c r="D3400">
        <v>550008.9</v>
      </c>
      <c r="E3400">
        <v>5.1400000000000001E-2</v>
      </c>
      <c r="F3400">
        <v>4.0899999999999999E-2</v>
      </c>
    </row>
    <row r="3401" spans="1:6" x14ac:dyDescent="0.3">
      <c r="A3401" t="s">
        <v>3436</v>
      </c>
      <c r="B3401" t="s">
        <v>62</v>
      </c>
      <c r="C3401">
        <v>912000</v>
      </c>
      <c r="D3401">
        <v>8244.9</v>
      </c>
      <c r="E3401">
        <v>7.4300000000000005E-2</v>
      </c>
      <c r="F3401">
        <v>7.5899999999999995E-2</v>
      </c>
    </row>
    <row r="3402" spans="1:6" x14ac:dyDescent="0.3">
      <c r="A3402" t="s">
        <v>3437</v>
      </c>
      <c r="B3402" t="s">
        <v>24</v>
      </c>
      <c r="C3402">
        <v>1010000</v>
      </c>
      <c r="D3402">
        <v>15892.8</v>
      </c>
      <c r="E3402">
        <v>7.0499999999999993E-2</v>
      </c>
      <c r="F3402">
        <v>9.3799999999999994E-2</v>
      </c>
    </row>
    <row r="3403" spans="1:6" x14ac:dyDescent="0.3">
      <c r="A3403" t="s">
        <v>3438</v>
      </c>
      <c r="B3403" t="s">
        <v>26</v>
      </c>
      <c r="C3403">
        <v>958000</v>
      </c>
      <c r="D3403">
        <v>1467850.5</v>
      </c>
      <c r="E3403">
        <v>1.52E-2</v>
      </c>
      <c r="F3403">
        <v>4.6199999999999998E-2</v>
      </c>
    </row>
    <row r="3404" spans="1:6" x14ac:dyDescent="0.3">
      <c r="A3404" t="s">
        <v>3439</v>
      </c>
      <c r="B3404" t="s">
        <v>50</v>
      </c>
      <c r="C3404">
        <v>830000</v>
      </c>
      <c r="D3404">
        <v>92656.8</v>
      </c>
      <c r="E3404">
        <v>2.1499999999999998E-2</v>
      </c>
      <c r="F3404">
        <v>7.5899999999999995E-2</v>
      </c>
    </row>
    <row r="3405" spans="1:6" x14ac:dyDescent="0.3">
      <c r="A3405" t="s">
        <v>3440</v>
      </c>
      <c r="B3405" t="s">
        <v>195</v>
      </c>
      <c r="C3405">
        <v>997000</v>
      </c>
      <c r="D3405">
        <v>11240.8</v>
      </c>
      <c r="E3405">
        <v>2.5600000000000001E-2</v>
      </c>
      <c r="F3405">
        <v>4.0899999999999999E-2</v>
      </c>
    </row>
    <row r="3406" spans="1:6" x14ac:dyDescent="0.3">
      <c r="A3406" t="s">
        <v>3441</v>
      </c>
      <c r="B3406" t="s">
        <v>26</v>
      </c>
      <c r="C3406">
        <v>1240000</v>
      </c>
      <c r="D3406">
        <v>35844</v>
      </c>
      <c r="E3406">
        <v>3.7400000000000003E-2</v>
      </c>
      <c r="F3406">
        <v>7.5899999999999995E-2</v>
      </c>
    </row>
    <row r="3407" spans="1:6" x14ac:dyDescent="0.3">
      <c r="A3407" t="s">
        <v>3442</v>
      </c>
      <c r="B3407" t="s">
        <v>88</v>
      </c>
      <c r="C3407">
        <v>805000</v>
      </c>
      <c r="D3407">
        <v>64434.8</v>
      </c>
      <c r="E3407">
        <v>3.7999999999999999E-2</v>
      </c>
      <c r="F3407">
        <v>9.5100000000000004E-2</v>
      </c>
    </row>
    <row r="3408" spans="1:6" x14ac:dyDescent="0.3">
      <c r="A3408" t="s">
        <v>3443</v>
      </c>
      <c r="B3408" t="s">
        <v>92</v>
      </c>
      <c r="C3408">
        <v>310000</v>
      </c>
      <c r="D3408">
        <v>2970.3</v>
      </c>
      <c r="E3408">
        <v>6.0000000000000001E-3</v>
      </c>
      <c r="F3408">
        <v>8.2199999999999995E-2</v>
      </c>
    </row>
    <row r="3409" spans="1:6" x14ac:dyDescent="0.3">
      <c r="A3409" t="s">
        <v>3444</v>
      </c>
      <c r="B3409" t="s">
        <v>74</v>
      </c>
      <c r="C3409">
        <v>938000</v>
      </c>
      <c r="D3409">
        <v>6711.2</v>
      </c>
      <c r="E3409">
        <v>4.6899999999999997E-2</v>
      </c>
      <c r="F3409">
        <v>9.3799999999999994E-2</v>
      </c>
    </row>
    <row r="3410" spans="1:6" x14ac:dyDescent="0.3">
      <c r="A3410" t="s">
        <v>3445</v>
      </c>
      <c r="B3410" t="s">
        <v>88</v>
      </c>
      <c r="C3410">
        <v>791000</v>
      </c>
      <c r="D3410">
        <v>6061</v>
      </c>
      <c r="E3410">
        <v>1.6799999999999999E-2</v>
      </c>
      <c r="F3410">
        <v>0.13100000000000001</v>
      </c>
    </row>
    <row r="3411" spans="1:6" x14ac:dyDescent="0.3">
      <c r="A3411" t="s">
        <v>3446</v>
      </c>
      <c r="B3411" t="s">
        <v>92</v>
      </c>
      <c r="C3411">
        <v>1110000</v>
      </c>
      <c r="D3411">
        <v>335745.5</v>
      </c>
      <c r="E3411">
        <v>4.9299999999999997E-2</v>
      </c>
      <c r="F3411">
        <v>4.0899999999999999E-2</v>
      </c>
    </row>
    <row r="3412" spans="1:6" x14ac:dyDescent="0.3">
      <c r="A3412" t="s">
        <v>3447</v>
      </c>
      <c r="B3412" t="s">
        <v>92</v>
      </c>
      <c r="C3412">
        <v>1260000</v>
      </c>
      <c r="D3412">
        <v>39957.4</v>
      </c>
      <c r="E3412">
        <v>2.07E-2</v>
      </c>
      <c r="F3412">
        <v>4.8800000000000003E-2</v>
      </c>
    </row>
    <row r="3413" spans="1:6" x14ac:dyDescent="0.3">
      <c r="A3413" t="s">
        <v>3448</v>
      </c>
      <c r="B3413" t="s">
        <v>53</v>
      </c>
      <c r="C3413">
        <v>2410000</v>
      </c>
      <c r="D3413">
        <v>8619.1</v>
      </c>
      <c r="E3413">
        <v>1.43E-2</v>
      </c>
      <c r="F3413">
        <v>8.5400000000000004E-2</v>
      </c>
    </row>
    <row r="3414" spans="1:6" x14ac:dyDescent="0.3">
      <c r="A3414" t="s">
        <v>3449</v>
      </c>
      <c r="B3414" t="s">
        <v>74</v>
      </c>
      <c r="C3414">
        <v>900000</v>
      </c>
      <c r="D3414">
        <v>31997.1</v>
      </c>
      <c r="E3414">
        <v>9.3799999999999994E-2</v>
      </c>
      <c r="F3414">
        <v>7.5899999999999995E-2</v>
      </c>
    </row>
    <row r="3415" spans="1:6" x14ac:dyDescent="0.3">
      <c r="A3415" t="s">
        <v>3450</v>
      </c>
      <c r="B3415" t="s">
        <v>92</v>
      </c>
      <c r="C3415">
        <v>859000</v>
      </c>
      <c r="D3415">
        <v>1915.8</v>
      </c>
      <c r="E3415">
        <v>1.49E-2</v>
      </c>
      <c r="F3415">
        <v>5.7599999999999998E-2</v>
      </c>
    </row>
    <row r="3416" spans="1:6" x14ac:dyDescent="0.3">
      <c r="A3416" t="s">
        <v>3451</v>
      </c>
      <c r="B3416" t="s">
        <v>26</v>
      </c>
      <c r="C3416">
        <v>2200000</v>
      </c>
      <c r="D3416">
        <v>815123.4</v>
      </c>
      <c r="E3416">
        <v>3.6799999999999999E-2</v>
      </c>
      <c r="F3416">
        <v>7.5899999999999995E-2</v>
      </c>
    </row>
    <row r="3417" spans="1:6" x14ac:dyDescent="0.3">
      <c r="A3417" t="s">
        <v>3452</v>
      </c>
      <c r="B3417" t="s">
        <v>287</v>
      </c>
      <c r="C3417">
        <v>1080000</v>
      </c>
      <c r="D3417">
        <v>9978.7000000000007</v>
      </c>
      <c r="E3417">
        <v>1.8200000000000001E-2</v>
      </c>
      <c r="F3417">
        <v>4.6199999999999998E-2</v>
      </c>
    </row>
    <row r="3418" spans="1:6" x14ac:dyDescent="0.3">
      <c r="A3418" t="s">
        <v>3453</v>
      </c>
      <c r="B3418" t="s">
        <v>24</v>
      </c>
      <c r="C3418">
        <v>1120000</v>
      </c>
      <c r="D3418">
        <v>9895.7999999999993</v>
      </c>
      <c r="E3418">
        <v>4.2000000000000003E-2</v>
      </c>
      <c r="F3418">
        <v>7.5899999999999995E-2</v>
      </c>
    </row>
    <row r="3419" spans="1:6" x14ac:dyDescent="0.3">
      <c r="A3419" t="s">
        <v>3454</v>
      </c>
      <c r="B3419" t="s">
        <v>92</v>
      </c>
      <c r="C3419">
        <v>1550000</v>
      </c>
      <c r="D3419">
        <v>108140.9</v>
      </c>
      <c r="E3419">
        <v>4.0300000000000002E-2</v>
      </c>
      <c r="F3419">
        <v>5.0999999999999997E-2</v>
      </c>
    </row>
    <row r="3420" spans="1:6" x14ac:dyDescent="0.3">
      <c r="A3420" t="s">
        <v>3455</v>
      </c>
      <c r="B3420" t="s">
        <v>26</v>
      </c>
      <c r="C3420">
        <v>1060000</v>
      </c>
      <c r="D3420">
        <v>40571.199999999997</v>
      </c>
      <c r="E3420">
        <v>4.7300000000000002E-2</v>
      </c>
      <c r="F3420">
        <v>9.3799999999999994E-2</v>
      </c>
    </row>
    <row r="3421" spans="1:6" x14ac:dyDescent="0.3">
      <c r="A3421" t="s">
        <v>3456</v>
      </c>
      <c r="B3421" t="s">
        <v>41</v>
      </c>
      <c r="C3421">
        <v>872000</v>
      </c>
      <c r="D3421">
        <v>16557.5</v>
      </c>
      <c r="E3421">
        <v>2.9700000000000001E-2</v>
      </c>
      <c r="F3421">
        <v>9.3799999999999994E-2</v>
      </c>
    </row>
    <row r="3422" spans="1:6" x14ac:dyDescent="0.3">
      <c r="A3422" t="s">
        <v>3457</v>
      </c>
      <c r="B3422" t="s">
        <v>24</v>
      </c>
      <c r="C3422">
        <v>956000</v>
      </c>
      <c r="D3422">
        <v>13960.7</v>
      </c>
      <c r="E3422">
        <v>3.4299999999999997E-2</v>
      </c>
      <c r="F3422">
        <v>9.3799999999999994E-2</v>
      </c>
    </row>
    <row r="3423" spans="1:6" x14ac:dyDescent="0.3">
      <c r="A3423" t="s">
        <v>3458</v>
      </c>
      <c r="B3423" t="s">
        <v>35</v>
      </c>
      <c r="C3423">
        <v>931000</v>
      </c>
      <c r="D3423">
        <v>62160.7</v>
      </c>
      <c r="E3423">
        <v>3.3599999999999998E-2</v>
      </c>
      <c r="F3423">
        <v>9.5100000000000004E-2</v>
      </c>
    </row>
    <row r="3424" spans="1:6" x14ac:dyDescent="0.3">
      <c r="A3424" t="s">
        <v>3459</v>
      </c>
      <c r="B3424" t="s">
        <v>214</v>
      </c>
      <c r="C3424">
        <v>859000</v>
      </c>
      <c r="D3424">
        <v>3999.4</v>
      </c>
      <c r="E3424">
        <v>1.3899999999999999E-2</v>
      </c>
      <c r="F3424">
        <v>8.5400000000000004E-2</v>
      </c>
    </row>
    <row r="3425" spans="1:6" x14ac:dyDescent="0.3">
      <c r="A3425" t="s">
        <v>3460</v>
      </c>
      <c r="B3425" t="s">
        <v>62</v>
      </c>
      <c r="C3425">
        <v>1220000</v>
      </c>
      <c r="D3425">
        <v>533.20000000000005</v>
      </c>
      <c r="E3425">
        <v>1.9900000000000001E-2</v>
      </c>
      <c r="F3425">
        <v>5.0999999999999997E-2</v>
      </c>
    </row>
    <row r="3426" spans="1:6" x14ac:dyDescent="0.3">
      <c r="A3426" t="s">
        <v>3461</v>
      </c>
      <c r="B3426" t="s">
        <v>24</v>
      </c>
      <c r="C3426">
        <v>838000</v>
      </c>
      <c r="D3426">
        <v>99829.3</v>
      </c>
      <c r="E3426">
        <v>2.5399999999999999E-2</v>
      </c>
      <c r="F3426">
        <v>9.5100000000000004E-2</v>
      </c>
    </row>
    <row r="3427" spans="1:6" x14ac:dyDescent="0.3">
      <c r="A3427" t="s">
        <v>3462</v>
      </c>
      <c r="B3427" t="s">
        <v>24</v>
      </c>
      <c r="C3427">
        <v>821000</v>
      </c>
      <c r="D3427">
        <v>1983.6</v>
      </c>
      <c r="E3427">
        <v>2.7799999999999998E-2</v>
      </c>
      <c r="F3427">
        <v>5.0999999999999997E-2</v>
      </c>
    </row>
    <row r="3428" spans="1:6" x14ac:dyDescent="0.3">
      <c r="A3428" t="s">
        <v>3463</v>
      </c>
      <c r="B3428" t="s">
        <v>41</v>
      </c>
      <c r="C3428">
        <v>1150000</v>
      </c>
      <c r="D3428">
        <v>2728.1</v>
      </c>
      <c r="E3428">
        <v>1.52E-2</v>
      </c>
      <c r="F3428">
        <v>0.22670000000000001</v>
      </c>
    </row>
    <row r="3429" spans="1:6" x14ac:dyDescent="0.3">
      <c r="A3429" t="s">
        <v>3464</v>
      </c>
      <c r="B3429" t="s">
        <v>32</v>
      </c>
      <c r="C3429">
        <v>864000</v>
      </c>
      <c r="D3429">
        <v>203849.60000000001</v>
      </c>
      <c r="E3429">
        <v>2.4400000000000002E-2</v>
      </c>
      <c r="F3429">
        <v>9.5100000000000004E-2</v>
      </c>
    </row>
    <row r="3430" spans="1:6" x14ac:dyDescent="0.3">
      <c r="A3430" t="s">
        <v>3465</v>
      </c>
      <c r="B3430" t="s">
        <v>214</v>
      </c>
      <c r="C3430">
        <v>873000</v>
      </c>
      <c r="D3430">
        <v>3946.1</v>
      </c>
      <c r="E3430">
        <v>3.9600000000000003E-2</v>
      </c>
      <c r="F3430">
        <v>7.5899999999999995E-2</v>
      </c>
    </row>
    <row r="3431" spans="1:6" x14ac:dyDescent="0.3">
      <c r="A3431" t="s">
        <v>3466</v>
      </c>
      <c r="B3431" t="s">
        <v>62</v>
      </c>
      <c r="C3431">
        <v>3140000</v>
      </c>
      <c r="D3431">
        <v>105824.3</v>
      </c>
      <c r="E3431">
        <v>4.6899999999999997E-2</v>
      </c>
      <c r="F3431">
        <v>7.5899999999999995E-2</v>
      </c>
    </row>
    <row r="3432" spans="1:6" x14ac:dyDescent="0.3">
      <c r="A3432" t="s">
        <v>3467</v>
      </c>
      <c r="B3432" t="s">
        <v>30</v>
      </c>
      <c r="C3432">
        <v>1110000</v>
      </c>
      <c r="D3432">
        <v>4498.2</v>
      </c>
      <c r="E3432">
        <v>1.7600000000000001E-2</v>
      </c>
      <c r="F3432">
        <v>4.6199999999999998E-2</v>
      </c>
    </row>
    <row r="3433" spans="1:6" x14ac:dyDescent="0.3">
      <c r="A3433" t="s">
        <v>3468</v>
      </c>
      <c r="B3433" t="s">
        <v>81</v>
      </c>
      <c r="C3433">
        <v>983000</v>
      </c>
      <c r="D3433">
        <v>10313.200000000001</v>
      </c>
      <c r="E3433">
        <v>3.6600000000000001E-2</v>
      </c>
      <c r="F3433">
        <v>7.5899999999999995E-2</v>
      </c>
    </row>
    <row r="3434" spans="1:6" x14ac:dyDescent="0.3">
      <c r="A3434" t="s">
        <v>3469</v>
      </c>
      <c r="B3434" t="s">
        <v>53</v>
      </c>
      <c r="C3434">
        <v>1150000</v>
      </c>
      <c r="D3434">
        <v>17968.7</v>
      </c>
      <c r="E3434">
        <v>4.3499999999999997E-2</v>
      </c>
      <c r="F3434">
        <v>7.5899999999999995E-2</v>
      </c>
    </row>
    <row r="3435" spans="1:6" x14ac:dyDescent="0.3">
      <c r="A3435" t="s">
        <v>3470</v>
      </c>
      <c r="B3435" t="s">
        <v>50</v>
      </c>
      <c r="C3435">
        <v>932000</v>
      </c>
      <c r="D3435">
        <v>21623.599999999999</v>
      </c>
      <c r="E3435">
        <v>3.15E-2</v>
      </c>
      <c r="F3435">
        <v>7.5899999999999995E-2</v>
      </c>
    </row>
    <row r="3436" spans="1:6" x14ac:dyDescent="0.3">
      <c r="A3436" t="s">
        <v>3471</v>
      </c>
      <c r="B3436" t="s">
        <v>26</v>
      </c>
      <c r="C3436">
        <v>893000</v>
      </c>
      <c r="D3436">
        <v>114509.1</v>
      </c>
      <c r="E3436">
        <v>1.0699999999999999E-2</v>
      </c>
      <c r="F3436">
        <v>8.2199999999999995E-2</v>
      </c>
    </row>
    <row r="3437" spans="1:6" x14ac:dyDescent="0.3">
      <c r="A3437" t="s">
        <v>3472</v>
      </c>
      <c r="B3437" t="s">
        <v>81</v>
      </c>
      <c r="C3437">
        <v>795000</v>
      </c>
      <c r="D3437">
        <v>2114</v>
      </c>
      <c r="E3437">
        <v>3.4000000000000002E-2</v>
      </c>
      <c r="F3437">
        <v>9.3799999999999994E-2</v>
      </c>
    </row>
    <row r="3438" spans="1:6" x14ac:dyDescent="0.3">
      <c r="A3438" t="s">
        <v>3473</v>
      </c>
      <c r="B3438" t="s">
        <v>26</v>
      </c>
      <c r="C3438">
        <v>945000</v>
      </c>
      <c r="D3438">
        <v>4437.5</v>
      </c>
      <c r="E3438">
        <v>3.2899999999999999E-2</v>
      </c>
      <c r="F3438">
        <v>9.3799999999999994E-2</v>
      </c>
    </row>
    <row r="3439" spans="1:6" x14ac:dyDescent="0.3">
      <c r="A3439" t="s">
        <v>3474</v>
      </c>
      <c r="B3439" t="s">
        <v>214</v>
      </c>
      <c r="C3439">
        <v>834000</v>
      </c>
      <c r="D3439">
        <v>8528.4</v>
      </c>
      <c r="E3439">
        <v>0.24970000000000001</v>
      </c>
      <c r="F3439">
        <v>0.59450000000000003</v>
      </c>
    </row>
    <row r="3440" spans="1:6" x14ac:dyDescent="0.3">
      <c r="A3440" t="s">
        <v>3475</v>
      </c>
      <c r="B3440" t="s">
        <v>214</v>
      </c>
      <c r="C3440">
        <v>819000</v>
      </c>
      <c r="D3440">
        <v>16456.2</v>
      </c>
      <c r="E3440">
        <v>2.9000000000000001E-2</v>
      </c>
      <c r="F3440">
        <v>7.5899999999999995E-2</v>
      </c>
    </row>
    <row r="3441" spans="1:6" x14ac:dyDescent="0.3">
      <c r="A3441" t="s">
        <v>3476</v>
      </c>
      <c r="B3441" t="s">
        <v>32</v>
      </c>
      <c r="C3441">
        <v>824000</v>
      </c>
      <c r="D3441">
        <v>814341.5</v>
      </c>
      <c r="E3441">
        <v>2.1999999999999999E-2</v>
      </c>
      <c r="F3441">
        <v>0.15359999999999999</v>
      </c>
    </row>
    <row r="3442" spans="1:6" x14ac:dyDescent="0.3">
      <c r="A3442" t="s">
        <v>3477</v>
      </c>
      <c r="B3442" t="s">
        <v>74</v>
      </c>
      <c r="C3442">
        <v>840000</v>
      </c>
      <c r="D3442">
        <v>1531.6</v>
      </c>
      <c r="E3442">
        <v>1.9699999999999999E-2</v>
      </c>
      <c r="F3442">
        <v>5.7599999999999998E-2</v>
      </c>
    </row>
    <row r="3443" spans="1:6" x14ac:dyDescent="0.3">
      <c r="A3443" t="s">
        <v>3478</v>
      </c>
      <c r="B3443" t="s">
        <v>41</v>
      </c>
      <c r="C3443">
        <v>762000</v>
      </c>
      <c r="D3443">
        <v>12034.4</v>
      </c>
      <c r="E3443">
        <v>6.0000000000000001E-3</v>
      </c>
      <c r="F3443">
        <v>6.54E-2</v>
      </c>
    </row>
    <row r="3444" spans="1:6" x14ac:dyDescent="0.3">
      <c r="A3444" t="s">
        <v>3479</v>
      </c>
      <c r="B3444" t="s">
        <v>26</v>
      </c>
      <c r="C3444">
        <v>748000</v>
      </c>
      <c r="D3444">
        <v>84.4</v>
      </c>
      <c r="E3444">
        <v>2.5499999999999998E-2</v>
      </c>
      <c r="F3444">
        <v>0.2064</v>
      </c>
    </row>
    <row r="3445" spans="1:6" x14ac:dyDescent="0.3">
      <c r="A3445" t="s">
        <v>3480</v>
      </c>
      <c r="B3445" t="s">
        <v>92</v>
      </c>
      <c r="C3445">
        <v>1050000</v>
      </c>
      <c r="D3445">
        <v>16809.5</v>
      </c>
      <c r="E3445">
        <v>1.7500000000000002E-2</v>
      </c>
      <c r="F3445">
        <v>0.1053</v>
      </c>
    </row>
    <row r="3446" spans="1:6" x14ac:dyDescent="0.3">
      <c r="A3446" t="s">
        <v>3481</v>
      </c>
      <c r="B3446" t="s">
        <v>26</v>
      </c>
      <c r="C3446">
        <v>780000</v>
      </c>
      <c r="D3446">
        <v>2809</v>
      </c>
      <c r="E3446">
        <v>3.6299999999999999E-2</v>
      </c>
      <c r="F3446">
        <v>5.1799999999999999E-2</v>
      </c>
    </row>
    <row r="3447" spans="1:6" x14ac:dyDescent="0.3">
      <c r="A3447" t="s">
        <v>3482</v>
      </c>
      <c r="B3447" t="s">
        <v>71</v>
      </c>
      <c r="C3447">
        <v>581000</v>
      </c>
      <c r="D3447">
        <v>10352.700000000001</v>
      </c>
      <c r="F3447">
        <v>5.1799999999999999E-2</v>
      </c>
    </row>
    <row r="3448" spans="1:6" x14ac:dyDescent="0.3">
      <c r="A3448" t="s">
        <v>3483</v>
      </c>
      <c r="B3448" t="s">
        <v>50</v>
      </c>
      <c r="C3448">
        <v>1100000</v>
      </c>
      <c r="D3448">
        <v>10344.700000000001</v>
      </c>
      <c r="E3448">
        <v>3.6200000000000003E-2</v>
      </c>
      <c r="F3448">
        <v>9.3799999999999994E-2</v>
      </c>
    </row>
    <row r="3449" spans="1:6" x14ac:dyDescent="0.3">
      <c r="A3449" t="s">
        <v>3484</v>
      </c>
      <c r="B3449" t="s">
        <v>74</v>
      </c>
      <c r="C3449">
        <v>937000</v>
      </c>
      <c r="D3449">
        <v>40555.699999999997</v>
      </c>
      <c r="E3449">
        <v>1.78E-2</v>
      </c>
      <c r="F3449">
        <v>8.5400000000000004E-2</v>
      </c>
    </row>
    <row r="3450" spans="1:6" x14ac:dyDescent="0.3">
      <c r="A3450" t="s">
        <v>3485</v>
      </c>
      <c r="B3450" t="s">
        <v>21</v>
      </c>
      <c r="C3450">
        <v>862000</v>
      </c>
      <c r="D3450">
        <v>55.9</v>
      </c>
      <c r="E3450">
        <v>8.0999999999999996E-3</v>
      </c>
      <c r="F3450">
        <v>0.26569999999999999</v>
      </c>
    </row>
    <row r="3451" spans="1:6" x14ac:dyDescent="0.3">
      <c r="A3451" t="s">
        <v>3486</v>
      </c>
      <c r="B3451" t="s">
        <v>21</v>
      </c>
      <c r="C3451">
        <v>797000</v>
      </c>
      <c r="D3451">
        <v>3916.5</v>
      </c>
      <c r="E3451">
        <v>1.0200000000000001E-2</v>
      </c>
      <c r="F3451">
        <v>9.11E-2</v>
      </c>
    </row>
    <row r="3452" spans="1:6" x14ac:dyDescent="0.3">
      <c r="A3452" t="s">
        <v>3487</v>
      </c>
      <c r="B3452" t="s">
        <v>28</v>
      </c>
      <c r="C3452">
        <v>871000</v>
      </c>
      <c r="D3452">
        <v>10070.299999999999</v>
      </c>
      <c r="E3452">
        <v>7.6E-3</v>
      </c>
      <c r="F3452">
        <v>0.10150000000000001</v>
      </c>
    </row>
    <row r="3453" spans="1:6" x14ac:dyDescent="0.3">
      <c r="A3453" t="s">
        <v>3488</v>
      </c>
      <c r="B3453" t="s">
        <v>62</v>
      </c>
      <c r="C3453">
        <v>873000</v>
      </c>
      <c r="D3453">
        <v>127.9</v>
      </c>
      <c r="E3453">
        <v>1.72E-2</v>
      </c>
      <c r="F3453">
        <v>0.1948</v>
      </c>
    </row>
    <row r="3454" spans="1:6" x14ac:dyDescent="0.3">
      <c r="A3454" t="s">
        <v>3489</v>
      </c>
      <c r="B3454" t="s">
        <v>92</v>
      </c>
      <c r="C3454">
        <v>959000</v>
      </c>
      <c r="D3454">
        <v>31233.5</v>
      </c>
      <c r="E3454">
        <v>2.6700000000000002E-2</v>
      </c>
      <c r="F3454">
        <v>9.3799999999999994E-2</v>
      </c>
    </row>
    <row r="3455" spans="1:6" x14ac:dyDescent="0.3">
      <c r="A3455" t="s">
        <v>3490</v>
      </c>
      <c r="B3455" t="s">
        <v>24</v>
      </c>
      <c r="C3455">
        <v>2670000</v>
      </c>
      <c r="D3455">
        <v>856969.4</v>
      </c>
      <c r="E3455">
        <v>1.14E-2</v>
      </c>
      <c r="F3455">
        <v>8.2199999999999995E-2</v>
      </c>
    </row>
    <row r="3456" spans="1:6" x14ac:dyDescent="0.3">
      <c r="A3456" t="s">
        <v>3491</v>
      </c>
      <c r="B3456" t="s">
        <v>50</v>
      </c>
      <c r="C3456">
        <v>1030000</v>
      </c>
      <c r="D3456">
        <v>113543</v>
      </c>
      <c r="E3456">
        <v>3.6200000000000003E-2</v>
      </c>
      <c r="F3456">
        <v>9.5000000000000001E-2</v>
      </c>
    </row>
    <row r="3457" spans="1:6" x14ac:dyDescent="0.3">
      <c r="A3457" t="s">
        <v>3492</v>
      </c>
      <c r="B3457" t="s">
        <v>71</v>
      </c>
      <c r="C3457">
        <v>1010000</v>
      </c>
      <c r="D3457">
        <v>3155.7</v>
      </c>
      <c r="F3457">
        <v>5.0999999999999997E-2</v>
      </c>
    </row>
    <row r="3458" spans="1:6" x14ac:dyDescent="0.3">
      <c r="A3458" t="s">
        <v>3493</v>
      </c>
      <c r="B3458" t="s">
        <v>88</v>
      </c>
      <c r="C3458">
        <v>1060000</v>
      </c>
      <c r="D3458">
        <v>2876.8</v>
      </c>
      <c r="E3458">
        <v>5.16E-2</v>
      </c>
      <c r="F3458">
        <v>0.15179999999999999</v>
      </c>
    </row>
    <row r="3459" spans="1:6" x14ac:dyDescent="0.3">
      <c r="A3459" t="s">
        <v>3494</v>
      </c>
      <c r="B3459" t="s">
        <v>287</v>
      </c>
      <c r="C3459">
        <v>973000</v>
      </c>
      <c r="D3459">
        <v>573380.69999999995</v>
      </c>
      <c r="F3459">
        <v>4.0899999999999999E-2</v>
      </c>
    </row>
    <row r="3460" spans="1:6" x14ac:dyDescent="0.3">
      <c r="A3460" t="s">
        <v>3495</v>
      </c>
      <c r="B3460" t="s">
        <v>41</v>
      </c>
      <c r="C3460">
        <v>2580000</v>
      </c>
      <c r="D3460">
        <v>1217.0999999999999</v>
      </c>
      <c r="E3460">
        <v>2.07E-2</v>
      </c>
      <c r="F3460">
        <v>0.13719999999999999</v>
      </c>
    </row>
    <row r="3461" spans="1:6" x14ac:dyDescent="0.3">
      <c r="A3461" t="s">
        <v>3496</v>
      </c>
      <c r="B3461" t="s">
        <v>41</v>
      </c>
      <c r="C3461">
        <v>2260000</v>
      </c>
      <c r="D3461">
        <v>581.6</v>
      </c>
      <c r="E3461">
        <v>6.6199999999999995E-2</v>
      </c>
      <c r="F3461">
        <v>9.3799999999999994E-2</v>
      </c>
    </row>
    <row r="3462" spans="1:6" x14ac:dyDescent="0.3">
      <c r="A3462" t="s">
        <v>3497</v>
      </c>
      <c r="B3462" t="s">
        <v>214</v>
      </c>
      <c r="C3462">
        <v>809000</v>
      </c>
      <c r="D3462">
        <v>1025</v>
      </c>
      <c r="E3462">
        <v>5.1299999999999998E-2</v>
      </c>
      <c r="F3462">
        <v>9.5100000000000004E-2</v>
      </c>
    </row>
    <row r="3463" spans="1:6" x14ac:dyDescent="0.3">
      <c r="A3463" t="s">
        <v>3498</v>
      </c>
      <c r="B3463" t="s">
        <v>50</v>
      </c>
      <c r="C3463">
        <v>1030000</v>
      </c>
      <c r="D3463">
        <v>16976.3</v>
      </c>
      <c r="E3463">
        <v>1.61E-2</v>
      </c>
      <c r="F3463">
        <v>5.7599999999999998E-2</v>
      </c>
    </row>
    <row r="3464" spans="1:6" x14ac:dyDescent="0.3">
      <c r="A3464" t="s">
        <v>3499</v>
      </c>
      <c r="B3464" t="s">
        <v>50</v>
      </c>
      <c r="C3464">
        <v>803000</v>
      </c>
      <c r="D3464">
        <v>1837.8</v>
      </c>
      <c r="E3464">
        <v>3.5999999999999997E-2</v>
      </c>
      <c r="F3464">
        <v>9.5100000000000004E-2</v>
      </c>
    </row>
    <row r="3465" spans="1:6" x14ac:dyDescent="0.3">
      <c r="A3465" t="s">
        <v>3500</v>
      </c>
      <c r="B3465" t="s">
        <v>71</v>
      </c>
      <c r="C3465">
        <v>787000</v>
      </c>
      <c r="D3465">
        <v>12680</v>
      </c>
      <c r="E3465">
        <v>2.5000000000000001E-2</v>
      </c>
      <c r="F3465">
        <v>0.1067</v>
      </c>
    </row>
    <row r="3466" spans="1:6" x14ac:dyDescent="0.3">
      <c r="A3466" t="s">
        <v>3501</v>
      </c>
      <c r="B3466" t="s">
        <v>26</v>
      </c>
      <c r="C3466">
        <v>970000</v>
      </c>
      <c r="D3466">
        <v>427279.2</v>
      </c>
      <c r="E3466">
        <v>3.3700000000000001E-2</v>
      </c>
      <c r="F3466">
        <v>4.0899999999999999E-2</v>
      </c>
    </row>
    <row r="3467" spans="1:6" x14ac:dyDescent="0.3">
      <c r="A3467" t="s">
        <v>3502</v>
      </c>
      <c r="B3467" t="s">
        <v>214</v>
      </c>
      <c r="C3467">
        <v>863000</v>
      </c>
      <c r="D3467">
        <v>25362.1</v>
      </c>
      <c r="E3467">
        <v>7.4000000000000003E-3</v>
      </c>
      <c r="F3467">
        <v>8.2199999999999995E-2</v>
      </c>
    </row>
    <row r="3468" spans="1:6" x14ac:dyDescent="0.3">
      <c r="A3468" t="s">
        <v>3503</v>
      </c>
      <c r="B3468" t="s">
        <v>24</v>
      </c>
      <c r="C3468">
        <v>903000</v>
      </c>
      <c r="D3468">
        <v>7461.7</v>
      </c>
      <c r="E3468">
        <v>1.6299999999999999E-2</v>
      </c>
      <c r="F3468">
        <v>0.1067</v>
      </c>
    </row>
    <row r="3469" spans="1:6" x14ac:dyDescent="0.3">
      <c r="A3469" t="s">
        <v>3504</v>
      </c>
      <c r="B3469" t="s">
        <v>26</v>
      </c>
      <c r="C3469">
        <v>1370000</v>
      </c>
      <c r="D3469">
        <v>2565899.6</v>
      </c>
      <c r="E3469">
        <v>2.2100000000000002E-2</v>
      </c>
      <c r="F3469">
        <v>4.0899999999999999E-2</v>
      </c>
    </row>
    <row r="3470" spans="1:6" x14ac:dyDescent="0.3">
      <c r="A3470" t="s">
        <v>3505</v>
      </c>
      <c r="B3470" t="s">
        <v>32</v>
      </c>
      <c r="C3470">
        <v>785000</v>
      </c>
      <c r="D3470">
        <v>1200831.7</v>
      </c>
      <c r="E3470">
        <v>7.4000000000000003E-3</v>
      </c>
      <c r="F3470">
        <v>8.2199999999999995E-2</v>
      </c>
    </row>
    <row r="3471" spans="1:6" x14ac:dyDescent="0.3">
      <c r="A3471" t="s">
        <v>3506</v>
      </c>
      <c r="B3471" t="s">
        <v>41</v>
      </c>
      <c r="C3471">
        <v>2830000</v>
      </c>
      <c r="D3471">
        <v>462.6</v>
      </c>
      <c r="E3471">
        <v>1.78E-2</v>
      </c>
      <c r="F3471">
        <v>0.13719999999999999</v>
      </c>
    </row>
    <row r="3472" spans="1:6" x14ac:dyDescent="0.3">
      <c r="A3472" t="s">
        <v>3507</v>
      </c>
      <c r="B3472" t="s">
        <v>53</v>
      </c>
      <c r="C3472">
        <v>1110000</v>
      </c>
      <c r="D3472">
        <v>202764.9</v>
      </c>
      <c r="E3472">
        <v>3.44E-2</v>
      </c>
      <c r="F3472">
        <v>4.0899999999999999E-2</v>
      </c>
    </row>
    <row r="3473" spans="1:6" x14ac:dyDescent="0.3">
      <c r="A3473" t="s">
        <v>3508</v>
      </c>
      <c r="B3473" t="s">
        <v>74</v>
      </c>
      <c r="C3473">
        <v>1090000</v>
      </c>
      <c r="D3473">
        <v>5270.8</v>
      </c>
      <c r="F3473">
        <v>4.0899999999999999E-2</v>
      </c>
    </row>
    <row r="3474" spans="1:6" x14ac:dyDescent="0.3">
      <c r="A3474" t="s">
        <v>3509</v>
      </c>
      <c r="B3474" t="s">
        <v>26</v>
      </c>
      <c r="C3474">
        <v>887000</v>
      </c>
      <c r="D3474">
        <v>2366.9</v>
      </c>
      <c r="E3474">
        <v>2.3699999999999999E-2</v>
      </c>
      <c r="F3474">
        <v>7.5899999999999995E-2</v>
      </c>
    </row>
    <row r="3475" spans="1:6" x14ac:dyDescent="0.3">
      <c r="A3475" t="s">
        <v>3510</v>
      </c>
      <c r="B3475" t="s">
        <v>26</v>
      </c>
      <c r="C3475">
        <v>910000</v>
      </c>
      <c r="D3475">
        <v>31960.1</v>
      </c>
      <c r="E3475">
        <v>3.39E-2</v>
      </c>
      <c r="F3475">
        <v>7.5899999999999995E-2</v>
      </c>
    </row>
    <row r="3476" spans="1:6" x14ac:dyDescent="0.3">
      <c r="A3476" t="s">
        <v>3511</v>
      </c>
      <c r="B3476" t="s">
        <v>32</v>
      </c>
      <c r="C3476">
        <v>952000</v>
      </c>
      <c r="D3476">
        <v>1534.4</v>
      </c>
      <c r="E3476">
        <v>2.7300000000000001E-2</v>
      </c>
      <c r="F3476">
        <v>7.2499999999999995E-2</v>
      </c>
    </row>
    <row r="3477" spans="1:6" x14ac:dyDescent="0.3">
      <c r="A3477" t="s">
        <v>3512</v>
      </c>
      <c r="B3477" t="s">
        <v>26</v>
      </c>
      <c r="C3477">
        <v>914000</v>
      </c>
      <c r="D3477">
        <v>144031.29999999999</v>
      </c>
      <c r="E3477">
        <v>3.1699999999999999E-2</v>
      </c>
      <c r="F3477">
        <v>9.5100000000000004E-2</v>
      </c>
    </row>
    <row r="3478" spans="1:6" x14ac:dyDescent="0.3">
      <c r="A3478" t="s">
        <v>3513</v>
      </c>
      <c r="B3478" t="s">
        <v>24</v>
      </c>
      <c r="C3478">
        <v>1080000</v>
      </c>
      <c r="D3478">
        <v>390.6</v>
      </c>
      <c r="E3478">
        <v>2.07E-2</v>
      </c>
      <c r="F3478">
        <v>0.1053</v>
      </c>
    </row>
    <row r="3479" spans="1:6" x14ac:dyDescent="0.3">
      <c r="A3479" t="s">
        <v>3514</v>
      </c>
      <c r="B3479" t="s">
        <v>88</v>
      </c>
      <c r="C3479">
        <v>981000</v>
      </c>
      <c r="D3479">
        <v>10249.200000000001</v>
      </c>
      <c r="E3479">
        <v>4.8000000000000001E-2</v>
      </c>
      <c r="F3479">
        <v>7.5899999999999995E-2</v>
      </c>
    </row>
    <row r="3480" spans="1:6" x14ac:dyDescent="0.3">
      <c r="A3480" t="s">
        <v>3515</v>
      </c>
      <c r="B3480" t="s">
        <v>195</v>
      </c>
      <c r="C3480">
        <v>1490000</v>
      </c>
      <c r="D3480">
        <v>64643.199999999997</v>
      </c>
      <c r="E3480">
        <v>1.9400000000000001E-2</v>
      </c>
      <c r="F3480">
        <v>4.0899999999999999E-2</v>
      </c>
    </row>
    <row r="3481" spans="1:6" x14ac:dyDescent="0.3">
      <c r="A3481" t="s">
        <v>3516</v>
      </c>
      <c r="B3481" t="s">
        <v>28</v>
      </c>
      <c r="C3481">
        <v>1010000</v>
      </c>
      <c r="D3481">
        <v>53744.7</v>
      </c>
      <c r="E3481">
        <v>2.98E-2</v>
      </c>
      <c r="F3481">
        <v>7.5899999999999995E-2</v>
      </c>
    </row>
    <row r="3482" spans="1:6" x14ac:dyDescent="0.3">
      <c r="A3482" t="s">
        <v>3517</v>
      </c>
      <c r="B3482" t="s">
        <v>53</v>
      </c>
      <c r="C3482">
        <v>1290000</v>
      </c>
      <c r="D3482">
        <v>143755.6</v>
      </c>
      <c r="E3482">
        <v>7.3000000000000001E-3</v>
      </c>
      <c r="F3482">
        <v>6.54E-2</v>
      </c>
    </row>
    <row r="3483" spans="1:6" x14ac:dyDescent="0.3">
      <c r="A3483" t="s">
        <v>3518</v>
      </c>
      <c r="B3483" t="s">
        <v>26</v>
      </c>
      <c r="C3483">
        <v>1540000</v>
      </c>
      <c r="D3483">
        <v>11725.5</v>
      </c>
      <c r="E3483">
        <v>6.4999999999999997E-3</v>
      </c>
      <c r="F3483">
        <v>8.1100000000000005E-2</v>
      </c>
    </row>
    <row r="3484" spans="1:6" x14ac:dyDescent="0.3">
      <c r="A3484" t="s">
        <v>3519</v>
      </c>
      <c r="B3484" t="s">
        <v>41</v>
      </c>
      <c r="C3484">
        <v>1080000</v>
      </c>
      <c r="D3484">
        <v>78.8</v>
      </c>
      <c r="E3484">
        <v>2.2700000000000001E-2</v>
      </c>
      <c r="F3484">
        <v>0.33900000000000002</v>
      </c>
    </row>
    <row r="3485" spans="1:6" x14ac:dyDescent="0.3">
      <c r="A3485" t="s">
        <v>3520</v>
      </c>
      <c r="B3485" t="s">
        <v>24</v>
      </c>
      <c r="C3485">
        <v>791000</v>
      </c>
      <c r="D3485">
        <v>4479</v>
      </c>
      <c r="E3485">
        <v>1.89E-2</v>
      </c>
      <c r="F3485">
        <v>5.8500000000000003E-2</v>
      </c>
    </row>
    <row r="3486" spans="1:6" x14ac:dyDescent="0.3">
      <c r="A3486" t="s">
        <v>3521</v>
      </c>
      <c r="B3486" t="s">
        <v>92</v>
      </c>
      <c r="C3486">
        <v>804000</v>
      </c>
      <c r="D3486">
        <v>569.70000000000005</v>
      </c>
      <c r="E3486">
        <v>3.2399999999999998E-2</v>
      </c>
      <c r="F3486">
        <v>9.3799999999999994E-2</v>
      </c>
    </row>
    <row r="3487" spans="1:6" x14ac:dyDescent="0.3">
      <c r="A3487" t="s">
        <v>3522</v>
      </c>
      <c r="B3487" t="s">
        <v>50</v>
      </c>
      <c r="C3487">
        <v>971000</v>
      </c>
      <c r="D3487">
        <v>21098.6</v>
      </c>
      <c r="E3487">
        <v>7.8799999999999995E-2</v>
      </c>
      <c r="F3487">
        <v>9.3799999999999994E-2</v>
      </c>
    </row>
    <row r="3488" spans="1:6" x14ac:dyDescent="0.3">
      <c r="A3488" t="s">
        <v>3523</v>
      </c>
      <c r="B3488" t="s">
        <v>26</v>
      </c>
      <c r="C3488">
        <v>927000</v>
      </c>
      <c r="D3488">
        <v>305638.5</v>
      </c>
      <c r="E3488">
        <v>2.7400000000000001E-2</v>
      </c>
      <c r="F3488">
        <v>7.5899999999999995E-2</v>
      </c>
    </row>
    <row r="3489" spans="1:6" x14ac:dyDescent="0.3">
      <c r="A3489" t="s">
        <v>3524</v>
      </c>
      <c r="B3489" t="s">
        <v>26</v>
      </c>
      <c r="C3489">
        <v>945000</v>
      </c>
      <c r="D3489">
        <v>26299.9</v>
      </c>
      <c r="E3489">
        <v>8.77E-2</v>
      </c>
      <c r="F3489">
        <v>7.5899999999999995E-2</v>
      </c>
    </row>
    <row r="3490" spans="1:6" x14ac:dyDescent="0.3">
      <c r="A3490" t="s">
        <v>3525</v>
      </c>
      <c r="B3490" t="s">
        <v>28</v>
      </c>
      <c r="C3490">
        <v>903000</v>
      </c>
      <c r="D3490">
        <v>4371.8</v>
      </c>
      <c r="E3490">
        <v>1.0999999999999999E-2</v>
      </c>
      <c r="F3490">
        <v>6.54E-2</v>
      </c>
    </row>
    <row r="3491" spans="1:6" x14ac:dyDescent="0.3">
      <c r="A3491" t="s">
        <v>3526</v>
      </c>
      <c r="B3491" t="s">
        <v>26</v>
      </c>
      <c r="C3491">
        <v>292000</v>
      </c>
      <c r="D3491">
        <v>58924.1</v>
      </c>
      <c r="E3491">
        <v>3.6299999999999999E-2</v>
      </c>
      <c r="F3491">
        <v>0.12429999999999999</v>
      </c>
    </row>
    <row r="3492" spans="1:6" x14ac:dyDescent="0.3">
      <c r="A3492" t="s">
        <v>3527</v>
      </c>
      <c r="B3492" t="s">
        <v>24</v>
      </c>
      <c r="C3492">
        <v>884000</v>
      </c>
      <c r="D3492">
        <v>1160.0999999999999</v>
      </c>
      <c r="E3492">
        <v>4.5999999999999999E-3</v>
      </c>
      <c r="F3492">
        <v>6.54E-2</v>
      </c>
    </row>
    <row r="3493" spans="1:6" x14ac:dyDescent="0.3">
      <c r="A3493" t="s">
        <v>3528</v>
      </c>
      <c r="B3493" t="s">
        <v>88</v>
      </c>
      <c r="C3493">
        <v>1140000</v>
      </c>
      <c r="D3493">
        <v>15443.7</v>
      </c>
      <c r="E3493">
        <v>2.1700000000000001E-2</v>
      </c>
      <c r="F3493">
        <v>5.7599999999999998E-2</v>
      </c>
    </row>
    <row r="3494" spans="1:6" x14ac:dyDescent="0.3">
      <c r="A3494" t="s">
        <v>3529</v>
      </c>
      <c r="B3494" t="s">
        <v>41</v>
      </c>
      <c r="C3494">
        <v>759000</v>
      </c>
      <c r="D3494">
        <v>72.8</v>
      </c>
      <c r="E3494">
        <v>1.03E-2</v>
      </c>
      <c r="F3494">
        <v>0.28070000000000001</v>
      </c>
    </row>
    <row r="3495" spans="1:6" x14ac:dyDescent="0.3">
      <c r="A3495" t="s">
        <v>3530</v>
      </c>
      <c r="B3495" t="s">
        <v>53</v>
      </c>
      <c r="C3495">
        <v>1830000</v>
      </c>
      <c r="D3495">
        <v>69130</v>
      </c>
      <c r="E3495">
        <v>1.6E-2</v>
      </c>
      <c r="F3495">
        <v>8.5400000000000004E-2</v>
      </c>
    </row>
    <row r="3496" spans="1:6" x14ac:dyDescent="0.3">
      <c r="A3496" t="s">
        <v>3531</v>
      </c>
      <c r="B3496" t="s">
        <v>92</v>
      </c>
      <c r="C3496">
        <v>831000</v>
      </c>
      <c r="D3496">
        <v>4431.1000000000004</v>
      </c>
      <c r="E3496">
        <v>3.2800000000000003E-2</v>
      </c>
      <c r="F3496">
        <v>9.3799999999999994E-2</v>
      </c>
    </row>
    <row r="3497" spans="1:6" x14ac:dyDescent="0.3">
      <c r="A3497" t="s">
        <v>3532</v>
      </c>
      <c r="B3497" t="s">
        <v>26</v>
      </c>
      <c r="C3497">
        <v>826000</v>
      </c>
      <c r="D3497">
        <v>14869.8</v>
      </c>
      <c r="E3497">
        <v>1.47E-2</v>
      </c>
      <c r="F3497">
        <v>5.8500000000000003E-2</v>
      </c>
    </row>
    <row r="3498" spans="1:6" x14ac:dyDescent="0.3">
      <c r="A3498" t="s">
        <v>3533</v>
      </c>
      <c r="B3498" t="s">
        <v>26</v>
      </c>
      <c r="C3498">
        <v>980000</v>
      </c>
      <c r="D3498">
        <v>5919728.4000000004</v>
      </c>
      <c r="E3498">
        <v>8.9999999999999993E-3</v>
      </c>
      <c r="F3498">
        <v>8.2199999999999995E-2</v>
      </c>
    </row>
    <row r="3499" spans="1:6" x14ac:dyDescent="0.3">
      <c r="A3499" t="s">
        <v>3534</v>
      </c>
      <c r="B3499" t="s">
        <v>26</v>
      </c>
      <c r="C3499">
        <v>912000</v>
      </c>
      <c r="D3499">
        <v>998.2</v>
      </c>
      <c r="E3499">
        <v>1.6899999999999998E-2</v>
      </c>
      <c r="F3499">
        <v>5.7599999999999998E-2</v>
      </c>
    </row>
    <row r="3500" spans="1:6" x14ac:dyDescent="0.3">
      <c r="A3500" t="s">
        <v>3535</v>
      </c>
      <c r="B3500" t="s">
        <v>81</v>
      </c>
      <c r="C3500">
        <v>767000</v>
      </c>
      <c r="D3500">
        <v>37621.300000000003</v>
      </c>
      <c r="E3500">
        <v>2.6499999999999999E-2</v>
      </c>
      <c r="F3500">
        <v>0.11700000000000001</v>
      </c>
    </row>
    <row r="3501" spans="1:6" x14ac:dyDescent="0.3">
      <c r="A3501" t="s">
        <v>3536</v>
      </c>
      <c r="B3501" t="s">
        <v>41</v>
      </c>
      <c r="C3501">
        <v>831000</v>
      </c>
      <c r="D3501">
        <v>10229.4</v>
      </c>
      <c r="E3501">
        <v>3.6299999999999999E-2</v>
      </c>
      <c r="F3501">
        <v>9.3799999999999994E-2</v>
      </c>
    </row>
    <row r="3502" spans="1:6" x14ac:dyDescent="0.3">
      <c r="A3502" t="s">
        <v>3537</v>
      </c>
      <c r="B3502" t="s">
        <v>214</v>
      </c>
      <c r="C3502">
        <v>1550000</v>
      </c>
      <c r="D3502">
        <v>23041.9</v>
      </c>
      <c r="F3502">
        <v>4.0899999999999999E-2</v>
      </c>
    </row>
    <row r="3503" spans="1:6" x14ac:dyDescent="0.3">
      <c r="A3503" t="s">
        <v>3538</v>
      </c>
      <c r="B3503" t="s">
        <v>88</v>
      </c>
      <c r="C3503">
        <v>1030000</v>
      </c>
      <c r="D3503">
        <v>1979.4</v>
      </c>
      <c r="E3503">
        <v>4.0800000000000003E-2</v>
      </c>
      <c r="F3503">
        <v>0.11700000000000001</v>
      </c>
    </row>
    <row r="3504" spans="1:6" x14ac:dyDescent="0.3">
      <c r="A3504" t="s">
        <v>3539</v>
      </c>
      <c r="B3504" t="s">
        <v>26</v>
      </c>
      <c r="C3504">
        <v>827000</v>
      </c>
      <c r="D3504">
        <v>4975</v>
      </c>
      <c r="E3504">
        <v>1.9199999999999998E-2</v>
      </c>
      <c r="F3504">
        <v>8.5400000000000004E-2</v>
      </c>
    </row>
    <row r="3505" spans="1:6" x14ac:dyDescent="0.3">
      <c r="A3505" t="s">
        <v>3540</v>
      </c>
      <c r="B3505" t="s">
        <v>26</v>
      </c>
      <c r="C3505">
        <v>960000</v>
      </c>
      <c r="D3505">
        <v>292.10000000000002</v>
      </c>
      <c r="E3505">
        <v>3.39E-2</v>
      </c>
      <c r="F3505">
        <v>9.3799999999999994E-2</v>
      </c>
    </row>
    <row r="3506" spans="1:6" x14ac:dyDescent="0.3">
      <c r="A3506" t="s">
        <v>3541</v>
      </c>
      <c r="B3506" t="s">
        <v>32</v>
      </c>
      <c r="C3506">
        <v>826000</v>
      </c>
      <c r="D3506">
        <v>277949.90000000002</v>
      </c>
      <c r="E3506">
        <v>2.2100000000000002E-2</v>
      </c>
      <c r="F3506">
        <v>5.1799999999999999E-2</v>
      </c>
    </row>
    <row r="3507" spans="1:6" x14ac:dyDescent="0.3">
      <c r="A3507" t="s">
        <v>3542</v>
      </c>
      <c r="B3507" t="s">
        <v>74</v>
      </c>
      <c r="C3507">
        <v>1630000</v>
      </c>
      <c r="D3507">
        <v>1494.6</v>
      </c>
      <c r="E3507">
        <v>2.3099999999999999E-2</v>
      </c>
      <c r="F3507">
        <v>0.1226</v>
      </c>
    </row>
    <row r="3508" spans="1:6" x14ac:dyDescent="0.3">
      <c r="A3508" t="s">
        <v>3543</v>
      </c>
      <c r="B3508" t="s">
        <v>26</v>
      </c>
      <c r="C3508">
        <v>1580000</v>
      </c>
      <c r="D3508">
        <v>1169875.8999999999</v>
      </c>
      <c r="E3508">
        <v>6.2100000000000002E-2</v>
      </c>
      <c r="F3508">
        <v>5.3800000000000001E-2</v>
      </c>
    </row>
    <row r="3509" spans="1:6" x14ac:dyDescent="0.3">
      <c r="A3509" t="s">
        <v>3544</v>
      </c>
      <c r="B3509" t="s">
        <v>88</v>
      </c>
      <c r="C3509">
        <v>785000</v>
      </c>
      <c r="D3509">
        <v>238.5</v>
      </c>
      <c r="E3509">
        <v>1.7000000000000001E-2</v>
      </c>
      <c r="F3509">
        <v>5.7599999999999998E-2</v>
      </c>
    </row>
    <row r="3510" spans="1:6" x14ac:dyDescent="0.3">
      <c r="A3510" t="s">
        <v>3545</v>
      </c>
      <c r="B3510" t="s">
        <v>214</v>
      </c>
      <c r="C3510">
        <v>973000</v>
      </c>
      <c r="D3510">
        <v>37924.800000000003</v>
      </c>
      <c r="E3510">
        <v>4.2900000000000001E-2</v>
      </c>
      <c r="F3510">
        <v>7.5899999999999995E-2</v>
      </c>
    </row>
    <row r="3511" spans="1:6" x14ac:dyDescent="0.3">
      <c r="A3511" t="s">
        <v>3546</v>
      </c>
      <c r="B3511" t="s">
        <v>26</v>
      </c>
      <c r="C3511">
        <v>1120000</v>
      </c>
      <c r="D3511">
        <v>346977.2</v>
      </c>
      <c r="E3511">
        <v>1.95E-2</v>
      </c>
      <c r="F3511">
        <v>0.1067</v>
      </c>
    </row>
    <row r="3512" spans="1:6" x14ac:dyDescent="0.3">
      <c r="A3512" t="s">
        <v>3547</v>
      </c>
      <c r="B3512" t="s">
        <v>88</v>
      </c>
      <c r="C3512">
        <v>1200000</v>
      </c>
      <c r="D3512">
        <v>24348.7</v>
      </c>
      <c r="E3512">
        <v>3.0700000000000002E-2</v>
      </c>
      <c r="F3512">
        <v>0.11700000000000001</v>
      </c>
    </row>
    <row r="3513" spans="1:6" x14ac:dyDescent="0.3">
      <c r="A3513" t="s">
        <v>3548</v>
      </c>
      <c r="B3513" t="s">
        <v>88</v>
      </c>
      <c r="C3513">
        <v>1100000</v>
      </c>
      <c r="D3513">
        <v>30053.7</v>
      </c>
      <c r="E3513">
        <v>3.4000000000000002E-2</v>
      </c>
      <c r="F3513">
        <v>7.5899999999999995E-2</v>
      </c>
    </row>
    <row r="3514" spans="1:6" x14ac:dyDescent="0.3">
      <c r="A3514" t="s">
        <v>3549</v>
      </c>
      <c r="B3514" t="s">
        <v>92</v>
      </c>
      <c r="C3514">
        <v>1040000</v>
      </c>
      <c r="D3514">
        <v>3746.1</v>
      </c>
      <c r="E3514">
        <v>2.9700000000000001E-2</v>
      </c>
      <c r="F3514">
        <v>7.5899999999999995E-2</v>
      </c>
    </row>
    <row r="3515" spans="1:6" x14ac:dyDescent="0.3">
      <c r="A3515" t="s">
        <v>3550</v>
      </c>
      <c r="B3515" t="s">
        <v>32</v>
      </c>
      <c r="C3515">
        <v>1160000</v>
      </c>
      <c r="D3515">
        <v>497019.8</v>
      </c>
      <c r="E3515">
        <v>0.03</v>
      </c>
      <c r="F3515">
        <v>9.5100000000000004E-2</v>
      </c>
    </row>
    <row r="3516" spans="1:6" x14ac:dyDescent="0.3">
      <c r="A3516" t="s">
        <v>3551</v>
      </c>
      <c r="B3516" t="s">
        <v>214</v>
      </c>
      <c r="C3516">
        <v>772000</v>
      </c>
      <c r="D3516">
        <v>25490.3</v>
      </c>
      <c r="E3516">
        <v>3.27E-2</v>
      </c>
      <c r="F3516">
        <v>9.5100000000000004E-2</v>
      </c>
    </row>
    <row r="3517" spans="1:6" x14ac:dyDescent="0.3">
      <c r="A3517" t="s">
        <v>3552</v>
      </c>
      <c r="B3517" t="s">
        <v>26</v>
      </c>
      <c r="C3517">
        <v>1130000</v>
      </c>
      <c r="D3517">
        <v>16658.2</v>
      </c>
      <c r="E3517">
        <v>7.7000000000000002E-3</v>
      </c>
      <c r="F3517">
        <v>8.1100000000000005E-2</v>
      </c>
    </row>
    <row r="3518" spans="1:6" x14ac:dyDescent="0.3">
      <c r="A3518" t="s">
        <v>3553</v>
      </c>
      <c r="B3518" t="s">
        <v>74</v>
      </c>
      <c r="C3518">
        <v>898000</v>
      </c>
      <c r="D3518">
        <v>47079.9</v>
      </c>
      <c r="E3518">
        <v>3.8199999999999998E-2</v>
      </c>
      <c r="F3518">
        <v>9.5100000000000004E-2</v>
      </c>
    </row>
    <row r="3519" spans="1:6" x14ac:dyDescent="0.3">
      <c r="A3519" t="s">
        <v>3554</v>
      </c>
      <c r="B3519" t="s">
        <v>88</v>
      </c>
      <c r="C3519">
        <v>906000</v>
      </c>
      <c r="D3519">
        <v>4720.5</v>
      </c>
      <c r="E3519">
        <v>3.1699999999999999E-2</v>
      </c>
      <c r="F3519">
        <v>0.11700000000000001</v>
      </c>
    </row>
    <row r="3520" spans="1:6" x14ac:dyDescent="0.3">
      <c r="A3520" t="s">
        <v>3555</v>
      </c>
      <c r="B3520" t="s">
        <v>74</v>
      </c>
      <c r="C3520">
        <v>1160000</v>
      </c>
      <c r="D3520">
        <v>12245.7</v>
      </c>
      <c r="E3520">
        <v>3.4099999999999998E-2</v>
      </c>
      <c r="F3520">
        <v>9.3799999999999994E-2</v>
      </c>
    </row>
    <row r="3521" spans="1:6" x14ac:dyDescent="0.3">
      <c r="A3521" t="s">
        <v>3556</v>
      </c>
      <c r="B3521" t="s">
        <v>24</v>
      </c>
      <c r="C3521">
        <v>799000</v>
      </c>
      <c r="D3521">
        <v>13631.4</v>
      </c>
      <c r="E3521">
        <v>3.0200000000000001E-2</v>
      </c>
      <c r="F3521">
        <v>9.5100000000000004E-2</v>
      </c>
    </row>
    <row r="3522" spans="1:6" x14ac:dyDescent="0.3">
      <c r="A3522" t="s">
        <v>3557</v>
      </c>
      <c r="B3522" t="s">
        <v>35</v>
      </c>
      <c r="C3522">
        <v>852000</v>
      </c>
      <c r="D3522">
        <v>42150.5</v>
      </c>
      <c r="E3522">
        <v>2.07E-2</v>
      </c>
      <c r="F3522">
        <v>8.5400000000000004E-2</v>
      </c>
    </row>
    <row r="3523" spans="1:6" x14ac:dyDescent="0.3">
      <c r="A3523" t="s">
        <v>3558</v>
      </c>
      <c r="B3523" t="s">
        <v>92</v>
      </c>
      <c r="C3523">
        <v>797000</v>
      </c>
      <c r="D3523">
        <v>576.1</v>
      </c>
      <c r="E3523">
        <v>4.6800000000000001E-2</v>
      </c>
      <c r="F3523">
        <v>8.9399999999999993E-2</v>
      </c>
    </row>
    <row r="3524" spans="1:6" x14ac:dyDescent="0.3">
      <c r="A3524" t="s">
        <v>3559</v>
      </c>
      <c r="B3524" t="s">
        <v>53</v>
      </c>
      <c r="C3524">
        <v>848000</v>
      </c>
      <c r="D3524">
        <v>22707.5</v>
      </c>
      <c r="E3524">
        <v>2.9000000000000001E-2</v>
      </c>
      <c r="F3524">
        <v>6.4399999999999999E-2</v>
      </c>
    </row>
    <row r="3525" spans="1:6" x14ac:dyDescent="0.3">
      <c r="A3525" t="s">
        <v>3560</v>
      </c>
      <c r="B3525" t="s">
        <v>21</v>
      </c>
      <c r="C3525">
        <v>2160000</v>
      </c>
      <c r="D3525">
        <v>62432.2</v>
      </c>
      <c r="E3525">
        <v>7.4000000000000003E-3</v>
      </c>
      <c r="F3525">
        <v>8.1100000000000005E-2</v>
      </c>
    </row>
    <row r="3526" spans="1:6" x14ac:dyDescent="0.3">
      <c r="A3526" t="s">
        <v>3561</v>
      </c>
      <c r="B3526" t="s">
        <v>88</v>
      </c>
      <c r="C3526">
        <v>917000</v>
      </c>
      <c r="D3526">
        <v>1801.2</v>
      </c>
      <c r="E3526">
        <v>2.1299999999999999E-2</v>
      </c>
      <c r="F3526">
        <v>8.5400000000000004E-2</v>
      </c>
    </row>
    <row r="3527" spans="1:6" x14ac:dyDescent="0.3">
      <c r="A3527" t="s">
        <v>3562</v>
      </c>
      <c r="B3527" t="s">
        <v>71</v>
      </c>
      <c r="C3527">
        <v>909000</v>
      </c>
      <c r="D3527">
        <v>24193</v>
      </c>
      <c r="E3527">
        <v>6.0400000000000002E-2</v>
      </c>
      <c r="F3527">
        <v>9.3799999999999994E-2</v>
      </c>
    </row>
    <row r="3528" spans="1:6" x14ac:dyDescent="0.3">
      <c r="A3528" t="s">
        <v>3563</v>
      </c>
      <c r="B3528" t="s">
        <v>88</v>
      </c>
      <c r="C3528">
        <v>951000</v>
      </c>
      <c r="D3528">
        <v>984.8</v>
      </c>
      <c r="E3528">
        <v>0.02</v>
      </c>
      <c r="F3528">
        <v>0.15939999999999999</v>
      </c>
    </row>
    <row r="3529" spans="1:6" x14ac:dyDescent="0.3">
      <c r="A3529" t="s">
        <v>3564</v>
      </c>
      <c r="B3529" t="s">
        <v>26</v>
      </c>
      <c r="C3529">
        <v>753000</v>
      </c>
      <c r="D3529">
        <v>1341</v>
      </c>
      <c r="E3529">
        <v>7.0000000000000001E-3</v>
      </c>
      <c r="F3529">
        <v>6.54E-2</v>
      </c>
    </row>
    <row r="3530" spans="1:6" x14ac:dyDescent="0.3">
      <c r="A3530" t="s">
        <v>3565</v>
      </c>
      <c r="B3530" t="s">
        <v>62</v>
      </c>
      <c r="C3530">
        <v>1030000</v>
      </c>
      <c r="D3530">
        <v>446.7</v>
      </c>
      <c r="E3530">
        <v>6.4399999999999999E-2</v>
      </c>
      <c r="F3530">
        <v>6.4299999999999996E-2</v>
      </c>
    </row>
    <row r="3531" spans="1:6" x14ac:dyDescent="0.3">
      <c r="A3531" t="s">
        <v>3566</v>
      </c>
      <c r="B3531" t="s">
        <v>21</v>
      </c>
      <c r="C3531">
        <v>1150000</v>
      </c>
      <c r="D3531">
        <v>23299.3</v>
      </c>
      <c r="E3531">
        <v>2.0799999999999999E-2</v>
      </c>
      <c r="F3531">
        <v>4.6199999999999998E-2</v>
      </c>
    </row>
    <row r="3532" spans="1:6" x14ac:dyDescent="0.3">
      <c r="A3532" t="s">
        <v>3567</v>
      </c>
      <c r="B3532" t="s">
        <v>32</v>
      </c>
      <c r="C3532">
        <v>1090000</v>
      </c>
      <c r="D3532">
        <v>232658.7</v>
      </c>
      <c r="E3532">
        <v>5.8999999999999999E-3</v>
      </c>
      <c r="F3532">
        <v>8.2199999999999995E-2</v>
      </c>
    </row>
    <row r="3533" spans="1:6" x14ac:dyDescent="0.3">
      <c r="A3533" t="s">
        <v>3568</v>
      </c>
      <c r="B3533" t="s">
        <v>81</v>
      </c>
      <c r="C3533">
        <v>1110000</v>
      </c>
      <c r="D3533">
        <v>80471.5</v>
      </c>
      <c r="E3533">
        <v>3.8100000000000002E-2</v>
      </c>
      <c r="F3533">
        <v>7.5899999999999995E-2</v>
      </c>
    </row>
    <row r="3534" spans="1:6" x14ac:dyDescent="0.3">
      <c r="A3534" t="s">
        <v>3569</v>
      </c>
      <c r="B3534" t="s">
        <v>26</v>
      </c>
      <c r="C3534">
        <v>734000</v>
      </c>
      <c r="D3534">
        <v>182.7</v>
      </c>
      <c r="E3534">
        <v>8.8000000000000005E-3</v>
      </c>
      <c r="F3534">
        <v>8.2199999999999995E-2</v>
      </c>
    </row>
    <row r="3535" spans="1:6" x14ac:dyDescent="0.3">
      <c r="A3535" t="s">
        <v>3570</v>
      </c>
      <c r="B3535" t="s">
        <v>32</v>
      </c>
      <c r="C3535">
        <v>853000</v>
      </c>
      <c r="D3535">
        <v>7012</v>
      </c>
      <c r="E3535">
        <v>1.5100000000000001E-2</v>
      </c>
      <c r="F3535">
        <v>6.5699999999999995E-2</v>
      </c>
    </row>
    <row r="3536" spans="1:6" x14ac:dyDescent="0.3">
      <c r="A3536" t="s">
        <v>3571</v>
      </c>
      <c r="B3536" t="s">
        <v>26</v>
      </c>
      <c r="C3536">
        <v>1770000</v>
      </c>
      <c r="D3536">
        <v>21093.1</v>
      </c>
      <c r="E3536">
        <v>3.5900000000000001E-2</v>
      </c>
      <c r="F3536">
        <v>7.5899999999999995E-2</v>
      </c>
    </row>
    <row r="3537" spans="1:6" x14ac:dyDescent="0.3">
      <c r="A3537" t="s">
        <v>3572</v>
      </c>
      <c r="B3537" t="s">
        <v>214</v>
      </c>
      <c r="C3537">
        <v>926000</v>
      </c>
      <c r="D3537">
        <v>10263.9</v>
      </c>
      <c r="F3537">
        <v>5.0999999999999997E-2</v>
      </c>
    </row>
    <row r="3538" spans="1:6" x14ac:dyDescent="0.3">
      <c r="A3538" t="s">
        <v>3573</v>
      </c>
      <c r="B3538" t="s">
        <v>26</v>
      </c>
      <c r="C3538">
        <v>893000</v>
      </c>
      <c r="D3538">
        <v>272805.5</v>
      </c>
      <c r="E3538">
        <v>2.3599999999999999E-2</v>
      </c>
      <c r="F3538">
        <v>4.0899999999999999E-2</v>
      </c>
    </row>
    <row r="3539" spans="1:6" x14ac:dyDescent="0.3">
      <c r="A3539" t="s">
        <v>3574</v>
      </c>
      <c r="B3539" t="s">
        <v>26</v>
      </c>
      <c r="C3539">
        <v>2490000</v>
      </c>
      <c r="D3539">
        <v>1603531.4</v>
      </c>
      <c r="E3539">
        <v>2.0400000000000001E-2</v>
      </c>
      <c r="F3539">
        <v>4.6199999999999998E-2</v>
      </c>
    </row>
    <row r="3540" spans="1:6" x14ac:dyDescent="0.3">
      <c r="A3540" t="s">
        <v>3575</v>
      </c>
      <c r="B3540" t="s">
        <v>71</v>
      </c>
      <c r="C3540">
        <v>834000</v>
      </c>
      <c r="D3540">
        <v>395.7</v>
      </c>
      <c r="E3540">
        <v>3.7000000000000002E-3</v>
      </c>
      <c r="F3540">
        <v>0.22700000000000001</v>
      </c>
    </row>
    <row r="3541" spans="1:6" x14ac:dyDescent="0.3">
      <c r="A3541" t="s">
        <v>3576</v>
      </c>
      <c r="B3541" t="s">
        <v>50</v>
      </c>
      <c r="C3541">
        <v>1110000</v>
      </c>
      <c r="D3541">
        <v>214528.8</v>
      </c>
      <c r="E3541">
        <v>5.2900000000000003E-2</v>
      </c>
      <c r="F3541">
        <v>7.5899999999999995E-2</v>
      </c>
    </row>
    <row r="3542" spans="1:6" x14ac:dyDescent="0.3">
      <c r="A3542" t="s">
        <v>3577</v>
      </c>
      <c r="B3542" t="s">
        <v>53</v>
      </c>
      <c r="C3542">
        <v>730000</v>
      </c>
      <c r="D3542">
        <v>1963.8</v>
      </c>
      <c r="E3542">
        <v>3.3799999999999997E-2</v>
      </c>
      <c r="F3542">
        <v>9.5100000000000004E-2</v>
      </c>
    </row>
    <row r="3543" spans="1:6" x14ac:dyDescent="0.3">
      <c r="A3543" t="s">
        <v>3578</v>
      </c>
      <c r="B3543" t="s">
        <v>21</v>
      </c>
      <c r="C3543">
        <v>1970000</v>
      </c>
      <c r="D3543">
        <v>2461.9</v>
      </c>
      <c r="E3543">
        <v>7.6E-3</v>
      </c>
      <c r="F3543">
        <v>6.54E-2</v>
      </c>
    </row>
    <row r="3544" spans="1:6" x14ac:dyDescent="0.3">
      <c r="A3544" t="s">
        <v>3579</v>
      </c>
      <c r="B3544" t="s">
        <v>26</v>
      </c>
      <c r="C3544">
        <v>1100000</v>
      </c>
      <c r="D3544">
        <v>624501.9</v>
      </c>
      <c r="E3544">
        <v>2.6200000000000001E-2</v>
      </c>
      <c r="F3544">
        <v>7.5899999999999995E-2</v>
      </c>
    </row>
    <row r="3545" spans="1:6" x14ac:dyDescent="0.3">
      <c r="A3545" t="s">
        <v>3580</v>
      </c>
      <c r="B3545" t="s">
        <v>26</v>
      </c>
      <c r="C3545">
        <v>727000</v>
      </c>
      <c r="D3545">
        <v>116577.60000000001</v>
      </c>
      <c r="E3545">
        <v>3.73E-2</v>
      </c>
      <c r="F3545">
        <v>5.4600000000000003E-2</v>
      </c>
    </row>
    <row r="3546" spans="1:6" x14ac:dyDescent="0.3">
      <c r="A3546" t="s">
        <v>3581</v>
      </c>
      <c r="B3546" t="s">
        <v>62</v>
      </c>
      <c r="C3546">
        <v>956000</v>
      </c>
      <c r="D3546">
        <v>75645.3</v>
      </c>
      <c r="F3546">
        <v>5.1799999999999999E-2</v>
      </c>
    </row>
    <row r="3547" spans="1:6" x14ac:dyDescent="0.3">
      <c r="A3547" t="s">
        <v>3582</v>
      </c>
      <c r="B3547" t="s">
        <v>24</v>
      </c>
      <c r="C3547">
        <v>777000</v>
      </c>
      <c r="D3547">
        <v>10774.4</v>
      </c>
      <c r="E3547">
        <v>3.8600000000000002E-2</v>
      </c>
      <c r="F3547">
        <v>9.3799999999999994E-2</v>
      </c>
    </row>
    <row r="3548" spans="1:6" x14ac:dyDescent="0.3">
      <c r="A3548" t="s">
        <v>3583</v>
      </c>
      <c r="B3548" t="s">
        <v>32</v>
      </c>
      <c r="C3548">
        <v>828000</v>
      </c>
      <c r="D3548">
        <v>23471.5</v>
      </c>
      <c r="E3548">
        <v>1.0999999999999999E-2</v>
      </c>
      <c r="F3548">
        <v>6.54E-2</v>
      </c>
    </row>
    <row r="3549" spans="1:6" x14ac:dyDescent="0.3">
      <c r="A3549" t="s">
        <v>3584</v>
      </c>
      <c r="B3549" t="s">
        <v>26</v>
      </c>
      <c r="C3549">
        <v>831000</v>
      </c>
      <c r="D3549">
        <v>19182.5</v>
      </c>
      <c r="E3549">
        <v>4.7199999999999999E-2</v>
      </c>
      <c r="F3549">
        <v>9.5100000000000004E-2</v>
      </c>
    </row>
    <row r="3550" spans="1:6" x14ac:dyDescent="0.3">
      <c r="A3550" t="s">
        <v>3585</v>
      </c>
      <c r="B3550" t="s">
        <v>24</v>
      </c>
      <c r="C3550">
        <v>1120000</v>
      </c>
      <c r="D3550">
        <v>71282.2</v>
      </c>
      <c r="E3550">
        <v>2.2499999999999999E-2</v>
      </c>
      <c r="F3550">
        <v>7.5899999999999995E-2</v>
      </c>
    </row>
    <row r="3551" spans="1:6" x14ac:dyDescent="0.3">
      <c r="A3551" t="s">
        <v>3586</v>
      </c>
      <c r="B3551" t="s">
        <v>53</v>
      </c>
      <c r="C3551">
        <v>1220000</v>
      </c>
      <c r="D3551">
        <v>86306.7</v>
      </c>
      <c r="E3551">
        <v>5.7599999999999998E-2</v>
      </c>
      <c r="F3551">
        <v>7.5899999999999995E-2</v>
      </c>
    </row>
    <row r="3552" spans="1:6" x14ac:dyDescent="0.3">
      <c r="A3552" t="s">
        <v>3587</v>
      </c>
      <c r="B3552" t="s">
        <v>88</v>
      </c>
      <c r="C3552">
        <v>782000</v>
      </c>
      <c r="D3552">
        <v>8868.1</v>
      </c>
      <c r="E3552">
        <v>4.7899999999999998E-2</v>
      </c>
      <c r="F3552">
        <v>9.5100000000000004E-2</v>
      </c>
    </row>
    <row r="3553" spans="1:6" x14ac:dyDescent="0.3">
      <c r="A3553" t="s">
        <v>3588</v>
      </c>
      <c r="B3553" t="s">
        <v>32</v>
      </c>
      <c r="C3553">
        <v>800000</v>
      </c>
      <c r="D3553">
        <v>77967.3</v>
      </c>
      <c r="E3553">
        <v>5.0000000000000001E-4</v>
      </c>
      <c r="F3553">
        <v>0.1027</v>
      </c>
    </row>
    <row r="3554" spans="1:6" x14ac:dyDescent="0.3">
      <c r="A3554" t="s">
        <v>3589</v>
      </c>
      <c r="B3554" t="s">
        <v>88</v>
      </c>
      <c r="C3554">
        <v>1000000</v>
      </c>
      <c r="D3554">
        <v>6431.5</v>
      </c>
      <c r="E3554">
        <v>4.7300000000000002E-2</v>
      </c>
      <c r="F3554">
        <v>9.3799999999999994E-2</v>
      </c>
    </row>
    <row r="3555" spans="1:6" x14ac:dyDescent="0.3">
      <c r="A3555" t="s">
        <v>3590</v>
      </c>
      <c r="B3555" t="s">
        <v>490</v>
      </c>
      <c r="C3555">
        <v>1100000</v>
      </c>
      <c r="D3555">
        <v>14864</v>
      </c>
      <c r="E3555">
        <v>2.4899999999999999E-2</v>
      </c>
      <c r="F3555">
        <v>9.5100000000000004E-2</v>
      </c>
    </row>
    <row r="3556" spans="1:6" x14ac:dyDescent="0.3">
      <c r="A3556" t="s">
        <v>3591</v>
      </c>
      <c r="B3556" t="s">
        <v>26</v>
      </c>
      <c r="C3556">
        <v>848000</v>
      </c>
      <c r="D3556">
        <v>2673.6</v>
      </c>
      <c r="E3556">
        <v>7.3599999999999999E-2</v>
      </c>
      <c r="F3556">
        <v>7.5899999999999995E-2</v>
      </c>
    </row>
    <row r="3557" spans="1:6" x14ac:dyDescent="0.3">
      <c r="A3557" t="s">
        <v>3592</v>
      </c>
      <c r="B3557" t="s">
        <v>195</v>
      </c>
      <c r="C3557">
        <v>841000</v>
      </c>
      <c r="D3557">
        <v>7202.9</v>
      </c>
      <c r="E3557">
        <v>3.39E-2</v>
      </c>
      <c r="F3557">
        <v>7.5899999999999995E-2</v>
      </c>
    </row>
    <row r="3558" spans="1:6" x14ac:dyDescent="0.3">
      <c r="A3558" t="s">
        <v>3593</v>
      </c>
      <c r="B3558" t="s">
        <v>92</v>
      </c>
      <c r="C3558">
        <v>896000</v>
      </c>
      <c r="D3558">
        <v>46811.3</v>
      </c>
      <c r="E3558">
        <v>1.4E-2</v>
      </c>
      <c r="F3558">
        <v>4.6199999999999998E-2</v>
      </c>
    </row>
    <row r="3559" spans="1:6" x14ac:dyDescent="0.3">
      <c r="A3559" t="s">
        <v>3594</v>
      </c>
      <c r="B3559" t="s">
        <v>74</v>
      </c>
      <c r="C3559">
        <v>2320000</v>
      </c>
      <c r="D3559">
        <v>20709.8</v>
      </c>
      <c r="E3559">
        <v>2.9399999999999999E-2</v>
      </c>
      <c r="F3559">
        <v>4.0899999999999999E-2</v>
      </c>
    </row>
    <row r="3560" spans="1:6" x14ac:dyDescent="0.3">
      <c r="A3560" t="s">
        <v>3595</v>
      </c>
      <c r="B3560" t="s">
        <v>88</v>
      </c>
      <c r="C3560">
        <v>1000000</v>
      </c>
      <c r="D3560">
        <v>30085.5</v>
      </c>
      <c r="E3560">
        <v>5.04E-2</v>
      </c>
      <c r="F3560">
        <v>7.5899999999999995E-2</v>
      </c>
    </row>
    <row r="3561" spans="1:6" x14ac:dyDescent="0.3">
      <c r="A3561" t="s">
        <v>3596</v>
      </c>
      <c r="B3561" t="s">
        <v>490</v>
      </c>
      <c r="C3561">
        <v>1220000</v>
      </c>
      <c r="D3561">
        <v>96892.4</v>
      </c>
      <c r="E3561">
        <v>2.4400000000000002E-2</v>
      </c>
      <c r="F3561">
        <v>0.1066</v>
      </c>
    </row>
    <row r="3562" spans="1:6" x14ac:dyDescent="0.3">
      <c r="A3562" t="s">
        <v>3597</v>
      </c>
      <c r="B3562" t="s">
        <v>88</v>
      </c>
      <c r="C3562">
        <v>967000</v>
      </c>
      <c r="D3562">
        <v>2542.9</v>
      </c>
      <c r="E3562">
        <v>4.0599999999999997E-2</v>
      </c>
      <c r="F3562">
        <v>9.3799999999999994E-2</v>
      </c>
    </row>
    <row r="3563" spans="1:6" x14ac:dyDescent="0.3">
      <c r="A3563" t="s">
        <v>3598</v>
      </c>
      <c r="B3563" t="s">
        <v>26</v>
      </c>
      <c r="C3563">
        <v>919000</v>
      </c>
      <c r="D3563">
        <v>34113.300000000003</v>
      </c>
      <c r="E3563">
        <v>4.4400000000000002E-2</v>
      </c>
      <c r="F3563">
        <v>7.5899999999999995E-2</v>
      </c>
    </row>
    <row r="3564" spans="1:6" x14ac:dyDescent="0.3">
      <c r="A3564" t="s">
        <v>3599</v>
      </c>
      <c r="B3564" t="s">
        <v>92</v>
      </c>
      <c r="C3564">
        <v>933000</v>
      </c>
      <c r="D3564">
        <v>123723.6</v>
      </c>
      <c r="E3564">
        <v>1.32E-2</v>
      </c>
      <c r="F3564">
        <v>5.8400000000000001E-2</v>
      </c>
    </row>
    <row r="3565" spans="1:6" x14ac:dyDescent="0.3">
      <c r="A3565" t="s">
        <v>3600</v>
      </c>
      <c r="B3565" t="s">
        <v>21</v>
      </c>
      <c r="C3565">
        <v>1170000</v>
      </c>
      <c r="D3565">
        <v>28052.400000000001</v>
      </c>
      <c r="E3565">
        <v>2.8E-3</v>
      </c>
      <c r="F3565">
        <v>6.54E-2</v>
      </c>
    </row>
    <row r="3566" spans="1:6" x14ac:dyDescent="0.3">
      <c r="A3566" t="s">
        <v>3601</v>
      </c>
      <c r="B3566" t="s">
        <v>41</v>
      </c>
      <c r="C3566">
        <v>1000000</v>
      </c>
      <c r="D3566">
        <v>1105181.1000000001</v>
      </c>
      <c r="E3566">
        <v>2.53E-2</v>
      </c>
      <c r="F3566">
        <v>4.3200000000000002E-2</v>
      </c>
    </row>
    <row r="3567" spans="1:6" x14ac:dyDescent="0.3">
      <c r="A3567" t="s">
        <v>3602</v>
      </c>
      <c r="B3567" t="s">
        <v>24</v>
      </c>
      <c r="C3567">
        <v>802000</v>
      </c>
      <c r="D3567">
        <v>6140.4</v>
      </c>
      <c r="E3567">
        <v>2.87E-2</v>
      </c>
      <c r="F3567">
        <v>9.3799999999999994E-2</v>
      </c>
    </row>
    <row r="3568" spans="1:6" x14ac:dyDescent="0.3">
      <c r="A3568" t="s">
        <v>3603</v>
      </c>
      <c r="B3568" t="s">
        <v>92</v>
      </c>
      <c r="C3568">
        <v>753000</v>
      </c>
      <c r="D3568">
        <v>3905.5</v>
      </c>
      <c r="E3568">
        <v>2.81E-2</v>
      </c>
      <c r="F3568">
        <v>0.1066</v>
      </c>
    </row>
    <row r="3569" spans="1:6" x14ac:dyDescent="0.3">
      <c r="A3569" t="s">
        <v>3604</v>
      </c>
      <c r="B3569" t="s">
        <v>26</v>
      </c>
      <c r="C3569">
        <v>1260000</v>
      </c>
      <c r="D3569">
        <v>8666923.4000000004</v>
      </c>
      <c r="E3569">
        <v>1.9800000000000002E-2</v>
      </c>
      <c r="F3569">
        <v>0.1067</v>
      </c>
    </row>
    <row r="3570" spans="1:6" x14ac:dyDescent="0.3">
      <c r="A3570" t="s">
        <v>3605</v>
      </c>
      <c r="B3570" t="s">
        <v>53</v>
      </c>
      <c r="C3570">
        <v>858000</v>
      </c>
      <c r="D3570">
        <v>12791</v>
      </c>
      <c r="E3570">
        <v>6.4600000000000005E-2</v>
      </c>
      <c r="F3570">
        <v>7.5899999999999995E-2</v>
      </c>
    </row>
    <row r="3571" spans="1:6" x14ac:dyDescent="0.3">
      <c r="A3571" t="s">
        <v>3606</v>
      </c>
      <c r="B3571" t="s">
        <v>41</v>
      </c>
      <c r="C3571">
        <v>1080000</v>
      </c>
      <c r="D3571">
        <v>560279.6</v>
      </c>
      <c r="E3571">
        <v>4.5499999999999999E-2</v>
      </c>
      <c r="F3571">
        <v>7.5899999999999995E-2</v>
      </c>
    </row>
    <row r="3572" spans="1:6" x14ac:dyDescent="0.3">
      <c r="A3572" t="s">
        <v>3607</v>
      </c>
      <c r="B3572" t="s">
        <v>30</v>
      </c>
      <c r="C3572">
        <v>1150000</v>
      </c>
      <c r="D3572">
        <v>180454.1</v>
      </c>
      <c r="E3572">
        <v>8.8999999999999999E-3</v>
      </c>
      <c r="F3572">
        <v>8.2199999999999995E-2</v>
      </c>
    </row>
    <row r="3573" spans="1:6" x14ac:dyDescent="0.3">
      <c r="A3573" t="s">
        <v>3608</v>
      </c>
      <c r="B3573" t="s">
        <v>41</v>
      </c>
      <c r="C3573">
        <v>953000</v>
      </c>
      <c r="D3573">
        <v>181</v>
      </c>
      <c r="E3573">
        <v>1.32E-2</v>
      </c>
      <c r="F3573">
        <v>0.18659999999999999</v>
      </c>
    </row>
    <row r="3574" spans="1:6" x14ac:dyDescent="0.3">
      <c r="A3574" t="s">
        <v>3609</v>
      </c>
      <c r="B3574" t="s">
        <v>24</v>
      </c>
      <c r="C3574">
        <v>848000</v>
      </c>
      <c r="D3574">
        <v>178576.8</v>
      </c>
      <c r="E3574">
        <v>2.1000000000000001E-2</v>
      </c>
      <c r="F3574">
        <v>7.3499999999999996E-2</v>
      </c>
    </row>
    <row r="3575" spans="1:6" x14ac:dyDescent="0.3">
      <c r="A3575" t="s">
        <v>3610</v>
      </c>
      <c r="B3575" t="s">
        <v>41</v>
      </c>
      <c r="C3575">
        <v>829000</v>
      </c>
      <c r="D3575">
        <v>12467.9</v>
      </c>
      <c r="E3575">
        <v>3.39E-2</v>
      </c>
      <c r="F3575">
        <v>9.5100000000000004E-2</v>
      </c>
    </row>
    <row r="3576" spans="1:6" x14ac:dyDescent="0.3">
      <c r="A3576" t="s">
        <v>3611</v>
      </c>
      <c r="B3576" t="s">
        <v>41</v>
      </c>
      <c r="C3576">
        <v>3190000</v>
      </c>
      <c r="D3576">
        <v>11562.9</v>
      </c>
      <c r="E3576">
        <v>8.6E-3</v>
      </c>
      <c r="F3576">
        <v>0.69730000000000003</v>
      </c>
    </row>
    <row r="3577" spans="1:6" x14ac:dyDescent="0.3">
      <c r="A3577" t="s">
        <v>3612</v>
      </c>
      <c r="B3577" t="s">
        <v>26</v>
      </c>
      <c r="C3577">
        <v>1450000</v>
      </c>
      <c r="D3577">
        <v>802666.5</v>
      </c>
      <c r="E3577">
        <v>3.2300000000000002E-2</v>
      </c>
      <c r="F3577">
        <v>4.0899999999999999E-2</v>
      </c>
    </row>
    <row r="3578" spans="1:6" x14ac:dyDescent="0.3">
      <c r="A3578" t="s">
        <v>3613</v>
      </c>
      <c r="B3578" t="s">
        <v>26</v>
      </c>
      <c r="C3578">
        <v>731000</v>
      </c>
      <c r="D3578">
        <v>22693.9</v>
      </c>
      <c r="E3578">
        <v>2.5499999999999998E-2</v>
      </c>
      <c r="F3578">
        <v>5.1799999999999999E-2</v>
      </c>
    </row>
    <row r="3579" spans="1:6" x14ac:dyDescent="0.3">
      <c r="A3579" t="s">
        <v>3614</v>
      </c>
      <c r="B3579" t="s">
        <v>92</v>
      </c>
      <c r="C3579">
        <v>759000</v>
      </c>
      <c r="D3579">
        <v>2231</v>
      </c>
      <c r="E3579">
        <v>3.7600000000000001E-2</v>
      </c>
      <c r="F3579">
        <v>9.5100000000000004E-2</v>
      </c>
    </row>
    <row r="3580" spans="1:6" x14ac:dyDescent="0.3">
      <c r="A3580" t="s">
        <v>3615</v>
      </c>
      <c r="B3580" t="s">
        <v>287</v>
      </c>
      <c r="C3580">
        <v>750000</v>
      </c>
      <c r="D3580">
        <v>16913.2</v>
      </c>
      <c r="E3580">
        <v>5.3E-3</v>
      </c>
      <c r="F3580">
        <v>0.1187</v>
      </c>
    </row>
    <row r="3581" spans="1:6" x14ac:dyDescent="0.3">
      <c r="A3581" t="s">
        <v>3616</v>
      </c>
      <c r="B3581" t="s">
        <v>71</v>
      </c>
      <c r="C3581">
        <v>1090000</v>
      </c>
      <c r="D3581">
        <v>2090.6999999999998</v>
      </c>
      <c r="E3581">
        <v>4.4000000000000003E-3</v>
      </c>
      <c r="F3581">
        <v>8.1100000000000005E-2</v>
      </c>
    </row>
    <row r="3582" spans="1:6" x14ac:dyDescent="0.3">
      <c r="A3582" t="s">
        <v>3617</v>
      </c>
      <c r="B3582" t="s">
        <v>88</v>
      </c>
      <c r="C3582">
        <v>1790000</v>
      </c>
      <c r="D3582">
        <v>81236.7</v>
      </c>
      <c r="E3582">
        <v>7.0599999999999996E-2</v>
      </c>
      <c r="F3582">
        <v>9.3799999999999994E-2</v>
      </c>
    </row>
    <row r="3583" spans="1:6" x14ac:dyDescent="0.3">
      <c r="A3583" t="s">
        <v>3618</v>
      </c>
      <c r="B3583" t="s">
        <v>26</v>
      </c>
      <c r="C3583">
        <v>784000</v>
      </c>
      <c r="D3583">
        <v>18521.8</v>
      </c>
      <c r="E3583">
        <v>4.0099999999999997E-2</v>
      </c>
      <c r="F3583">
        <v>9.3799999999999994E-2</v>
      </c>
    </row>
    <row r="3584" spans="1:6" x14ac:dyDescent="0.3">
      <c r="A3584" t="s">
        <v>3619</v>
      </c>
      <c r="B3584" t="s">
        <v>26</v>
      </c>
      <c r="C3584">
        <v>1120000</v>
      </c>
      <c r="D3584">
        <v>1426.9</v>
      </c>
      <c r="E3584">
        <v>0.14660000000000001</v>
      </c>
      <c r="F3584">
        <v>9.3799999999999994E-2</v>
      </c>
    </row>
    <row r="3585" spans="1:6" x14ac:dyDescent="0.3">
      <c r="A3585" t="s">
        <v>3620</v>
      </c>
      <c r="B3585" t="s">
        <v>41</v>
      </c>
      <c r="C3585">
        <v>782000</v>
      </c>
      <c r="D3585">
        <v>36245.800000000003</v>
      </c>
      <c r="E3585">
        <v>1.11E-2</v>
      </c>
      <c r="F3585">
        <v>8.2199999999999995E-2</v>
      </c>
    </row>
    <row r="3586" spans="1:6" x14ac:dyDescent="0.3">
      <c r="A3586" t="s">
        <v>3621</v>
      </c>
      <c r="B3586" t="s">
        <v>21</v>
      </c>
      <c r="C3586">
        <v>1620000</v>
      </c>
      <c r="D3586">
        <v>109.6</v>
      </c>
      <c r="E3586">
        <v>1.0800000000000001E-2</v>
      </c>
      <c r="F3586">
        <v>0.17050000000000001</v>
      </c>
    </row>
    <row r="3587" spans="1:6" x14ac:dyDescent="0.3">
      <c r="A3587" t="s">
        <v>3622</v>
      </c>
      <c r="B3587" t="s">
        <v>50</v>
      </c>
      <c r="C3587">
        <v>973000</v>
      </c>
      <c r="D3587">
        <v>35923.300000000003</v>
      </c>
      <c r="E3587">
        <v>2.35E-2</v>
      </c>
      <c r="F3587">
        <v>8.5400000000000004E-2</v>
      </c>
    </row>
    <row r="3588" spans="1:6" x14ac:dyDescent="0.3">
      <c r="A3588" t="s">
        <v>3623</v>
      </c>
      <c r="B3588" t="s">
        <v>92</v>
      </c>
      <c r="C3588">
        <v>1010000</v>
      </c>
      <c r="D3588">
        <v>16268.1</v>
      </c>
      <c r="E3588">
        <v>3.3500000000000002E-2</v>
      </c>
      <c r="F3588">
        <v>9.3799999999999994E-2</v>
      </c>
    </row>
    <row r="3589" spans="1:6" x14ac:dyDescent="0.3">
      <c r="A3589" t="s">
        <v>3624</v>
      </c>
      <c r="B3589" t="s">
        <v>26</v>
      </c>
      <c r="C3589">
        <v>1260000</v>
      </c>
      <c r="D3589">
        <v>21574.3</v>
      </c>
      <c r="E3589">
        <v>0.1313</v>
      </c>
      <c r="F3589">
        <v>7.5899999999999995E-2</v>
      </c>
    </row>
    <row r="3590" spans="1:6" x14ac:dyDescent="0.3">
      <c r="A3590" t="s">
        <v>3625</v>
      </c>
      <c r="B3590" t="s">
        <v>21</v>
      </c>
      <c r="C3590">
        <v>924000</v>
      </c>
      <c r="D3590">
        <v>516.20000000000005</v>
      </c>
      <c r="E3590">
        <v>1.2800000000000001E-2</v>
      </c>
      <c r="F3590">
        <v>0.13159999999999999</v>
      </c>
    </row>
    <row r="3591" spans="1:6" x14ac:dyDescent="0.3">
      <c r="A3591" t="s">
        <v>3626</v>
      </c>
      <c r="B3591" t="s">
        <v>88</v>
      </c>
      <c r="C3591">
        <v>695000</v>
      </c>
      <c r="D3591">
        <v>1758.1</v>
      </c>
      <c r="E3591">
        <v>1.2699999999999999E-2</v>
      </c>
      <c r="F3591">
        <v>7.6499999999999999E-2</v>
      </c>
    </row>
    <row r="3592" spans="1:6" x14ac:dyDescent="0.3">
      <c r="A3592" t="s">
        <v>3627</v>
      </c>
      <c r="B3592" t="s">
        <v>88</v>
      </c>
      <c r="C3592">
        <v>934000</v>
      </c>
      <c r="D3592">
        <v>1342.5</v>
      </c>
      <c r="E3592">
        <v>4.0899999999999999E-2</v>
      </c>
      <c r="F3592">
        <v>9.3799999999999994E-2</v>
      </c>
    </row>
    <row r="3593" spans="1:6" x14ac:dyDescent="0.3">
      <c r="A3593" t="s">
        <v>3628</v>
      </c>
      <c r="B3593" t="s">
        <v>74</v>
      </c>
      <c r="C3593">
        <v>1330000</v>
      </c>
      <c r="D3593">
        <v>22281.7</v>
      </c>
      <c r="E3593">
        <v>3.9E-2</v>
      </c>
      <c r="F3593">
        <v>9.3799999999999994E-2</v>
      </c>
    </row>
    <row r="3594" spans="1:6" x14ac:dyDescent="0.3">
      <c r="A3594" t="s">
        <v>3629</v>
      </c>
      <c r="B3594" t="s">
        <v>53</v>
      </c>
      <c r="C3594">
        <v>959000</v>
      </c>
      <c r="D3594">
        <v>64955.6</v>
      </c>
      <c r="E3594">
        <v>1.09E-2</v>
      </c>
      <c r="F3594">
        <v>6.54E-2</v>
      </c>
    </row>
    <row r="3595" spans="1:6" x14ac:dyDescent="0.3">
      <c r="A3595" t="s">
        <v>3630</v>
      </c>
      <c r="B3595" t="s">
        <v>32</v>
      </c>
      <c r="C3595">
        <v>685000</v>
      </c>
      <c r="D3595">
        <v>681171.2</v>
      </c>
      <c r="E3595">
        <v>5.21E-2</v>
      </c>
      <c r="F3595">
        <v>9.5100000000000004E-2</v>
      </c>
    </row>
    <row r="3596" spans="1:6" x14ac:dyDescent="0.3">
      <c r="A3596" t="s">
        <v>3631</v>
      </c>
      <c r="B3596" t="s">
        <v>26</v>
      </c>
      <c r="C3596">
        <v>7650000</v>
      </c>
      <c r="D3596">
        <v>7903610</v>
      </c>
      <c r="E3596">
        <v>1.2200000000000001E-2</v>
      </c>
      <c r="F3596">
        <v>5.8400000000000001E-2</v>
      </c>
    </row>
    <row r="3597" spans="1:6" x14ac:dyDescent="0.3">
      <c r="A3597" t="s">
        <v>3632</v>
      </c>
      <c r="B3597" t="s">
        <v>53</v>
      </c>
      <c r="C3597">
        <v>771000</v>
      </c>
      <c r="D3597">
        <v>164610.9</v>
      </c>
      <c r="E3597">
        <v>6.8500000000000005E-2</v>
      </c>
      <c r="F3597">
        <v>7.5899999999999995E-2</v>
      </c>
    </row>
    <row r="3598" spans="1:6" x14ac:dyDescent="0.3">
      <c r="A3598" t="s">
        <v>3633</v>
      </c>
      <c r="B3598" t="s">
        <v>92</v>
      </c>
      <c r="C3598">
        <v>748000</v>
      </c>
      <c r="D3598">
        <v>857.5</v>
      </c>
      <c r="E3598">
        <v>4.1599999999999998E-2</v>
      </c>
      <c r="F3598">
        <v>7.5899999999999995E-2</v>
      </c>
    </row>
    <row r="3599" spans="1:6" x14ac:dyDescent="0.3">
      <c r="A3599" t="s">
        <v>3634</v>
      </c>
      <c r="B3599" t="s">
        <v>81</v>
      </c>
      <c r="C3599">
        <v>856000</v>
      </c>
      <c r="D3599">
        <v>51932.800000000003</v>
      </c>
      <c r="E3599">
        <v>1.9900000000000001E-2</v>
      </c>
      <c r="F3599">
        <v>8.3299999999999999E-2</v>
      </c>
    </row>
    <row r="3600" spans="1:6" x14ac:dyDescent="0.3">
      <c r="A3600" t="s">
        <v>3635</v>
      </c>
      <c r="B3600" t="s">
        <v>28</v>
      </c>
      <c r="C3600">
        <v>1060000</v>
      </c>
      <c r="D3600">
        <v>1946408.8</v>
      </c>
      <c r="E3600">
        <v>1.4E-3</v>
      </c>
      <c r="F3600">
        <v>0.3805</v>
      </c>
    </row>
    <row r="3601" spans="1:6" x14ac:dyDescent="0.3">
      <c r="A3601" t="s">
        <v>3636</v>
      </c>
      <c r="B3601" t="s">
        <v>26</v>
      </c>
      <c r="C3601">
        <v>840000</v>
      </c>
      <c r="D3601">
        <v>70745.8</v>
      </c>
      <c r="E3601">
        <v>2.07E-2</v>
      </c>
      <c r="F3601">
        <v>7.5700000000000003E-2</v>
      </c>
    </row>
    <row r="3602" spans="1:6" x14ac:dyDescent="0.3">
      <c r="A3602" t="s">
        <v>3637</v>
      </c>
      <c r="B3602" t="s">
        <v>26</v>
      </c>
      <c r="C3602">
        <v>848000</v>
      </c>
      <c r="D3602">
        <v>34231.800000000003</v>
      </c>
      <c r="E3602">
        <v>5.4199999999999998E-2</v>
      </c>
      <c r="F3602">
        <v>9.5100000000000004E-2</v>
      </c>
    </row>
    <row r="3603" spans="1:6" x14ac:dyDescent="0.3">
      <c r="A3603" t="s">
        <v>3638</v>
      </c>
      <c r="B3603" t="s">
        <v>74</v>
      </c>
      <c r="C3603">
        <v>761000</v>
      </c>
      <c r="D3603">
        <v>37612.6</v>
      </c>
      <c r="E3603">
        <v>6.2899999999999998E-2</v>
      </c>
      <c r="F3603">
        <v>9.5100000000000004E-2</v>
      </c>
    </row>
    <row r="3604" spans="1:6" x14ac:dyDescent="0.3">
      <c r="A3604" t="s">
        <v>3639</v>
      </c>
      <c r="B3604" t="s">
        <v>53</v>
      </c>
      <c r="C3604">
        <v>1010000</v>
      </c>
      <c r="D3604">
        <v>85420.1</v>
      </c>
      <c r="E3604">
        <v>6.9099999999999995E-2</v>
      </c>
      <c r="F3604">
        <v>7.5899999999999995E-2</v>
      </c>
    </row>
    <row r="3605" spans="1:6" x14ac:dyDescent="0.3">
      <c r="A3605" t="s">
        <v>3640</v>
      </c>
      <c r="B3605" t="s">
        <v>214</v>
      </c>
      <c r="C3605">
        <v>778000</v>
      </c>
      <c r="D3605">
        <v>34304.9</v>
      </c>
      <c r="E3605">
        <v>3.4299999999999997E-2</v>
      </c>
      <c r="F3605">
        <v>5.4600000000000003E-2</v>
      </c>
    </row>
    <row r="3606" spans="1:6" x14ac:dyDescent="0.3">
      <c r="A3606" t="s">
        <v>3641</v>
      </c>
      <c r="B3606" t="s">
        <v>26</v>
      </c>
      <c r="C3606">
        <v>1060000</v>
      </c>
      <c r="D3606">
        <v>558939.5</v>
      </c>
      <c r="E3606">
        <v>4.48E-2</v>
      </c>
      <c r="F3606">
        <v>4.0899999999999999E-2</v>
      </c>
    </row>
    <row r="3607" spans="1:6" x14ac:dyDescent="0.3">
      <c r="A3607" t="s">
        <v>3642</v>
      </c>
      <c r="B3607" t="s">
        <v>21</v>
      </c>
      <c r="C3607">
        <v>1010000</v>
      </c>
      <c r="D3607">
        <v>347</v>
      </c>
      <c r="E3607">
        <v>3.6600000000000001E-2</v>
      </c>
      <c r="F3607">
        <v>5.0999999999999997E-2</v>
      </c>
    </row>
    <row r="3608" spans="1:6" x14ac:dyDescent="0.3">
      <c r="A3608" t="s">
        <v>3643</v>
      </c>
      <c r="B3608" t="s">
        <v>88</v>
      </c>
      <c r="C3608">
        <v>813000</v>
      </c>
      <c r="D3608">
        <v>422770</v>
      </c>
      <c r="E3608">
        <v>1.1900000000000001E-2</v>
      </c>
      <c r="F3608">
        <v>7.3599999999999999E-2</v>
      </c>
    </row>
    <row r="3609" spans="1:6" x14ac:dyDescent="0.3">
      <c r="A3609" t="s">
        <v>3644</v>
      </c>
      <c r="B3609" t="s">
        <v>88</v>
      </c>
      <c r="C3609">
        <v>992000</v>
      </c>
      <c r="D3609">
        <v>407.5</v>
      </c>
      <c r="E3609">
        <v>3.3300000000000003E-2</v>
      </c>
      <c r="F3609">
        <v>7.5899999999999995E-2</v>
      </c>
    </row>
    <row r="3610" spans="1:6" x14ac:dyDescent="0.3">
      <c r="A3610" t="s">
        <v>3645</v>
      </c>
      <c r="B3610" t="s">
        <v>287</v>
      </c>
      <c r="C3610">
        <v>757000</v>
      </c>
      <c r="D3610">
        <v>33663.5</v>
      </c>
      <c r="E3610">
        <v>2.6700000000000002E-2</v>
      </c>
      <c r="F3610">
        <v>5.0999999999999997E-2</v>
      </c>
    </row>
    <row r="3611" spans="1:6" x14ac:dyDescent="0.3">
      <c r="A3611" t="s">
        <v>3646</v>
      </c>
      <c r="B3611" t="s">
        <v>92</v>
      </c>
      <c r="C3611">
        <v>763000</v>
      </c>
      <c r="D3611">
        <v>9594</v>
      </c>
      <c r="F3611">
        <v>9.5100000000000004E-2</v>
      </c>
    </row>
    <row r="3612" spans="1:6" x14ac:dyDescent="0.3">
      <c r="A3612" t="s">
        <v>3647</v>
      </c>
      <c r="B3612" t="s">
        <v>88</v>
      </c>
      <c r="C3612">
        <v>1090000</v>
      </c>
      <c r="D3612">
        <v>1289.3</v>
      </c>
      <c r="E3612">
        <v>4.9599999999999998E-2</v>
      </c>
      <c r="F3612">
        <v>9.3799999999999994E-2</v>
      </c>
    </row>
    <row r="3613" spans="1:6" x14ac:dyDescent="0.3">
      <c r="A3613" t="s">
        <v>3648</v>
      </c>
      <c r="B3613" t="s">
        <v>88</v>
      </c>
      <c r="C3613">
        <v>851000</v>
      </c>
      <c r="D3613">
        <v>9256.7999999999993</v>
      </c>
      <c r="E3613">
        <v>1.38E-2</v>
      </c>
      <c r="F3613">
        <v>9.4899999999999998E-2</v>
      </c>
    </row>
    <row r="3614" spans="1:6" x14ac:dyDescent="0.3">
      <c r="A3614" t="s">
        <v>3649</v>
      </c>
      <c r="B3614" t="s">
        <v>62</v>
      </c>
      <c r="C3614">
        <v>757000</v>
      </c>
      <c r="D3614">
        <v>1428.7</v>
      </c>
      <c r="E3614">
        <v>2.4E-2</v>
      </c>
      <c r="F3614">
        <v>7.5700000000000003E-2</v>
      </c>
    </row>
    <row r="3615" spans="1:6" x14ac:dyDescent="0.3">
      <c r="A3615" t="s">
        <v>3650</v>
      </c>
      <c r="B3615" t="s">
        <v>26</v>
      </c>
      <c r="C3615">
        <v>734000</v>
      </c>
      <c r="D3615">
        <v>1440.5</v>
      </c>
      <c r="E3615">
        <v>1.04E-2</v>
      </c>
      <c r="F3615">
        <v>8.2199999999999995E-2</v>
      </c>
    </row>
    <row r="3616" spans="1:6" x14ac:dyDescent="0.3">
      <c r="A3616" t="s">
        <v>3651</v>
      </c>
      <c r="B3616" t="s">
        <v>92</v>
      </c>
      <c r="C3616">
        <v>746000</v>
      </c>
      <c r="D3616">
        <v>2130.1999999999998</v>
      </c>
      <c r="E3616">
        <v>8.3999999999999995E-3</v>
      </c>
      <c r="F3616">
        <v>0.10150000000000001</v>
      </c>
    </row>
    <row r="3617" spans="1:6" x14ac:dyDescent="0.3">
      <c r="A3617" t="s">
        <v>3652</v>
      </c>
      <c r="B3617" t="s">
        <v>26</v>
      </c>
      <c r="C3617">
        <v>766000</v>
      </c>
      <c r="D3617">
        <v>187</v>
      </c>
      <c r="E3617">
        <v>9.7000000000000003E-3</v>
      </c>
      <c r="F3617">
        <v>0.17130000000000001</v>
      </c>
    </row>
    <row r="3618" spans="1:6" x14ac:dyDescent="0.3">
      <c r="A3618" t="s">
        <v>3653</v>
      </c>
      <c r="B3618" t="s">
        <v>92</v>
      </c>
      <c r="C3618">
        <v>763000</v>
      </c>
      <c r="D3618">
        <v>3439.8</v>
      </c>
      <c r="E3618">
        <v>2.86E-2</v>
      </c>
      <c r="F3618">
        <v>5.0999999999999997E-2</v>
      </c>
    </row>
    <row r="3619" spans="1:6" x14ac:dyDescent="0.3">
      <c r="A3619" t="s">
        <v>3654</v>
      </c>
      <c r="B3619" t="s">
        <v>92</v>
      </c>
      <c r="C3619">
        <v>836000</v>
      </c>
      <c r="D3619">
        <v>12262.7</v>
      </c>
      <c r="E3619">
        <v>3.8699999999999998E-2</v>
      </c>
      <c r="F3619">
        <v>7.5899999999999995E-2</v>
      </c>
    </row>
    <row r="3620" spans="1:6" x14ac:dyDescent="0.3">
      <c r="A3620" t="s">
        <v>3655</v>
      </c>
      <c r="B3620" t="s">
        <v>41</v>
      </c>
      <c r="C3620">
        <v>1320000</v>
      </c>
      <c r="D3620">
        <v>5269.1</v>
      </c>
      <c r="F3620">
        <v>9.3799999999999994E-2</v>
      </c>
    </row>
    <row r="3621" spans="1:6" x14ac:dyDescent="0.3">
      <c r="A3621" t="s">
        <v>3656</v>
      </c>
      <c r="B3621" t="s">
        <v>26</v>
      </c>
      <c r="C3621">
        <v>809000</v>
      </c>
      <c r="D3621">
        <v>24891</v>
      </c>
      <c r="E3621">
        <v>2.7E-2</v>
      </c>
      <c r="F3621">
        <v>5.8400000000000001E-2</v>
      </c>
    </row>
    <row r="3622" spans="1:6" x14ac:dyDescent="0.3">
      <c r="A3622" t="s">
        <v>3657</v>
      </c>
      <c r="B3622" t="s">
        <v>35</v>
      </c>
      <c r="C3622">
        <v>837000</v>
      </c>
      <c r="D3622">
        <v>21585</v>
      </c>
      <c r="E3622">
        <v>2.2499999999999999E-2</v>
      </c>
      <c r="F3622">
        <v>7.5899999999999995E-2</v>
      </c>
    </row>
    <row r="3623" spans="1:6" x14ac:dyDescent="0.3">
      <c r="A3623" t="s">
        <v>3658</v>
      </c>
      <c r="B3623" t="s">
        <v>92</v>
      </c>
      <c r="C3623">
        <v>754000</v>
      </c>
      <c r="D3623">
        <v>5813.7</v>
      </c>
      <c r="E3623">
        <v>8.6999999999999994E-3</v>
      </c>
      <c r="F3623">
        <v>6.54E-2</v>
      </c>
    </row>
    <row r="3624" spans="1:6" x14ac:dyDescent="0.3">
      <c r="A3624" t="s">
        <v>3659</v>
      </c>
      <c r="B3624" t="s">
        <v>26</v>
      </c>
      <c r="C3624">
        <v>1750000</v>
      </c>
      <c r="D3624">
        <v>490797.8</v>
      </c>
      <c r="E3624">
        <v>4.2299999999999997E-2</v>
      </c>
      <c r="F3624">
        <v>4.0899999999999999E-2</v>
      </c>
    </row>
    <row r="3625" spans="1:6" x14ac:dyDescent="0.3">
      <c r="A3625" t="s">
        <v>3660</v>
      </c>
      <c r="B3625" t="s">
        <v>26</v>
      </c>
      <c r="C3625">
        <v>1270000</v>
      </c>
      <c r="D3625">
        <v>56436</v>
      </c>
      <c r="E3625">
        <v>4.2000000000000003E-2</v>
      </c>
      <c r="F3625">
        <v>7.5899999999999995E-2</v>
      </c>
    </row>
    <row r="3626" spans="1:6" x14ac:dyDescent="0.3">
      <c r="A3626" t="s">
        <v>3661</v>
      </c>
      <c r="B3626" t="s">
        <v>287</v>
      </c>
      <c r="C3626">
        <v>808000</v>
      </c>
      <c r="D3626">
        <v>9271.9</v>
      </c>
      <c r="E3626">
        <v>4.2599999999999999E-2</v>
      </c>
      <c r="F3626">
        <v>7.5899999999999995E-2</v>
      </c>
    </row>
    <row r="3627" spans="1:6" x14ac:dyDescent="0.3">
      <c r="A3627" t="s">
        <v>3662</v>
      </c>
      <c r="B3627" t="s">
        <v>81</v>
      </c>
      <c r="C3627">
        <v>800000</v>
      </c>
      <c r="D3627">
        <v>99010.8</v>
      </c>
      <c r="E3627">
        <v>2.6100000000000002E-2</v>
      </c>
      <c r="F3627">
        <v>7.5899999999999995E-2</v>
      </c>
    </row>
    <row r="3628" spans="1:6" x14ac:dyDescent="0.3">
      <c r="A3628" t="s">
        <v>3663</v>
      </c>
      <c r="B3628" t="s">
        <v>26</v>
      </c>
      <c r="C3628">
        <v>1920000</v>
      </c>
      <c r="D3628">
        <v>1302238.2</v>
      </c>
      <c r="E3628">
        <v>5.3100000000000001E-2</v>
      </c>
      <c r="F3628">
        <v>4.0899999999999999E-2</v>
      </c>
    </row>
    <row r="3629" spans="1:6" x14ac:dyDescent="0.3">
      <c r="A3629" t="s">
        <v>3664</v>
      </c>
      <c r="B3629" t="s">
        <v>30</v>
      </c>
      <c r="C3629">
        <v>875000</v>
      </c>
      <c r="D3629">
        <v>92545.5</v>
      </c>
      <c r="E3629">
        <v>1.8499999999999999E-2</v>
      </c>
      <c r="F3629">
        <v>4.6199999999999998E-2</v>
      </c>
    </row>
    <row r="3630" spans="1:6" x14ac:dyDescent="0.3">
      <c r="A3630" t="s">
        <v>3665</v>
      </c>
      <c r="B3630" t="s">
        <v>88</v>
      </c>
      <c r="C3630">
        <v>989000</v>
      </c>
      <c r="D3630">
        <v>26277.5</v>
      </c>
      <c r="E3630">
        <v>4.7399999999999998E-2</v>
      </c>
      <c r="F3630">
        <v>5.0999999999999997E-2</v>
      </c>
    </row>
    <row r="3631" spans="1:6" x14ac:dyDescent="0.3">
      <c r="A3631" t="s">
        <v>3666</v>
      </c>
      <c r="B3631" t="s">
        <v>26</v>
      </c>
      <c r="C3631">
        <v>1140000</v>
      </c>
      <c r="D3631">
        <v>86106.6</v>
      </c>
      <c r="E3631">
        <v>3.09E-2</v>
      </c>
      <c r="F3631">
        <v>5.0999999999999997E-2</v>
      </c>
    </row>
    <row r="3632" spans="1:6" x14ac:dyDescent="0.3">
      <c r="A3632" t="s">
        <v>3667</v>
      </c>
      <c r="B3632" t="s">
        <v>24</v>
      </c>
      <c r="C3632">
        <v>737000</v>
      </c>
      <c r="D3632">
        <v>941.6</v>
      </c>
      <c r="E3632">
        <v>2.63E-2</v>
      </c>
      <c r="F3632">
        <v>7.5899999999999995E-2</v>
      </c>
    </row>
    <row r="3633" spans="1:6" x14ac:dyDescent="0.3">
      <c r="A3633" t="s">
        <v>3668</v>
      </c>
      <c r="B3633" t="s">
        <v>26</v>
      </c>
      <c r="C3633">
        <v>937000</v>
      </c>
      <c r="D3633">
        <v>229707.7</v>
      </c>
      <c r="E3633">
        <v>3.5799999999999998E-2</v>
      </c>
      <c r="F3633">
        <v>7.5899999999999995E-2</v>
      </c>
    </row>
    <row r="3634" spans="1:6" x14ac:dyDescent="0.3">
      <c r="A3634" t="s">
        <v>3669</v>
      </c>
      <c r="B3634" t="s">
        <v>24</v>
      </c>
      <c r="C3634">
        <v>847000</v>
      </c>
      <c r="D3634">
        <v>382050.9</v>
      </c>
      <c r="E3634">
        <v>1.1900000000000001E-2</v>
      </c>
      <c r="F3634">
        <v>5.8400000000000001E-2</v>
      </c>
    </row>
    <row r="3635" spans="1:6" x14ac:dyDescent="0.3">
      <c r="A3635" t="s">
        <v>3670</v>
      </c>
      <c r="B3635" t="s">
        <v>24</v>
      </c>
      <c r="C3635">
        <v>760000</v>
      </c>
      <c r="D3635">
        <v>12446.8</v>
      </c>
      <c r="E3635">
        <v>4.5100000000000001E-2</v>
      </c>
      <c r="F3635">
        <v>7.5899999999999995E-2</v>
      </c>
    </row>
    <row r="3636" spans="1:6" x14ac:dyDescent="0.3">
      <c r="A3636" t="s">
        <v>3671</v>
      </c>
      <c r="B3636" t="s">
        <v>62</v>
      </c>
      <c r="C3636">
        <v>1010000</v>
      </c>
      <c r="D3636">
        <v>262786.59999999998</v>
      </c>
      <c r="E3636">
        <v>4.1200000000000001E-2</v>
      </c>
      <c r="F3636">
        <v>4.0899999999999999E-2</v>
      </c>
    </row>
    <row r="3637" spans="1:6" x14ac:dyDescent="0.3">
      <c r="A3637" t="s">
        <v>3672</v>
      </c>
      <c r="B3637" t="s">
        <v>53</v>
      </c>
      <c r="C3637">
        <v>715000</v>
      </c>
      <c r="D3637">
        <v>1509.7</v>
      </c>
      <c r="E3637">
        <v>1.6799999999999999E-2</v>
      </c>
      <c r="F3637">
        <v>5.8500000000000003E-2</v>
      </c>
    </row>
    <row r="3638" spans="1:6" x14ac:dyDescent="0.3">
      <c r="A3638" t="s">
        <v>3673</v>
      </c>
      <c r="B3638" t="s">
        <v>53</v>
      </c>
      <c r="C3638">
        <v>1080000</v>
      </c>
      <c r="D3638">
        <v>3637.7</v>
      </c>
      <c r="E3638">
        <v>2.4799999999999999E-2</v>
      </c>
      <c r="F3638">
        <v>9.5100000000000004E-2</v>
      </c>
    </row>
    <row r="3639" spans="1:6" x14ac:dyDescent="0.3">
      <c r="A3639" t="s">
        <v>3674</v>
      </c>
      <c r="B3639" t="s">
        <v>26</v>
      </c>
      <c r="C3639">
        <v>1190000</v>
      </c>
      <c r="D3639">
        <v>3004279.2</v>
      </c>
      <c r="E3639">
        <v>2.01E-2</v>
      </c>
      <c r="F3639">
        <v>5.8500000000000003E-2</v>
      </c>
    </row>
    <row r="3640" spans="1:6" x14ac:dyDescent="0.3">
      <c r="A3640" t="s">
        <v>3675</v>
      </c>
      <c r="B3640" t="s">
        <v>74</v>
      </c>
      <c r="C3640">
        <v>343000</v>
      </c>
      <c r="D3640">
        <v>16484.900000000001</v>
      </c>
      <c r="E3640">
        <v>3.61E-2</v>
      </c>
      <c r="F3640">
        <v>8.4500000000000006E-2</v>
      </c>
    </row>
    <row r="3641" spans="1:6" x14ac:dyDescent="0.3">
      <c r="A3641" t="s">
        <v>3676</v>
      </c>
      <c r="B3641" t="s">
        <v>26</v>
      </c>
      <c r="C3641">
        <v>778000</v>
      </c>
      <c r="D3641">
        <v>220525.2</v>
      </c>
      <c r="E3641">
        <v>7.6799999999999993E-2</v>
      </c>
      <c r="F3641">
        <v>7.5899999999999995E-2</v>
      </c>
    </row>
    <row r="3642" spans="1:6" x14ac:dyDescent="0.3">
      <c r="A3642" t="s">
        <v>3677</v>
      </c>
      <c r="B3642" t="s">
        <v>26</v>
      </c>
      <c r="C3642">
        <v>1020000</v>
      </c>
      <c r="D3642">
        <v>24141.200000000001</v>
      </c>
      <c r="E3642">
        <v>1.44E-2</v>
      </c>
      <c r="F3642">
        <v>5.7599999999999998E-2</v>
      </c>
    </row>
    <row r="3643" spans="1:6" x14ac:dyDescent="0.3">
      <c r="A3643" t="s">
        <v>3678</v>
      </c>
      <c r="B3643" t="s">
        <v>88</v>
      </c>
      <c r="C3643">
        <v>945000</v>
      </c>
      <c r="D3643">
        <v>660.1</v>
      </c>
      <c r="E3643">
        <v>1.9400000000000001E-2</v>
      </c>
      <c r="F3643">
        <v>0.1053</v>
      </c>
    </row>
    <row r="3644" spans="1:6" x14ac:dyDescent="0.3">
      <c r="A3644" t="s">
        <v>3679</v>
      </c>
      <c r="B3644" t="s">
        <v>26</v>
      </c>
      <c r="C3644">
        <v>812000</v>
      </c>
      <c r="D3644">
        <v>138037.1</v>
      </c>
      <c r="E3644">
        <v>4.0899999999999999E-2</v>
      </c>
      <c r="F3644">
        <v>9.5100000000000004E-2</v>
      </c>
    </row>
    <row r="3645" spans="1:6" x14ac:dyDescent="0.3">
      <c r="A3645" t="s">
        <v>3680</v>
      </c>
      <c r="B3645" t="s">
        <v>24</v>
      </c>
      <c r="C3645">
        <v>815000</v>
      </c>
      <c r="D3645">
        <v>3134.8</v>
      </c>
      <c r="E3645">
        <v>3.6600000000000001E-2</v>
      </c>
      <c r="F3645">
        <v>9.3799999999999994E-2</v>
      </c>
    </row>
    <row r="3646" spans="1:6" x14ac:dyDescent="0.3">
      <c r="A3646" t="s">
        <v>3681</v>
      </c>
      <c r="B3646" t="s">
        <v>74</v>
      </c>
      <c r="C3646">
        <v>907000</v>
      </c>
      <c r="D3646">
        <v>3139.3</v>
      </c>
      <c r="E3646">
        <v>1.12E-2</v>
      </c>
      <c r="F3646">
        <v>7.3599999999999999E-2</v>
      </c>
    </row>
    <row r="3647" spans="1:6" x14ac:dyDescent="0.3">
      <c r="A3647" t="s">
        <v>3682</v>
      </c>
      <c r="B3647" t="s">
        <v>26</v>
      </c>
      <c r="C3647">
        <v>769000</v>
      </c>
      <c r="D3647">
        <v>9362.4</v>
      </c>
      <c r="E3647">
        <v>4.1500000000000002E-2</v>
      </c>
      <c r="F3647">
        <v>9.5100000000000004E-2</v>
      </c>
    </row>
    <row r="3648" spans="1:6" x14ac:dyDescent="0.3">
      <c r="A3648" t="s">
        <v>3683</v>
      </c>
      <c r="B3648" t="s">
        <v>88</v>
      </c>
      <c r="C3648">
        <v>773000</v>
      </c>
      <c r="D3648">
        <v>4773.3</v>
      </c>
      <c r="E3648">
        <v>0.1226</v>
      </c>
      <c r="F3648">
        <v>9.3799999999999994E-2</v>
      </c>
    </row>
    <row r="3649" spans="1:6" x14ac:dyDescent="0.3">
      <c r="A3649" t="s">
        <v>3684</v>
      </c>
      <c r="B3649" t="s">
        <v>24</v>
      </c>
      <c r="C3649">
        <v>923000</v>
      </c>
      <c r="D3649">
        <v>5644</v>
      </c>
      <c r="E3649">
        <v>8.9999999999999993E-3</v>
      </c>
      <c r="F3649">
        <v>8.1100000000000005E-2</v>
      </c>
    </row>
    <row r="3650" spans="1:6" x14ac:dyDescent="0.3">
      <c r="A3650" t="s">
        <v>3685</v>
      </c>
      <c r="B3650" t="s">
        <v>30</v>
      </c>
      <c r="C3650">
        <v>1220000</v>
      </c>
      <c r="D3650">
        <v>704858.1</v>
      </c>
      <c r="E3650">
        <v>5.4199999999999998E-2</v>
      </c>
      <c r="F3650">
        <v>4.0899999999999999E-2</v>
      </c>
    </row>
    <row r="3651" spans="1:6" x14ac:dyDescent="0.3">
      <c r="A3651" t="s">
        <v>3686</v>
      </c>
      <c r="B3651" t="s">
        <v>41</v>
      </c>
      <c r="C3651">
        <v>1000000</v>
      </c>
      <c r="D3651">
        <v>32062.400000000001</v>
      </c>
      <c r="E3651">
        <v>1.2E-2</v>
      </c>
      <c r="F3651">
        <v>6.5699999999999995E-2</v>
      </c>
    </row>
    <row r="3652" spans="1:6" x14ac:dyDescent="0.3">
      <c r="A3652" t="s">
        <v>3687</v>
      </c>
      <c r="B3652" t="s">
        <v>74</v>
      </c>
      <c r="C3652">
        <v>801000</v>
      </c>
      <c r="D3652">
        <v>5743.3</v>
      </c>
      <c r="E3652">
        <v>5.21E-2</v>
      </c>
      <c r="F3652">
        <v>7.5899999999999995E-2</v>
      </c>
    </row>
    <row r="3653" spans="1:6" x14ac:dyDescent="0.3">
      <c r="A3653" t="s">
        <v>3688</v>
      </c>
      <c r="B3653" t="s">
        <v>50</v>
      </c>
      <c r="C3653">
        <v>761000</v>
      </c>
      <c r="D3653">
        <v>16931.7</v>
      </c>
      <c r="E3653">
        <v>6.8999999999999999E-3</v>
      </c>
      <c r="F3653">
        <v>8.2199999999999995E-2</v>
      </c>
    </row>
    <row r="3654" spans="1:6" x14ac:dyDescent="0.3">
      <c r="A3654" t="s">
        <v>3689</v>
      </c>
      <c r="B3654" t="s">
        <v>26</v>
      </c>
      <c r="C3654">
        <v>923000</v>
      </c>
      <c r="D3654">
        <v>165393.5</v>
      </c>
      <c r="E3654">
        <v>1.7899999999999999E-2</v>
      </c>
      <c r="F3654">
        <v>4.8800000000000003E-2</v>
      </c>
    </row>
    <row r="3655" spans="1:6" x14ac:dyDescent="0.3">
      <c r="A3655" t="s">
        <v>3690</v>
      </c>
      <c r="B3655" t="s">
        <v>74</v>
      </c>
      <c r="C3655">
        <v>735000</v>
      </c>
      <c r="D3655">
        <v>2008</v>
      </c>
      <c r="E3655">
        <v>8.9499999999999996E-2</v>
      </c>
      <c r="F3655">
        <v>9.3799999999999994E-2</v>
      </c>
    </row>
    <row r="3656" spans="1:6" x14ac:dyDescent="0.3">
      <c r="A3656" t="s">
        <v>3691</v>
      </c>
      <c r="B3656" t="s">
        <v>53</v>
      </c>
      <c r="C3656">
        <v>1220000</v>
      </c>
      <c r="D3656">
        <v>551155.6</v>
      </c>
      <c r="E3656">
        <v>5.1200000000000002E-2</v>
      </c>
      <c r="F3656">
        <v>6.7199999999999996E-2</v>
      </c>
    </row>
    <row r="3657" spans="1:6" x14ac:dyDescent="0.3">
      <c r="A3657" t="s">
        <v>3692</v>
      </c>
      <c r="B3657" t="s">
        <v>26</v>
      </c>
      <c r="C3657">
        <v>853000</v>
      </c>
      <c r="D3657">
        <v>17019.599999999999</v>
      </c>
      <c r="E3657">
        <v>5.8700000000000002E-2</v>
      </c>
      <c r="F3657">
        <v>9.5100000000000004E-2</v>
      </c>
    </row>
    <row r="3658" spans="1:6" x14ac:dyDescent="0.3">
      <c r="A3658" t="s">
        <v>3693</v>
      </c>
      <c r="B3658" t="s">
        <v>30</v>
      </c>
      <c r="C3658">
        <v>888000</v>
      </c>
      <c r="D3658">
        <v>173103.7</v>
      </c>
      <c r="E3658">
        <v>0.14879999999999999</v>
      </c>
      <c r="F3658">
        <v>0.71930000000000005</v>
      </c>
    </row>
    <row r="3659" spans="1:6" x14ac:dyDescent="0.3">
      <c r="A3659" t="s">
        <v>3694</v>
      </c>
      <c r="B3659" t="s">
        <v>41</v>
      </c>
      <c r="C3659">
        <v>871000</v>
      </c>
      <c r="D3659">
        <v>107049.1</v>
      </c>
      <c r="E3659">
        <v>2.1499999999999998E-2</v>
      </c>
      <c r="F3659">
        <v>7.5899999999999995E-2</v>
      </c>
    </row>
    <row r="3660" spans="1:6" x14ac:dyDescent="0.3">
      <c r="A3660" t="s">
        <v>3695</v>
      </c>
      <c r="B3660" t="s">
        <v>24</v>
      </c>
      <c r="C3660">
        <v>798000</v>
      </c>
      <c r="D3660">
        <v>8434.4</v>
      </c>
      <c r="E3660">
        <v>3.2599999999999997E-2</v>
      </c>
      <c r="F3660">
        <v>9.3799999999999994E-2</v>
      </c>
    </row>
    <row r="3661" spans="1:6" x14ac:dyDescent="0.3">
      <c r="A3661" t="s">
        <v>3696</v>
      </c>
      <c r="B3661" t="s">
        <v>26</v>
      </c>
      <c r="C3661">
        <v>1150000</v>
      </c>
      <c r="D3661">
        <v>28438.400000000001</v>
      </c>
      <c r="E3661">
        <v>1.9699999999999999E-2</v>
      </c>
      <c r="F3661">
        <v>7.5700000000000003E-2</v>
      </c>
    </row>
    <row r="3662" spans="1:6" x14ac:dyDescent="0.3">
      <c r="A3662" t="s">
        <v>3697</v>
      </c>
      <c r="B3662" t="s">
        <v>287</v>
      </c>
      <c r="C3662">
        <v>1040000</v>
      </c>
      <c r="D3662">
        <v>173292.1</v>
      </c>
      <c r="E3662">
        <v>4.65E-2</v>
      </c>
      <c r="F3662">
        <v>4.0899999999999999E-2</v>
      </c>
    </row>
    <row r="3663" spans="1:6" x14ac:dyDescent="0.3">
      <c r="A3663" t="s">
        <v>3698</v>
      </c>
      <c r="B3663" t="s">
        <v>26</v>
      </c>
      <c r="C3663">
        <v>1070000</v>
      </c>
      <c r="D3663">
        <v>53456.5</v>
      </c>
      <c r="E3663">
        <v>3.0800000000000001E-2</v>
      </c>
      <c r="F3663">
        <v>7.5899999999999995E-2</v>
      </c>
    </row>
    <row r="3664" spans="1:6" x14ac:dyDescent="0.3">
      <c r="A3664" t="s">
        <v>3699</v>
      </c>
      <c r="B3664" t="s">
        <v>32</v>
      </c>
      <c r="C3664">
        <v>1260000</v>
      </c>
      <c r="D3664">
        <v>269467.3</v>
      </c>
      <c r="E3664">
        <v>4.6699999999999998E-2</v>
      </c>
      <c r="F3664">
        <v>7.5899999999999995E-2</v>
      </c>
    </row>
    <row r="3665" spans="1:6" x14ac:dyDescent="0.3">
      <c r="A3665" t="s">
        <v>3700</v>
      </c>
      <c r="B3665" t="s">
        <v>26</v>
      </c>
      <c r="C3665">
        <v>895000</v>
      </c>
      <c r="D3665">
        <v>106808.8</v>
      </c>
      <c r="E3665">
        <v>2.7000000000000001E-3</v>
      </c>
      <c r="F3665">
        <v>8.2199999999999995E-2</v>
      </c>
    </row>
    <row r="3666" spans="1:6" x14ac:dyDescent="0.3">
      <c r="A3666" t="s">
        <v>3701</v>
      </c>
      <c r="B3666" t="s">
        <v>24</v>
      </c>
      <c r="C3666">
        <v>751000</v>
      </c>
      <c r="D3666">
        <v>767950</v>
      </c>
      <c r="E3666">
        <v>3.49E-2</v>
      </c>
      <c r="F3666">
        <v>9.5100000000000004E-2</v>
      </c>
    </row>
    <row r="3667" spans="1:6" x14ac:dyDescent="0.3">
      <c r="A3667" t="s">
        <v>3702</v>
      </c>
      <c r="B3667" t="s">
        <v>26</v>
      </c>
      <c r="C3667">
        <v>1380000</v>
      </c>
      <c r="D3667">
        <v>60973.5</v>
      </c>
      <c r="F3667">
        <v>5.0999999999999997E-2</v>
      </c>
    </row>
    <row r="3668" spans="1:6" x14ac:dyDescent="0.3">
      <c r="A3668" t="s">
        <v>3703</v>
      </c>
      <c r="B3668" t="s">
        <v>26</v>
      </c>
      <c r="C3668">
        <v>718000</v>
      </c>
      <c r="D3668">
        <v>49545.3</v>
      </c>
      <c r="E3668">
        <v>7.51E-2</v>
      </c>
      <c r="F3668">
        <v>9.5100000000000004E-2</v>
      </c>
    </row>
    <row r="3669" spans="1:6" x14ac:dyDescent="0.3">
      <c r="A3669" t="s">
        <v>3704</v>
      </c>
      <c r="B3669" t="s">
        <v>26</v>
      </c>
      <c r="C3669">
        <v>844000</v>
      </c>
      <c r="D3669">
        <v>1773.3</v>
      </c>
      <c r="E3669">
        <v>9.9000000000000008E-3</v>
      </c>
      <c r="F3669">
        <v>0.14710000000000001</v>
      </c>
    </row>
    <row r="3670" spans="1:6" x14ac:dyDescent="0.3">
      <c r="A3670" t="s">
        <v>3705</v>
      </c>
      <c r="B3670" t="s">
        <v>32</v>
      </c>
      <c r="C3670">
        <v>932000</v>
      </c>
      <c r="D3670">
        <v>1145.5</v>
      </c>
      <c r="E3670">
        <v>1.47E-2</v>
      </c>
      <c r="F3670">
        <v>4.6199999999999998E-2</v>
      </c>
    </row>
    <row r="3671" spans="1:6" x14ac:dyDescent="0.3">
      <c r="A3671" t="s">
        <v>3706</v>
      </c>
      <c r="B3671" t="s">
        <v>24</v>
      </c>
      <c r="C3671">
        <v>2010000</v>
      </c>
      <c r="D3671">
        <v>18960.5</v>
      </c>
      <c r="E3671">
        <v>4.0800000000000003E-2</v>
      </c>
      <c r="F3671">
        <v>7.5899999999999995E-2</v>
      </c>
    </row>
    <row r="3672" spans="1:6" x14ac:dyDescent="0.3">
      <c r="A3672" t="s">
        <v>3707</v>
      </c>
      <c r="B3672" t="s">
        <v>50</v>
      </c>
      <c r="C3672">
        <v>745000</v>
      </c>
      <c r="D3672">
        <v>40933.5</v>
      </c>
      <c r="E3672">
        <v>1.4E-2</v>
      </c>
      <c r="F3672">
        <v>7.2599999999999998E-2</v>
      </c>
    </row>
    <row r="3673" spans="1:6" x14ac:dyDescent="0.3">
      <c r="A3673" t="s">
        <v>3708</v>
      </c>
      <c r="B3673" t="s">
        <v>26</v>
      </c>
      <c r="C3673">
        <v>753000</v>
      </c>
      <c r="D3673">
        <v>53952.2</v>
      </c>
      <c r="E3673">
        <v>4.7100000000000003E-2</v>
      </c>
      <c r="F3673">
        <v>7.5899999999999995E-2</v>
      </c>
    </row>
    <row r="3674" spans="1:6" x14ac:dyDescent="0.3">
      <c r="A3674" t="s">
        <v>3709</v>
      </c>
      <c r="B3674" t="s">
        <v>53</v>
      </c>
      <c r="C3674">
        <v>735000</v>
      </c>
      <c r="D3674">
        <v>16129.3</v>
      </c>
      <c r="E3674">
        <v>0.121</v>
      </c>
      <c r="F3674">
        <v>9.3799999999999994E-2</v>
      </c>
    </row>
    <row r="3675" spans="1:6" x14ac:dyDescent="0.3">
      <c r="A3675" t="s">
        <v>3710</v>
      </c>
      <c r="B3675" t="s">
        <v>26</v>
      </c>
      <c r="C3675">
        <v>1840000</v>
      </c>
      <c r="D3675">
        <v>1237336</v>
      </c>
      <c r="E3675">
        <v>2.5000000000000001E-3</v>
      </c>
      <c r="F3675">
        <v>8.2199999999999995E-2</v>
      </c>
    </row>
    <row r="3676" spans="1:6" x14ac:dyDescent="0.3">
      <c r="A3676" t="s">
        <v>3711</v>
      </c>
      <c r="B3676" t="s">
        <v>26</v>
      </c>
      <c r="C3676">
        <v>802000</v>
      </c>
      <c r="D3676">
        <v>2980.3</v>
      </c>
      <c r="F3676">
        <v>5.3800000000000001E-2</v>
      </c>
    </row>
    <row r="3677" spans="1:6" x14ac:dyDescent="0.3">
      <c r="A3677" t="s">
        <v>3712</v>
      </c>
      <c r="B3677" t="s">
        <v>88</v>
      </c>
      <c r="C3677">
        <v>717000</v>
      </c>
      <c r="D3677">
        <v>159898.20000000001</v>
      </c>
      <c r="E3677">
        <v>2.9499999999999998E-2</v>
      </c>
      <c r="F3677">
        <v>9.5100000000000004E-2</v>
      </c>
    </row>
    <row r="3678" spans="1:6" x14ac:dyDescent="0.3">
      <c r="A3678" t="s">
        <v>3713</v>
      </c>
      <c r="B3678" t="s">
        <v>92</v>
      </c>
      <c r="C3678">
        <v>790000</v>
      </c>
      <c r="D3678">
        <v>26863.7</v>
      </c>
      <c r="E3678">
        <v>3.3700000000000001E-2</v>
      </c>
      <c r="F3678">
        <v>7.5899999999999995E-2</v>
      </c>
    </row>
    <row r="3679" spans="1:6" x14ac:dyDescent="0.3">
      <c r="A3679" t="s">
        <v>3714</v>
      </c>
      <c r="B3679" t="s">
        <v>71</v>
      </c>
      <c r="C3679">
        <v>709000</v>
      </c>
      <c r="D3679">
        <v>11980.2</v>
      </c>
      <c r="E3679">
        <v>1.4800000000000001E-2</v>
      </c>
      <c r="F3679">
        <v>5.8500000000000003E-2</v>
      </c>
    </row>
    <row r="3680" spans="1:6" x14ac:dyDescent="0.3">
      <c r="A3680" t="s">
        <v>3715</v>
      </c>
      <c r="B3680" t="s">
        <v>24</v>
      </c>
      <c r="C3680">
        <v>792000</v>
      </c>
      <c r="D3680">
        <v>2765</v>
      </c>
      <c r="E3680">
        <v>5.57E-2</v>
      </c>
      <c r="F3680">
        <v>4.0899999999999999E-2</v>
      </c>
    </row>
    <row r="3681" spans="1:6" x14ac:dyDescent="0.3">
      <c r="A3681" t="s">
        <v>3716</v>
      </c>
      <c r="B3681" t="s">
        <v>41</v>
      </c>
      <c r="C3681">
        <v>831000</v>
      </c>
      <c r="D3681">
        <v>837.9</v>
      </c>
      <c r="F3681">
        <v>9.3799999999999994E-2</v>
      </c>
    </row>
    <row r="3682" spans="1:6" x14ac:dyDescent="0.3">
      <c r="A3682" t="s">
        <v>3717</v>
      </c>
      <c r="B3682" t="s">
        <v>88</v>
      </c>
      <c r="C3682">
        <v>1250000</v>
      </c>
      <c r="D3682">
        <v>1549.7</v>
      </c>
      <c r="E3682">
        <v>0.1124</v>
      </c>
      <c r="F3682">
        <v>9.3799999999999994E-2</v>
      </c>
    </row>
    <row r="3683" spans="1:6" x14ac:dyDescent="0.3">
      <c r="A3683" t="s">
        <v>3718</v>
      </c>
      <c r="B3683" t="s">
        <v>26</v>
      </c>
      <c r="C3683">
        <v>803000</v>
      </c>
      <c r="D3683">
        <v>5261.5</v>
      </c>
      <c r="E3683">
        <v>1.66E-2</v>
      </c>
      <c r="F3683">
        <v>0.18859999999999999</v>
      </c>
    </row>
    <row r="3684" spans="1:6" x14ac:dyDescent="0.3">
      <c r="A3684" t="s">
        <v>3719</v>
      </c>
      <c r="B3684" t="s">
        <v>71</v>
      </c>
      <c r="C3684">
        <v>780000</v>
      </c>
      <c r="D3684">
        <v>5019.2</v>
      </c>
      <c r="E3684">
        <v>2.4500000000000001E-2</v>
      </c>
      <c r="F3684">
        <v>9.5100000000000004E-2</v>
      </c>
    </row>
    <row r="3685" spans="1:6" x14ac:dyDescent="0.3">
      <c r="A3685" t="s">
        <v>3720</v>
      </c>
      <c r="B3685" t="s">
        <v>26</v>
      </c>
      <c r="C3685">
        <v>820000</v>
      </c>
      <c r="D3685">
        <v>46615.4</v>
      </c>
      <c r="E3685">
        <v>1.0800000000000001E-2</v>
      </c>
      <c r="F3685">
        <v>9.11E-2</v>
      </c>
    </row>
    <row r="3686" spans="1:6" x14ac:dyDescent="0.3">
      <c r="A3686" t="s">
        <v>3721</v>
      </c>
      <c r="B3686" t="s">
        <v>24</v>
      </c>
      <c r="C3686">
        <v>926000</v>
      </c>
      <c r="D3686">
        <v>13631.8</v>
      </c>
      <c r="E3686">
        <v>1.6400000000000001E-2</v>
      </c>
      <c r="F3686">
        <v>5.8500000000000003E-2</v>
      </c>
    </row>
    <row r="3687" spans="1:6" x14ac:dyDescent="0.3">
      <c r="A3687" t="s">
        <v>3722</v>
      </c>
      <c r="B3687" t="s">
        <v>62</v>
      </c>
      <c r="C3687">
        <v>712000</v>
      </c>
      <c r="D3687">
        <v>8163.7</v>
      </c>
      <c r="E3687">
        <v>1.78E-2</v>
      </c>
      <c r="F3687">
        <v>6.1600000000000002E-2</v>
      </c>
    </row>
    <row r="3688" spans="1:6" x14ac:dyDescent="0.3">
      <c r="A3688" t="s">
        <v>3723</v>
      </c>
      <c r="B3688" t="s">
        <v>74</v>
      </c>
      <c r="C3688">
        <v>852000</v>
      </c>
      <c r="D3688">
        <v>2898.9</v>
      </c>
      <c r="E3688">
        <v>4.8800000000000003E-2</v>
      </c>
      <c r="F3688">
        <v>9.3799999999999994E-2</v>
      </c>
    </row>
    <row r="3689" spans="1:6" x14ac:dyDescent="0.3">
      <c r="A3689" t="s">
        <v>3724</v>
      </c>
      <c r="B3689" t="s">
        <v>26</v>
      </c>
      <c r="C3689">
        <v>1020000</v>
      </c>
      <c r="D3689">
        <v>38286.199999999997</v>
      </c>
      <c r="E3689">
        <v>1.54E-2</v>
      </c>
      <c r="F3689">
        <v>0.22670000000000001</v>
      </c>
    </row>
    <row r="3690" spans="1:6" x14ac:dyDescent="0.3">
      <c r="A3690" t="s">
        <v>3725</v>
      </c>
      <c r="B3690" t="s">
        <v>214</v>
      </c>
      <c r="C3690">
        <v>758000</v>
      </c>
      <c r="D3690">
        <v>8109.3</v>
      </c>
      <c r="E3690">
        <v>1.8700000000000001E-2</v>
      </c>
      <c r="F3690">
        <v>0.1053</v>
      </c>
    </row>
    <row r="3691" spans="1:6" x14ac:dyDescent="0.3">
      <c r="A3691" t="s">
        <v>3726</v>
      </c>
      <c r="B3691" t="s">
        <v>92</v>
      </c>
      <c r="C3691">
        <v>823000</v>
      </c>
      <c r="D3691">
        <v>24867.8</v>
      </c>
      <c r="E3691">
        <v>1.3100000000000001E-2</v>
      </c>
      <c r="F3691">
        <v>6.54E-2</v>
      </c>
    </row>
    <row r="3692" spans="1:6" x14ac:dyDescent="0.3">
      <c r="A3692" t="s">
        <v>3727</v>
      </c>
      <c r="B3692" t="s">
        <v>26</v>
      </c>
      <c r="C3692">
        <v>764000</v>
      </c>
      <c r="D3692">
        <v>78152.5</v>
      </c>
      <c r="E3692">
        <v>2.46E-2</v>
      </c>
      <c r="F3692">
        <v>7.5899999999999995E-2</v>
      </c>
    </row>
    <row r="3693" spans="1:6" x14ac:dyDescent="0.3">
      <c r="A3693" t="s">
        <v>3728</v>
      </c>
      <c r="B3693" t="s">
        <v>26</v>
      </c>
      <c r="C3693">
        <v>723000</v>
      </c>
      <c r="D3693">
        <v>73247</v>
      </c>
      <c r="E3693">
        <v>2.63E-2</v>
      </c>
      <c r="F3693">
        <v>7.5899999999999995E-2</v>
      </c>
    </row>
    <row r="3694" spans="1:6" x14ac:dyDescent="0.3">
      <c r="A3694" t="s">
        <v>3729</v>
      </c>
      <c r="B3694" t="s">
        <v>30</v>
      </c>
      <c r="C3694">
        <v>796000</v>
      </c>
      <c r="D3694">
        <v>57852.6</v>
      </c>
      <c r="E3694">
        <v>2.7900000000000001E-2</v>
      </c>
      <c r="F3694">
        <v>7.5899999999999995E-2</v>
      </c>
    </row>
    <row r="3695" spans="1:6" x14ac:dyDescent="0.3">
      <c r="A3695" t="s">
        <v>3730</v>
      </c>
      <c r="B3695" t="s">
        <v>26</v>
      </c>
      <c r="C3695">
        <v>1090000</v>
      </c>
      <c r="D3695">
        <v>4809.2</v>
      </c>
      <c r="F3695">
        <v>4.0899999999999999E-2</v>
      </c>
    </row>
    <row r="3696" spans="1:6" x14ac:dyDescent="0.3">
      <c r="A3696" t="s">
        <v>3731</v>
      </c>
      <c r="B3696" t="s">
        <v>26</v>
      </c>
      <c r="C3696">
        <v>901000</v>
      </c>
      <c r="D3696">
        <v>1784</v>
      </c>
      <c r="E3696">
        <v>6.4000000000000003E-3</v>
      </c>
      <c r="F3696">
        <v>6.54E-2</v>
      </c>
    </row>
    <row r="3697" spans="1:6" x14ac:dyDescent="0.3">
      <c r="A3697" t="s">
        <v>3732</v>
      </c>
      <c r="B3697" t="s">
        <v>32</v>
      </c>
      <c r="C3697">
        <v>770000</v>
      </c>
      <c r="D3697">
        <v>25335.599999999999</v>
      </c>
      <c r="E3697">
        <v>6.1999999999999998E-3</v>
      </c>
      <c r="F3697">
        <v>0.1953</v>
      </c>
    </row>
    <row r="3698" spans="1:6" x14ac:dyDescent="0.3">
      <c r="A3698" t="s">
        <v>3733</v>
      </c>
      <c r="B3698" t="s">
        <v>26</v>
      </c>
      <c r="C3698">
        <v>886000</v>
      </c>
      <c r="D3698">
        <v>10105.1</v>
      </c>
      <c r="F3698">
        <v>5.1799999999999999E-2</v>
      </c>
    </row>
    <row r="3699" spans="1:6" x14ac:dyDescent="0.3">
      <c r="A3699" t="s">
        <v>3734</v>
      </c>
      <c r="B3699" t="s">
        <v>214</v>
      </c>
      <c r="C3699">
        <v>878000</v>
      </c>
      <c r="D3699">
        <v>4138.8</v>
      </c>
      <c r="E3699">
        <v>2.4899999999999999E-2</v>
      </c>
      <c r="F3699">
        <v>9.3799999999999994E-2</v>
      </c>
    </row>
    <row r="3700" spans="1:6" x14ac:dyDescent="0.3">
      <c r="A3700" t="s">
        <v>3735</v>
      </c>
      <c r="B3700" t="s">
        <v>41</v>
      </c>
      <c r="C3700">
        <v>908000</v>
      </c>
      <c r="D3700">
        <v>8995</v>
      </c>
      <c r="E3700">
        <v>1.4E-2</v>
      </c>
      <c r="F3700">
        <v>6.08E-2</v>
      </c>
    </row>
    <row r="3701" spans="1:6" x14ac:dyDescent="0.3">
      <c r="A3701" t="s">
        <v>3736</v>
      </c>
      <c r="B3701" t="s">
        <v>26</v>
      </c>
      <c r="C3701">
        <v>723000</v>
      </c>
      <c r="D3701">
        <v>1266.5999999999999</v>
      </c>
      <c r="E3701">
        <v>8.0000000000000002E-3</v>
      </c>
      <c r="F3701">
        <v>6.54E-2</v>
      </c>
    </row>
    <row r="3702" spans="1:6" x14ac:dyDescent="0.3">
      <c r="A3702" t="s">
        <v>3737</v>
      </c>
      <c r="B3702" t="s">
        <v>88</v>
      </c>
      <c r="C3702">
        <v>717000</v>
      </c>
      <c r="D3702">
        <v>556828.6</v>
      </c>
      <c r="E3702">
        <v>2.3599999999999999E-2</v>
      </c>
      <c r="F3702">
        <v>0.1067</v>
      </c>
    </row>
    <row r="3703" spans="1:6" x14ac:dyDescent="0.3">
      <c r="A3703" t="s">
        <v>3738</v>
      </c>
      <c r="B3703" t="s">
        <v>41</v>
      </c>
      <c r="C3703">
        <v>750000</v>
      </c>
      <c r="D3703">
        <v>834.8</v>
      </c>
      <c r="E3703">
        <v>2.5600000000000001E-2</v>
      </c>
      <c r="F3703">
        <v>9.5100000000000004E-2</v>
      </c>
    </row>
    <row r="3704" spans="1:6" x14ac:dyDescent="0.3">
      <c r="A3704" t="s">
        <v>3739</v>
      </c>
      <c r="B3704" t="s">
        <v>88</v>
      </c>
      <c r="C3704">
        <v>966000</v>
      </c>
      <c r="D3704">
        <v>23373</v>
      </c>
      <c r="E3704">
        <v>7.1000000000000004E-3</v>
      </c>
      <c r="F3704">
        <v>0.1027</v>
      </c>
    </row>
    <row r="3705" spans="1:6" x14ac:dyDescent="0.3">
      <c r="A3705" t="s">
        <v>3740</v>
      </c>
      <c r="B3705" t="s">
        <v>26</v>
      </c>
      <c r="C3705">
        <v>785000</v>
      </c>
      <c r="D3705">
        <v>5785.2</v>
      </c>
      <c r="E3705">
        <v>2.76E-2</v>
      </c>
      <c r="F3705">
        <v>5.3800000000000001E-2</v>
      </c>
    </row>
    <row r="3706" spans="1:6" x14ac:dyDescent="0.3">
      <c r="A3706" t="s">
        <v>3741</v>
      </c>
      <c r="B3706" t="s">
        <v>26</v>
      </c>
      <c r="C3706">
        <v>854000</v>
      </c>
      <c r="D3706">
        <v>23473.4</v>
      </c>
      <c r="E3706">
        <v>8.0000000000000002E-3</v>
      </c>
      <c r="F3706">
        <v>8.2199999999999995E-2</v>
      </c>
    </row>
    <row r="3707" spans="1:6" x14ac:dyDescent="0.3">
      <c r="A3707" t="s">
        <v>3742</v>
      </c>
      <c r="B3707" t="s">
        <v>26</v>
      </c>
      <c r="C3707">
        <v>1670000</v>
      </c>
      <c r="D3707">
        <v>1696566.2</v>
      </c>
      <c r="E3707">
        <v>4.5400000000000003E-2</v>
      </c>
      <c r="F3707">
        <v>4.0899999999999999E-2</v>
      </c>
    </row>
    <row r="3708" spans="1:6" x14ac:dyDescent="0.3">
      <c r="A3708" t="s">
        <v>3743</v>
      </c>
      <c r="B3708" t="s">
        <v>32</v>
      </c>
      <c r="C3708">
        <v>880000</v>
      </c>
      <c r="D3708">
        <v>105944.2</v>
      </c>
      <c r="E3708">
        <v>6.7999999999999996E-3</v>
      </c>
      <c r="F3708">
        <v>6.54E-2</v>
      </c>
    </row>
    <row r="3709" spans="1:6" x14ac:dyDescent="0.3">
      <c r="A3709" t="s">
        <v>3744</v>
      </c>
      <c r="B3709" t="s">
        <v>214</v>
      </c>
      <c r="C3709">
        <v>701000</v>
      </c>
      <c r="D3709">
        <v>127299.3</v>
      </c>
      <c r="E3709">
        <v>3.7199999999999997E-2</v>
      </c>
      <c r="F3709">
        <v>5.1799999999999999E-2</v>
      </c>
    </row>
    <row r="3710" spans="1:6" x14ac:dyDescent="0.3">
      <c r="A3710" t="s">
        <v>3745</v>
      </c>
      <c r="B3710" t="s">
        <v>26</v>
      </c>
      <c r="C3710">
        <v>1180000</v>
      </c>
      <c r="D3710">
        <v>120213.6</v>
      </c>
      <c r="E3710">
        <v>2.76E-2</v>
      </c>
      <c r="F3710">
        <v>9.5100000000000004E-2</v>
      </c>
    </row>
    <row r="3711" spans="1:6" x14ac:dyDescent="0.3">
      <c r="A3711" t="s">
        <v>3746</v>
      </c>
      <c r="B3711" t="s">
        <v>26</v>
      </c>
      <c r="C3711">
        <v>797000</v>
      </c>
      <c r="D3711">
        <v>1564528.3</v>
      </c>
      <c r="E3711">
        <v>1.14E-2</v>
      </c>
      <c r="F3711">
        <v>7.3599999999999999E-2</v>
      </c>
    </row>
    <row r="3712" spans="1:6" x14ac:dyDescent="0.3">
      <c r="A3712" t="s">
        <v>3747</v>
      </c>
      <c r="B3712" t="s">
        <v>21</v>
      </c>
      <c r="C3712">
        <v>776000</v>
      </c>
      <c r="D3712">
        <v>25202.7</v>
      </c>
      <c r="E3712">
        <v>6.2799999999999995E-2</v>
      </c>
      <c r="F3712">
        <v>0.4909</v>
      </c>
    </row>
    <row r="3713" spans="1:6" x14ac:dyDescent="0.3">
      <c r="A3713" t="s">
        <v>3748</v>
      </c>
      <c r="B3713" t="s">
        <v>41</v>
      </c>
      <c r="C3713">
        <v>707000</v>
      </c>
      <c r="D3713">
        <v>2331.1</v>
      </c>
      <c r="E3713">
        <v>1.7100000000000001E-2</v>
      </c>
      <c r="F3713">
        <v>4.6199999999999998E-2</v>
      </c>
    </row>
    <row r="3714" spans="1:6" x14ac:dyDescent="0.3">
      <c r="A3714" t="s">
        <v>3749</v>
      </c>
      <c r="B3714" t="s">
        <v>92</v>
      </c>
      <c r="C3714">
        <v>775000</v>
      </c>
      <c r="D3714">
        <v>89915.1</v>
      </c>
      <c r="E3714">
        <v>2.2599999999999999E-2</v>
      </c>
      <c r="F3714">
        <v>5.1799999999999999E-2</v>
      </c>
    </row>
    <row r="3715" spans="1:6" x14ac:dyDescent="0.3">
      <c r="A3715" t="s">
        <v>3750</v>
      </c>
      <c r="B3715" t="s">
        <v>92</v>
      </c>
      <c r="C3715">
        <v>552000</v>
      </c>
      <c r="D3715">
        <v>22433.3</v>
      </c>
      <c r="E3715">
        <v>1.9E-2</v>
      </c>
      <c r="F3715">
        <v>9.5100000000000004E-2</v>
      </c>
    </row>
    <row r="3716" spans="1:6" x14ac:dyDescent="0.3">
      <c r="A3716" t="s">
        <v>3751</v>
      </c>
      <c r="B3716" t="s">
        <v>28</v>
      </c>
      <c r="C3716">
        <v>1080000</v>
      </c>
      <c r="D3716">
        <v>14441.9</v>
      </c>
      <c r="E3716">
        <v>1.5E-3</v>
      </c>
      <c r="F3716">
        <v>8.1100000000000005E-2</v>
      </c>
    </row>
    <row r="3717" spans="1:6" x14ac:dyDescent="0.3">
      <c r="A3717" t="s">
        <v>3752</v>
      </c>
      <c r="B3717" t="s">
        <v>26</v>
      </c>
      <c r="C3717">
        <v>1430000</v>
      </c>
      <c r="D3717">
        <v>1964128.5</v>
      </c>
      <c r="E3717">
        <v>4.0500000000000001E-2</v>
      </c>
      <c r="F3717">
        <v>9.5100000000000004E-2</v>
      </c>
    </row>
    <row r="3718" spans="1:6" x14ac:dyDescent="0.3">
      <c r="A3718" t="s">
        <v>3753</v>
      </c>
      <c r="B3718" t="s">
        <v>26</v>
      </c>
      <c r="C3718">
        <v>772000</v>
      </c>
      <c r="D3718">
        <v>988.9</v>
      </c>
      <c r="E3718">
        <v>1.21E-2</v>
      </c>
      <c r="F3718">
        <v>8.1100000000000005E-2</v>
      </c>
    </row>
    <row r="3719" spans="1:6" x14ac:dyDescent="0.3">
      <c r="A3719" t="s">
        <v>3754</v>
      </c>
      <c r="B3719" t="s">
        <v>26</v>
      </c>
      <c r="C3719">
        <v>750000</v>
      </c>
      <c r="D3719">
        <v>41129.5</v>
      </c>
      <c r="E3719">
        <v>3.4099999999999998E-2</v>
      </c>
      <c r="F3719">
        <v>0.12429999999999999</v>
      </c>
    </row>
    <row r="3720" spans="1:6" x14ac:dyDescent="0.3">
      <c r="A3720" t="s">
        <v>3755</v>
      </c>
      <c r="B3720" t="s">
        <v>24</v>
      </c>
      <c r="C3720">
        <v>991000</v>
      </c>
      <c r="D3720">
        <v>17917.599999999999</v>
      </c>
      <c r="E3720">
        <v>0.1182</v>
      </c>
      <c r="F3720">
        <v>9.3799999999999994E-2</v>
      </c>
    </row>
    <row r="3721" spans="1:6" x14ac:dyDescent="0.3">
      <c r="A3721" t="s">
        <v>3756</v>
      </c>
      <c r="B3721" t="s">
        <v>26</v>
      </c>
      <c r="C3721">
        <v>846000</v>
      </c>
      <c r="D3721">
        <v>1597.1</v>
      </c>
      <c r="E3721">
        <v>0.14580000000000001</v>
      </c>
      <c r="F3721">
        <v>9.3799999999999994E-2</v>
      </c>
    </row>
    <row r="3722" spans="1:6" x14ac:dyDescent="0.3">
      <c r="A3722" t="s">
        <v>3757</v>
      </c>
      <c r="B3722" t="s">
        <v>88</v>
      </c>
      <c r="C3722">
        <v>761000</v>
      </c>
      <c r="D3722">
        <v>4247.7</v>
      </c>
      <c r="E3722">
        <v>2.8500000000000001E-2</v>
      </c>
      <c r="F3722">
        <v>5.3800000000000001E-2</v>
      </c>
    </row>
    <row r="3723" spans="1:6" x14ac:dyDescent="0.3">
      <c r="A3723" t="s">
        <v>3758</v>
      </c>
      <c r="B3723" t="s">
        <v>24</v>
      </c>
      <c r="C3723">
        <v>740000</v>
      </c>
      <c r="D3723">
        <v>3906</v>
      </c>
      <c r="E3723">
        <v>1.7999999999999999E-2</v>
      </c>
      <c r="F3723">
        <v>0.1053</v>
      </c>
    </row>
    <row r="3724" spans="1:6" x14ac:dyDescent="0.3">
      <c r="A3724" t="s">
        <v>3759</v>
      </c>
      <c r="B3724" t="s">
        <v>92</v>
      </c>
      <c r="C3724">
        <v>911000</v>
      </c>
      <c r="D3724">
        <v>10075.4</v>
      </c>
      <c r="E3724">
        <v>3.1699999999999999E-2</v>
      </c>
      <c r="F3724">
        <v>0.2545</v>
      </c>
    </row>
    <row r="3725" spans="1:6" x14ac:dyDescent="0.3">
      <c r="A3725" t="s">
        <v>3760</v>
      </c>
      <c r="B3725" t="s">
        <v>26</v>
      </c>
      <c r="C3725">
        <v>840000</v>
      </c>
      <c r="D3725">
        <v>15931.5</v>
      </c>
      <c r="E3725">
        <v>0.02</v>
      </c>
      <c r="F3725">
        <v>8.5400000000000004E-2</v>
      </c>
    </row>
    <row r="3726" spans="1:6" x14ac:dyDescent="0.3">
      <c r="A3726" t="s">
        <v>3761</v>
      </c>
      <c r="B3726" t="s">
        <v>26</v>
      </c>
      <c r="C3726">
        <v>850000</v>
      </c>
      <c r="D3726">
        <v>52469.9</v>
      </c>
      <c r="E3726">
        <v>1.6500000000000001E-2</v>
      </c>
      <c r="F3726">
        <v>6.1600000000000002E-2</v>
      </c>
    </row>
    <row r="3727" spans="1:6" x14ac:dyDescent="0.3">
      <c r="A3727" t="s">
        <v>3762</v>
      </c>
      <c r="B3727" t="s">
        <v>21</v>
      </c>
      <c r="C3727">
        <v>950000</v>
      </c>
      <c r="D3727">
        <v>10772</v>
      </c>
      <c r="E3727">
        <v>8.6999999999999994E-3</v>
      </c>
      <c r="F3727">
        <v>6.54E-2</v>
      </c>
    </row>
    <row r="3728" spans="1:6" x14ac:dyDescent="0.3">
      <c r="A3728" t="s">
        <v>3763</v>
      </c>
      <c r="B3728" t="s">
        <v>26</v>
      </c>
      <c r="C3728">
        <v>782000</v>
      </c>
      <c r="D3728">
        <v>1305.4000000000001</v>
      </c>
      <c r="E3728">
        <v>7.6200000000000004E-2</v>
      </c>
      <c r="F3728">
        <v>9.3799999999999994E-2</v>
      </c>
    </row>
    <row r="3729" spans="1:6" x14ac:dyDescent="0.3">
      <c r="A3729" t="s">
        <v>3764</v>
      </c>
      <c r="B3729" t="s">
        <v>74</v>
      </c>
      <c r="C3729">
        <v>692000</v>
      </c>
      <c r="D3729">
        <v>201116</v>
      </c>
      <c r="E3729">
        <v>0.05</v>
      </c>
      <c r="F3729">
        <v>5.1799999999999999E-2</v>
      </c>
    </row>
    <row r="3730" spans="1:6" x14ac:dyDescent="0.3">
      <c r="A3730" t="s">
        <v>3765</v>
      </c>
      <c r="B3730" t="s">
        <v>26</v>
      </c>
      <c r="C3730">
        <v>918000</v>
      </c>
      <c r="D3730">
        <v>16693.7</v>
      </c>
      <c r="E3730">
        <v>2.81E-2</v>
      </c>
      <c r="F3730">
        <v>9.3799999999999994E-2</v>
      </c>
    </row>
    <row r="3731" spans="1:6" x14ac:dyDescent="0.3">
      <c r="A3731" t="s">
        <v>3766</v>
      </c>
      <c r="B3731" t="s">
        <v>214</v>
      </c>
      <c r="C3731">
        <v>741000</v>
      </c>
      <c r="D3731">
        <v>2788.2</v>
      </c>
      <c r="E3731">
        <v>9.7000000000000003E-3</v>
      </c>
      <c r="F3731">
        <v>6.54E-2</v>
      </c>
    </row>
    <row r="3732" spans="1:6" x14ac:dyDescent="0.3">
      <c r="A3732" t="s">
        <v>3767</v>
      </c>
      <c r="B3732" t="s">
        <v>41</v>
      </c>
      <c r="C3732">
        <v>713000</v>
      </c>
      <c r="D3732">
        <v>19891.3</v>
      </c>
      <c r="E3732">
        <v>6.3E-2</v>
      </c>
      <c r="F3732">
        <v>9.3799999999999994E-2</v>
      </c>
    </row>
    <row r="3733" spans="1:6" x14ac:dyDescent="0.3">
      <c r="A3733" t="s">
        <v>3768</v>
      </c>
      <c r="B3733" t="s">
        <v>26</v>
      </c>
      <c r="C3733">
        <v>720000</v>
      </c>
      <c r="D3733">
        <v>14633.2</v>
      </c>
      <c r="E3733">
        <v>4.2200000000000001E-2</v>
      </c>
      <c r="F3733">
        <v>9.5100000000000004E-2</v>
      </c>
    </row>
    <row r="3734" spans="1:6" x14ac:dyDescent="0.3">
      <c r="A3734" t="s">
        <v>3769</v>
      </c>
      <c r="B3734" t="s">
        <v>88</v>
      </c>
      <c r="C3734">
        <v>952000</v>
      </c>
      <c r="D3734">
        <v>1699.4</v>
      </c>
      <c r="E3734">
        <v>1.6899999999999998E-2</v>
      </c>
      <c r="F3734">
        <v>0.1053</v>
      </c>
    </row>
    <row r="3735" spans="1:6" x14ac:dyDescent="0.3">
      <c r="A3735" t="s">
        <v>3770</v>
      </c>
      <c r="B3735" t="s">
        <v>26</v>
      </c>
      <c r="C3735">
        <v>904000</v>
      </c>
      <c r="D3735">
        <v>278314</v>
      </c>
      <c r="E3735">
        <v>3.0099999999999998E-2</v>
      </c>
      <c r="F3735">
        <v>7.5899999999999995E-2</v>
      </c>
    </row>
    <row r="3736" spans="1:6" x14ac:dyDescent="0.3">
      <c r="A3736" t="s">
        <v>3771</v>
      </c>
      <c r="B3736" t="s">
        <v>195</v>
      </c>
      <c r="C3736">
        <v>774000</v>
      </c>
      <c r="D3736">
        <v>958.5</v>
      </c>
      <c r="E3736">
        <v>2.5100000000000001E-2</v>
      </c>
      <c r="F3736">
        <v>5.0999999999999997E-2</v>
      </c>
    </row>
    <row r="3737" spans="1:6" x14ac:dyDescent="0.3">
      <c r="A3737" t="s">
        <v>3772</v>
      </c>
      <c r="B3737" t="s">
        <v>21</v>
      </c>
      <c r="C3737">
        <v>2050000</v>
      </c>
      <c r="D3737">
        <v>10723.8</v>
      </c>
      <c r="E3737">
        <v>1.11E-2</v>
      </c>
      <c r="F3737">
        <v>8.1100000000000005E-2</v>
      </c>
    </row>
    <row r="3738" spans="1:6" x14ac:dyDescent="0.3">
      <c r="A3738" t="s">
        <v>3773</v>
      </c>
      <c r="B3738" t="s">
        <v>24</v>
      </c>
      <c r="C3738">
        <v>1160000</v>
      </c>
      <c r="D3738">
        <v>38033.5</v>
      </c>
      <c r="E3738">
        <v>2.46E-2</v>
      </c>
      <c r="F3738">
        <v>5.1799999999999999E-2</v>
      </c>
    </row>
    <row r="3739" spans="1:6" x14ac:dyDescent="0.3">
      <c r="A3739" t="s">
        <v>3774</v>
      </c>
      <c r="B3739" t="s">
        <v>30</v>
      </c>
      <c r="C3739">
        <v>748000</v>
      </c>
      <c r="D3739">
        <v>9154418.0999999996</v>
      </c>
      <c r="E3739">
        <v>4.7800000000000002E-2</v>
      </c>
      <c r="F3739">
        <v>8.4500000000000006E-2</v>
      </c>
    </row>
    <row r="3740" spans="1:6" x14ac:dyDescent="0.3">
      <c r="A3740" t="s">
        <v>3775</v>
      </c>
      <c r="B3740" t="s">
        <v>62</v>
      </c>
      <c r="C3740">
        <v>710000</v>
      </c>
      <c r="D3740">
        <v>634</v>
      </c>
      <c r="E3740">
        <v>2.06E-2</v>
      </c>
      <c r="F3740">
        <v>9.5100000000000004E-2</v>
      </c>
    </row>
    <row r="3741" spans="1:6" x14ac:dyDescent="0.3">
      <c r="A3741" t="s">
        <v>3776</v>
      </c>
      <c r="B3741" t="s">
        <v>88</v>
      </c>
      <c r="C3741">
        <v>685000</v>
      </c>
      <c r="D3741">
        <v>401.2</v>
      </c>
      <c r="E3741">
        <v>2.1000000000000001E-2</v>
      </c>
      <c r="F3741">
        <v>5.7599999999999998E-2</v>
      </c>
    </row>
    <row r="3742" spans="1:6" x14ac:dyDescent="0.3">
      <c r="A3742" t="s">
        <v>3777</v>
      </c>
      <c r="B3742" t="s">
        <v>26</v>
      </c>
      <c r="C3742">
        <v>1140000</v>
      </c>
      <c r="D3742">
        <v>76373.2</v>
      </c>
      <c r="E3742">
        <v>3.1199999999999999E-2</v>
      </c>
      <c r="F3742">
        <v>7.5899999999999995E-2</v>
      </c>
    </row>
    <row r="3743" spans="1:6" x14ac:dyDescent="0.3">
      <c r="A3743" t="s">
        <v>3778</v>
      </c>
      <c r="B3743" t="s">
        <v>74</v>
      </c>
      <c r="C3743">
        <v>2440000</v>
      </c>
      <c r="D3743">
        <v>12060.9</v>
      </c>
      <c r="E3743">
        <v>1.11E-2</v>
      </c>
      <c r="F3743">
        <v>0.16039999999999999</v>
      </c>
    </row>
    <row r="3744" spans="1:6" x14ac:dyDescent="0.3">
      <c r="A3744" t="s">
        <v>3779</v>
      </c>
      <c r="B3744" t="s">
        <v>53</v>
      </c>
      <c r="C3744">
        <v>1100000</v>
      </c>
      <c r="D3744">
        <v>1114314.6000000001</v>
      </c>
      <c r="E3744">
        <v>1.9400000000000001E-2</v>
      </c>
      <c r="F3744">
        <v>4.0899999999999999E-2</v>
      </c>
    </row>
    <row r="3745" spans="1:6" x14ac:dyDescent="0.3">
      <c r="A3745" t="s">
        <v>3780</v>
      </c>
      <c r="B3745" t="s">
        <v>92</v>
      </c>
      <c r="C3745">
        <v>726000</v>
      </c>
      <c r="D3745">
        <v>1224.5999999999999</v>
      </c>
      <c r="E3745">
        <v>1.4500000000000001E-2</v>
      </c>
      <c r="F3745">
        <v>5.8500000000000003E-2</v>
      </c>
    </row>
    <row r="3746" spans="1:6" x14ac:dyDescent="0.3">
      <c r="A3746" t="s">
        <v>3781</v>
      </c>
      <c r="B3746" t="s">
        <v>30</v>
      </c>
      <c r="C3746">
        <v>767000</v>
      </c>
      <c r="D3746">
        <v>1705715.3</v>
      </c>
      <c r="E3746">
        <v>4.9599999999999998E-2</v>
      </c>
      <c r="F3746">
        <v>8.4500000000000006E-2</v>
      </c>
    </row>
    <row r="3747" spans="1:6" x14ac:dyDescent="0.3">
      <c r="A3747" t="s">
        <v>3782</v>
      </c>
      <c r="B3747" t="s">
        <v>21</v>
      </c>
      <c r="C3747">
        <v>881000</v>
      </c>
      <c r="D3747">
        <v>788898.4</v>
      </c>
      <c r="E3747">
        <v>2.52E-2</v>
      </c>
      <c r="F3747">
        <v>5.4600000000000003E-2</v>
      </c>
    </row>
    <row r="3748" spans="1:6" x14ac:dyDescent="0.3">
      <c r="A3748" t="s">
        <v>3783</v>
      </c>
      <c r="B3748" t="s">
        <v>62</v>
      </c>
      <c r="C3748">
        <v>715000</v>
      </c>
      <c r="D3748">
        <v>3067.9</v>
      </c>
      <c r="E3748">
        <v>1.7000000000000001E-2</v>
      </c>
      <c r="F3748">
        <v>9.5000000000000001E-2</v>
      </c>
    </row>
    <row r="3749" spans="1:6" x14ac:dyDescent="0.3">
      <c r="A3749" t="s">
        <v>3784</v>
      </c>
      <c r="B3749" t="s">
        <v>88</v>
      </c>
      <c r="C3749">
        <v>1390000</v>
      </c>
      <c r="D3749">
        <v>211.6</v>
      </c>
      <c r="E3749">
        <v>3.2000000000000001E-2</v>
      </c>
      <c r="F3749">
        <v>9.3799999999999994E-2</v>
      </c>
    </row>
    <row r="3750" spans="1:6" x14ac:dyDescent="0.3">
      <c r="A3750" t="s">
        <v>3785</v>
      </c>
      <c r="B3750" t="s">
        <v>287</v>
      </c>
      <c r="C3750">
        <v>903000</v>
      </c>
      <c r="D3750">
        <v>16640.2</v>
      </c>
      <c r="E3750">
        <v>4.6199999999999998E-2</v>
      </c>
      <c r="F3750">
        <v>7.5899999999999995E-2</v>
      </c>
    </row>
    <row r="3751" spans="1:6" x14ac:dyDescent="0.3">
      <c r="A3751" t="s">
        <v>3786</v>
      </c>
      <c r="B3751" t="s">
        <v>32</v>
      </c>
      <c r="C3751">
        <v>890000</v>
      </c>
      <c r="D3751">
        <v>530225</v>
      </c>
      <c r="E3751">
        <v>6.2199999999999998E-2</v>
      </c>
      <c r="F3751">
        <v>9.5100000000000004E-2</v>
      </c>
    </row>
    <row r="3752" spans="1:6" x14ac:dyDescent="0.3">
      <c r="A3752" t="s">
        <v>3787</v>
      </c>
      <c r="B3752" t="s">
        <v>41</v>
      </c>
      <c r="C3752">
        <v>1830000</v>
      </c>
      <c r="D3752">
        <v>5601.5</v>
      </c>
      <c r="E3752">
        <v>3.9600000000000003E-2</v>
      </c>
      <c r="F3752">
        <v>9.3799999999999994E-2</v>
      </c>
    </row>
    <row r="3753" spans="1:6" x14ac:dyDescent="0.3">
      <c r="A3753" t="s">
        <v>3788</v>
      </c>
      <c r="B3753" t="s">
        <v>287</v>
      </c>
      <c r="C3753">
        <v>718000</v>
      </c>
      <c r="D3753">
        <v>22244.1</v>
      </c>
      <c r="E3753">
        <v>2.63E-2</v>
      </c>
      <c r="F3753">
        <v>7.5899999999999995E-2</v>
      </c>
    </row>
    <row r="3754" spans="1:6" x14ac:dyDescent="0.3">
      <c r="A3754" t="s">
        <v>3789</v>
      </c>
      <c r="B3754" t="s">
        <v>24</v>
      </c>
      <c r="C3754">
        <v>932000</v>
      </c>
      <c r="D3754">
        <v>979.8</v>
      </c>
      <c r="E3754">
        <v>1.6899999999999998E-2</v>
      </c>
      <c r="F3754">
        <v>5.7599999999999998E-2</v>
      </c>
    </row>
    <row r="3755" spans="1:6" x14ac:dyDescent="0.3">
      <c r="A3755" t="s">
        <v>3790</v>
      </c>
      <c r="B3755" t="s">
        <v>26</v>
      </c>
      <c r="C3755">
        <v>1370000</v>
      </c>
      <c r="D3755">
        <v>1591608.2</v>
      </c>
      <c r="E3755">
        <v>2.0299999999999999E-2</v>
      </c>
      <c r="F3755">
        <v>5.7599999999999998E-2</v>
      </c>
    </row>
    <row r="3756" spans="1:6" x14ac:dyDescent="0.3">
      <c r="A3756" t="s">
        <v>3791</v>
      </c>
      <c r="B3756" t="s">
        <v>26</v>
      </c>
      <c r="C3756">
        <v>1570000</v>
      </c>
      <c r="D3756">
        <v>1014123.6</v>
      </c>
      <c r="E3756">
        <v>3.0800000000000001E-2</v>
      </c>
      <c r="F3756">
        <v>4.0899999999999999E-2</v>
      </c>
    </row>
    <row r="3757" spans="1:6" x14ac:dyDescent="0.3">
      <c r="A3757" t="s">
        <v>3792</v>
      </c>
      <c r="B3757" t="s">
        <v>24</v>
      </c>
      <c r="C3757">
        <v>670000</v>
      </c>
      <c r="D3757">
        <v>6987</v>
      </c>
      <c r="E3757">
        <v>0.2828</v>
      </c>
      <c r="F3757">
        <v>0.35210000000000002</v>
      </c>
    </row>
    <row r="3758" spans="1:6" x14ac:dyDescent="0.3">
      <c r="A3758" t="s">
        <v>3793</v>
      </c>
      <c r="B3758" t="s">
        <v>26</v>
      </c>
      <c r="C3758">
        <v>724000</v>
      </c>
      <c r="D3758">
        <v>2119.6</v>
      </c>
      <c r="E3758">
        <v>3.0499999999999999E-2</v>
      </c>
      <c r="F3758">
        <v>5.0999999999999997E-2</v>
      </c>
    </row>
    <row r="3759" spans="1:6" x14ac:dyDescent="0.3">
      <c r="A3759" t="s">
        <v>3794</v>
      </c>
      <c r="B3759" t="s">
        <v>26</v>
      </c>
      <c r="C3759">
        <v>710000</v>
      </c>
      <c r="D3759">
        <v>3491</v>
      </c>
      <c r="E3759">
        <v>2.86E-2</v>
      </c>
      <c r="F3759">
        <v>7.5899999999999995E-2</v>
      </c>
    </row>
    <row r="3760" spans="1:6" x14ac:dyDescent="0.3">
      <c r="A3760" t="s">
        <v>3795</v>
      </c>
      <c r="B3760" t="s">
        <v>24</v>
      </c>
      <c r="C3760">
        <v>987000</v>
      </c>
      <c r="D3760">
        <v>68840.800000000003</v>
      </c>
      <c r="E3760">
        <v>3.4700000000000002E-2</v>
      </c>
      <c r="F3760">
        <v>4.0899999999999999E-2</v>
      </c>
    </row>
    <row r="3761" spans="1:6" x14ac:dyDescent="0.3">
      <c r="A3761" t="s">
        <v>3796</v>
      </c>
      <c r="B3761" t="s">
        <v>88</v>
      </c>
      <c r="C3761">
        <v>872000</v>
      </c>
      <c r="D3761">
        <v>1385</v>
      </c>
      <c r="E3761">
        <v>4.9299999999999997E-2</v>
      </c>
      <c r="F3761">
        <v>7.5899999999999995E-2</v>
      </c>
    </row>
    <row r="3762" spans="1:6" x14ac:dyDescent="0.3">
      <c r="A3762" t="s">
        <v>3797</v>
      </c>
      <c r="B3762" t="s">
        <v>74</v>
      </c>
      <c r="C3762">
        <v>792000</v>
      </c>
      <c r="D3762">
        <v>3986.2</v>
      </c>
      <c r="E3762">
        <v>5.3999999999999999E-2</v>
      </c>
      <c r="F3762">
        <v>9.3799999999999994E-2</v>
      </c>
    </row>
    <row r="3763" spans="1:6" x14ac:dyDescent="0.3">
      <c r="A3763" t="s">
        <v>3798</v>
      </c>
      <c r="B3763" t="s">
        <v>26</v>
      </c>
      <c r="C3763">
        <v>798000</v>
      </c>
      <c r="D3763">
        <v>9797.9</v>
      </c>
      <c r="E3763">
        <v>1.9199999999999998E-2</v>
      </c>
      <c r="F3763">
        <v>0.1067</v>
      </c>
    </row>
    <row r="3764" spans="1:6" x14ac:dyDescent="0.3">
      <c r="A3764" t="s">
        <v>3799</v>
      </c>
      <c r="B3764" t="s">
        <v>26</v>
      </c>
      <c r="C3764">
        <v>5230000</v>
      </c>
      <c r="D3764">
        <v>1029084</v>
      </c>
      <c r="F3764">
        <v>4.0899999999999999E-2</v>
      </c>
    </row>
    <row r="3765" spans="1:6" x14ac:dyDescent="0.3">
      <c r="A3765" t="s">
        <v>3800</v>
      </c>
      <c r="B3765" t="s">
        <v>81</v>
      </c>
      <c r="C3765">
        <v>696000</v>
      </c>
      <c r="D3765">
        <v>1497.7</v>
      </c>
      <c r="E3765">
        <v>1.8800000000000001E-2</v>
      </c>
      <c r="F3765">
        <v>0.38679999999999998</v>
      </c>
    </row>
    <row r="3766" spans="1:6" x14ac:dyDescent="0.3">
      <c r="A3766" t="s">
        <v>3801</v>
      </c>
      <c r="B3766" t="s">
        <v>32</v>
      </c>
      <c r="C3766">
        <v>1120000</v>
      </c>
      <c r="D3766">
        <v>10537.5</v>
      </c>
      <c r="E3766">
        <v>2.0500000000000001E-2</v>
      </c>
      <c r="F3766">
        <v>4.6199999999999998E-2</v>
      </c>
    </row>
    <row r="3767" spans="1:6" x14ac:dyDescent="0.3">
      <c r="A3767" t="s">
        <v>3802</v>
      </c>
      <c r="B3767" t="s">
        <v>62</v>
      </c>
      <c r="C3767">
        <v>885000</v>
      </c>
      <c r="D3767">
        <v>6596.4</v>
      </c>
      <c r="E3767">
        <v>4.0599999999999997E-2</v>
      </c>
      <c r="F3767">
        <v>9.3799999999999994E-2</v>
      </c>
    </row>
    <row r="3768" spans="1:6" x14ac:dyDescent="0.3">
      <c r="A3768" t="s">
        <v>3803</v>
      </c>
      <c r="B3768" t="s">
        <v>88</v>
      </c>
      <c r="C3768">
        <v>1670000</v>
      </c>
      <c r="D3768">
        <v>19023.900000000001</v>
      </c>
      <c r="E3768">
        <v>7.2300000000000003E-2</v>
      </c>
      <c r="F3768">
        <v>9.3799999999999994E-2</v>
      </c>
    </row>
    <row r="3769" spans="1:6" x14ac:dyDescent="0.3">
      <c r="A3769" t="s">
        <v>3804</v>
      </c>
      <c r="B3769" t="s">
        <v>28</v>
      </c>
      <c r="C3769">
        <v>887000</v>
      </c>
      <c r="D3769">
        <v>430.4</v>
      </c>
      <c r="E3769">
        <v>3.0499999999999999E-2</v>
      </c>
      <c r="F3769">
        <v>5.0999999999999997E-2</v>
      </c>
    </row>
    <row r="3770" spans="1:6" x14ac:dyDescent="0.3">
      <c r="A3770" t="s">
        <v>3805</v>
      </c>
      <c r="B3770" t="s">
        <v>30</v>
      </c>
      <c r="C3770">
        <v>823000</v>
      </c>
      <c r="D3770">
        <v>344984.6</v>
      </c>
      <c r="E3770">
        <v>5.0599999999999999E-2</v>
      </c>
      <c r="F3770">
        <v>9.5100000000000004E-2</v>
      </c>
    </row>
    <row r="3771" spans="1:6" x14ac:dyDescent="0.3">
      <c r="A3771" t="s">
        <v>3806</v>
      </c>
      <c r="B3771" t="s">
        <v>26</v>
      </c>
      <c r="C3771">
        <v>1140000</v>
      </c>
      <c r="D3771">
        <v>2049.4</v>
      </c>
      <c r="E3771">
        <v>1.66E-2</v>
      </c>
      <c r="F3771">
        <v>0.1013</v>
      </c>
    </row>
    <row r="3772" spans="1:6" x14ac:dyDescent="0.3">
      <c r="A3772" t="s">
        <v>3807</v>
      </c>
      <c r="B3772" t="s">
        <v>26</v>
      </c>
      <c r="C3772">
        <v>684000</v>
      </c>
      <c r="D3772">
        <v>1317881.3999999999</v>
      </c>
      <c r="E3772">
        <v>8.6499999999999994E-2</v>
      </c>
      <c r="F3772">
        <v>5.1799999999999999E-2</v>
      </c>
    </row>
    <row r="3773" spans="1:6" x14ac:dyDescent="0.3">
      <c r="A3773" t="s">
        <v>3808</v>
      </c>
      <c r="B3773" t="s">
        <v>88</v>
      </c>
      <c r="C3773">
        <v>1070000</v>
      </c>
      <c r="D3773">
        <v>15964.9</v>
      </c>
      <c r="E3773">
        <v>9.2899999999999996E-2</v>
      </c>
      <c r="F3773">
        <v>7.5899999999999995E-2</v>
      </c>
    </row>
    <row r="3774" spans="1:6" x14ac:dyDescent="0.3">
      <c r="A3774" t="s">
        <v>3809</v>
      </c>
      <c r="B3774" t="s">
        <v>81</v>
      </c>
      <c r="C3774">
        <v>738000</v>
      </c>
      <c r="D3774">
        <v>49613.1</v>
      </c>
      <c r="E3774">
        <v>4.2599999999999999E-2</v>
      </c>
      <c r="F3774">
        <v>7.5899999999999995E-2</v>
      </c>
    </row>
    <row r="3775" spans="1:6" x14ac:dyDescent="0.3">
      <c r="A3775" t="s">
        <v>3810</v>
      </c>
      <c r="B3775" t="s">
        <v>81</v>
      </c>
      <c r="C3775">
        <v>772000</v>
      </c>
      <c r="D3775">
        <v>4332.6000000000004</v>
      </c>
      <c r="E3775">
        <v>1.49E-2</v>
      </c>
      <c r="F3775">
        <v>4.8800000000000003E-2</v>
      </c>
    </row>
    <row r="3776" spans="1:6" x14ac:dyDescent="0.3">
      <c r="A3776" t="s">
        <v>3811</v>
      </c>
      <c r="B3776" t="s">
        <v>26</v>
      </c>
      <c r="C3776">
        <v>771000</v>
      </c>
      <c r="D3776">
        <v>125595.3</v>
      </c>
      <c r="E3776">
        <v>1.32E-2</v>
      </c>
      <c r="F3776">
        <v>5.8500000000000003E-2</v>
      </c>
    </row>
    <row r="3777" spans="1:6" x14ac:dyDescent="0.3">
      <c r="A3777" t="s">
        <v>3812</v>
      </c>
      <c r="B3777" t="s">
        <v>41</v>
      </c>
      <c r="C3777">
        <v>854000</v>
      </c>
      <c r="D3777">
        <v>107668.4</v>
      </c>
      <c r="E3777">
        <v>4.6800000000000001E-2</v>
      </c>
      <c r="F3777">
        <v>7.5899999999999995E-2</v>
      </c>
    </row>
    <row r="3778" spans="1:6" x14ac:dyDescent="0.3">
      <c r="A3778" t="s">
        <v>3813</v>
      </c>
      <c r="B3778" t="s">
        <v>26</v>
      </c>
      <c r="C3778">
        <v>1310000</v>
      </c>
      <c r="D3778">
        <v>22791.599999999999</v>
      </c>
      <c r="E3778">
        <v>6.8999999999999999E-3</v>
      </c>
      <c r="F3778">
        <v>8.2199999999999995E-2</v>
      </c>
    </row>
    <row r="3779" spans="1:6" x14ac:dyDescent="0.3">
      <c r="A3779" t="s">
        <v>3814</v>
      </c>
      <c r="B3779" t="s">
        <v>26</v>
      </c>
      <c r="C3779">
        <v>1350000</v>
      </c>
      <c r="D3779">
        <v>122058.7</v>
      </c>
      <c r="E3779">
        <v>7.1999999999999995E-2</v>
      </c>
      <c r="F3779">
        <v>9.3799999999999994E-2</v>
      </c>
    </row>
    <row r="3780" spans="1:6" x14ac:dyDescent="0.3">
      <c r="A3780" t="s">
        <v>3815</v>
      </c>
      <c r="B3780" t="s">
        <v>26</v>
      </c>
      <c r="C3780">
        <v>852000</v>
      </c>
      <c r="D3780">
        <v>75120.399999999994</v>
      </c>
      <c r="E3780">
        <v>2.1100000000000001E-2</v>
      </c>
      <c r="F3780">
        <v>0.1053</v>
      </c>
    </row>
    <row r="3781" spans="1:6" x14ac:dyDescent="0.3">
      <c r="A3781" t="s">
        <v>3816</v>
      </c>
      <c r="B3781" t="s">
        <v>53</v>
      </c>
      <c r="C3781">
        <v>1980000</v>
      </c>
      <c r="D3781">
        <v>423588</v>
      </c>
      <c r="E3781">
        <v>6.13E-2</v>
      </c>
      <c r="F3781">
        <v>5.0999999999999997E-2</v>
      </c>
    </row>
    <row r="3782" spans="1:6" x14ac:dyDescent="0.3">
      <c r="A3782" t="s">
        <v>3817</v>
      </c>
      <c r="B3782" t="s">
        <v>24</v>
      </c>
      <c r="C3782">
        <v>728000</v>
      </c>
      <c r="D3782">
        <v>424.7</v>
      </c>
      <c r="E3782">
        <v>5.2600000000000001E-2</v>
      </c>
      <c r="F3782">
        <v>0.11700000000000001</v>
      </c>
    </row>
    <row r="3783" spans="1:6" x14ac:dyDescent="0.3">
      <c r="A3783" t="s">
        <v>3818</v>
      </c>
      <c r="B3783" t="s">
        <v>26</v>
      </c>
      <c r="C3783">
        <v>930000</v>
      </c>
      <c r="D3783">
        <v>28382</v>
      </c>
      <c r="E3783">
        <v>3.6700000000000003E-2</v>
      </c>
      <c r="F3783">
        <v>7.5899999999999995E-2</v>
      </c>
    </row>
    <row r="3784" spans="1:6" x14ac:dyDescent="0.3">
      <c r="A3784" t="s">
        <v>3819</v>
      </c>
      <c r="B3784" t="s">
        <v>88</v>
      </c>
      <c r="C3784">
        <v>823000</v>
      </c>
      <c r="D3784">
        <v>5455.8</v>
      </c>
      <c r="E3784">
        <v>4.2700000000000002E-2</v>
      </c>
      <c r="F3784">
        <v>7.5899999999999995E-2</v>
      </c>
    </row>
    <row r="3785" spans="1:6" x14ac:dyDescent="0.3">
      <c r="A3785" t="s">
        <v>3820</v>
      </c>
      <c r="B3785" t="s">
        <v>41</v>
      </c>
      <c r="C3785">
        <v>2270000</v>
      </c>
      <c r="D3785">
        <v>89596.800000000003</v>
      </c>
      <c r="E3785">
        <v>2.9399999999999999E-2</v>
      </c>
      <c r="F3785">
        <v>7.5899999999999995E-2</v>
      </c>
    </row>
    <row r="3786" spans="1:6" x14ac:dyDescent="0.3">
      <c r="A3786" t="s">
        <v>3821</v>
      </c>
      <c r="B3786" t="s">
        <v>88</v>
      </c>
      <c r="C3786">
        <v>1040000</v>
      </c>
      <c r="D3786">
        <v>45862.400000000001</v>
      </c>
      <c r="E3786">
        <v>7.9100000000000004E-2</v>
      </c>
      <c r="F3786">
        <v>7.5899999999999995E-2</v>
      </c>
    </row>
    <row r="3787" spans="1:6" x14ac:dyDescent="0.3">
      <c r="A3787" t="s">
        <v>3822</v>
      </c>
      <c r="B3787" t="s">
        <v>92</v>
      </c>
      <c r="C3787">
        <v>858000</v>
      </c>
      <c r="D3787">
        <v>175300.6</v>
      </c>
      <c r="E3787">
        <v>1.8100000000000002E-2</v>
      </c>
      <c r="F3787">
        <v>5.8500000000000003E-2</v>
      </c>
    </row>
    <row r="3788" spans="1:6" x14ac:dyDescent="0.3">
      <c r="A3788" t="s">
        <v>3823</v>
      </c>
      <c r="B3788" t="s">
        <v>21</v>
      </c>
      <c r="C3788">
        <v>2620000</v>
      </c>
      <c r="D3788">
        <v>933.2</v>
      </c>
      <c r="E3788">
        <v>1.12E-2</v>
      </c>
      <c r="F3788">
        <v>8.1100000000000005E-2</v>
      </c>
    </row>
    <row r="3789" spans="1:6" x14ac:dyDescent="0.3">
      <c r="A3789" t="s">
        <v>3824</v>
      </c>
      <c r="B3789" t="s">
        <v>92</v>
      </c>
      <c r="C3789">
        <v>691000</v>
      </c>
      <c r="D3789">
        <v>2306.1999999999998</v>
      </c>
      <c r="E3789">
        <v>9.4999999999999998E-3</v>
      </c>
      <c r="F3789">
        <v>0.16950000000000001</v>
      </c>
    </row>
    <row r="3790" spans="1:6" x14ac:dyDescent="0.3">
      <c r="A3790" t="s">
        <v>3825</v>
      </c>
      <c r="B3790" t="s">
        <v>24</v>
      </c>
      <c r="C3790">
        <v>841000</v>
      </c>
      <c r="D3790">
        <v>1753.7</v>
      </c>
      <c r="E3790">
        <v>2.4299999999999999E-2</v>
      </c>
      <c r="F3790">
        <v>7.5899999999999995E-2</v>
      </c>
    </row>
    <row r="3791" spans="1:6" x14ac:dyDescent="0.3">
      <c r="A3791" t="s">
        <v>3826</v>
      </c>
      <c r="B3791" t="s">
        <v>26</v>
      </c>
      <c r="C3791">
        <v>743000</v>
      </c>
      <c r="D3791">
        <v>25594.3</v>
      </c>
      <c r="E3791">
        <v>1.7500000000000002E-2</v>
      </c>
      <c r="F3791">
        <v>4.6199999999999998E-2</v>
      </c>
    </row>
    <row r="3792" spans="1:6" x14ac:dyDescent="0.3">
      <c r="A3792" t="s">
        <v>3827</v>
      </c>
      <c r="B3792" t="s">
        <v>71</v>
      </c>
      <c r="C3792">
        <v>802000</v>
      </c>
      <c r="D3792">
        <v>84460.1</v>
      </c>
      <c r="E3792">
        <v>5.1999999999999998E-3</v>
      </c>
      <c r="F3792">
        <v>6.54E-2</v>
      </c>
    </row>
    <row r="3793" spans="1:6" x14ac:dyDescent="0.3">
      <c r="A3793" t="s">
        <v>3828</v>
      </c>
      <c r="B3793" t="s">
        <v>35</v>
      </c>
      <c r="C3793">
        <v>810000</v>
      </c>
      <c r="D3793">
        <v>18080.8</v>
      </c>
      <c r="E3793">
        <v>2.7099999999999999E-2</v>
      </c>
      <c r="F3793">
        <v>4.6199999999999998E-2</v>
      </c>
    </row>
    <row r="3794" spans="1:6" x14ac:dyDescent="0.3">
      <c r="A3794" t="s">
        <v>3829</v>
      </c>
      <c r="B3794" t="s">
        <v>287</v>
      </c>
      <c r="C3794">
        <v>1720000</v>
      </c>
      <c r="D3794">
        <v>131412.1</v>
      </c>
      <c r="E3794">
        <v>3.6600000000000001E-2</v>
      </c>
      <c r="F3794">
        <v>7.5899999999999995E-2</v>
      </c>
    </row>
    <row r="3795" spans="1:6" x14ac:dyDescent="0.3">
      <c r="A3795" t="s">
        <v>3830</v>
      </c>
      <c r="B3795" t="s">
        <v>195</v>
      </c>
      <c r="C3795">
        <v>813000</v>
      </c>
      <c r="D3795">
        <v>8881.5</v>
      </c>
      <c r="E3795">
        <v>3.2300000000000002E-2</v>
      </c>
      <c r="F3795">
        <v>9.3799999999999994E-2</v>
      </c>
    </row>
    <row r="3796" spans="1:6" x14ac:dyDescent="0.3">
      <c r="A3796" t="s">
        <v>3831</v>
      </c>
      <c r="B3796" t="s">
        <v>490</v>
      </c>
      <c r="C3796">
        <v>1170000</v>
      </c>
      <c r="D3796">
        <v>2155962.7000000002</v>
      </c>
      <c r="E3796">
        <v>2.1299999999999999E-2</v>
      </c>
      <c r="F3796">
        <v>4.6199999999999998E-2</v>
      </c>
    </row>
    <row r="3797" spans="1:6" x14ac:dyDescent="0.3">
      <c r="A3797" t="s">
        <v>3832</v>
      </c>
      <c r="B3797" t="s">
        <v>26</v>
      </c>
      <c r="C3797">
        <v>758000</v>
      </c>
      <c r="D3797">
        <v>15242.4</v>
      </c>
      <c r="E3797">
        <v>8.8999999999999999E-3</v>
      </c>
      <c r="F3797">
        <v>8.2199999999999995E-2</v>
      </c>
    </row>
    <row r="3798" spans="1:6" x14ac:dyDescent="0.3">
      <c r="A3798" t="s">
        <v>3833</v>
      </c>
      <c r="B3798" t="s">
        <v>214</v>
      </c>
      <c r="C3798">
        <v>742000</v>
      </c>
      <c r="D3798">
        <v>4344.8999999999996</v>
      </c>
      <c r="E3798">
        <v>2.12E-2</v>
      </c>
      <c r="F3798">
        <v>0.2089</v>
      </c>
    </row>
    <row r="3799" spans="1:6" x14ac:dyDescent="0.3">
      <c r="A3799" t="s">
        <v>3834</v>
      </c>
      <c r="B3799" t="s">
        <v>28</v>
      </c>
      <c r="C3799">
        <v>729000</v>
      </c>
      <c r="D3799">
        <v>1366524.4</v>
      </c>
      <c r="E3799">
        <v>1.9400000000000001E-2</v>
      </c>
      <c r="F3799">
        <v>4.0899999999999999E-2</v>
      </c>
    </row>
    <row r="3800" spans="1:6" x14ac:dyDescent="0.3">
      <c r="A3800" t="s">
        <v>3835</v>
      </c>
      <c r="B3800" t="s">
        <v>24</v>
      </c>
      <c r="C3800">
        <v>684000</v>
      </c>
      <c r="D3800">
        <v>4558.1000000000004</v>
      </c>
      <c r="E3800">
        <v>1.7000000000000001E-2</v>
      </c>
      <c r="F3800">
        <v>9.5000000000000001E-2</v>
      </c>
    </row>
    <row r="3801" spans="1:6" x14ac:dyDescent="0.3">
      <c r="A3801" t="s">
        <v>3836</v>
      </c>
      <c r="B3801" t="s">
        <v>41</v>
      </c>
      <c r="C3801">
        <v>1580000</v>
      </c>
      <c r="D3801">
        <v>2071.4</v>
      </c>
      <c r="E3801">
        <v>7.7000000000000002E-3</v>
      </c>
      <c r="F3801">
        <v>0.17860000000000001</v>
      </c>
    </row>
    <row r="3802" spans="1:6" x14ac:dyDescent="0.3">
      <c r="A3802" t="s">
        <v>3837</v>
      </c>
      <c r="B3802" t="s">
        <v>32</v>
      </c>
      <c r="C3802">
        <v>916000</v>
      </c>
      <c r="D3802">
        <v>84352.5</v>
      </c>
      <c r="E3802">
        <v>1.6199999999999999E-2</v>
      </c>
      <c r="F3802">
        <v>4.6199999999999998E-2</v>
      </c>
    </row>
    <row r="3803" spans="1:6" x14ac:dyDescent="0.3">
      <c r="A3803" t="s">
        <v>3838</v>
      </c>
      <c r="B3803" t="s">
        <v>74</v>
      </c>
      <c r="C3803">
        <v>828000</v>
      </c>
      <c r="D3803">
        <v>1867.9</v>
      </c>
      <c r="E3803">
        <v>1.6799999999999999E-2</v>
      </c>
      <c r="F3803">
        <v>5.8900000000000001E-2</v>
      </c>
    </row>
    <row r="3804" spans="1:6" x14ac:dyDescent="0.3">
      <c r="A3804" t="s">
        <v>3839</v>
      </c>
      <c r="B3804" t="s">
        <v>92</v>
      </c>
      <c r="C3804">
        <v>688000</v>
      </c>
      <c r="D3804">
        <v>1634.6</v>
      </c>
      <c r="E3804">
        <v>1.29E-2</v>
      </c>
      <c r="F3804">
        <v>7.3599999999999999E-2</v>
      </c>
    </row>
    <row r="3805" spans="1:6" x14ac:dyDescent="0.3">
      <c r="A3805" t="s">
        <v>3840</v>
      </c>
      <c r="B3805" t="s">
        <v>24</v>
      </c>
      <c r="C3805">
        <v>733000</v>
      </c>
      <c r="D3805">
        <v>122989.6</v>
      </c>
      <c r="E3805">
        <v>4.1000000000000002E-2</v>
      </c>
      <c r="F3805">
        <v>9.5100000000000004E-2</v>
      </c>
    </row>
    <row r="3806" spans="1:6" x14ac:dyDescent="0.3">
      <c r="A3806" t="s">
        <v>3841</v>
      </c>
      <c r="B3806" t="s">
        <v>26</v>
      </c>
      <c r="C3806">
        <v>704000</v>
      </c>
      <c r="D3806">
        <v>11561.5</v>
      </c>
      <c r="E3806">
        <v>3.1899999999999998E-2</v>
      </c>
      <c r="F3806">
        <v>9.3799999999999994E-2</v>
      </c>
    </row>
    <row r="3807" spans="1:6" x14ac:dyDescent="0.3">
      <c r="A3807" t="s">
        <v>3842</v>
      </c>
      <c r="B3807" t="s">
        <v>92</v>
      </c>
      <c r="C3807">
        <v>744000</v>
      </c>
      <c r="D3807">
        <v>6523.4</v>
      </c>
      <c r="E3807">
        <v>2.8400000000000002E-2</v>
      </c>
      <c r="F3807">
        <v>5.1799999999999999E-2</v>
      </c>
    </row>
    <row r="3808" spans="1:6" x14ac:dyDescent="0.3">
      <c r="A3808" t="s">
        <v>3843</v>
      </c>
      <c r="B3808" t="s">
        <v>88</v>
      </c>
      <c r="C3808">
        <v>1040000</v>
      </c>
      <c r="D3808">
        <v>1502.8</v>
      </c>
      <c r="F3808">
        <v>4.0899999999999999E-2</v>
      </c>
    </row>
    <row r="3809" spans="1:6" x14ac:dyDescent="0.3">
      <c r="A3809" t="s">
        <v>3844</v>
      </c>
      <c r="B3809" t="s">
        <v>26</v>
      </c>
      <c r="C3809">
        <v>741000</v>
      </c>
      <c r="D3809">
        <v>2390</v>
      </c>
      <c r="E3809">
        <v>2.4899999999999999E-2</v>
      </c>
      <c r="F3809">
        <v>9.3799999999999994E-2</v>
      </c>
    </row>
    <row r="3810" spans="1:6" x14ac:dyDescent="0.3">
      <c r="A3810" t="s">
        <v>3845</v>
      </c>
      <c r="B3810" t="s">
        <v>53</v>
      </c>
      <c r="C3810">
        <v>699000</v>
      </c>
      <c r="D3810">
        <v>23987</v>
      </c>
      <c r="E3810">
        <v>8.0799999999999997E-2</v>
      </c>
      <c r="F3810">
        <v>9.5100000000000004E-2</v>
      </c>
    </row>
    <row r="3811" spans="1:6" x14ac:dyDescent="0.3">
      <c r="A3811" t="s">
        <v>3846</v>
      </c>
      <c r="B3811" t="s">
        <v>88</v>
      </c>
      <c r="C3811">
        <v>1370000</v>
      </c>
      <c r="D3811">
        <v>2056.4</v>
      </c>
      <c r="E3811">
        <v>6.1100000000000002E-2</v>
      </c>
      <c r="F3811">
        <v>9.3799999999999994E-2</v>
      </c>
    </row>
    <row r="3812" spans="1:6" x14ac:dyDescent="0.3">
      <c r="A3812" t="s">
        <v>3847</v>
      </c>
      <c r="B3812" t="s">
        <v>71</v>
      </c>
      <c r="C3812">
        <v>719000</v>
      </c>
      <c r="D3812">
        <v>10867.8</v>
      </c>
      <c r="E3812">
        <v>3.3700000000000001E-2</v>
      </c>
      <c r="F3812">
        <v>7.5899999999999995E-2</v>
      </c>
    </row>
    <row r="3813" spans="1:6" x14ac:dyDescent="0.3">
      <c r="A3813" t="s">
        <v>3848</v>
      </c>
      <c r="B3813" t="s">
        <v>26</v>
      </c>
      <c r="C3813">
        <v>796000</v>
      </c>
      <c r="D3813">
        <v>58994.8</v>
      </c>
      <c r="E3813">
        <v>1.9E-2</v>
      </c>
      <c r="F3813">
        <v>4.6199999999999998E-2</v>
      </c>
    </row>
    <row r="3814" spans="1:6" x14ac:dyDescent="0.3">
      <c r="A3814" t="s">
        <v>3849</v>
      </c>
      <c r="B3814" t="s">
        <v>26</v>
      </c>
      <c r="C3814">
        <v>704000</v>
      </c>
      <c r="D3814">
        <v>468.5</v>
      </c>
      <c r="E3814">
        <v>1.14E-2</v>
      </c>
      <c r="F3814">
        <v>0.1027</v>
      </c>
    </row>
    <row r="3815" spans="1:6" x14ac:dyDescent="0.3">
      <c r="A3815" t="s">
        <v>3850</v>
      </c>
      <c r="B3815" t="s">
        <v>92</v>
      </c>
      <c r="C3815">
        <v>715000</v>
      </c>
      <c r="D3815">
        <v>504.5</v>
      </c>
      <c r="E3815">
        <v>9.2999999999999992E-3</v>
      </c>
      <c r="F3815">
        <v>7.3599999999999999E-2</v>
      </c>
    </row>
    <row r="3816" spans="1:6" x14ac:dyDescent="0.3">
      <c r="A3816" t="s">
        <v>3851</v>
      </c>
      <c r="B3816" t="s">
        <v>62</v>
      </c>
      <c r="C3816">
        <v>1030000</v>
      </c>
      <c r="D3816">
        <v>7349.6</v>
      </c>
      <c r="E3816">
        <v>2.5999999999999999E-2</v>
      </c>
      <c r="F3816">
        <v>8.3299999999999999E-2</v>
      </c>
    </row>
    <row r="3817" spans="1:6" x14ac:dyDescent="0.3">
      <c r="A3817" t="s">
        <v>3852</v>
      </c>
      <c r="B3817" t="s">
        <v>32</v>
      </c>
      <c r="C3817">
        <v>839000</v>
      </c>
      <c r="D3817">
        <v>5536.4</v>
      </c>
      <c r="E3817">
        <v>9.5999999999999992E-3</v>
      </c>
      <c r="F3817">
        <v>8.2199999999999995E-2</v>
      </c>
    </row>
    <row r="3818" spans="1:6" x14ac:dyDescent="0.3">
      <c r="A3818" t="s">
        <v>3853</v>
      </c>
      <c r="B3818" t="s">
        <v>41</v>
      </c>
      <c r="C3818">
        <v>1070000</v>
      </c>
      <c r="D3818">
        <v>4641.3</v>
      </c>
      <c r="E3818">
        <v>3.8800000000000001E-2</v>
      </c>
      <c r="F3818">
        <v>9.3799999999999994E-2</v>
      </c>
    </row>
    <row r="3819" spans="1:6" x14ac:dyDescent="0.3">
      <c r="A3819" t="s">
        <v>3854</v>
      </c>
      <c r="B3819" t="s">
        <v>41</v>
      </c>
      <c r="C3819">
        <v>878000</v>
      </c>
      <c r="D3819">
        <v>73584.3</v>
      </c>
      <c r="E3819">
        <v>8.0600000000000005E-2</v>
      </c>
      <c r="F3819">
        <v>7.5899999999999995E-2</v>
      </c>
    </row>
    <row r="3820" spans="1:6" x14ac:dyDescent="0.3">
      <c r="A3820" t="s">
        <v>3855</v>
      </c>
      <c r="B3820" t="s">
        <v>28</v>
      </c>
      <c r="C3820">
        <v>696000</v>
      </c>
      <c r="D3820">
        <v>280.39999999999998</v>
      </c>
      <c r="E3820">
        <v>2.8E-3</v>
      </c>
      <c r="F3820">
        <v>0.223</v>
      </c>
    </row>
    <row r="3821" spans="1:6" x14ac:dyDescent="0.3">
      <c r="A3821" t="s">
        <v>3856</v>
      </c>
      <c r="B3821" t="s">
        <v>74</v>
      </c>
      <c r="C3821">
        <v>948000</v>
      </c>
      <c r="D3821">
        <v>54021.3</v>
      </c>
      <c r="E3821">
        <v>5.5800000000000002E-2</v>
      </c>
      <c r="F3821">
        <v>7.5899999999999995E-2</v>
      </c>
    </row>
    <row r="3822" spans="1:6" x14ac:dyDescent="0.3">
      <c r="A3822" t="s">
        <v>3857</v>
      </c>
      <c r="B3822" t="s">
        <v>92</v>
      </c>
      <c r="C3822">
        <v>867000</v>
      </c>
      <c r="D3822">
        <v>95165</v>
      </c>
      <c r="E3822">
        <v>5.1799999999999999E-2</v>
      </c>
      <c r="F3822">
        <v>9.5100000000000004E-2</v>
      </c>
    </row>
    <row r="3823" spans="1:6" x14ac:dyDescent="0.3">
      <c r="A3823" t="s">
        <v>3858</v>
      </c>
      <c r="B3823" t="s">
        <v>26</v>
      </c>
      <c r="C3823">
        <v>655000</v>
      </c>
      <c r="D3823">
        <v>9521.6</v>
      </c>
      <c r="F3823">
        <v>5.0999999999999997E-2</v>
      </c>
    </row>
    <row r="3824" spans="1:6" x14ac:dyDescent="0.3">
      <c r="A3824" t="s">
        <v>3859</v>
      </c>
      <c r="B3824" t="s">
        <v>26</v>
      </c>
      <c r="C3824">
        <v>672000</v>
      </c>
      <c r="D3824">
        <v>1268.0999999999999</v>
      </c>
      <c r="E3824">
        <v>7.2300000000000003E-2</v>
      </c>
      <c r="F3824">
        <v>4.0899999999999999E-2</v>
      </c>
    </row>
    <row r="3825" spans="1:6" x14ac:dyDescent="0.3">
      <c r="A3825" t="s">
        <v>3860</v>
      </c>
      <c r="B3825" t="s">
        <v>26</v>
      </c>
      <c r="C3825">
        <v>911000</v>
      </c>
      <c r="D3825">
        <v>433927.6</v>
      </c>
      <c r="E3825">
        <v>2.8799999999999999E-2</v>
      </c>
      <c r="F3825">
        <v>7.5899999999999995E-2</v>
      </c>
    </row>
    <row r="3826" spans="1:6" x14ac:dyDescent="0.3">
      <c r="A3826" t="s">
        <v>3861</v>
      </c>
      <c r="B3826" t="s">
        <v>41</v>
      </c>
      <c r="C3826">
        <v>1010000</v>
      </c>
      <c r="D3826">
        <v>809.1</v>
      </c>
      <c r="E3826">
        <v>6.7999999999999996E-3</v>
      </c>
      <c r="F3826">
        <v>8.1100000000000005E-2</v>
      </c>
    </row>
    <row r="3827" spans="1:6" x14ac:dyDescent="0.3">
      <c r="A3827" t="s">
        <v>3862</v>
      </c>
      <c r="B3827" t="s">
        <v>50</v>
      </c>
      <c r="C3827">
        <v>980000</v>
      </c>
      <c r="D3827">
        <v>985527.8</v>
      </c>
      <c r="E3827">
        <v>1.7399999999999999E-2</v>
      </c>
      <c r="F3827">
        <v>5.8500000000000003E-2</v>
      </c>
    </row>
    <row r="3828" spans="1:6" x14ac:dyDescent="0.3">
      <c r="A3828" t="s">
        <v>3863</v>
      </c>
      <c r="B3828" t="s">
        <v>62</v>
      </c>
      <c r="C3828">
        <v>702000</v>
      </c>
      <c r="D3828">
        <v>106815.2</v>
      </c>
      <c r="E3828">
        <v>0.02</v>
      </c>
      <c r="F3828">
        <v>5.8500000000000003E-2</v>
      </c>
    </row>
    <row r="3829" spans="1:6" x14ac:dyDescent="0.3">
      <c r="A3829" t="s">
        <v>3864</v>
      </c>
      <c r="B3829" t="s">
        <v>41</v>
      </c>
      <c r="C3829">
        <v>757000</v>
      </c>
      <c r="D3829">
        <v>14836.8</v>
      </c>
      <c r="E3829">
        <v>2.06E-2</v>
      </c>
      <c r="F3829">
        <v>9.3799999999999994E-2</v>
      </c>
    </row>
    <row r="3830" spans="1:6" x14ac:dyDescent="0.3">
      <c r="A3830" t="s">
        <v>3865</v>
      </c>
      <c r="B3830" t="s">
        <v>88</v>
      </c>
      <c r="C3830">
        <v>677000</v>
      </c>
      <c r="D3830">
        <v>2017.5</v>
      </c>
      <c r="E3830">
        <v>1.67E-2</v>
      </c>
      <c r="F3830">
        <v>0.1067</v>
      </c>
    </row>
    <row r="3831" spans="1:6" x14ac:dyDescent="0.3">
      <c r="A3831" t="s">
        <v>3866</v>
      </c>
      <c r="B3831" t="s">
        <v>92</v>
      </c>
      <c r="C3831">
        <v>1010000</v>
      </c>
      <c r="D3831">
        <v>24015.7</v>
      </c>
      <c r="E3831">
        <v>1.7299999999999999E-2</v>
      </c>
      <c r="F3831">
        <v>8.5400000000000004E-2</v>
      </c>
    </row>
    <row r="3832" spans="1:6" x14ac:dyDescent="0.3">
      <c r="A3832" t="s">
        <v>3867</v>
      </c>
      <c r="B3832" t="s">
        <v>26</v>
      </c>
      <c r="C3832">
        <v>574000</v>
      </c>
      <c r="D3832">
        <v>94349.1</v>
      </c>
      <c r="E3832">
        <v>3.0599999999999999E-2</v>
      </c>
      <c r="F3832">
        <v>5.0999999999999997E-2</v>
      </c>
    </row>
    <row r="3833" spans="1:6" x14ac:dyDescent="0.3">
      <c r="A3833" t="s">
        <v>3868</v>
      </c>
      <c r="B3833" t="s">
        <v>88</v>
      </c>
      <c r="C3833">
        <v>1830000</v>
      </c>
      <c r="D3833">
        <v>1840.7</v>
      </c>
      <c r="E3833">
        <v>6.4500000000000002E-2</v>
      </c>
      <c r="F3833">
        <v>9.3799999999999994E-2</v>
      </c>
    </row>
    <row r="3834" spans="1:6" x14ac:dyDescent="0.3">
      <c r="A3834" t="s">
        <v>3869</v>
      </c>
      <c r="B3834" t="s">
        <v>88</v>
      </c>
      <c r="C3834">
        <v>927000</v>
      </c>
      <c r="D3834">
        <v>85995</v>
      </c>
      <c r="E3834">
        <v>2.3599999999999999E-2</v>
      </c>
      <c r="F3834">
        <v>9.5100000000000004E-2</v>
      </c>
    </row>
    <row r="3835" spans="1:6" x14ac:dyDescent="0.3">
      <c r="A3835" t="s">
        <v>3870</v>
      </c>
      <c r="B3835" t="s">
        <v>26</v>
      </c>
      <c r="C3835">
        <v>940000</v>
      </c>
      <c r="D3835">
        <v>4905</v>
      </c>
      <c r="E3835">
        <v>3.5200000000000002E-2</v>
      </c>
      <c r="F3835">
        <v>0.1226</v>
      </c>
    </row>
    <row r="3836" spans="1:6" x14ac:dyDescent="0.3">
      <c r="A3836" t="s">
        <v>3871</v>
      </c>
      <c r="B3836" t="s">
        <v>92</v>
      </c>
      <c r="C3836">
        <v>1250000</v>
      </c>
      <c r="D3836">
        <v>16883.900000000001</v>
      </c>
      <c r="E3836">
        <v>9.5999999999999992E-3</v>
      </c>
      <c r="F3836">
        <v>6.54E-2</v>
      </c>
    </row>
    <row r="3837" spans="1:6" x14ac:dyDescent="0.3">
      <c r="A3837" t="s">
        <v>3872</v>
      </c>
      <c r="B3837" t="s">
        <v>24</v>
      </c>
      <c r="C3837">
        <v>680000</v>
      </c>
      <c r="D3837">
        <v>7398.5</v>
      </c>
      <c r="E3837">
        <v>5.1999999999999998E-2</v>
      </c>
      <c r="F3837">
        <v>9.5100000000000004E-2</v>
      </c>
    </row>
    <row r="3838" spans="1:6" x14ac:dyDescent="0.3">
      <c r="A3838" t="s">
        <v>3873</v>
      </c>
      <c r="B3838" t="s">
        <v>50</v>
      </c>
      <c r="C3838">
        <v>766000</v>
      </c>
      <c r="D3838">
        <v>5280.4</v>
      </c>
      <c r="E3838">
        <v>8.0000000000000002E-3</v>
      </c>
      <c r="F3838">
        <v>0.12620000000000001</v>
      </c>
    </row>
    <row r="3839" spans="1:6" x14ac:dyDescent="0.3">
      <c r="A3839" t="s">
        <v>3874</v>
      </c>
      <c r="B3839" t="s">
        <v>88</v>
      </c>
      <c r="C3839">
        <v>1140000</v>
      </c>
      <c r="D3839">
        <v>1337.6</v>
      </c>
      <c r="E3839">
        <v>7.2300000000000003E-2</v>
      </c>
      <c r="F3839">
        <v>9.3799999999999994E-2</v>
      </c>
    </row>
    <row r="3840" spans="1:6" x14ac:dyDescent="0.3">
      <c r="A3840" t="s">
        <v>3875</v>
      </c>
      <c r="B3840" t="s">
        <v>32</v>
      </c>
      <c r="C3840">
        <v>793000</v>
      </c>
      <c r="D3840">
        <v>11294.5</v>
      </c>
      <c r="E3840">
        <v>9.7000000000000003E-3</v>
      </c>
      <c r="F3840">
        <v>8.2199999999999995E-2</v>
      </c>
    </row>
    <row r="3841" spans="1:6" x14ac:dyDescent="0.3">
      <c r="A3841" t="s">
        <v>3876</v>
      </c>
      <c r="B3841" t="s">
        <v>30</v>
      </c>
      <c r="C3841">
        <v>808000</v>
      </c>
      <c r="D3841">
        <v>105660.9</v>
      </c>
      <c r="E3841">
        <v>3.0599999999999999E-2</v>
      </c>
      <c r="F3841">
        <v>8.4500000000000006E-2</v>
      </c>
    </row>
    <row r="3842" spans="1:6" x14ac:dyDescent="0.3">
      <c r="A3842" t="s">
        <v>3877</v>
      </c>
      <c r="B3842" t="s">
        <v>88</v>
      </c>
      <c r="C3842">
        <v>977000</v>
      </c>
      <c r="D3842">
        <v>10629.5</v>
      </c>
      <c r="E3842">
        <v>5.3100000000000001E-2</v>
      </c>
      <c r="F3842">
        <v>7.5899999999999995E-2</v>
      </c>
    </row>
    <row r="3843" spans="1:6" x14ac:dyDescent="0.3">
      <c r="A3843" t="s">
        <v>3878</v>
      </c>
      <c r="B3843" t="s">
        <v>88</v>
      </c>
      <c r="C3843">
        <v>1010000</v>
      </c>
      <c r="D3843">
        <v>29592.9</v>
      </c>
      <c r="E3843">
        <v>4.1599999999999998E-2</v>
      </c>
      <c r="F3843">
        <v>9.5100000000000004E-2</v>
      </c>
    </row>
    <row r="3844" spans="1:6" x14ac:dyDescent="0.3">
      <c r="A3844" t="s">
        <v>3879</v>
      </c>
      <c r="B3844" t="s">
        <v>26</v>
      </c>
      <c r="C3844">
        <v>867000</v>
      </c>
      <c r="D3844">
        <v>9719.7000000000007</v>
      </c>
      <c r="E3844">
        <v>1.7399999999999999E-2</v>
      </c>
      <c r="F3844">
        <v>8.5400000000000004E-2</v>
      </c>
    </row>
    <row r="3845" spans="1:6" x14ac:dyDescent="0.3">
      <c r="A3845" t="s">
        <v>3880</v>
      </c>
      <c r="B3845" t="s">
        <v>62</v>
      </c>
      <c r="C3845">
        <v>795000</v>
      </c>
      <c r="D3845">
        <v>3448.5</v>
      </c>
      <c r="E3845">
        <v>1.0500000000000001E-2</v>
      </c>
      <c r="F3845">
        <v>5.8400000000000001E-2</v>
      </c>
    </row>
    <row r="3846" spans="1:6" x14ac:dyDescent="0.3">
      <c r="A3846" t="s">
        <v>3881</v>
      </c>
      <c r="B3846" t="s">
        <v>26</v>
      </c>
      <c r="C3846">
        <v>809000</v>
      </c>
      <c r="D3846">
        <v>113042.8</v>
      </c>
      <c r="E3846">
        <v>5.2200000000000003E-2</v>
      </c>
      <c r="F3846">
        <v>9.5100000000000004E-2</v>
      </c>
    </row>
    <row r="3847" spans="1:6" x14ac:dyDescent="0.3">
      <c r="A3847" t="s">
        <v>3882</v>
      </c>
      <c r="B3847" t="s">
        <v>26</v>
      </c>
      <c r="C3847">
        <v>812000</v>
      </c>
      <c r="D3847">
        <v>24251.3</v>
      </c>
      <c r="E3847">
        <v>4.2099999999999999E-2</v>
      </c>
      <c r="F3847">
        <v>9.5100000000000004E-2</v>
      </c>
    </row>
    <row r="3848" spans="1:6" x14ac:dyDescent="0.3">
      <c r="A3848" t="s">
        <v>3883</v>
      </c>
      <c r="B3848" t="s">
        <v>26</v>
      </c>
      <c r="C3848">
        <v>766000</v>
      </c>
      <c r="D3848">
        <v>33.700000000000003</v>
      </c>
      <c r="E3848">
        <v>5.8700000000000002E-2</v>
      </c>
      <c r="F3848">
        <v>9.3799999999999994E-2</v>
      </c>
    </row>
    <row r="3849" spans="1:6" x14ac:dyDescent="0.3">
      <c r="A3849" t="s">
        <v>3884</v>
      </c>
      <c r="B3849" t="s">
        <v>26</v>
      </c>
      <c r="C3849">
        <v>947000</v>
      </c>
      <c r="D3849">
        <v>86830.8</v>
      </c>
      <c r="E3849">
        <v>5.74E-2</v>
      </c>
      <c r="F3849">
        <v>7.5899999999999995E-2</v>
      </c>
    </row>
    <row r="3850" spans="1:6" x14ac:dyDescent="0.3">
      <c r="A3850" t="s">
        <v>3885</v>
      </c>
      <c r="B3850" t="s">
        <v>26</v>
      </c>
      <c r="C3850">
        <v>792000</v>
      </c>
      <c r="D3850">
        <v>69191.600000000006</v>
      </c>
      <c r="E3850">
        <v>5.8299999999999998E-2</v>
      </c>
      <c r="F3850">
        <v>6.7199999999999996E-2</v>
      </c>
    </row>
    <row r="3851" spans="1:6" x14ac:dyDescent="0.3">
      <c r="A3851" t="s">
        <v>3886</v>
      </c>
      <c r="B3851" t="s">
        <v>88</v>
      </c>
      <c r="C3851">
        <v>703000</v>
      </c>
      <c r="D3851">
        <v>4711.8</v>
      </c>
      <c r="E3851">
        <v>2.4500000000000001E-2</v>
      </c>
      <c r="F3851">
        <v>0.11700000000000001</v>
      </c>
    </row>
    <row r="3852" spans="1:6" x14ac:dyDescent="0.3">
      <c r="A3852" t="s">
        <v>3887</v>
      </c>
      <c r="B3852" t="s">
        <v>26</v>
      </c>
      <c r="C3852">
        <v>1200000</v>
      </c>
      <c r="D3852">
        <v>336659.9</v>
      </c>
      <c r="E3852">
        <v>6.0299999999999999E-2</v>
      </c>
      <c r="F3852">
        <v>7.5899999999999995E-2</v>
      </c>
    </row>
    <row r="3853" spans="1:6" x14ac:dyDescent="0.3">
      <c r="A3853" t="s">
        <v>3888</v>
      </c>
      <c r="B3853" t="s">
        <v>26</v>
      </c>
      <c r="C3853">
        <v>958000</v>
      </c>
      <c r="D3853">
        <v>87340.7</v>
      </c>
      <c r="E3853">
        <v>2.1700000000000001E-2</v>
      </c>
      <c r="F3853">
        <v>5.8500000000000003E-2</v>
      </c>
    </row>
    <row r="3854" spans="1:6" x14ac:dyDescent="0.3">
      <c r="A3854" t="s">
        <v>3889</v>
      </c>
      <c r="B3854" t="s">
        <v>53</v>
      </c>
      <c r="C3854">
        <v>906000</v>
      </c>
      <c r="D3854">
        <v>241858.9</v>
      </c>
      <c r="E3854">
        <v>3.5200000000000002E-2</v>
      </c>
      <c r="F3854">
        <v>9.5100000000000004E-2</v>
      </c>
    </row>
    <row r="3855" spans="1:6" x14ac:dyDescent="0.3">
      <c r="A3855" t="s">
        <v>3890</v>
      </c>
      <c r="B3855" t="s">
        <v>50</v>
      </c>
      <c r="C3855">
        <v>745000</v>
      </c>
      <c r="D3855">
        <v>52560.4</v>
      </c>
      <c r="E3855">
        <v>2.9899999999999999E-2</v>
      </c>
      <c r="F3855">
        <v>9.5100000000000004E-2</v>
      </c>
    </row>
    <row r="3856" spans="1:6" x14ac:dyDescent="0.3">
      <c r="A3856" t="s">
        <v>3891</v>
      </c>
      <c r="B3856" t="s">
        <v>41</v>
      </c>
      <c r="C3856">
        <v>870000</v>
      </c>
      <c r="D3856">
        <v>7207.5</v>
      </c>
      <c r="E3856">
        <v>3.56E-2</v>
      </c>
      <c r="F3856">
        <v>9.3799999999999994E-2</v>
      </c>
    </row>
    <row r="3857" spans="1:6" x14ac:dyDescent="0.3">
      <c r="A3857" t="s">
        <v>3892</v>
      </c>
      <c r="B3857" t="s">
        <v>26</v>
      </c>
      <c r="C3857">
        <v>1090000</v>
      </c>
      <c r="D3857">
        <v>1452227.4</v>
      </c>
      <c r="E3857">
        <v>9.9000000000000008E-3</v>
      </c>
      <c r="F3857">
        <v>8.2199999999999995E-2</v>
      </c>
    </row>
    <row r="3858" spans="1:6" x14ac:dyDescent="0.3">
      <c r="A3858" t="s">
        <v>3893</v>
      </c>
      <c r="B3858" t="s">
        <v>24</v>
      </c>
      <c r="C3858">
        <v>707000</v>
      </c>
      <c r="D3858">
        <v>13136</v>
      </c>
      <c r="F3858">
        <v>7.5899999999999995E-2</v>
      </c>
    </row>
    <row r="3859" spans="1:6" x14ac:dyDescent="0.3">
      <c r="A3859" t="s">
        <v>3894</v>
      </c>
      <c r="B3859" t="s">
        <v>71</v>
      </c>
      <c r="C3859">
        <v>683000</v>
      </c>
      <c r="D3859">
        <v>13519.4</v>
      </c>
      <c r="E3859">
        <v>4.48E-2</v>
      </c>
      <c r="F3859">
        <v>0.11840000000000001</v>
      </c>
    </row>
    <row r="3860" spans="1:6" x14ac:dyDescent="0.3">
      <c r="A3860" t="s">
        <v>3895</v>
      </c>
      <c r="B3860" t="s">
        <v>26</v>
      </c>
      <c r="C3860">
        <v>705000</v>
      </c>
      <c r="D3860">
        <v>7151.9</v>
      </c>
      <c r="E3860">
        <v>1.2999999999999999E-2</v>
      </c>
      <c r="F3860">
        <v>0.1067</v>
      </c>
    </row>
    <row r="3861" spans="1:6" x14ac:dyDescent="0.3">
      <c r="A3861" t="s">
        <v>3896</v>
      </c>
      <c r="B3861" t="s">
        <v>35</v>
      </c>
      <c r="C3861">
        <v>773000</v>
      </c>
      <c r="D3861">
        <v>1686.9</v>
      </c>
      <c r="E3861">
        <v>2.7E-2</v>
      </c>
      <c r="F3861">
        <v>4.0899999999999999E-2</v>
      </c>
    </row>
    <row r="3862" spans="1:6" x14ac:dyDescent="0.3">
      <c r="A3862" t="s">
        <v>3897</v>
      </c>
      <c r="B3862" t="s">
        <v>81</v>
      </c>
      <c r="C3862">
        <v>983000</v>
      </c>
      <c r="D3862">
        <v>241526.7</v>
      </c>
      <c r="E3862">
        <v>4.1099999999999998E-2</v>
      </c>
      <c r="F3862">
        <v>9.3799999999999994E-2</v>
      </c>
    </row>
    <row r="3863" spans="1:6" x14ac:dyDescent="0.3">
      <c r="A3863" t="s">
        <v>3898</v>
      </c>
      <c r="B3863" t="s">
        <v>26</v>
      </c>
      <c r="C3863">
        <v>757000</v>
      </c>
      <c r="D3863">
        <v>19738.400000000001</v>
      </c>
      <c r="E3863">
        <v>9.8000000000000004E-2</v>
      </c>
      <c r="F3863">
        <v>5.1799999999999999E-2</v>
      </c>
    </row>
    <row r="3864" spans="1:6" x14ac:dyDescent="0.3">
      <c r="A3864" t="s">
        <v>3899</v>
      </c>
      <c r="B3864" t="s">
        <v>41</v>
      </c>
      <c r="C3864">
        <v>1440000</v>
      </c>
      <c r="D3864">
        <v>15326.6</v>
      </c>
      <c r="E3864">
        <v>3.4099999999999998E-2</v>
      </c>
      <c r="F3864">
        <v>0.1168</v>
      </c>
    </row>
    <row r="3865" spans="1:6" x14ac:dyDescent="0.3">
      <c r="A3865" t="s">
        <v>3900</v>
      </c>
      <c r="B3865" t="s">
        <v>88</v>
      </c>
      <c r="C3865">
        <v>705000</v>
      </c>
      <c r="D3865">
        <v>46627.1</v>
      </c>
      <c r="E3865">
        <v>6.3100000000000003E-2</v>
      </c>
      <c r="F3865">
        <v>7.5899999999999995E-2</v>
      </c>
    </row>
    <row r="3866" spans="1:6" x14ac:dyDescent="0.3">
      <c r="A3866" t="s">
        <v>3901</v>
      </c>
      <c r="B3866" t="s">
        <v>88</v>
      </c>
      <c r="C3866">
        <v>1000000</v>
      </c>
      <c r="D3866">
        <v>49838.9</v>
      </c>
      <c r="E3866">
        <v>3.4799999999999998E-2</v>
      </c>
      <c r="F3866">
        <v>4.0899999999999999E-2</v>
      </c>
    </row>
    <row r="3867" spans="1:6" x14ac:dyDescent="0.3">
      <c r="A3867" t="s">
        <v>3902</v>
      </c>
      <c r="B3867" t="s">
        <v>62</v>
      </c>
      <c r="C3867">
        <v>928000</v>
      </c>
      <c r="D3867">
        <v>12736.4</v>
      </c>
      <c r="E3867">
        <v>3.9199999999999999E-2</v>
      </c>
      <c r="F3867">
        <v>9.3799999999999994E-2</v>
      </c>
    </row>
    <row r="3868" spans="1:6" x14ac:dyDescent="0.3">
      <c r="A3868" t="s">
        <v>3903</v>
      </c>
      <c r="B3868" t="s">
        <v>88</v>
      </c>
      <c r="C3868">
        <v>1730000</v>
      </c>
      <c r="D3868">
        <v>15891.9</v>
      </c>
      <c r="E3868">
        <v>9.6699999999999994E-2</v>
      </c>
      <c r="F3868">
        <v>7.5899999999999995E-2</v>
      </c>
    </row>
    <row r="3869" spans="1:6" x14ac:dyDescent="0.3">
      <c r="A3869" t="s">
        <v>3904</v>
      </c>
      <c r="B3869" t="s">
        <v>30</v>
      </c>
      <c r="C3869">
        <v>661000</v>
      </c>
      <c r="D3869">
        <v>2001843.4</v>
      </c>
      <c r="E3869">
        <v>2.23E-2</v>
      </c>
      <c r="F3869">
        <v>9.5100000000000004E-2</v>
      </c>
    </row>
    <row r="3870" spans="1:6" x14ac:dyDescent="0.3">
      <c r="A3870" t="s">
        <v>3905</v>
      </c>
      <c r="B3870" t="s">
        <v>41</v>
      </c>
      <c r="C3870">
        <v>1410000</v>
      </c>
      <c r="D3870">
        <v>686.2</v>
      </c>
      <c r="E3870">
        <v>3.1199999999999999E-2</v>
      </c>
      <c r="F3870">
        <v>9.3799999999999994E-2</v>
      </c>
    </row>
    <row r="3871" spans="1:6" x14ac:dyDescent="0.3">
      <c r="A3871" t="s">
        <v>3906</v>
      </c>
      <c r="B3871" t="s">
        <v>490</v>
      </c>
      <c r="C3871">
        <v>1050000</v>
      </c>
      <c r="D3871">
        <v>10064.299999999999</v>
      </c>
      <c r="E3871">
        <v>4.8500000000000001E-2</v>
      </c>
      <c r="F3871">
        <v>4.0899999999999999E-2</v>
      </c>
    </row>
    <row r="3872" spans="1:6" x14ac:dyDescent="0.3">
      <c r="A3872" t="s">
        <v>3907</v>
      </c>
      <c r="B3872" t="s">
        <v>53</v>
      </c>
      <c r="C3872">
        <v>1210000</v>
      </c>
      <c r="D3872">
        <v>5541</v>
      </c>
      <c r="E3872">
        <v>1.72E-2</v>
      </c>
      <c r="F3872">
        <v>8.5400000000000004E-2</v>
      </c>
    </row>
    <row r="3873" spans="1:6" x14ac:dyDescent="0.3">
      <c r="A3873" t="s">
        <v>3908</v>
      </c>
      <c r="B3873" t="s">
        <v>26</v>
      </c>
      <c r="C3873">
        <v>986000</v>
      </c>
      <c r="D3873">
        <v>94570.9</v>
      </c>
      <c r="E3873">
        <v>3.8699999999999998E-2</v>
      </c>
      <c r="F3873">
        <v>4.3200000000000002E-2</v>
      </c>
    </row>
    <row r="3874" spans="1:6" x14ac:dyDescent="0.3">
      <c r="A3874" t="s">
        <v>3909</v>
      </c>
      <c r="B3874" t="s">
        <v>92</v>
      </c>
      <c r="C3874">
        <v>1520000</v>
      </c>
      <c r="D3874">
        <v>10332</v>
      </c>
      <c r="E3874">
        <v>3.9600000000000003E-2</v>
      </c>
      <c r="F3874">
        <v>7.5899999999999995E-2</v>
      </c>
    </row>
    <row r="3875" spans="1:6" x14ac:dyDescent="0.3">
      <c r="A3875" t="s">
        <v>3910</v>
      </c>
      <c r="B3875" t="s">
        <v>81</v>
      </c>
      <c r="C3875">
        <v>1300000</v>
      </c>
      <c r="D3875">
        <v>56287041.299999997</v>
      </c>
      <c r="E3875">
        <v>2.1499999999999998E-2</v>
      </c>
      <c r="F3875">
        <v>9.98E-2</v>
      </c>
    </row>
    <row r="3876" spans="1:6" x14ac:dyDescent="0.3">
      <c r="A3876" t="s">
        <v>3911</v>
      </c>
      <c r="B3876" t="s">
        <v>74</v>
      </c>
      <c r="C3876">
        <v>810000</v>
      </c>
      <c r="D3876">
        <v>14627.5</v>
      </c>
      <c r="E3876">
        <v>4.24E-2</v>
      </c>
      <c r="F3876">
        <v>9.5100000000000004E-2</v>
      </c>
    </row>
    <row r="3877" spans="1:6" x14ac:dyDescent="0.3">
      <c r="A3877" t="s">
        <v>3912</v>
      </c>
      <c r="B3877" t="s">
        <v>62</v>
      </c>
      <c r="C3877">
        <v>775000</v>
      </c>
      <c r="D3877">
        <v>999.7</v>
      </c>
      <c r="E3877">
        <v>7.7700000000000005E-2</v>
      </c>
      <c r="F3877">
        <v>9.3799999999999994E-2</v>
      </c>
    </row>
    <row r="3878" spans="1:6" x14ac:dyDescent="0.3">
      <c r="A3878" t="s">
        <v>3913</v>
      </c>
      <c r="B3878" t="s">
        <v>92</v>
      </c>
      <c r="C3878">
        <v>777000</v>
      </c>
      <c r="D3878">
        <v>13780.4</v>
      </c>
      <c r="E3878">
        <v>2.2800000000000001E-2</v>
      </c>
      <c r="F3878">
        <v>5.0999999999999997E-2</v>
      </c>
    </row>
    <row r="3879" spans="1:6" x14ac:dyDescent="0.3">
      <c r="A3879" t="s">
        <v>3914</v>
      </c>
      <c r="B3879" t="s">
        <v>26</v>
      </c>
      <c r="C3879">
        <v>692000</v>
      </c>
      <c r="D3879">
        <v>378.6</v>
      </c>
      <c r="E3879">
        <v>1.6299999999999999E-2</v>
      </c>
      <c r="F3879">
        <v>0.13100000000000001</v>
      </c>
    </row>
    <row r="3880" spans="1:6" x14ac:dyDescent="0.3">
      <c r="A3880" t="s">
        <v>3915</v>
      </c>
      <c r="B3880" t="s">
        <v>88</v>
      </c>
      <c r="C3880">
        <v>1210000</v>
      </c>
      <c r="D3880">
        <v>5918.3</v>
      </c>
      <c r="E3880">
        <v>4.1200000000000001E-2</v>
      </c>
      <c r="F3880">
        <v>9.3799999999999994E-2</v>
      </c>
    </row>
    <row r="3881" spans="1:6" x14ac:dyDescent="0.3">
      <c r="A3881" t="s">
        <v>3916</v>
      </c>
      <c r="B3881" t="s">
        <v>195</v>
      </c>
      <c r="C3881">
        <v>688000</v>
      </c>
      <c r="D3881">
        <v>4375.3999999999996</v>
      </c>
      <c r="E3881">
        <v>1.7600000000000001E-2</v>
      </c>
      <c r="F3881">
        <v>0.1067</v>
      </c>
    </row>
    <row r="3882" spans="1:6" x14ac:dyDescent="0.3">
      <c r="A3882" t="s">
        <v>3917</v>
      </c>
      <c r="B3882" t="s">
        <v>214</v>
      </c>
      <c r="C3882">
        <v>1000000</v>
      </c>
      <c r="D3882">
        <v>17214.099999999999</v>
      </c>
      <c r="E3882">
        <v>3.2099999999999997E-2</v>
      </c>
      <c r="F3882">
        <v>7.5899999999999995E-2</v>
      </c>
    </row>
    <row r="3883" spans="1:6" x14ac:dyDescent="0.3">
      <c r="A3883" t="s">
        <v>3918</v>
      </c>
      <c r="B3883" t="s">
        <v>81</v>
      </c>
      <c r="C3883">
        <v>794000</v>
      </c>
      <c r="D3883">
        <v>93941.9</v>
      </c>
      <c r="E3883">
        <v>1.8200000000000001E-2</v>
      </c>
      <c r="F3883">
        <v>4.0899999999999999E-2</v>
      </c>
    </row>
    <row r="3884" spans="1:6" x14ac:dyDescent="0.3">
      <c r="A3884" t="s">
        <v>3919</v>
      </c>
      <c r="B3884" t="s">
        <v>26</v>
      </c>
      <c r="C3884">
        <v>728000</v>
      </c>
      <c r="D3884">
        <v>94187.8</v>
      </c>
      <c r="E3884">
        <v>2.2499999999999999E-2</v>
      </c>
      <c r="F3884">
        <v>9.3799999999999994E-2</v>
      </c>
    </row>
    <row r="3885" spans="1:6" x14ac:dyDescent="0.3">
      <c r="A3885" t="s">
        <v>3920</v>
      </c>
      <c r="B3885" t="s">
        <v>88</v>
      </c>
      <c r="C3885">
        <v>734000</v>
      </c>
      <c r="D3885">
        <v>5396.8</v>
      </c>
      <c r="E3885">
        <v>1.7899999999999999E-2</v>
      </c>
      <c r="F3885">
        <v>0.1067</v>
      </c>
    </row>
    <row r="3886" spans="1:6" x14ac:dyDescent="0.3">
      <c r="A3886" t="s">
        <v>3921</v>
      </c>
      <c r="B3886" t="s">
        <v>74</v>
      </c>
      <c r="C3886">
        <v>678000</v>
      </c>
      <c r="D3886">
        <v>20264.3</v>
      </c>
      <c r="E3886">
        <v>4.2999999999999997E-2</v>
      </c>
      <c r="F3886">
        <v>7.5899999999999995E-2</v>
      </c>
    </row>
    <row r="3887" spans="1:6" x14ac:dyDescent="0.3">
      <c r="A3887" t="s">
        <v>3922</v>
      </c>
      <c r="B3887" t="s">
        <v>62</v>
      </c>
      <c r="C3887">
        <v>1390000</v>
      </c>
      <c r="D3887">
        <v>7175</v>
      </c>
      <c r="E3887">
        <v>4.2200000000000001E-2</v>
      </c>
      <c r="F3887">
        <v>9.3799999999999994E-2</v>
      </c>
    </row>
    <row r="3888" spans="1:6" x14ac:dyDescent="0.3">
      <c r="A3888" t="s">
        <v>3923</v>
      </c>
      <c r="B3888" t="s">
        <v>62</v>
      </c>
      <c r="C3888">
        <v>691000</v>
      </c>
      <c r="D3888">
        <v>630.20000000000005</v>
      </c>
      <c r="E3888">
        <v>8.6999999999999994E-3</v>
      </c>
      <c r="F3888">
        <v>0.22700000000000001</v>
      </c>
    </row>
    <row r="3889" spans="1:6" x14ac:dyDescent="0.3">
      <c r="A3889" t="s">
        <v>3924</v>
      </c>
      <c r="B3889" t="s">
        <v>50</v>
      </c>
      <c r="C3889">
        <v>787000</v>
      </c>
      <c r="D3889">
        <v>703592.7</v>
      </c>
      <c r="E3889">
        <v>6.1899999999999997E-2</v>
      </c>
      <c r="F3889">
        <v>5.1799999999999999E-2</v>
      </c>
    </row>
    <row r="3890" spans="1:6" x14ac:dyDescent="0.3">
      <c r="A3890" t="s">
        <v>3925</v>
      </c>
      <c r="B3890" t="s">
        <v>41</v>
      </c>
      <c r="C3890">
        <v>1220000</v>
      </c>
      <c r="D3890">
        <v>10354.799999999999</v>
      </c>
      <c r="E3890">
        <v>6.83E-2</v>
      </c>
      <c r="F3890">
        <v>9.3799999999999994E-2</v>
      </c>
    </row>
    <row r="3891" spans="1:6" x14ac:dyDescent="0.3">
      <c r="A3891" t="s">
        <v>3926</v>
      </c>
      <c r="B3891" t="s">
        <v>26</v>
      </c>
      <c r="C3891">
        <v>1010000</v>
      </c>
      <c r="D3891">
        <v>109902.1</v>
      </c>
      <c r="E3891">
        <v>5.28E-2</v>
      </c>
      <c r="F3891">
        <v>7.5899999999999995E-2</v>
      </c>
    </row>
    <row r="3892" spans="1:6" x14ac:dyDescent="0.3">
      <c r="A3892" t="s">
        <v>3927</v>
      </c>
      <c r="B3892" t="s">
        <v>26</v>
      </c>
      <c r="C3892">
        <v>948000</v>
      </c>
      <c r="D3892">
        <v>229625.5</v>
      </c>
      <c r="E3892">
        <v>4.7300000000000002E-2</v>
      </c>
      <c r="F3892">
        <v>7.5899999999999995E-2</v>
      </c>
    </row>
    <row r="3893" spans="1:6" x14ac:dyDescent="0.3">
      <c r="A3893" t="s">
        <v>3928</v>
      </c>
      <c r="B3893" t="s">
        <v>26</v>
      </c>
      <c r="C3893">
        <v>1100000</v>
      </c>
      <c r="D3893">
        <v>220.9</v>
      </c>
      <c r="E3893">
        <v>8.2000000000000007E-3</v>
      </c>
      <c r="F3893">
        <v>8.1100000000000005E-2</v>
      </c>
    </row>
    <row r="3894" spans="1:6" x14ac:dyDescent="0.3">
      <c r="A3894" t="s">
        <v>3929</v>
      </c>
      <c r="B3894" t="s">
        <v>50</v>
      </c>
      <c r="C3894">
        <v>725000</v>
      </c>
      <c r="D3894">
        <v>127255.2</v>
      </c>
      <c r="E3894">
        <v>5.3E-3</v>
      </c>
      <c r="F3894">
        <v>8.2199999999999995E-2</v>
      </c>
    </row>
    <row r="3895" spans="1:6" x14ac:dyDescent="0.3">
      <c r="A3895" t="s">
        <v>3930</v>
      </c>
      <c r="B3895" t="s">
        <v>81</v>
      </c>
      <c r="C3895">
        <v>872000</v>
      </c>
      <c r="D3895">
        <v>47518.1</v>
      </c>
      <c r="E3895">
        <v>2.76E-2</v>
      </c>
      <c r="F3895">
        <v>9.3799999999999994E-2</v>
      </c>
    </row>
    <row r="3896" spans="1:6" x14ac:dyDescent="0.3">
      <c r="A3896" t="s">
        <v>3931</v>
      </c>
      <c r="B3896" t="s">
        <v>26</v>
      </c>
      <c r="C3896">
        <v>745000</v>
      </c>
      <c r="D3896">
        <v>1466881.6</v>
      </c>
      <c r="E3896">
        <v>4.2500000000000003E-2</v>
      </c>
      <c r="F3896">
        <v>9.5100000000000004E-2</v>
      </c>
    </row>
    <row r="3897" spans="1:6" x14ac:dyDescent="0.3">
      <c r="A3897" t="s">
        <v>3932</v>
      </c>
      <c r="B3897" t="s">
        <v>88</v>
      </c>
      <c r="C3897">
        <v>775000</v>
      </c>
      <c r="D3897">
        <v>5146.1000000000004</v>
      </c>
      <c r="E3897">
        <v>1.3299999999999999E-2</v>
      </c>
      <c r="F3897">
        <v>5.8400000000000001E-2</v>
      </c>
    </row>
    <row r="3898" spans="1:6" x14ac:dyDescent="0.3">
      <c r="A3898" t="s">
        <v>3933</v>
      </c>
      <c r="B3898" t="s">
        <v>62</v>
      </c>
      <c r="C3898">
        <v>1550000</v>
      </c>
      <c r="D3898">
        <v>16836.599999999999</v>
      </c>
      <c r="E3898">
        <v>5.1200000000000002E-2</v>
      </c>
      <c r="F3898">
        <v>5.0999999999999997E-2</v>
      </c>
    </row>
    <row r="3899" spans="1:6" x14ac:dyDescent="0.3">
      <c r="A3899" t="s">
        <v>3934</v>
      </c>
      <c r="B3899" t="s">
        <v>26</v>
      </c>
      <c r="C3899">
        <v>1470000</v>
      </c>
      <c r="D3899">
        <v>2086173.4</v>
      </c>
      <c r="E3899">
        <v>1.8599999999999998E-2</v>
      </c>
      <c r="F3899">
        <v>4.6199999999999998E-2</v>
      </c>
    </row>
    <row r="3900" spans="1:6" x14ac:dyDescent="0.3">
      <c r="A3900" t="s">
        <v>3935</v>
      </c>
      <c r="B3900" t="s">
        <v>26</v>
      </c>
      <c r="C3900">
        <v>898000</v>
      </c>
      <c r="D3900">
        <v>1678368</v>
      </c>
      <c r="E3900">
        <v>3.1800000000000002E-2</v>
      </c>
      <c r="F3900">
        <v>5.1799999999999999E-2</v>
      </c>
    </row>
    <row r="3901" spans="1:6" x14ac:dyDescent="0.3">
      <c r="A3901" t="s">
        <v>3936</v>
      </c>
      <c r="B3901" t="s">
        <v>88</v>
      </c>
      <c r="C3901">
        <v>3140000</v>
      </c>
      <c r="D3901">
        <v>33053.9</v>
      </c>
      <c r="E3901">
        <v>7.9600000000000004E-2</v>
      </c>
      <c r="F3901">
        <v>9.3799999999999994E-2</v>
      </c>
    </row>
    <row r="3902" spans="1:6" x14ac:dyDescent="0.3">
      <c r="A3902" t="s">
        <v>3937</v>
      </c>
      <c r="B3902" t="s">
        <v>490</v>
      </c>
      <c r="C3902">
        <v>844000</v>
      </c>
      <c r="D3902">
        <v>13670.6</v>
      </c>
      <c r="E3902">
        <v>9.2999999999999992E-3</v>
      </c>
      <c r="F3902">
        <v>8.2199999999999995E-2</v>
      </c>
    </row>
    <row r="3903" spans="1:6" x14ac:dyDescent="0.3">
      <c r="A3903" t="s">
        <v>3938</v>
      </c>
      <c r="B3903" t="s">
        <v>50</v>
      </c>
      <c r="C3903">
        <v>798000</v>
      </c>
      <c r="D3903">
        <v>6165.5</v>
      </c>
      <c r="E3903">
        <v>4.2500000000000003E-2</v>
      </c>
      <c r="F3903">
        <v>7.5899999999999995E-2</v>
      </c>
    </row>
    <row r="3904" spans="1:6" x14ac:dyDescent="0.3">
      <c r="A3904" t="s">
        <v>3939</v>
      </c>
      <c r="B3904" t="s">
        <v>214</v>
      </c>
      <c r="C3904">
        <v>920000</v>
      </c>
      <c r="D3904">
        <v>9102.4</v>
      </c>
      <c r="E3904">
        <v>2.12E-2</v>
      </c>
      <c r="F3904">
        <v>8.5400000000000004E-2</v>
      </c>
    </row>
    <row r="3905" spans="1:6" x14ac:dyDescent="0.3">
      <c r="A3905" t="s">
        <v>3940</v>
      </c>
      <c r="B3905" t="s">
        <v>88</v>
      </c>
      <c r="C3905">
        <v>1330000</v>
      </c>
      <c r="D3905">
        <v>3711</v>
      </c>
      <c r="E3905">
        <v>2.2000000000000001E-3</v>
      </c>
      <c r="F3905">
        <v>8.1100000000000005E-2</v>
      </c>
    </row>
    <row r="3906" spans="1:6" x14ac:dyDescent="0.3">
      <c r="A3906" t="s">
        <v>3941</v>
      </c>
      <c r="B3906" t="s">
        <v>92</v>
      </c>
      <c r="C3906">
        <v>672000</v>
      </c>
      <c r="D3906">
        <v>20350.2</v>
      </c>
      <c r="E3906">
        <v>2.4400000000000002E-2</v>
      </c>
      <c r="F3906">
        <v>4.0899999999999999E-2</v>
      </c>
    </row>
    <row r="3907" spans="1:6" x14ac:dyDescent="0.3">
      <c r="A3907" t="s">
        <v>3942</v>
      </c>
      <c r="B3907" t="s">
        <v>32</v>
      </c>
      <c r="C3907">
        <v>755000</v>
      </c>
      <c r="D3907">
        <v>21416.3</v>
      </c>
      <c r="E3907">
        <v>2.6700000000000002E-2</v>
      </c>
      <c r="F3907">
        <v>4.0899999999999999E-2</v>
      </c>
    </row>
    <row r="3908" spans="1:6" x14ac:dyDescent="0.3">
      <c r="A3908" t="s">
        <v>3943</v>
      </c>
      <c r="B3908" t="s">
        <v>26</v>
      </c>
      <c r="C3908">
        <v>706000</v>
      </c>
      <c r="D3908">
        <v>12052.5</v>
      </c>
      <c r="E3908">
        <v>3.0200000000000001E-2</v>
      </c>
      <c r="F3908">
        <v>9.5100000000000004E-2</v>
      </c>
    </row>
    <row r="3909" spans="1:6" x14ac:dyDescent="0.3">
      <c r="A3909" t="s">
        <v>3944</v>
      </c>
      <c r="B3909" t="s">
        <v>26</v>
      </c>
      <c r="C3909">
        <v>1730000</v>
      </c>
      <c r="D3909">
        <v>2193793.2000000002</v>
      </c>
      <c r="E3909">
        <v>2.3E-2</v>
      </c>
      <c r="F3909">
        <v>9.5100000000000004E-2</v>
      </c>
    </row>
    <row r="3910" spans="1:6" x14ac:dyDescent="0.3">
      <c r="A3910" t="s">
        <v>3945</v>
      </c>
      <c r="B3910" t="s">
        <v>195</v>
      </c>
      <c r="C3910">
        <v>692000</v>
      </c>
      <c r="D3910">
        <v>551389.6</v>
      </c>
      <c r="E3910">
        <v>1.66E-2</v>
      </c>
      <c r="F3910">
        <v>4.6199999999999998E-2</v>
      </c>
    </row>
    <row r="3911" spans="1:6" x14ac:dyDescent="0.3">
      <c r="A3911" t="s">
        <v>3946</v>
      </c>
      <c r="B3911" t="s">
        <v>88</v>
      </c>
      <c r="C3911">
        <v>1630000</v>
      </c>
      <c r="D3911">
        <v>264380.7</v>
      </c>
      <c r="E3911">
        <v>3.7999999999999999E-2</v>
      </c>
      <c r="F3911">
        <v>7.5899999999999995E-2</v>
      </c>
    </row>
    <row r="3912" spans="1:6" x14ac:dyDescent="0.3">
      <c r="A3912" t="s">
        <v>3947</v>
      </c>
      <c r="B3912" t="s">
        <v>26</v>
      </c>
      <c r="C3912">
        <v>1080000</v>
      </c>
      <c r="D3912">
        <v>14055.9</v>
      </c>
      <c r="E3912">
        <v>3.8899999999999997E-2</v>
      </c>
      <c r="F3912">
        <v>7.5899999999999995E-2</v>
      </c>
    </row>
    <row r="3913" spans="1:6" x14ac:dyDescent="0.3">
      <c r="A3913" t="s">
        <v>3948</v>
      </c>
      <c r="B3913" t="s">
        <v>26</v>
      </c>
      <c r="C3913">
        <v>886000</v>
      </c>
      <c r="D3913">
        <v>121276.6</v>
      </c>
      <c r="E3913">
        <v>4.5400000000000003E-2</v>
      </c>
      <c r="F3913">
        <v>7.5899999999999995E-2</v>
      </c>
    </row>
    <row r="3914" spans="1:6" x14ac:dyDescent="0.3">
      <c r="A3914" t="s">
        <v>3949</v>
      </c>
      <c r="B3914" t="s">
        <v>24</v>
      </c>
      <c r="C3914">
        <v>1360000</v>
      </c>
      <c r="D3914">
        <v>6490.3</v>
      </c>
      <c r="E3914">
        <v>6.7500000000000004E-2</v>
      </c>
      <c r="F3914">
        <v>0.15160000000000001</v>
      </c>
    </row>
    <row r="3915" spans="1:6" x14ac:dyDescent="0.3">
      <c r="A3915" t="s">
        <v>3950</v>
      </c>
      <c r="B3915" t="s">
        <v>26</v>
      </c>
      <c r="C3915">
        <v>803000</v>
      </c>
      <c r="D3915">
        <v>10153.1</v>
      </c>
      <c r="E3915">
        <v>8.0100000000000005E-2</v>
      </c>
      <c r="F3915">
        <v>7.5899999999999995E-2</v>
      </c>
    </row>
    <row r="3916" spans="1:6" x14ac:dyDescent="0.3">
      <c r="A3916" t="s">
        <v>3951</v>
      </c>
      <c r="B3916" t="s">
        <v>26</v>
      </c>
      <c r="C3916">
        <v>688000</v>
      </c>
      <c r="D3916">
        <v>904.5</v>
      </c>
      <c r="E3916">
        <v>3.5799999999999998E-2</v>
      </c>
      <c r="F3916">
        <v>7.5899999999999995E-2</v>
      </c>
    </row>
    <row r="3917" spans="1:6" x14ac:dyDescent="0.3">
      <c r="A3917" t="s">
        <v>3952</v>
      </c>
      <c r="B3917" t="s">
        <v>41</v>
      </c>
      <c r="C3917">
        <v>694000</v>
      </c>
      <c r="D3917">
        <v>1813.8</v>
      </c>
      <c r="E3917">
        <v>3.8199999999999998E-2</v>
      </c>
      <c r="F3917">
        <v>9.5100000000000004E-2</v>
      </c>
    </row>
    <row r="3918" spans="1:6" x14ac:dyDescent="0.3">
      <c r="A3918" t="s">
        <v>3953</v>
      </c>
      <c r="B3918" t="s">
        <v>21</v>
      </c>
      <c r="C3918">
        <v>911000</v>
      </c>
      <c r="D3918">
        <v>1297.3</v>
      </c>
      <c r="E3918">
        <v>1.5599999999999999E-2</v>
      </c>
      <c r="F3918">
        <v>0.1053</v>
      </c>
    </row>
    <row r="3919" spans="1:6" x14ac:dyDescent="0.3">
      <c r="A3919" t="s">
        <v>3954</v>
      </c>
      <c r="B3919" t="s">
        <v>490</v>
      </c>
      <c r="C3919">
        <v>852000</v>
      </c>
      <c r="D3919">
        <v>107005.7</v>
      </c>
      <c r="E3919">
        <v>1.9099999999999999E-2</v>
      </c>
      <c r="F3919">
        <v>5.8400000000000001E-2</v>
      </c>
    </row>
    <row r="3920" spans="1:6" x14ac:dyDescent="0.3">
      <c r="A3920" t="s">
        <v>3955</v>
      </c>
      <c r="B3920" t="s">
        <v>88</v>
      </c>
      <c r="C3920">
        <v>895000</v>
      </c>
      <c r="D3920">
        <v>152748.9</v>
      </c>
      <c r="E3920">
        <v>3.9E-2</v>
      </c>
      <c r="F3920">
        <v>9.5100000000000004E-2</v>
      </c>
    </row>
    <row r="3921" spans="1:6" x14ac:dyDescent="0.3">
      <c r="A3921" t="s">
        <v>3956</v>
      </c>
      <c r="B3921" t="s">
        <v>26</v>
      </c>
      <c r="C3921">
        <v>1290000</v>
      </c>
      <c r="D3921">
        <v>224980.7</v>
      </c>
      <c r="E3921">
        <v>2.9100000000000001E-2</v>
      </c>
      <c r="F3921">
        <v>4.0899999999999999E-2</v>
      </c>
    </row>
    <row r="3922" spans="1:6" x14ac:dyDescent="0.3">
      <c r="A3922" t="s">
        <v>3957</v>
      </c>
      <c r="B3922" t="s">
        <v>24</v>
      </c>
      <c r="C3922">
        <v>798000</v>
      </c>
      <c r="D3922">
        <v>9889.7999999999993</v>
      </c>
      <c r="E3922">
        <v>0.19350000000000001</v>
      </c>
      <c r="F3922">
        <v>9.3799999999999994E-2</v>
      </c>
    </row>
    <row r="3923" spans="1:6" x14ac:dyDescent="0.3">
      <c r="A3923" t="s">
        <v>3958</v>
      </c>
      <c r="B3923" t="s">
        <v>26</v>
      </c>
      <c r="C3923">
        <v>698000</v>
      </c>
      <c r="D3923">
        <v>107849.9</v>
      </c>
      <c r="E3923">
        <v>4.1500000000000002E-2</v>
      </c>
      <c r="F3923">
        <v>6.7199999999999996E-2</v>
      </c>
    </row>
    <row r="3924" spans="1:6" x14ac:dyDescent="0.3">
      <c r="A3924" t="s">
        <v>3959</v>
      </c>
      <c r="B3924" t="s">
        <v>26</v>
      </c>
      <c r="C3924">
        <v>922000</v>
      </c>
      <c r="D3924">
        <v>169051.5</v>
      </c>
      <c r="E3924">
        <v>1.9400000000000001E-2</v>
      </c>
      <c r="F3924">
        <v>4.6199999999999998E-2</v>
      </c>
    </row>
    <row r="3925" spans="1:6" x14ac:dyDescent="0.3">
      <c r="A3925" t="s">
        <v>3960</v>
      </c>
      <c r="B3925" t="s">
        <v>26</v>
      </c>
      <c r="C3925">
        <v>962000</v>
      </c>
      <c r="D3925">
        <v>252260.1</v>
      </c>
      <c r="E3925">
        <v>8.6599999999999996E-2</v>
      </c>
      <c r="F3925">
        <v>9.5100000000000004E-2</v>
      </c>
    </row>
    <row r="3926" spans="1:6" x14ac:dyDescent="0.3">
      <c r="A3926" t="s">
        <v>3961</v>
      </c>
      <c r="B3926" t="s">
        <v>26</v>
      </c>
      <c r="C3926">
        <v>265000</v>
      </c>
      <c r="D3926">
        <v>297.10000000000002</v>
      </c>
      <c r="E3926">
        <v>2.4199999999999999E-2</v>
      </c>
      <c r="F3926">
        <v>9.5100000000000004E-2</v>
      </c>
    </row>
    <row r="3927" spans="1:6" x14ac:dyDescent="0.3">
      <c r="A3927" t="s">
        <v>3962</v>
      </c>
      <c r="B3927" t="s">
        <v>88</v>
      </c>
      <c r="C3927">
        <v>814000</v>
      </c>
      <c r="D3927">
        <v>8274.7999999999993</v>
      </c>
      <c r="E3927">
        <v>5.0200000000000002E-2</v>
      </c>
      <c r="F3927">
        <v>9.3799999999999994E-2</v>
      </c>
    </row>
    <row r="3928" spans="1:6" x14ac:dyDescent="0.3">
      <c r="A3928" t="s">
        <v>3963</v>
      </c>
      <c r="B3928" t="s">
        <v>81</v>
      </c>
      <c r="C3928">
        <v>676000</v>
      </c>
      <c r="D3928">
        <v>2124.6999999999998</v>
      </c>
      <c r="E3928">
        <v>2.2800000000000001E-2</v>
      </c>
      <c r="F3928">
        <v>5.1799999999999999E-2</v>
      </c>
    </row>
    <row r="3929" spans="1:6" x14ac:dyDescent="0.3">
      <c r="A3929" t="s">
        <v>3964</v>
      </c>
      <c r="B3929" t="s">
        <v>88</v>
      </c>
      <c r="C3929">
        <v>1200000</v>
      </c>
      <c r="D3929">
        <v>2047.6</v>
      </c>
      <c r="E3929">
        <v>8.9099999999999999E-2</v>
      </c>
      <c r="F3929">
        <v>9.3799999999999994E-2</v>
      </c>
    </row>
    <row r="3930" spans="1:6" x14ac:dyDescent="0.3">
      <c r="A3930" t="s">
        <v>3965</v>
      </c>
      <c r="B3930" t="s">
        <v>26</v>
      </c>
      <c r="C3930">
        <v>1880000</v>
      </c>
      <c r="D3930">
        <v>12286.5</v>
      </c>
      <c r="E3930">
        <v>2.07E-2</v>
      </c>
      <c r="F3930">
        <v>9.3799999999999994E-2</v>
      </c>
    </row>
    <row r="3931" spans="1:6" x14ac:dyDescent="0.3">
      <c r="A3931" t="s">
        <v>3966</v>
      </c>
      <c r="B3931" t="s">
        <v>74</v>
      </c>
      <c r="C3931">
        <v>864000</v>
      </c>
      <c r="D3931">
        <v>67115.7</v>
      </c>
      <c r="E3931">
        <v>4.6800000000000001E-2</v>
      </c>
      <c r="F3931">
        <v>9.5100000000000004E-2</v>
      </c>
    </row>
    <row r="3932" spans="1:6" x14ac:dyDescent="0.3">
      <c r="A3932" t="s">
        <v>3967</v>
      </c>
      <c r="B3932" t="s">
        <v>81</v>
      </c>
      <c r="C3932">
        <v>836000</v>
      </c>
      <c r="D3932">
        <v>29307.599999999999</v>
      </c>
      <c r="E3932">
        <v>4.8300000000000003E-2</v>
      </c>
      <c r="F3932">
        <v>7.5899999999999995E-2</v>
      </c>
    </row>
    <row r="3933" spans="1:6" x14ac:dyDescent="0.3">
      <c r="A3933" t="s">
        <v>3968</v>
      </c>
      <c r="B3933" t="s">
        <v>24</v>
      </c>
      <c r="C3933">
        <v>1700000</v>
      </c>
      <c r="D3933">
        <v>26933.5</v>
      </c>
      <c r="E3933">
        <v>7.2400000000000006E-2</v>
      </c>
      <c r="F3933">
        <v>9.3799999999999994E-2</v>
      </c>
    </row>
    <row r="3934" spans="1:6" x14ac:dyDescent="0.3">
      <c r="A3934" t="s">
        <v>3969</v>
      </c>
      <c r="B3934" t="s">
        <v>26</v>
      </c>
      <c r="C3934">
        <v>706000</v>
      </c>
      <c r="D3934">
        <v>21164.2</v>
      </c>
      <c r="E3934">
        <v>2.87E-2</v>
      </c>
      <c r="F3934">
        <v>9.5100000000000004E-2</v>
      </c>
    </row>
    <row r="3935" spans="1:6" x14ac:dyDescent="0.3">
      <c r="A3935" t="s">
        <v>3970</v>
      </c>
      <c r="B3935" t="s">
        <v>62</v>
      </c>
      <c r="C3935">
        <v>240000</v>
      </c>
      <c r="D3935">
        <v>2202.1999999999998</v>
      </c>
      <c r="E3935">
        <v>1.2999999999999999E-2</v>
      </c>
      <c r="F3935">
        <v>4.6199999999999998E-2</v>
      </c>
    </row>
    <row r="3936" spans="1:6" x14ac:dyDescent="0.3">
      <c r="A3936" t="s">
        <v>3971</v>
      </c>
      <c r="B3936" t="s">
        <v>26</v>
      </c>
      <c r="C3936">
        <v>1660000</v>
      </c>
      <c r="D3936">
        <v>619</v>
      </c>
      <c r="E3936">
        <v>2.53E-2</v>
      </c>
      <c r="F3936">
        <v>4.0899999999999999E-2</v>
      </c>
    </row>
    <row r="3937" spans="1:6" x14ac:dyDescent="0.3">
      <c r="A3937" t="s">
        <v>3972</v>
      </c>
      <c r="B3937" t="s">
        <v>32</v>
      </c>
      <c r="C3937">
        <v>907000</v>
      </c>
      <c r="D3937">
        <v>562.29999999999995</v>
      </c>
      <c r="E3937">
        <v>1.2200000000000001E-2</v>
      </c>
      <c r="F3937">
        <v>0.1452</v>
      </c>
    </row>
    <row r="3938" spans="1:6" x14ac:dyDescent="0.3">
      <c r="A3938" t="s">
        <v>3973</v>
      </c>
      <c r="B3938" t="s">
        <v>214</v>
      </c>
      <c r="C3938">
        <v>664000</v>
      </c>
      <c r="D3938">
        <v>7025.1</v>
      </c>
      <c r="E3938">
        <v>1.1599999999999999E-2</v>
      </c>
      <c r="F3938">
        <v>6.5699999999999995E-2</v>
      </c>
    </row>
    <row r="3939" spans="1:6" x14ac:dyDescent="0.3">
      <c r="A3939" t="s">
        <v>3974</v>
      </c>
      <c r="B3939" t="s">
        <v>195</v>
      </c>
      <c r="C3939">
        <v>718000</v>
      </c>
      <c r="D3939">
        <v>46766.400000000001</v>
      </c>
      <c r="E3939">
        <v>4.3700000000000003E-2</v>
      </c>
      <c r="F3939">
        <v>9.5100000000000004E-2</v>
      </c>
    </row>
    <row r="3940" spans="1:6" x14ac:dyDescent="0.3">
      <c r="A3940" t="s">
        <v>3975</v>
      </c>
      <c r="B3940" t="s">
        <v>26</v>
      </c>
      <c r="C3940">
        <v>1160000</v>
      </c>
      <c r="D3940">
        <v>527110.30000000005</v>
      </c>
      <c r="E3940">
        <v>2.2599999999999999E-2</v>
      </c>
      <c r="F3940">
        <v>5.0999999999999997E-2</v>
      </c>
    </row>
    <row r="3941" spans="1:6" x14ac:dyDescent="0.3">
      <c r="A3941" t="s">
        <v>3976</v>
      </c>
      <c r="B3941" t="s">
        <v>26</v>
      </c>
      <c r="C3941">
        <v>782000</v>
      </c>
      <c r="D3941">
        <v>293277.09999999998</v>
      </c>
      <c r="E3941">
        <v>1.9800000000000002E-2</v>
      </c>
      <c r="F3941">
        <v>6.1600000000000002E-2</v>
      </c>
    </row>
    <row r="3942" spans="1:6" x14ac:dyDescent="0.3">
      <c r="A3942" t="s">
        <v>3977</v>
      </c>
      <c r="B3942" t="s">
        <v>81</v>
      </c>
      <c r="C3942">
        <v>922000</v>
      </c>
      <c r="D3942">
        <v>4207.8999999999996</v>
      </c>
      <c r="E3942">
        <v>2.98E-2</v>
      </c>
      <c r="F3942">
        <v>9.3799999999999994E-2</v>
      </c>
    </row>
    <row r="3943" spans="1:6" x14ac:dyDescent="0.3">
      <c r="A3943" t="s">
        <v>3978</v>
      </c>
      <c r="B3943" t="s">
        <v>24</v>
      </c>
      <c r="C3943">
        <v>812000</v>
      </c>
      <c r="D3943">
        <v>126331.5</v>
      </c>
      <c r="E3943">
        <v>8.2699999999999996E-2</v>
      </c>
      <c r="F3943">
        <v>9.5100000000000004E-2</v>
      </c>
    </row>
    <row r="3944" spans="1:6" x14ac:dyDescent="0.3">
      <c r="A3944" t="s">
        <v>3979</v>
      </c>
      <c r="B3944" t="s">
        <v>88</v>
      </c>
      <c r="C3944">
        <v>787000</v>
      </c>
      <c r="D3944">
        <v>2991.5</v>
      </c>
      <c r="E3944">
        <v>6.6799999999999998E-2</v>
      </c>
      <c r="F3944">
        <v>9.98E-2</v>
      </c>
    </row>
    <row r="3945" spans="1:6" x14ac:dyDescent="0.3">
      <c r="A3945" t="s">
        <v>3980</v>
      </c>
      <c r="B3945" t="s">
        <v>92</v>
      </c>
      <c r="C3945">
        <v>1010000</v>
      </c>
      <c r="D3945">
        <v>208547.4</v>
      </c>
      <c r="E3945">
        <v>1.9800000000000002E-2</v>
      </c>
      <c r="F3945">
        <v>4.6199999999999998E-2</v>
      </c>
    </row>
    <row r="3946" spans="1:6" x14ac:dyDescent="0.3">
      <c r="A3946" t="s">
        <v>3981</v>
      </c>
      <c r="B3946" t="s">
        <v>26</v>
      </c>
      <c r="C3946">
        <v>652000</v>
      </c>
      <c r="D3946">
        <v>34259.199999999997</v>
      </c>
      <c r="E3946">
        <v>3.8300000000000001E-2</v>
      </c>
      <c r="F3946">
        <v>9.3799999999999994E-2</v>
      </c>
    </row>
    <row r="3947" spans="1:6" x14ac:dyDescent="0.3">
      <c r="A3947" t="s">
        <v>3982</v>
      </c>
      <c r="B3947" t="s">
        <v>88</v>
      </c>
      <c r="C3947">
        <v>833000</v>
      </c>
      <c r="D3947">
        <v>3752.5</v>
      </c>
      <c r="E3947">
        <v>1.43E-2</v>
      </c>
      <c r="F3947">
        <v>0.1067</v>
      </c>
    </row>
    <row r="3948" spans="1:6" x14ac:dyDescent="0.3">
      <c r="A3948" t="s">
        <v>3983</v>
      </c>
      <c r="B3948" t="s">
        <v>88</v>
      </c>
      <c r="C3948">
        <v>1710000</v>
      </c>
      <c r="D3948">
        <v>9617.4</v>
      </c>
      <c r="E3948">
        <v>6.4899999999999999E-2</v>
      </c>
      <c r="F3948">
        <v>9.3799999999999994E-2</v>
      </c>
    </row>
    <row r="3949" spans="1:6" x14ac:dyDescent="0.3">
      <c r="A3949" t="s">
        <v>3984</v>
      </c>
      <c r="B3949" t="s">
        <v>195</v>
      </c>
      <c r="C3949">
        <v>694000</v>
      </c>
      <c r="D3949">
        <v>4472</v>
      </c>
      <c r="F3949">
        <v>6.4399999999999999E-2</v>
      </c>
    </row>
    <row r="3950" spans="1:6" x14ac:dyDescent="0.3">
      <c r="A3950" t="s">
        <v>3985</v>
      </c>
      <c r="B3950" t="s">
        <v>26</v>
      </c>
      <c r="C3950">
        <v>805000</v>
      </c>
      <c r="D3950">
        <v>10617</v>
      </c>
      <c r="E3950">
        <v>1.54E-2</v>
      </c>
      <c r="F3950">
        <v>7.3599999999999999E-2</v>
      </c>
    </row>
    <row r="3951" spans="1:6" x14ac:dyDescent="0.3">
      <c r="A3951" t="s">
        <v>3986</v>
      </c>
      <c r="B3951" t="s">
        <v>214</v>
      </c>
      <c r="C3951">
        <v>929000</v>
      </c>
      <c r="D3951">
        <v>332951.90000000002</v>
      </c>
      <c r="E3951">
        <v>2.53E-2</v>
      </c>
      <c r="F3951">
        <v>6.7199999999999996E-2</v>
      </c>
    </row>
    <row r="3952" spans="1:6" x14ac:dyDescent="0.3">
      <c r="A3952" t="s">
        <v>3987</v>
      </c>
      <c r="B3952" t="s">
        <v>26</v>
      </c>
      <c r="C3952">
        <v>671000</v>
      </c>
      <c r="D3952">
        <v>384508.1</v>
      </c>
      <c r="E3952">
        <v>1.84E-2</v>
      </c>
      <c r="F3952">
        <v>5.8500000000000003E-2</v>
      </c>
    </row>
    <row r="3953" spans="1:6" x14ac:dyDescent="0.3">
      <c r="A3953" t="s">
        <v>3988</v>
      </c>
      <c r="B3953" t="s">
        <v>26</v>
      </c>
      <c r="C3953">
        <v>899000</v>
      </c>
      <c r="D3953">
        <v>41718.6</v>
      </c>
      <c r="E3953">
        <v>2.35E-2</v>
      </c>
      <c r="F3953">
        <v>9.5100000000000004E-2</v>
      </c>
    </row>
    <row r="3954" spans="1:6" x14ac:dyDescent="0.3">
      <c r="A3954" t="s">
        <v>3989</v>
      </c>
      <c r="B3954" t="s">
        <v>24</v>
      </c>
      <c r="C3954">
        <v>723000</v>
      </c>
      <c r="D3954">
        <v>45902.5</v>
      </c>
      <c r="E3954">
        <v>1.38E-2</v>
      </c>
      <c r="F3954">
        <v>9.5000000000000001E-2</v>
      </c>
    </row>
    <row r="3955" spans="1:6" x14ac:dyDescent="0.3">
      <c r="A3955" t="s">
        <v>3990</v>
      </c>
      <c r="B3955" t="s">
        <v>30</v>
      </c>
      <c r="C3955">
        <v>1520000</v>
      </c>
      <c r="D3955">
        <v>297782.5</v>
      </c>
      <c r="E3955">
        <v>3.5700000000000003E-2</v>
      </c>
      <c r="F3955">
        <v>7.5899999999999995E-2</v>
      </c>
    </row>
    <row r="3956" spans="1:6" x14ac:dyDescent="0.3">
      <c r="A3956" t="s">
        <v>3991</v>
      </c>
      <c r="B3956" t="s">
        <v>26</v>
      </c>
      <c r="C3956">
        <v>620000</v>
      </c>
      <c r="D3956">
        <v>56446.1</v>
      </c>
      <c r="F3956">
        <v>5.1799999999999999E-2</v>
      </c>
    </row>
    <row r="3957" spans="1:6" x14ac:dyDescent="0.3">
      <c r="A3957" t="s">
        <v>3992</v>
      </c>
      <c r="B3957" t="s">
        <v>88</v>
      </c>
      <c r="C3957">
        <v>1500000</v>
      </c>
      <c r="D3957">
        <v>5699.6</v>
      </c>
      <c r="E3957">
        <v>2.5899999999999999E-2</v>
      </c>
      <c r="F3957">
        <v>9.3799999999999994E-2</v>
      </c>
    </row>
    <row r="3958" spans="1:6" x14ac:dyDescent="0.3">
      <c r="A3958" t="s">
        <v>3993</v>
      </c>
      <c r="B3958" t="s">
        <v>88</v>
      </c>
      <c r="C3958">
        <v>982000</v>
      </c>
      <c r="D3958">
        <v>7437.9</v>
      </c>
      <c r="E3958">
        <v>6.08E-2</v>
      </c>
      <c r="F3958">
        <v>9.3799999999999994E-2</v>
      </c>
    </row>
    <row r="3959" spans="1:6" x14ac:dyDescent="0.3">
      <c r="A3959" t="s">
        <v>3994</v>
      </c>
      <c r="B3959" t="s">
        <v>88</v>
      </c>
      <c r="C3959">
        <v>679000</v>
      </c>
      <c r="D3959">
        <v>11221.6</v>
      </c>
      <c r="E3959">
        <v>1.6400000000000001E-2</v>
      </c>
      <c r="F3959">
        <v>7.2599999999999998E-2</v>
      </c>
    </row>
    <row r="3960" spans="1:6" x14ac:dyDescent="0.3">
      <c r="A3960" t="s">
        <v>3995</v>
      </c>
      <c r="B3960" t="s">
        <v>88</v>
      </c>
      <c r="C3960">
        <v>1170000</v>
      </c>
      <c r="D3960">
        <v>4718.3999999999996</v>
      </c>
      <c r="E3960">
        <v>4.8800000000000003E-2</v>
      </c>
      <c r="F3960">
        <v>7.5899999999999995E-2</v>
      </c>
    </row>
    <row r="3961" spans="1:6" x14ac:dyDescent="0.3">
      <c r="A3961" t="s">
        <v>3996</v>
      </c>
      <c r="B3961" t="s">
        <v>490</v>
      </c>
      <c r="C3961">
        <v>688000</v>
      </c>
      <c r="D3961">
        <v>4477.8999999999996</v>
      </c>
      <c r="E3961">
        <v>6.8999999999999999E-3</v>
      </c>
      <c r="F3961">
        <v>6.54E-2</v>
      </c>
    </row>
    <row r="3962" spans="1:6" x14ac:dyDescent="0.3">
      <c r="A3962" t="s">
        <v>3997</v>
      </c>
      <c r="B3962" t="s">
        <v>62</v>
      </c>
      <c r="C3962">
        <v>833000</v>
      </c>
      <c r="D3962">
        <v>60382.8</v>
      </c>
      <c r="E3962">
        <v>1.8700000000000001E-2</v>
      </c>
      <c r="F3962">
        <v>8.5400000000000004E-2</v>
      </c>
    </row>
    <row r="3963" spans="1:6" x14ac:dyDescent="0.3">
      <c r="A3963" t="s">
        <v>3998</v>
      </c>
      <c r="B3963" t="s">
        <v>26</v>
      </c>
      <c r="C3963">
        <v>964000</v>
      </c>
      <c r="D3963">
        <v>339731.6</v>
      </c>
      <c r="E3963">
        <v>4.3499999999999997E-2</v>
      </c>
      <c r="F3963">
        <v>6.7199999999999996E-2</v>
      </c>
    </row>
    <row r="3964" spans="1:6" x14ac:dyDescent="0.3">
      <c r="A3964" t="s">
        <v>3999</v>
      </c>
      <c r="B3964" t="s">
        <v>41</v>
      </c>
      <c r="C3964">
        <v>578000</v>
      </c>
      <c r="D3964">
        <v>99389.1</v>
      </c>
      <c r="E3964">
        <v>1.2500000000000001E-2</v>
      </c>
      <c r="F3964">
        <v>5.8400000000000001E-2</v>
      </c>
    </row>
    <row r="3965" spans="1:6" x14ac:dyDescent="0.3">
      <c r="A3965" t="s">
        <v>4000</v>
      </c>
      <c r="B3965" t="s">
        <v>88</v>
      </c>
      <c r="C3965">
        <v>689000</v>
      </c>
      <c r="D3965">
        <v>2428.5</v>
      </c>
      <c r="E3965">
        <v>4.1200000000000001E-2</v>
      </c>
      <c r="F3965">
        <v>9.3799999999999994E-2</v>
      </c>
    </row>
    <row r="3966" spans="1:6" x14ac:dyDescent="0.3">
      <c r="A3966" t="s">
        <v>4001</v>
      </c>
      <c r="B3966" t="s">
        <v>26</v>
      </c>
      <c r="C3966">
        <v>674000</v>
      </c>
      <c r="D3966">
        <v>969.1</v>
      </c>
      <c r="E3966">
        <v>2.1100000000000001E-2</v>
      </c>
      <c r="F3966">
        <v>4.6199999999999998E-2</v>
      </c>
    </row>
    <row r="3967" spans="1:6" x14ac:dyDescent="0.3">
      <c r="A3967" t="s">
        <v>4002</v>
      </c>
      <c r="B3967" t="s">
        <v>214</v>
      </c>
      <c r="C3967">
        <v>685000</v>
      </c>
      <c r="D3967">
        <v>1105.5</v>
      </c>
      <c r="E3967">
        <v>1.6799999999999999E-2</v>
      </c>
      <c r="F3967">
        <v>5.8500000000000003E-2</v>
      </c>
    </row>
    <row r="3968" spans="1:6" x14ac:dyDescent="0.3">
      <c r="A3968" t="s">
        <v>4003</v>
      </c>
      <c r="B3968" t="s">
        <v>26</v>
      </c>
      <c r="C3968">
        <v>857000</v>
      </c>
      <c r="D3968">
        <v>644221.19999999995</v>
      </c>
      <c r="E3968">
        <v>1.7500000000000002E-2</v>
      </c>
      <c r="F3968">
        <v>4.6199999999999998E-2</v>
      </c>
    </row>
    <row r="3969" spans="1:6" x14ac:dyDescent="0.3">
      <c r="A3969" t="s">
        <v>4004</v>
      </c>
      <c r="B3969" t="s">
        <v>26</v>
      </c>
      <c r="C3969">
        <v>689000</v>
      </c>
      <c r="D3969">
        <v>51380.1</v>
      </c>
      <c r="E3969">
        <v>3.4700000000000002E-2</v>
      </c>
      <c r="F3969">
        <v>5.4600000000000003E-2</v>
      </c>
    </row>
    <row r="3970" spans="1:6" x14ac:dyDescent="0.3">
      <c r="A3970" t="s">
        <v>4005</v>
      </c>
      <c r="B3970" t="s">
        <v>26</v>
      </c>
      <c r="C3970">
        <v>1030000</v>
      </c>
      <c r="D3970">
        <v>257986.2</v>
      </c>
      <c r="E3970">
        <v>3.6200000000000003E-2</v>
      </c>
      <c r="F3970">
        <v>7.5899999999999995E-2</v>
      </c>
    </row>
    <row r="3971" spans="1:6" x14ac:dyDescent="0.3">
      <c r="A3971" t="s">
        <v>4006</v>
      </c>
      <c r="B3971" t="s">
        <v>62</v>
      </c>
      <c r="C3971">
        <v>1880000</v>
      </c>
      <c r="D3971">
        <v>5233</v>
      </c>
      <c r="E3971">
        <v>3.5000000000000001E-3</v>
      </c>
      <c r="F3971">
        <v>8.1100000000000005E-2</v>
      </c>
    </row>
    <row r="3972" spans="1:6" x14ac:dyDescent="0.3">
      <c r="A3972" t="s">
        <v>4007</v>
      </c>
      <c r="B3972" t="s">
        <v>74</v>
      </c>
      <c r="C3972">
        <v>940000</v>
      </c>
      <c r="D3972">
        <v>39142.9</v>
      </c>
      <c r="E3972">
        <v>3.1800000000000002E-2</v>
      </c>
      <c r="F3972">
        <v>9.5100000000000004E-2</v>
      </c>
    </row>
    <row r="3973" spans="1:6" x14ac:dyDescent="0.3">
      <c r="A3973" t="s">
        <v>4008</v>
      </c>
      <c r="B3973" t="s">
        <v>26</v>
      </c>
      <c r="C3973">
        <v>1510000</v>
      </c>
      <c r="D3973">
        <v>35770</v>
      </c>
      <c r="E3973">
        <v>3.3799999999999997E-2</v>
      </c>
      <c r="F3973">
        <v>9.3799999999999994E-2</v>
      </c>
    </row>
    <row r="3974" spans="1:6" x14ac:dyDescent="0.3">
      <c r="A3974" t="s">
        <v>4009</v>
      </c>
      <c r="B3974" t="s">
        <v>92</v>
      </c>
      <c r="C3974">
        <v>692000</v>
      </c>
      <c r="D3974">
        <v>102111.3</v>
      </c>
      <c r="E3974">
        <v>1.7100000000000001E-2</v>
      </c>
      <c r="F3974">
        <v>6.1600000000000002E-2</v>
      </c>
    </row>
    <row r="3975" spans="1:6" x14ac:dyDescent="0.3">
      <c r="A3975" t="s">
        <v>4010</v>
      </c>
      <c r="B3975" t="s">
        <v>92</v>
      </c>
      <c r="C3975">
        <v>689000</v>
      </c>
      <c r="D3975">
        <v>130533.3</v>
      </c>
      <c r="E3975">
        <v>3.1600000000000003E-2</v>
      </c>
      <c r="F3975">
        <v>9.5100000000000004E-2</v>
      </c>
    </row>
    <row r="3976" spans="1:6" x14ac:dyDescent="0.3">
      <c r="A3976" t="s">
        <v>4011</v>
      </c>
      <c r="B3976" t="s">
        <v>24</v>
      </c>
      <c r="C3976">
        <v>975000</v>
      </c>
      <c r="D3976">
        <v>189088.6</v>
      </c>
      <c r="E3976">
        <v>5.3499999999999999E-2</v>
      </c>
      <c r="F3976">
        <v>9.5100000000000004E-2</v>
      </c>
    </row>
    <row r="3977" spans="1:6" x14ac:dyDescent="0.3">
      <c r="A3977" t="s">
        <v>4012</v>
      </c>
      <c r="B3977" t="s">
        <v>26</v>
      </c>
      <c r="C3977">
        <v>663000</v>
      </c>
      <c r="D3977">
        <v>4139.6000000000004</v>
      </c>
      <c r="E3977">
        <v>3.7999999999999999E-2</v>
      </c>
      <c r="F3977">
        <v>9.3799999999999994E-2</v>
      </c>
    </row>
    <row r="3978" spans="1:6" x14ac:dyDescent="0.3">
      <c r="A3978" t="s">
        <v>4013</v>
      </c>
      <c r="B3978" t="s">
        <v>26</v>
      </c>
      <c r="C3978">
        <v>1320000</v>
      </c>
      <c r="D3978">
        <v>87052.1</v>
      </c>
      <c r="E3978">
        <v>7.1999999999999998E-3</v>
      </c>
      <c r="F3978">
        <v>8.1100000000000005E-2</v>
      </c>
    </row>
    <row r="3979" spans="1:6" x14ac:dyDescent="0.3">
      <c r="A3979" t="s">
        <v>4014</v>
      </c>
      <c r="B3979" t="s">
        <v>26</v>
      </c>
      <c r="C3979">
        <v>683000</v>
      </c>
      <c r="D3979">
        <v>3374</v>
      </c>
      <c r="E3979">
        <v>1.8499999999999999E-2</v>
      </c>
      <c r="F3979">
        <v>0.1067</v>
      </c>
    </row>
    <row r="3980" spans="1:6" x14ac:dyDescent="0.3">
      <c r="A3980" t="s">
        <v>4015</v>
      </c>
      <c r="B3980" t="s">
        <v>92</v>
      </c>
      <c r="C3980">
        <v>715000</v>
      </c>
      <c r="D3980">
        <v>7915.1</v>
      </c>
      <c r="E3980">
        <v>1.4200000000000001E-2</v>
      </c>
      <c r="F3980">
        <v>5.8500000000000003E-2</v>
      </c>
    </row>
    <row r="3981" spans="1:6" x14ac:dyDescent="0.3">
      <c r="A3981" t="s">
        <v>4016</v>
      </c>
      <c r="B3981" t="s">
        <v>41</v>
      </c>
      <c r="C3981">
        <v>707000</v>
      </c>
      <c r="D3981">
        <v>2781286.3</v>
      </c>
      <c r="E3981">
        <v>2.24E-2</v>
      </c>
      <c r="F3981">
        <v>5.8500000000000003E-2</v>
      </c>
    </row>
    <row r="3982" spans="1:6" x14ac:dyDescent="0.3">
      <c r="A3982" t="s">
        <v>4017</v>
      </c>
      <c r="B3982" t="s">
        <v>62</v>
      </c>
      <c r="C3982">
        <v>2240000</v>
      </c>
      <c r="D3982">
        <v>883440.6</v>
      </c>
      <c r="E3982">
        <v>5.3800000000000001E-2</v>
      </c>
      <c r="F3982">
        <v>7.5899999999999995E-2</v>
      </c>
    </row>
    <row r="3983" spans="1:6" x14ac:dyDescent="0.3">
      <c r="A3983" t="s">
        <v>4018</v>
      </c>
      <c r="B3983" t="s">
        <v>26</v>
      </c>
      <c r="C3983">
        <v>683000</v>
      </c>
      <c r="D3983">
        <v>44418.8</v>
      </c>
      <c r="E3983">
        <v>7.6200000000000004E-2</v>
      </c>
      <c r="F3983">
        <v>5.1799999999999999E-2</v>
      </c>
    </row>
    <row r="3984" spans="1:6" x14ac:dyDescent="0.3">
      <c r="A3984" t="s">
        <v>4019</v>
      </c>
      <c r="B3984" t="s">
        <v>88</v>
      </c>
      <c r="C3984">
        <v>842000</v>
      </c>
      <c r="D3984">
        <v>378.1</v>
      </c>
      <c r="E3984">
        <v>8.8200000000000001E-2</v>
      </c>
      <c r="F3984">
        <v>9.3799999999999994E-2</v>
      </c>
    </row>
    <row r="3985" spans="1:6" x14ac:dyDescent="0.3">
      <c r="A3985" t="s">
        <v>4020</v>
      </c>
      <c r="B3985" t="s">
        <v>41</v>
      </c>
      <c r="C3985">
        <v>800000</v>
      </c>
      <c r="D3985">
        <v>3395.2</v>
      </c>
      <c r="E3985">
        <v>4.4699999999999997E-2</v>
      </c>
      <c r="F3985">
        <v>7.5899999999999995E-2</v>
      </c>
    </row>
    <row r="3986" spans="1:6" x14ac:dyDescent="0.3">
      <c r="A3986" t="s">
        <v>4021</v>
      </c>
      <c r="B3986" t="s">
        <v>26</v>
      </c>
      <c r="C3986">
        <v>488000</v>
      </c>
      <c r="F3986">
        <v>7.5899999999999995E-2</v>
      </c>
    </row>
    <row r="3987" spans="1:6" x14ac:dyDescent="0.3">
      <c r="A3987" t="s">
        <v>4022</v>
      </c>
      <c r="B3987" t="s">
        <v>24</v>
      </c>
      <c r="C3987">
        <v>903000</v>
      </c>
      <c r="D3987">
        <v>11161.7</v>
      </c>
      <c r="E3987">
        <v>2.9899999999999999E-2</v>
      </c>
      <c r="F3987">
        <v>9.3799999999999994E-2</v>
      </c>
    </row>
    <row r="3988" spans="1:6" x14ac:dyDescent="0.3">
      <c r="A3988" t="s">
        <v>4023</v>
      </c>
      <c r="B3988" t="s">
        <v>26</v>
      </c>
      <c r="C3988">
        <v>902000</v>
      </c>
      <c r="D3988">
        <v>35890.300000000003</v>
      </c>
      <c r="E3988">
        <v>5.4899999999999997E-2</v>
      </c>
      <c r="F3988">
        <v>7.5899999999999995E-2</v>
      </c>
    </row>
    <row r="3989" spans="1:6" x14ac:dyDescent="0.3">
      <c r="A3989" t="s">
        <v>4024</v>
      </c>
      <c r="B3989" t="s">
        <v>21</v>
      </c>
      <c r="C3989">
        <v>693000</v>
      </c>
      <c r="D3989">
        <v>294.39999999999998</v>
      </c>
      <c r="E3989">
        <v>8.3699999999999997E-2</v>
      </c>
      <c r="F3989">
        <v>0.44819999999999999</v>
      </c>
    </row>
    <row r="3990" spans="1:6" x14ac:dyDescent="0.3">
      <c r="A3990" t="s">
        <v>4025</v>
      </c>
      <c r="B3990" t="s">
        <v>26</v>
      </c>
      <c r="C3990">
        <v>1560000</v>
      </c>
      <c r="D3990">
        <v>155160.1</v>
      </c>
      <c r="F3990">
        <v>4.0899999999999999E-2</v>
      </c>
    </row>
    <row r="3991" spans="1:6" x14ac:dyDescent="0.3">
      <c r="A3991" t="s">
        <v>4026</v>
      </c>
      <c r="B3991" t="s">
        <v>41</v>
      </c>
      <c r="C3991">
        <v>975000</v>
      </c>
      <c r="D3991">
        <v>390785.7</v>
      </c>
      <c r="E3991">
        <v>2.98E-2</v>
      </c>
      <c r="F3991">
        <v>6.7199999999999996E-2</v>
      </c>
    </row>
    <row r="3992" spans="1:6" x14ac:dyDescent="0.3">
      <c r="A3992" t="s">
        <v>4027</v>
      </c>
      <c r="B3992" t="s">
        <v>24</v>
      </c>
      <c r="C3992">
        <v>1560000</v>
      </c>
      <c r="D3992">
        <v>13788.2</v>
      </c>
      <c r="E3992">
        <v>4.65E-2</v>
      </c>
      <c r="F3992">
        <v>9.3799999999999994E-2</v>
      </c>
    </row>
    <row r="3993" spans="1:6" x14ac:dyDescent="0.3">
      <c r="A3993" t="s">
        <v>4028</v>
      </c>
      <c r="B3993" t="s">
        <v>30</v>
      </c>
      <c r="C3993">
        <v>1030000</v>
      </c>
      <c r="D3993">
        <v>36121.199999999997</v>
      </c>
      <c r="E3993">
        <v>7.4000000000000003E-3</v>
      </c>
      <c r="F3993">
        <v>8.2100000000000006E-2</v>
      </c>
    </row>
    <row r="3994" spans="1:6" x14ac:dyDescent="0.3">
      <c r="A3994" t="s">
        <v>4029</v>
      </c>
      <c r="B3994" t="s">
        <v>26</v>
      </c>
      <c r="C3994">
        <v>1000000</v>
      </c>
      <c r="D3994">
        <v>30397.200000000001</v>
      </c>
      <c r="E3994">
        <v>8.3000000000000001E-3</v>
      </c>
      <c r="F3994">
        <v>0.10150000000000001</v>
      </c>
    </row>
    <row r="3995" spans="1:6" x14ac:dyDescent="0.3">
      <c r="A3995" t="s">
        <v>4030</v>
      </c>
      <c r="B3995" t="s">
        <v>74</v>
      </c>
      <c r="C3995">
        <v>785000</v>
      </c>
      <c r="D3995">
        <v>1262.5</v>
      </c>
      <c r="E3995">
        <v>4.7500000000000001E-2</v>
      </c>
      <c r="F3995">
        <v>7.5899999999999995E-2</v>
      </c>
    </row>
    <row r="3996" spans="1:6" x14ac:dyDescent="0.3">
      <c r="A3996" t="s">
        <v>4031</v>
      </c>
      <c r="B3996" t="s">
        <v>53</v>
      </c>
      <c r="C3996">
        <v>682000</v>
      </c>
      <c r="D3996">
        <v>41555</v>
      </c>
      <c r="E3996">
        <v>0.1234</v>
      </c>
      <c r="F3996">
        <v>9.3799999999999994E-2</v>
      </c>
    </row>
    <row r="3997" spans="1:6" x14ac:dyDescent="0.3">
      <c r="A3997" t="s">
        <v>4032</v>
      </c>
      <c r="B3997" t="s">
        <v>92</v>
      </c>
      <c r="C3997">
        <v>844000</v>
      </c>
      <c r="D3997">
        <v>2057.1999999999998</v>
      </c>
      <c r="E3997">
        <v>3.0099999999999998E-2</v>
      </c>
      <c r="F3997">
        <v>7.5899999999999995E-2</v>
      </c>
    </row>
    <row r="3998" spans="1:6" x14ac:dyDescent="0.3">
      <c r="A3998" t="s">
        <v>4033</v>
      </c>
      <c r="B3998" t="s">
        <v>26</v>
      </c>
      <c r="C3998">
        <v>700000</v>
      </c>
      <c r="D3998">
        <v>109518.7</v>
      </c>
      <c r="E3998">
        <v>4.7500000000000001E-2</v>
      </c>
      <c r="F3998">
        <v>5.1799999999999999E-2</v>
      </c>
    </row>
    <row r="3999" spans="1:6" x14ac:dyDescent="0.3">
      <c r="A3999" t="s">
        <v>4034</v>
      </c>
      <c r="B3999" t="s">
        <v>50</v>
      </c>
      <c r="C3999">
        <v>1150000</v>
      </c>
      <c r="D3999">
        <v>1329.8</v>
      </c>
      <c r="E3999">
        <v>7.6999999999999999E-2</v>
      </c>
      <c r="F3999">
        <v>9.3799999999999994E-2</v>
      </c>
    </row>
    <row r="4000" spans="1:6" x14ac:dyDescent="0.3">
      <c r="A4000" t="s">
        <v>4035</v>
      </c>
      <c r="B4000" t="s">
        <v>26</v>
      </c>
      <c r="C4000">
        <v>813000</v>
      </c>
      <c r="D4000">
        <v>490632.8</v>
      </c>
      <c r="E4000">
        <v>1.7399999999999999E-2</v>
      </c>
      <c r="F4000">
        <v>5.8500000000000003E-2</v>
      </c>
    </row>
    <row r="4001" spans="1:6" x14ac:dyDescent="0.3">
      <c r="A4001" t="s">
        <v>4036</v>
      </c>
      <c r="B4001" t="s">
        <v>26</v>
      </c>
      <c r="C4001">
        <v>1060000</v>
      </c>
      <c r="D4001">
        <v>3798</v>
      </c>
      <c r="E4001">
        <v>4.53E-2</v>
      </c>
      <c r="F4001">
        <v>7.5899999999999995E-2</v>
      </c>
    </row>
    <row r="4002" spans="1:6" x14ac:dyDescent="0.3">
      <c r="A4002" t="s">
        <v>4037</v>
      </c>
      <c r="B4002" t="s">
        <v>71</v>
      </c>
      <c r="C4002">
        <v>789000</v>
      </c>
      <c r="D4002">
        <v>31733.9</v>
      </c>
      <c r="E4002">
        <v>5.0099999999999999E-2</v>
      </c>
      <c r="F4002">
        <v>7.5899999999999995E-2</v>
      </c>
    </row>
    <row r="4003" spans="1:6" x14ac:dyDescent="0.3">
      <c r="A4003" t="s">
        <v>4038</v>
      </c>
      <c r="B4003" t="s">
        <v>26</v>
      </c>
      <c r="C4003">
        <v>849000</v>
      </c>
      <c r="D4003">
        <v>37582.6</v>
      </c>
      <c r="E4003">
        <v>2.3199999999999998E-2</v>
      </c>
      <c r="F4003">
        <v>4.0899999999999999E-2</v>
      </c>
    </row>
    <row r="4004" spans="1:6" x14ac:dyDescent="0.3">
      <c r="A4004" t="s">
        <v>4039</v>
      </c>
      <c r="B4004" t="s">
        <v>41</v>
      </c>
      <c r="C4004">
        <v>652000</v>
      </c>
      <c r="D4004">
        <v>92991.5</v>
      </c>
      <c r="E4004">
        <v>8.0299999999999996E-2</v>
      </c>
      <c r="F4004">
        <v>9.5100000000000004E-2</v>
      </c>
    </row>
    <row r="4005" spans="1:6" x14ac:dyDescent="0.3">
      <c r="A4005" t="s">
        <v>4040</v>
      </c>
      <c r="B4005" t="s">
        <v>26</v>
      </c>
      <c r="C4005">
        <v>1890000</v>
      </c>
      <c r="D4005">
        <v>192495.4</v>
      </c>
      <c r="E4005">
        <v>1.49E-2</v>
      </c>
      <c r="F4005">
        <v>4.6199999999999998E-2</v>
      </c>
    </row>
    <row r="4006" spans="1:6" x14ac:dyDescent="0.3">
      <c r="A4006" t="s">
        <v>4041</v>
      </c>
      <c r="B4006" t="s">
        <v>41</v>
      </c>
      <c r="C4006">
        <v>1230000</v>
      </c>
      <c r="D4006">
        <v>322308.3</v>
      </c>
      <c r="E4006">
        <v>1.6400000000000001E-2</v>
      </c>
      <c r="F4006">
        <v>7.5700000000000003E-2</v>
      </c>
    </row>
    <row r="4007" spans="1:6" x14ac:dyDescent="0.3">
      <c r="A4007" t="s">
        <v>4042</v>
      </c>
      <c r="B4007" t="s">
        <v>30</v>
      </c>
      <c r="C4007">
        <v>775000</v>
      </c>
      <c r="D4007">
        <v>21798.2</v>
      </c>
      <c r="E4007">
        <v>0.16689999999999999</v>
      </c>
      <c r="F4007">
        <v>0.45390000000000003</v>
      </c>
    </row>
    <row r="4008" spans="1:6" x14ac:dyDescent="0.3">
      <c r="A4008" t="s">
        <v>4043</v>
      </c>
      <c r="B4008" t="s">
        <v>26</v>
      </c>
      <c r="C4008">
        <v>691000</v>
      </c>
      <c r="D4008">
        <v>6018.5</v>
      </c>
      <c r="E4008">
        <v>1.67E-2</v>
      </c>
      <c r="F4008">
        <v>5.7599999999999998E-2</v>
      </c>
    </row>
    <row r="4009" spans="1:6" x14ac:dyDescent="0.3">
      <c r="A4009" t="s">
        <v>4044</v>
      </c>
      <c r="B4009" t="s">
        <v>41</v>
      </c>
      <c r="C4009">
        <v>903000</v>
      </c>
      <c r="D4009">
        <v>1341</v>
      </c>
      <c r="E4009">
        <v>9.8599999999999993E-2</v>
      </c>
      <c r="F4009">
        <v>0.1043</v>
      </c>
    </row>
    <row r="4010" spans="1:6" x14ac:dyDescent="0.3">
      <c r="A4010" t="s">
        <v>4045</v>
      </c>
      <c r="B4010" t="s">
        <v>88</v>
      </c>
      <c r="C4010">
        <v>655000</v>
      </c>
      <c r="D4010">
        <v>4305.3999999999996</v>
      </c>
      <c r="E4010">
        <v>2.2100000000000002E-2</v>
      </c>
      <c r="F4010">
        <v>9.5100000000000004E-2</v>
      </c>
    </row>
    <row r="4011" spans="1:6" x14ac:dyDescent="0.3">
      <c r="A4011" t="s">
        <v>4046</v>
      </c>
      <c r="B4011" t="s">
        <v>53</v>
      </c>
      <c r="C4011">
        <v>1160000</v>
      </c>
      <c r="D4011">
        <v>5165.7</v>
      </c>
      <c r="E4011">
        <v>4.24E-2</v>
      </c>
      <c r="F4011">
        <v>9.3799999999999994E-2</v>
      </c>
    </row>
    <row r="4012" spans="1:6" x14ac:dyDescent="0.3">
      <c r="A4012" t="s">
        <v>4047</v>
      </c>
      <c r="B4012" t="s">
        <v>81</v>
      </c>
      <c r="C4012">
        <v>740000</v>
      </c>
      <c r="D4012">
        <v>34264.400000000001</v>
      </c>
      <c r="E4012">
        <v>3.6799999999999999E-2</v>
      </c>
      <c r="F4012">
        <v>7.5899999999999995E-2</v>
      </c>
    </row>
    <row r="4013" spans="1:6" x14ac:dyDescent="0.3">
      <c r="A4013" t="s">
        <v>4048</v>
      </c>
      <c r="B4013" t="s">
        <v>26</v>
      </c>
      <c r="C4013">
        <v>1060000</v>
      </c>
      <c r="D4013">
        <v>465404.6</v>
      </c>
      <c r="E4013">
        <v>1.8499999999999999E-2</v>
      </c>
      <c r="F4013">
        <v>4.6199999999999998E-2</v>
      </c>
    </row>
    <row r="4014" spans="1:6" x14ac:dyDescent="0.3">
      <c r="A4014" t="s">
        <v>4049</v>
      </c>
      <c r="B4014" t="s">
        <v>41</v>
      </c>
      <c r="C4014">
        <v>861000</v>
      </c>
      <c r="D4014">
        <v>466101.4</v>
      </c>
      <c r="E4014">
        <v>3.3700000000000001E-2</v>
      </c>
      <c r="F4014">
        <v>9.5100000000000004E-2</v>
      </c>
    </row>
    <row r="4015" spans="1:6" x14ac:dyDescent="0.3">
      <c r="A4015" t="s">
        <v>4050</v>
      </c>
      <c r="B4015" t="s">
        <v>24</v>
      </c>
      <c r="C4015">
        <v>667000</v>
      </c>
      <c r="D4015">
        <v>2427.3000000000002</v>
      </c>
      <c r="E4015">
        <v>3.9699999999999999E-2</v>
      </c>
      <c r="F4015">
        <v>7.5899999999999995E-2</v>
      </c>
    </row>
    <row r="4016" spans="1:6" x14ac:dyDescent="0.3">
      <c r="A4016" t="s">
        <v>4051</v>
      </c>
      <c r="B4016" t="s">
        <v>26</v>
      </c>
      <c r="C4016">
        <v>766000</v>
      </c>
      <c r="D4016">
        <v>1411714.3</v>
      </c>
      <c r="E4016">
        <v>1.7899999999999999E-2</v>
      </c>
      <c r="F4016">
        <v>5.8500000000000003E-2</v>
      </c>
    </row>
    <row r="4017" spans="1:6" x14ac:dyDescent="0.3">
      <c r="A4017" t="s">
        <v>4052</v>
      </c>
      <c r="B4017" t="s">
        <v>92</v>
      </c>
      <c r="C4017">
        <v>682000</v>
      </c>
      <c r="D4017">
        <v>20873.099999999999</v>
      </c>
      <c r="E4017">
        <v>3.1199999999999999E-2</v>
      </c>
      <c r="F4017">
        <v>9.5100000000000004E-2</v>
      </c>
    </row>
    <row r="4018" spans="1:6" x14ac:dyDescent="0.3">
      <c r="A4018" t="s">
        <v>4053</v>
      </c>
      <c r="B4018" t="s">
        <v>53</v>
      </c>
      <c r="C4018">
        <v>900000</v>
      </c>
      <c r="D4018">
        <v>122754</v>
      </c>
      <c r="E4018">
        <v>5.8200000000000002E-2</v>
      </c>
      <c r="F4018">
        <v>7.5899999999999995E-2</v>
      </c>
    </row>
    <row r="4019" spans="1:6" x14ac:dyDescent="0.3">
      <c r="A4019" t="s">
        <v>4054</v>
      </c>
      <c r="B4019" t="s">
        <v>30</v>
      </c>
      <c r="C4019">
        <v>642000</v>
      </c>
      <c r="D4019">
        <v>41376.9</v>
      </c>
      <c r="E4019">
        <v>4.3099999999999999E-2</v>
      </c>
      <c r="F4019">
        <v>9.5100000000000004E-2</v>
      </c>
    </row>
    <row r="4020" spans="1:6" x14ac:dyDescent="0.3">
      <c r="A4020" t="s">
        <v>4055</v>
      </c>
      <c r="B4020" t="s">
        <v>24</v>
      </c>
      <c r="C4020">
        <v>967000</v>
      </c>
      <c r="D4020">
        <v>62230.400000000001</v>
      </c>
      <c r="E4020">
        <v>2.98E-2</v>
      </c>
      <c r="F4020">
        <v>9.3799999999999994E-2</v>
      </c>
    </row>
    <row r="4021" spans="1:6" x14ac:dyDescent="0.3">
      <c r="A4021" t="s">
        <v>4056</v>
      </c>
      <c r="B4021" t="s">
        <v>88</v>
      </c>
      <c r="C4021">
        <v>871000</v>
      </c>
      <c r="D4021">
        <v>5251.6</v>
      </c>
      <c r="E4021">
        <v>2.18E-2</v>
      </c>
      <c r="F4021">
        <v>7.5899999999999995E-2</v>
      </c>
    </row>
    <row r="4022" spans="1:6" x14ac:dyDescent="0.3">
      <c r="A4022" t="s">
        <v>4057</v>
      </c>
      <c r="B4022" t="s">
        <v>26</v>
      </c>
      <c r="C4022">
        <v>692000</v>
      </c>
      <c r="D4022">
        <v>773</v>
      </c>
      <c r="E4022">
        <v>2.2000000000000001E-3</v>
      </c>
      <c r="F4022">
        <v>0.1779</v>
      </c>
    </row>
    <row r="4023" spans="1:6" x14ac:dyDescent="0.3">
      <c r="A4023" t="s">
        <v>4058</v>
      </c>
      <c r="B4023" t="s">
        <v>214</v>
      </c>
      <c r="C4023">
        <v>644000</v>
      </c>
      <c r="D4023">
        <v>996.8</v>
      </c>
      <c r="E4023">
        <v>9.9000000000000008E-3</v>
      </c>
      <c r="F4023">
        <v>8.1100000000000005E-2</v>
      </c>
    </row>
    <row r="4024" spans="1:6" x14ac:dyDescent="0.3">
      <c r="A4024" t="s">
        <v>4059</v>
      </c>
      <c r="B4024" t="s">
        <v>74</v>
      </c>
      <c r="C4024">
        <v>835000</v>
      </c>
      <c r="D4024">
        <v>8019.4</v>
      </c>
      <c r="E4024">
        <v>3.5200000000000002E-2</v>
      </c>
      <c r="F4024">
        <v>7.5899999999999995E-2</v>
      </c>
    </row>
    <row r="4025" spans="1:6" x14ac:dyDescent="0.3">
      <c r="A4025" t="s">
        <v>4060</v>
      </c>
      <c r="B4025" t="s">
        <v>30</v>
      </c>
      <c r="C4025">
        <v>787000</v>
      </c>
      <c r="D4025">
        <v>89441.3</v>
      </c>
      <c r="E4025">
        <v>0.1174</v>
      </c>
      <c r="F4025">
        <v>7.5899999999999995E-2</v>
      </c>
    </row>
    <row r="4026" spans="1:6" x14ac:dyDescent="0.3">
      <c r="A4026" t="s">
        <v>4061</v>
      </c>
      <c r="B4026" t="s">
        <v>26</v>
      </c>
      <c r="C4026">
        <v>819000</v>
      </c>
      <c r="D4026">
        <v>117833.8</v>
      </c>
      <c r="E4026">
        <v>4.0099999999999997E-2</v>
      </c>
      <c r="F4026">
        <v>9.3799999999999994E-2</v>
      </c>
    </row>
    <row r="4027" spans="1:6" x14ac:dyDescent="0.3">
      <c r="A4027" t="s">
        <v>4062</v>
      </c>
      <c r="B4027" t="s">
        <v>287</v>
      </c>
      <c r="C4027">
        <v>642000</v>
      </c>
      <c r="D4027">
        <v>1222.8</v>
      </c>
      <c r="E4027">
        <v>1.2E-2</v>
      </c>
      <c r="F4027">
        <v>0.1452</v>
      </c>
    </row>
    <row r="4028" spans="1:6" x14ac:dyDescent="0.3">
      <c r="A4028" t="s">
        <v>4063</v>
      </c>
      <c r="B4028" t="s">
        <v>74</v>
      </c>
      <c r="C4028">
        <v>942000</v>
      </c>
      <c r="D4028">
        <v>15043.8</v>
      </c>
      <c r="E4028">
        <v>1.6400000000000001E-2</v>
      </c>
      <c r="F4028">
        <v>6.08E-2</v>
      </c>
    </row>
    <row r="4029" spans="1:6" x14ac:dyDescent="0.3">
      <c r="A4029" t="s">
        <v>4064</v>
      </c>
      <c r="B4029" t="s">
        <v>88</v>
      </c>
      <c r="C4029">
        <v>657000</v>
      </c>
      <c r="D4029">
        <v>836.2</v>
      </c>
      <c r="E4029">
        <v>2.1100000000000001E-2</v>
      </c>
      <c r="F4029">
        <v>5.7599999999999998E-2</v>
      </c>
    </row>
    <row r="4030" spans="1:6" x14ac:dyDescent="0.3">
      <c r="A4030" t="s">
        <v>4065</v>
      </c>
      <c r="B4030" t="s">
        <v>21</v>
      </c>
      <c r="C4030">
        <v>797000</v>
      </c>
      <c r="D4030">
        <v>362.2</v>
      </c>
      <c r="E4030">
        <v>7.8299999999999995E-2</v>
      </c>
      <c r="F4030">
        <v>9.3799999999999994E-2</v>
      </c>
    </row>
    <row r="4031" spans="1:6" x14ac:dyDescent="0.3">
      <c r="A4031" t="s">
        <v>4066</v>
      </c>
      <c r="B4031" t="s">
        <v>26</v>
      </c>
      <c r="C4031">
        <v>805000</v>
      </c>
      <c r="D4031">
        <v>9545.7000000000007</v>
      </c>
      <c r="E4031">
        <v>8.8000000000000005E-3</v>
      </c>
      <c r="F4031">
        <v>6.54E-2</v>
      </c>
    </row>
    <row r="4032" spans="1:6" x14ac:dyDescent="0.3">
      <c r="A4032" t="s">
        <v>4067</v>
      </c>
      <c r="B4032" t="s">
        <v>92</v>
      </c>
      <c r="C4032">
        <v>642000</v>
      </c>
      <c r="D4032">
        <v>704.6</v>
      </c>
      <c r="E4032">
        <v>1.0200000000000001E-2</v>
      </c>
      <c r="F4032">
        <v>0.1027</v>
      </c>
    </row>
    <row r="4033" spans="1:6" x14ac:dyDescent="0.3">
      <c r="A4033" t="s">
        <v>4068</v>
      </c>
      <c r="B4033" t="s">
        <v>74</v>
      </c>
      <c r="C4033">
        <v>858000</v>
      </c>
      <c r="D4033">
        <v>8716.5</v>
      </c>
      <c r="E4033">
        <v>8.0799999999999997E-2</v>
      </c>
      <c r="F4033">
        <v>9.3799999999999994E-2</v>
      </c>
    </row>
    <row r="4034" spans="1:6" x14ac:dyDescent="0.3">
      <c r="A4034" t="s">
        <v>4069</v>
      </c>
      <c r="B4034" t="s">
        <v>21</v>
      </c>
      <c r="C4034">
        <v>735000</v>
      </c>
      <c r="D4034">
        <v>10635.9</v>
      </c>
      <c r="E4034">
        <v>2.41E-2</v>
      </c>
      <c r="F4034">
        <v>4.0899999999999999E-2</v>
      </c>
    </row>
    <row r="4035" spans="1:6" x14ac:dyDescent="0.3">
      <c r="A4035" t="s">
        <v>4070</v>
      </c>
      <c r="B4035" t="s">
        <v>74</v>
      </c>
      <c r="C4035">
        <v>4860000</v>
      </c>
      <c r="D4035">
        <v>106.2</v>
      </c>
      <c r="E4035">
        <v>2.2100000000000002E-2</v>
      </c>
      <c r="F4035">
        <v>5.0999999999999997E-2</v>
      </c>
    </row>
    <row r="4036" spans="1:6" x14ac:dyDescent="0.3">
      <c r="A4036" t="s">
        <v>4071</v>
      </c>
      <c r="B4036" t="s">
        <v>62</v>
      </c>
      <c r="C4036">
        <v>1270000</v>
      </c>
      <c r="D4036">
        <v>11731.6</v>
      </c>
      <c r="E4036">
        <v>4.6199999999999998E-2</v>
      </c>
      <c r="F4036">
        <v>7.5899999999999995E-2</v>
      </c>
    </row>
    <row r="4037" spans="1:6" x14ac:dyDescent="0.3">
      <c r="A4037" t="s">
        <v>4072</v>
      </c>
      <c r="B4037" t="s">
        <v>26</v>
      </c>
      <c r="C4037">
        <v>993000</v>
      </c>
      <c r="D4037">
        <v>584446.4</v>
      </c>
      <c r="E4037">
        <v>1.12E-2</v>
      </c>
      <c r="F4037">
        <v>0.13880000000000001</v>
      </c>
    </row>
    <row r="4038" spans="1:6" x14ac:dyDescent="0.3">
      <c r="A4038" t="s">
        <v>4073</v>
      </c>
      <c r="B4038" t="s">
        <v>214</v>
      </c>
      <c r="C4038">
        <v>848000</v>
      </c>
      <c r="D4038">
        <v>380510.7</v>
      </c>
      <c r="E4038">
        <v>4.2200000000000001E-2</v>
      </c>
      <c r="F4038">
        <v>7.5899999999999995E-2</v>
      </c>
    </row>
    <row r="4039" spans="1:6" x14ac:dyDescent="0.3">
      <c r="A4039" t="s">
        <v>4074</v>
      </c>
      <c r="B4039" t="s">
        <v>26</v>
      </c>
      <c r="C4039">
        <v>659000</v>
      </c>
      <c r="D4039">
        <v>3230.3</v>
      </c>
      <c r="E4039">
        <v>5.1200000000000002E-2</v>
      </c>
      <c r="F4039">
        <v>9.3799999999999994E-2</v>
      </c>
    </row>
    <row r="4040" spans="1:6" x14ac:dyDescent="0.3">
      <c r="A4040" t="s">
        <v>4075</v>
      </c>
      <c r="B4040" t="s">
        <v>26</v>
      </c>
      <c r="C4040">
        <v>803000</v>
      </c>
      <c r="D4040">
        <v>140246.70000000001</v>
      </c>
      <c r="E4040">
        <v>4.7899999999999998E-2</v>
      </c>
      <c r="F4040">
        <v>9.5100000000000004E-2</v>
      </c>
    </row>
    <row r="4041" spans="1:6" x14ac:dyDescent="0.3">
      <c r="A4041" t="s">
        <v>4076</v>
      </c>
      <c r="B4041" t="s">
        <v>41</v>
      </c>
      <c r="C4041">
        <v>646000</v>
      </c>
      <c r="D4041">
        <v>1731.3</v>
      </c>
      <c r="E4041">
        <v>2.1399999999999999E-2</v>
      </c>
      <c r="F4041">
        <v>7.5899999999999995E-2</v>
      </c>
    </row>
    <row r="4042" spans="1:6" x14ac:dyDescent="0.3">
      <c r="A4042" t="s">
        <v>4077</v>
      </c>
      <c r="B4042" t="s">
        <v>26</v>
      </c>
      <c r="C4042">
        <v>624000</v>
      </c>
      <c r="D4042">
        <v>129.9</v>
      </c>
      <c r="E4042">
        <v>1.9800000000000002E-2</v>
      </c>
      <c r="F4042">
        <v>0.13900000000000001</v>
      </c>
    </row>
    <row r="4043" spans="1:6" x14ac:dyDescent="0.3">
      <c r="A4043" t="s">
        <v>4078</v>
      </c>
      <c r="B4043" t="s">
        <v>26</v>
      </c>
      <c r="C4043">
        <v>777000</v>
      </c>
      <c r="D4043">
        <v>49086.2</v>
      </c>
      <c r="E4043">
        <v>1.6199999999999999E-2</v>
      </c>
      <c r="F4043">
        <v>4.8800000000000003E-2</v>
      </c>
    </row>
    <row r="4044" spans="1:6" x14ac:dyDescent="0.3">
      <c r="A4044" t="s">
        <v>4079</v>
      </c>
      <c r="B4044" t="s">
        <v>21</v>
      </c>
      <c r="C4044">
        <v>804000</v>
      </c>
      <c r="D4044">
        <v>284811.7</v>
      </c>
      <c r="E4044">
        <v>2.4E-2</v>
      </c>
      <c r="F4044">
        <v>9.5100000000000004E-2</v>
      </c>
    </row>
    <row r="4045" spans="1:6" x14ac:dyDescent="0.3">
      <c r="A4045" t="s">
        <v>4080</v>
      </c>
      <c r="B4045" t="s">
        <v>26</v>
      </c>
      <c r="C4045">
        <v>724000</v>
      </c>
      <c r="D4045">
        <v>1500.2</v>
      </c>
      <c r="E4045">
        <v>2.8799999999999999E-2</v>
      </c>
      <c r="F4045">
        <v>9.3799999999999994E-2</v>
      </c>
    </row>
    <row r="4046" spans="1:6" x14ac:dyDescent="0.3">
      <c r="A4046" t="s">
        <v>4081</v>
      </c>
      <c r="B4046" t="s">
        <v>50</v>
      </c>
      <c r="C4046">
        <v>933000</v>
      </c>
      <c r="D4046">
        <v>376155.9</v>
      </c>
      <c r="E4046">
        <v>2.47E-2</v>
      </c>
      <c r="F4046">
        <v>7.5899999999999995E-2</v>
      </c>
    </row>
    <row r="4047" spans="1:6" x14ac:dyDescent="0.3">
      <c r="A4047" t="s">
        <v>4082</v>
      </c>
      <c r="B4047" t="s">
        <v>62</v>
      </c>
      <c r="C4047">
        <v>846000</v>
      </c>
      <c r="D4047">
        <v>522.5</v>
      </c>
      <c r="E4047">
        <v>1.06E-2</v>
      </c>
      <c r="F4047">
        <v>9.0300000000000005E-2</v>
      </c>
    </row>
    <row r="4048" spans="1:6" x14ac:dyDescent="0.3">
      <c r="A4048" t="s">
        <v>4083</v>
      </c>
      <c r="B4048" t="s">
        <v>490</v>
      </c>
      <c r="C4048">
        <v>689000</v>
      </c>
      <c r="D4048">
        <v>2375.1</v>
      </c>
      <c r="E4048">
        <v>1.8200000000000001E-2</v>
      </c>
      <c r="F4048">
        <v>4.0899999999999999E-2</v>
      </c>
    </row>
    <row r="4049" spans="1:6" x14ac:dyDescent="0.3">
      <c r="A4049" t="s">
        <v>4084</v>
      </c>
      <c r="B4049" t="s">
        <v>214</v>
      </c>
      <c r="C4049">
        <v>745000</v>
      </c>
      <c r="D4049">
        <v>496.6</v>
      </c>
      <c r="E4049">
        <v>7.0499999999999993E-2</v>
      </c>
      <c r="F4049">
        <v>9.3799999999999994E-2</v>
      </c>
    </row>
    <row r="4050" spans="1:6" x14ac:dyDescent="0.3">
      <c r="A4050" t="s">
        <v>4085</v>
      </c>
      <c r="B4050" t="s">
        <v>88</v>
      </c>
      <c r="C4050">
        <v>839000</v>
      </c>
      <c r="D4050">
        <v>3204.4</v>
      </c>
      <c r="E4050">
        <v>4.4200000000000003E-2</v>
      </c>
      <c r="F4050">
        <v>7.5899999999999995E-2</v>
      </c>
    </row>
    <row r="4051" spans="1:6" x14ac:dyDescent="0.3">
      <c r="A4051" t="s">
        <v>4086</v>
      </c>
      <c r="B4051" t="s">
        <v>26</v>
      </c>
      <c r="C4051">
        <v>1230000</v>
      </c>
      <c r="D4051">
        <v>1725631</v>
      </c>
      <c r="E4051">
        <v>2.5999999999999999E-2</v>
      </c>
      <c r="F4051">
        <v>4.0899999999999999E-2</v>
      </c>
    </row>
    <row r="4052" spans="1:6" x14ac:dyDescent="0.3">
      <c r="A4052" t="s">
        <v>4087</v>
      </c>
      <c r="B4052" t="s">
        <v>30</v>
      </c>
      <c r="C4052">
        <v>1990000</v>
      </c>
      <c r="D4052">
        <v>27749.599999999999</v>
      </c>
      <c r="E4052">
        <v>4.7999999999999996E-3</v>
      </c>
      <c r="F4052">
        <v>6.54E-2</v>
      </c>
    </row>
    <row r="4053" spans="1:6" x14ac:dyDescent="0.3">
      <c r="A4053" t="s">
        <v>4088</v>
      </c>
      <c r="B4053" t="s">
        <v>81</v>
      </c>
      <c r="C4053">
        <v>655000</v>
      </c>
      <c r="D4053">
        <v>10593.7</v>
      </c>
      <c r="E4053">
        <v>1.29E-2</v>
      </c>
      <c r="F4053">
        <v>5.7599999999999998E-2</v>
      </c>
    </row>
    <row r="4054" spans="1:6" x14ac:dyDescent="0.3">
      <c r="A4054" t="s">
        <v>4089</v>
      </c>
      <c r="B4054" t="s">
        <v>41</v>
      </c>
      <c r="C4054">
        <v>649000</v>
      </c>
      <c r="D4054">
        <v>30125.599999999999</v>
      </c>
      <c r="E4054">
        <v>1.03E-2</v>
      </c>
      <c r="F4054">
        <v>8.2199999999999995E-2</v>
      </c>
    </row>
    <row r="4055" spans="1:6" x14ac:dyDescent="0.3">
      <c r="A4055" t="s">
        <v>4090</v>
      </c>
      <c r="B4055" t="s">
        <v>62</v>
      </c>
      <c r="C4055">
        <v>696000</v>
      </c>
      <c r="D4055">
        <v>9631.9</v>
      </c>
      <c r="E4055">
        <v>4.65E-2</v>
      </c>
      <c r="F4055">
        <v>9.5100000000000004E-2</v>
      </c>
    </row>
    <row r="4056" spans="1:6" x14ac:dyDescent="0.3">
      <c r="A4056" t="s">
        <v>4091</v>
      </c>
      <c r="B4056" t="s">
        <v>214</v>
      </c>
      <c r="C4056">
        <v>799000</v>
      </c>
      <c r="D4056">
        <v>1200.8</v>
      </c>
      <c r="E4056">
        <v>4.9700000000000001E-2</v>
      </c>
      <c r="F4056">
        <v>7.5899999999999995E-2</v>
      </c>
    </row>
    <row r="4057" spans="1:6" x14ac:dyDescent="0.3">
      <c r="A4057" t="s">
        <v>4092</v>
      </c>
      <c r="B4057" t="s">
        <v>287</v>
      </c>
      <c r="C4057">
        <v>656000</v>
      </c>
      <c r="D4057">
        <v>149.1</v>
      </c>
      <c r="E4057">
        <v>1.7100000000000001E-2</v>
      </c>
      <c r="F4057">
        <v>7.2599999999999998E-2</v>
      </c>
    </row>
    <row r="4058" spans="1:6" x14ac:dyDescent="0.3">
      <c r="A4058" t="s">
        <v>4093</v>
      </c>
      <c r="B4058" t="s">
        <v>26</v>
      </c>
      <c r="C4058">
        <v>742000</v>
      </c>
      <c r="D4058">
        <v>23073.599999999999</v>
      </c>
      <c r="E4058">
        <v>3.8600000000000002E-2</v>
      </c>
      <c r="F4058">
        <v>9.3799999999999994E-2</v>
      </c>
    </row>
    <row r="4059" spans="1:6" x14ac:dyDescent="0.3">
      <c r="A4059" t="s">
        <v>4094</v>
      </c>
      <c r="B4059" t="s">
        <v>21</v>
      </c>
      <c r="C4059">
        <v>695000</v>
      </c>
      <c r="D4059">
        <v>3294</v>
      </c>
      <c r="E4059">
        <v>1.9400000000000001E-2</v>
      </c>
      <c r="F4059">
        <v>0.1053</v>
      </c>
    </row>
    <row r="4060" spans="1:6" x14ac:dyDescent="0.3">
      <c r="A4060" t="s">
        <v>4095</v>
      </c>
      <c r="B4060" t="s">
        <v>26</v>
      </c>
      <c r="C4060">
        <v>688000</v>
      </c>
      <c r="D4060">
        <v>10185.799999999999</v>
      </c>
      <c r="E4060">
        <v>6.4699999999999994E-2</v>
      </c>
      <c r="F4060">
        <v>7.5899999999999995E-2</v>
      </c>
    </row>
    <row r="4061" spans="1:6" x14ac:dyDescent="0.3">
      <c r="A4061" t="s">
        <v>4096</v>
      </c>
      <c r="B4061" t="s">
        <v>74</v>
      </c>
      <c r="C4061">
        <v>754000</v>
      </c>
      <c r="D4061">
        <v>3759.2</v>
      </c>
      <c r="E4061">
        <v>2.4799999999999999E-2</v>
      </c>
      <c r="F4061">
        <v>7.5899999999999995E-2</v>
      </c>
    </row>
    <row r="4062" spans="1:6" x14ac:dyDescent="0.3">
      <c r="A4062" t="s">
        <v>4097</v>
      </c>
      <c r="B4062" t="s">
        <v>41</v>
      </c>
      <c r="C4062">
        <v>669000</v>
      </c>
      <c r="D4062">
        <v>6556.2</v>
      </c>
      <c r="E4062">
        <v>2.53E-2</v>
      </c>
      <c r="F4062">
        <v>9.5100000000000004E-2</v>
      </c>
    </row>
    <row r="4063" spans="1:6" x14ac:dyDescent="0.3">
      <c r="A4063" t="s">
        <v>4098</v>
      </c>
      <c r="B4063" t="s">
        <v>88</v>
      </c>
      <c r="C4063">
        <v>614000</v>
      </c>
      <c r="D4063">
        <v>410.9</v>
      </c>
      <c r="E4063">
        <v>0.1021</v>
      </c>
      <c r="F4063">
        <v>0.11700000000000001</v>
      </c>
    </row>
    <row r="4064" spans="1:6" x14ac:dyDescent="0.3">
      <c r="A4064" t="s">
        <v>4099</v>
      </c>
      <c r="B4064" t="s">
        <v>53</v>
      </c>
      <c r="C4064">
        <v>1000000</v>
      </c>
      <c r="D4064">
        <v>285003.3</v>
      </c>
      <c r="E4064">
        <v>6.4000000000000003E-3</v>
      </c>
      <c r="F4064">
        <v>6.54E-2</v>
      </c>
    </row>
    <row r="4065" spans="1:6" x14ac:dyDescent="0.3">
      <c r="A4065" t="s">
        <v>4100</v>
      </c>
      <c r="B4065" t="s">
        <v>71</v>
      </c>
      <c r="C4065">
        <v>726000</v>
      </c>
      <c r="D4065">
        <v>27821.8</v>
      </c>
      <c r="E4065">
        <v>1.7999999999999999E-2</v>
      </c>
      <c r="F4065">
        <v>8.5400000000000004E-2</v>
      </c>
    </row>
    <row r="4066" spans="1:6" x14ac:dyDescent="0.3">
      <c r="A4066" t="s">
        <v>4101</v>
      </c>
      <c r="B4066" t="s">
        <v>88</v>
      </c>
      <c r="C4066">
        <v>728000</v>
      </c>
      <c r="D4066">
        <v>2932.3</v>
      </c>
      <c r="E4066">
        <v>4.87E-2</v>
      </c>
      <c r="F4066">
        <v>7.5899999999999995E-2</v>
      </c>
    </row>
    <row r="4067" spans="1:6" x14ac:dyDescent="0.3">
      <c r="A4067" t="s">
        <v>4102</v>
      </c>
      <c r="B4067" t="s">
        <v>26</v>
      </c>
      <c r="C4067">
        <v>745000</v>
      </c>
      <c r="D4067">
        <v>17815.099999999999</v>
      </c>
      <c r="E4067">
        <v>2.5999999999999999E-2</v>
      </c>
      <c r="F4067">
        <v>9.5100000000000004E-2</v>
      </c>
    </row>
    <row r="4068" spans="1:6" x14ac:dyDescent="0.3">
      <c r="A4068" t="s">
        <v>4103</v>
      </c>
      <c r="B4068" t="s">
        <v>214</v>
      </c>
      <c r="C4068">
        <v>698000</v>
      </c>
      <c r="D4068">
        <v>26257.7</v>
      </c>
      <c r="E4068">
        <v>4.7899999999999998E-2</v>
      </c>
      <c r="F4068">
        <v>7.5899999999999995E-2</v>
      </c>
    </row>
    <row r="4069" spans="1:6" x14ac:dyDescent="0.3">
      <c r="A4069" t="s">
        <v>4104</v>
      </c>
      <c r="B4069" t="s">
        <v>490</v>
      </c>
      <c r="C4069">
        <v>851000</v>
      </c>
      <c r="D4069">
        <v>22103.5</v>
      </c>
      <c r="F4069">
        <v>9.3799999999999994E-2</v>
      </c>
    </row>
    <row r="4070" spans="1:6" x14ac:dyDescent="0.3">
      <c r="A4070" t="s">
        <v>4105</v>
      </c>
      <c r="B4070" t="s">
        <v>53</v>
      </c>
      <c r="C4070">
        <v>647000</v>
      </c>
      <c r="D4070">
        <v>461.4</v>
      </c>
      <c r="E4070">
        <v>1.49E-2</v>
      </c>
      <c r="F4070">
        <v>5.8500000000000003E-2</v>
      </c>
    </row>
    <row r="4071" spans="1:6" x14ac:dyDescent="0.3">
      <c r="A4071" t="s">
        <v>4106</v>
      </c>
      <c r="B4071" t="s">
        <v>21</v>
      </c>
      <c r="C4071">
        <v>882000</v>
      </c>
      <c r="D4071">
        <v>96846.1</v>
      </c>
      <c r="E4071">
        <v>2.8500000000000001E-2</v>
      </c>
      <c r="F4071">
        <v>4.0899999999999999E-2</v>
      </c>
    </row>
    <row r="4072" spans="1:6" x14ac:dyDescent="0.3">
      <c r="A4072" t="s">
        <v>4107</v>
      </c>
      <c r="B4072" t="s">
        <v>71</v>
      </c>
      <c r="C4072">
        <v>623000</v>
      </c>
      <c r="D4072">
        <v>638392.30000000005</v>
      </c>
      <c r="E4072">
        <v>2.8500000000000001E-2</v>
      </c>
      <c r="F4072">
        <v>5.1799999999999999E-2</v>
      </c>
    </row>
    <row r="4073" spans="1:6" x14ac:dyDescent="0.3">
      <c r="A4073" t="s">
        <v>4108</v>
      </c>
      <c r="B4073" t="s">
        <v>41</v>
      </c>
      <c r="C4073">
        <v>728000</v>
      </c>
      <c r="D4073">
        <v>2183</v>
      </c>
      <c r="E4073">
        <v>8.0299999999999996E-2</v>
      </c>
      <c r="F4073">
        <v>9.3799999999999994E-2</v>
      </c>
    </row>
    <row r="4074" spans="1:6" x14ac:dyDescent="0.3">
      <c r="A4074" t="s">
        <v>4109</v>
      </c>
      <c r="B4074" t="s">
        <v>26</v>
      </c>
      <c r="C4074">
        <v>1030000</v>
      </c>
      <c r="D4074">
        <v>29502.2</v>
      </c>
      <c r="E4074">
        <v>2.41E-2</v>
      </c>
      <c r="F4074">
        <v>6.7799999999999999E-2</v>
      </c>
    </row>
    <row r="4075" spans="1:6" x14ac:dyDescent="0.3">
      <c r="A4075" t="s">
        <v>4110</v>
      </c>
      <c r="B4075" t="s">
        <v>50</v>
      </c>
      <c r="C4075">
        <v>769000</v>
      </c>
      <c r="D4075">
        <v>475666.8</v>
      </c>
      <c r="E4075">
        <v>4.8899999999999999E-2</v>
      </c>
      <c r="F4075">
        <v>5.1799999999999999E-2</v>
      </c>
    </row>
    <row r="4076" spans="1:6" x14ac:dyDescent="0.3">
      <c r="A4076" t="s">
        <v>4111</v>
      </c>
      <c r="B4076" t="s">
        <v>26</v>
      </c>
      <c r="C4076">
        <v>835000</v>
      </c>
      <c r="D4076">
        <v>100.1</v>
      </c>
      <c r="E4076">
        <v>1.6999999999999999E-3</v>
      </c>
      <c r="F4076">
        <v>0.21210000000000001</v>
      </c>
    </row>
    <row r="4077" spans="1:6" x14ac:dyDescent="0.3">
      <c r="A4077" t="s">
        <v>4112</v>
      </c>
      <c r="B4077" t="s">
        <v>41</v>
      </c>
      <c r="C4077">
        <v>801000</v>
      </c>
      <c r="D4077">
        <v>3837.3</v>
      </c>
      <c r="E4077">
        <v>1.0800000000000001E-2</v>
      </c>
      <c r="F4077">
        <v>8.1100000000000005E-2</v>
      </c>
    </row>
    <row r="4078" spans="1:6" x14ac:dyDescent="0.3">
      <c r="A4078" t="s">
        <v>4113</v>
      </c>
      <c r="B4078" t="s">
        <v>26</v>
      </c>
      <c r="C4078">
        <v>853000</v>
      </c>
      <c r="D4078">
        <v>231147</v>
      </c>
      <c r="E4078">
        <v>1.7399999999999999E-2</v>
      </c>
      <c r="F4078">
        <v>4.6199999999999998E-2</v>
      </c>
    </row>
    <row r="4079" spans="1:6" x14ac:dyDescent="0.3">
      <c r="A4079" t="s">
        <v>4114</v>
      </c>
      <c r="B4079" t="s">
        <v>32</v>
      </c>
      <c r="C4079">
        <v>712000</v>
      </c>
      <c r="D4079">
        <v>79809.5</v>
      </c>
      <c r="E4079">
        <v>1.18E-2</v>
      </c>
      <c r="F4079">
        <v>8.2199999999999995E-2</v>
      </c>
    </row>
    <row r="4080" spans="1:6" x14ac:dyDescent="0.3">
      <c r="A4080" t="s">
        <v>4115</v>
      </c>
      <c r="B4080" t="s">
        <v>24</v>
      </c>
      <c r="C4080">
        <v>628000</v>
      </c>
      <c r="D4080">
        <v>20609.5</v>
      </c>
      <c r="E4080">
        <v>3.5799999999999998E-2</v>
      </c>
      <c r="F4080">
        <v>9.5100000000000004E-2</v>
      </c>
    </row>
    <row r="4081" spans="1:6" x14ac:dyDescent="0.3">
      <c r="A4081" t="s">
        <v>4116</v>
      </c>
      <c r="B4081" t="s">
        <v>24</v>
      </c>
      <c r="C4081">
        <v>797000</v>
      </c>
      <c r="D4081">
        <v>2615.9</v>
      </c>
      <c r="E4081">
        <v>2.2800000000000001E-2</v>
      </c>
      <c r="F4081">
        <v>8.9499999999999996E-2</v>
      </c>
    </row>
    <row r="4082" spans="1:6" x14ac:dyDescent="0.3">
      <c r="A4082" t="s">
        <v>4117</v>
      </c>
      <c r="B4082" t="s">
        <v>214</v>
      </c>
      <c r="C4082">
        <v>613000</v>
      </c>
      <c r="D4082">
        <v>4484</v>
      </c>
      <c r="E4082">
        <v>2.12E-2</v>
      </c>
      <c r="F4082">
        <v>5.4600000000000003E-2</v>
      </c>
    </row>
    <row r="4083" spans="1:6" x14ac:dyDescent="0.3">
      <c r="A4083" t="s">
        <v>4118</v>
      </c>
      <c r="B4083" t="s">
        <v>26</v>
      </c>
      <c r="C4083">
        <v>1020000</v>
      </c>
      <c r="D4083">
        <v>48337.4</v>
      </c>
      <c r="E4083">
        <v>5.5300000000000002E-2</v>
      </c>
      <c r="F4083">
        <v>7.5899999999999995E-2</v>
      </c>
    </row>
    <row r="4084" spans="1:6" x14ac:dyDescent="0.3">
      <c r="A4084" t="s">
        <v>4119</v>
      </c>
      <c r="B4084" t="s">
        <v>88</v>
      </c>
      <c r="C4084">
        <v>865000</v>
      </c>
      <c r="D4084">
        <v>2210.5</v>
      </c>
      <c r="E4084">
        <v>7.6100000000000001E-2</v>
      </c>
      <c r="F4084">
        <v>9.3799999999999994E-2</v>
      </c>
    </row>
    <row r="4085" spans="1:6" x14ac:dyDescent="0.3">
      <c r="A4085" t="s">
        <v>4120</v>
      </c>
      <c r="B4085" t="s">
        <v>81</v>
      </c>
      <c r="C4085">
        <v>718000</v>
      </c>
      <c r="D4085">
        <v>33268.199999999997</v>
      </c>
      <c r="E4085">
        <v>2.1700000000000001E-2</v>
      </c>
      <c r="F4085">
        <v>7.6499999999999999E-2</v>
      </c>
    </row>
    <row r="4086" spans="1:6" x14ac:dyDescent="0.3">
      <c r="A4086" t="s">
        <v>4121</v>
      </c>
      <c r="B4086" t="s">
        <v>28</v>
      </c>
      <c r="C4086">
        <v>720000</v>
      </c>
      <c r="D4086">
        <v>3051.7</v>
      </c>
      <c r="E4086">
        <v>6.3899999999999998E-2</v>
      </c>
      <c r="F4086">
        <v>7.5899999999999995E-2</v>
      </c>
    </row>
    <row r="4087" spans="1:6" x14ac:dyDescent="0.3">
      <c r="A4087" t="s">
        <v>4122</v>
      </c>
      <c r="B4087" t="s">
        <v>24</v>
      </c>
      <c r="C4087">
        <v>692000</v>
      </c>
      <c r="D4087">
        <v>1114.8</v>
      </c>
      <c r="E4087">
        <v>0.1018</v>
      </c>
      <c r="F4087">
        <v>9.3799999999999994E-2</v>
      </c>
    </row>
    <row r="4088" spans="1:6" x14ac:dyDescent="0.3">
      <c r="A4088" t="s">
        <v>4123</v>
      </c>
      <c r="B4088" t="s">
        <v>287</v>
      </c>
      <c r="C4088">
        <v>716000</v>
      </c>
      <c r="D4088">
        <v>1103981.8</v>
      </c>
      <c r="E4088">
        <v>1.66E-2</v>
      </c>
      <c r="F4088">
        <v>5.8500000000000003E-2</v>
      </c>
    </row>
    <row r="4089" spans="1:6" x14ac:dyDescent="0.3">
      <c r="A4089" t="s">
        <v>4124</v>
      </c>
      <c r="B4089" t="s">
        <v>287</v>
      </c>
      <c r="C4089">
        <v>633000</v>
      </c>
      <c r="D4089">
        <v>1630.6</v>
      </c>
      <c r="E4089">
        <v>8.6E-3</v>
      </c>
      <c r="F4089">
        <v>0.14710000000000001</v>
      </c>
    </row>
    <row r="4090" spans="1:6" x14ac:dyDescent="0.3">
      <c r="A4090" t="s">
        <v>4125</v>
      </c>
      <c r="B4090" t="s">
        <v>21</v>
      </c>
      <c r="C4090">
        <v>971000</v>
      </c>
      <c r="D4090">
        <v>163347.9</v>
      </c>
      <c r="E4090">
        <v>3.4299999999999997E-2</v>
      </c>
      <c r="F4090">
        <v>9.3799999999999994E-2</v>
      </c>
    </row>
    <row r="4091" spans="1:6" x14ac:dyDescent="0.3">
      <c r="A4091" t="s">
        <v>4126</v>
      </c>
      <c r="B4091" t="s">
        <v>41</v>
      </c>
      <c r="C4091">
        <v>1080000</v>
      </c>
      <c r="D4091">
        <v>41733.9</v>
      </c>
      <c r="E4091">
        <v>3.1099999999999999E-2</v>
      </c>
      <c r="F4091">
        <v>9.3799999999999994E-2</v>
      </c>
    </row>
    <row r="4092" spans="1:6" x14ac:dyDescent="0.3">
      <c r="A4092" t="s">
        <v>4127</v>
      </c>
      <c r="B4092" t="s">
        <v>26</v>
      </c>
      <c r="C4092">
        <v>609000</v>
      </c>
      <c r="D4092">
        <v>153180.5</v>
      </c>
      <c r="E4092">
        <v>2.75E-2</v>
      </c>
      <c r="F4092">
        <v>4.0899999999999999E-2</v>
      </c>
    </row>
    <row r="4093" spans="1:6" x14ac:dyDescent="0.3">
      <c r="A4093" t="s">
        <v>4128</v>
      </c>
      <c r="B4093" t="s">
        <v>214</v>
      </c>
      <c r="C4093">
        <v>1090000</v>
      </c>
      <c r="D4093">
        <v>9867</v>
      </c>
      <c r="F4093">
        <v>4.0899999999999999E-2</v>
      </c>
    </row>
    <row r="4094" spans="1:6" x14ac:dyDescent="0.3">
      <c r="A4094" t="s">
        <v>4129</v>
      </c>
      <c r="B4094" t="s">
        <v>26</v>
      </c>
      <c r="C4094">
        <v>1250000</v>
      </c>
      <c r="D4094">
        <v>205831.3</v>
      </c>
      <c r="E4094">
        <v>5.7799999999999997E-2</v>
      </c>
      <c r="F4094">
        <v>6.7199999999999996E-2</v>
      </c>
    </row>
    <row r="4095" spans="1:6" x14ac:dyDescent="0.3">
      <c r="A4095" t="s">
        <v>4130</v>
      </c>
      <c r="B4095" t="s">
        <v>88</v>
      </c>
      <c r="C4095">
        <v>1200000</v>
      </c>
      <c r="D4095">
        <v>8546.2000000000007</v>
      </c>
      <c r="E4095">
        <v>5.7999999999999996E-3</v>
      </c>
      <c r="F4095">
        <v>8.1100000000000005E-2</v>
      </c>
    </row>
    <row r="4096" spans="1:6" x14ac:dyDescent="0.3">
      <c r="A4096" t="s">
        <v>4131</v>
      </c>
      <c r="B4096" t="s">
        <v>21</v>
      </c>
      <c r="C4096">
        <v>715000</v>
      </c>
      <c r="D4096">
        <v>7743.1</v>
      </c>
      <c r="E4096">
        <v>2.58E-2</v>
      </c>
      <c r="F4096">
        <v>4.0899999999999999E-2</v>
      </c>
    </row>
    <row r="4097" spans="1:6" x14ac:dyDescent="0.3">
      <c r="A4097" t="s">
        <v>4132</v>
      </c>
      <c r="B4097" t="s">
        <v>62</v>
      </c>
      <c r="C4097">
        <v>887000</v>
      </c>
      <c r="D4097">
        <v>3940.8</v>
      </c>
      <c r="E4097">
        <v>4.6300000000000001E-2</v>
      </c>
      <c r="F4097">
        <v>7.5899999999999995E-2</v>
      </c>
    </row>
    <row r="4098" spans="1:6" x14ac:dyDescent="0.3">
      <c r="A4098" t="s">
        <v>4133</v>
      </c>
      <c r="B4098" t="s">
        <v>92</v>
      </c>
      <c r="C4098">
        <v>692000</v>
      </c>
      <c r="D4098">
        <v>40219</v>
      </c>
      <c r="E4098">
        <v>1.7299999999999999E-2</v>
      </c>
      <c r="F4098">
        <v>7.5700000000000003E-2</v>
      </c>
    </row>
    <row r="4099" spans="1:6" x14ac:dyDescent="0.3">
      <c r="A4099" t="s">
        <v>4134</v>
      </c>
      <c r="B4099" t="s">
        <v>26</v>
      </c>
      <c r="C4099">
        <v>907000</v>
      </c>
      <c r="D4099">
        <v>250498.7</v>
      </c>
      <c r="E4099">
        <v>1.46E-2</v>
      </c>
      <c r="F4099">
        <v>6.1600000000000002E-2</v>
      </c>
    </row>
    <row r="4100" spans="1:6" x14ac:dyDescent="0.3">
      <c r="A4100" t="s">
        <v>4135</v>
      </c>
      <c r="B4100" t="s">
        <v>88</v>
      </c>
      <c r="C4100">
        <v>1000000</v>
      </c>
      <c r="D4100">
        <v>19703.2</v>
      </c>
      <c r="E4100">
        <v>4.0599999999999997E-2</v>
      </c>
      <c r="F4100">
        <v>9.5100000000000004E-2</v>
      </c>
    </row>
    <row r="4101" spans="1:6" x14ac:dyDescent="0.3">
      <c r="A4101" t="s">
        <v>4136</v>
      </c>
      <c r="B4101" t="s">
        <v>26</v>
      </c>
      <c r="C4101">
        <v>715000</v>
      </c>
      <c r="D4101">
        <v>227919.2</v>
      </c>
      <c r="E4101">
        <v>1.52E-2</v>
      </c>
      <c r="F4101">
        <v>7.5700000000000003E-2</v>
      </c>
    </row>
    <row r="4102" spans="1:6" x14ac:dyDescent="0.3">
      <c r="A4102" t="s">
        <v>4137</v>
      </c>
      <c r="B4102" t="s">
        <v>71</v>
      </c>
      <c r="C4102">
        <v>713000</v>
      </c>
      <c r="D4102">
        <v>13143</v>
      </c>
      <c r="E4102">
        <v>5.2400000000000002E-2</v>
      </c>
      <c r="F4102">
        <v>9.3799999999999994E-2</v>
      </c>
    </row>
    <row r="4103" spans="1:6" x14ac:dyDescent="0.3">
      <c r="A4103" t="s">
        <v>4138</v>
      </c>
      <c r="B4103" t="s">
        <v>214</v>
      </c>
      <c r="C4103">
        <v>663000</v>
      </c>
      <c r="D4103">
        <v>1123.8</v>
      </c>
      <c r="E4103">
        <v>7.7999999999999996E-3</v>
      </c>
      <c r="F4103">
        <v>0.10150000000000001</v>
      </c>
    </row>
    <row r="4104" spans="1:6" x14ac:dyDescent="0.3">
      <c r="A4104" t="s">
        <v>4139</v>
      </c>
      <c r="B4104" t="s">
        <v>92</v>
      </c>
      <c r="C4104">
        <v>629000</v>
      </c>
      <c r="D4104">
        <v>25647.3</v>
      </c>
      <c r="E4104">
        <v>2.8899999999999999E-2</v>
      </c>
      <c r="F4104">
        <v>5.1799999999999999E-2</v>
      </c>
    </row>
    <row r="4105" spans="1:6" x14ac:dyDescent="0.3">
      <c r="A4105" t="s">
        <v>4140</v>
      </c>
      <c r="B4105" t="s">
        <v>62</v>
      </c>
      <c r="C4105">
        <v>849000</v>
      </c>
      <c r="D4105">
        <v>4053</v>
      </c>
      <c r="E4105">
        <v>5.1799999999999999E-2</v>
      </c>
      <c r="F4105">
        <v>7.5899999999999995E-2</v>
      </c>
    </row>
    <row r="4106" spans="1:6" x14ac:dyDescent="0.3">
      <c r="A4106" t="s">
        <v>4141</v>
      </c>
      <c r="B4106" t="s">
        <v>81</v>
      </c>
      <c r="C4106">
        <v>726000</v>
      </c>
      <c r="D4106">
        <v>51981.3</v>
      </c>
      <c r="E4106">
        <v>6.8199999999999997E-2</v>
      </c>
      <c r="F4106">
        <v>7.5899999999999995E-2</v>
      </c>
    </row>
    <row r="4107" spans="1:6" x14ac:dyDescent="0.3">
      <c r="A4107" t="s">
        <v>4142</v>
      </c>
      <c r="B4107" t="s">
        <v>21</v>
      </c>
      <c r="C4107">
        <v>854000</v>
      </c>
      <c r="D4107">
        <v>63848.3</v>
      </c>
      <c r="E4107">
        <v>2.5100000000000001E-2</v>
      </c>
      <c r="F4107">
        <v>4.1200000000000001E-2</v>
      </c>
    </row>
    <row r="4108" spans="1:6" x14ac:dyDescent="0.3">
      <c r="A4108" t="s">
        <v>4143</v>
      </c>
      <c r="B4108" t="s">
        <v>24</v>
      </c>
      <c r="C4108">
        <v>848000</v>
      </c>
      <c r="D4108">
        <v>1432.5</v>
      </c>
      <c r="E4108">
        <v>1.77E-2</v>
      </c>
      <c r="F4108">
        <v>0.1449</v>
      </c>
    </row>
    <row r="4109" spans="1:6" x14ac:dyDescent="0.3">
      <c r="A4109" t="s">
        <v>4144</v>
      </c>
      <c r="B4109" t="s">
        <v>26</v>
      </c>
      <c r="C4109">
        <v>657000</v>
      </c>
      <c r="D4109">
        <v>9517198.0999999996</v>
      </c>
      <c r="E4109">
        <v>3.49E-2</v>
      </c>
      <c r="F4109">
        <v>5.1799999999999999E-2</v>
      </c>
    </row>
    <row r="4110" spans="1:6" x14ac:dyDescent="0.3">
      <c r="A4110" t="s">
        <v>4145</v>
      </c>
      <c r="B4110" t="s">
        <v>62</v>
      </c>
      <c r="C4110">
        <v>828000</v>
      </c>
      <c r="D4110">
        <v>26982.5</v>
      </c>
      <c r="E4110">
        <v>1.3599999999999999E-2</v>
      </c>
      <c r="F4110">
        <v>4.6199999999999998E-2</v>
      </c>
    </row>
    <row r="4111" spans="1:6" x14ac:dyDescent="0.3">
      <c r="A4111" t="s">
        <v>4146</v>
      </c>
      <c r="B4111" t="s">
        <v>92</v>
      </c>
      <c r="C4111">
        <v>660000</v>
      </c>
      <c r="D4111">
        <v>22659.7</v>
      </c>
      <c r="E4111">
        <v>2.4899999999999999E-2</v>
      </c>
      <c r="F4111">
        <v>9.3799999999999994E-2</v>
      </c>
    </row>
    <row r="4112" spans="1:6" x14ac:dyDescent="0.3">
      <c r="A4112" t="s">
        <v>4147</v>
      </c>
      <c r="B4112" t="s">
        <v>88</v>
      </c>
      <c r="C4112">
        <v>735000</v>
      </c>
      <c r="D4112">
        <v>12414.1</v>
      </c>
      <c r="E4112">
        <v>2.1100000000000001E-2</v>
      </c>
      <c r="F4112">
        <v>7.5899999999999995E-2</v>
      </c>
    </row>
    <row r="4113" spans="1:6" x14ac:dyDescent="0.3">
      <c r="A4113" t="s">
        <v>4148</v>
      </c>
      <c r="B4113" t="s">
        <v>26</v>
      </c>
      <c r="C4113">
        <v>1040000</v>
      </c>
      <c r="D4113">
        <v>20441.3</v>
      </c>
      <c r="F4113">
        <v>5.1799999999999999E-2</v>
      </c>
    </row>
    <row r="4114" spans="1:6" x14ac:dyDescent="0.3">
      <c r="A4114" t="s">
        <v>4149</v>
      </c>
      <c r="B4114" t="s">
        <v>24</v>
      </c>
      <c r="C4114">
        <v>650000</v>
      </c>
      <c r="D4114">
        <v>348</v>
      </c>
      <c r="E4114">
        <v>2.7E-2</v>
      </c>
      <c r="F4114">
        <v>7.5899999999999995E-2</v>
      </c>
    </row>
    <row r="4115" spans="1:6" x14ac:dyDescent="0.3">
      <c r="A4115" t="s">
        <v>4150</v>
      </c>
      <c r="B4115" t="s">
        <v>26</v>
      </c>
      <c r="C4115">
        <v>784000</v>
      </c>
      <c r="D4115">
        <v>58047.6</v>
      </c>
      <c r="E4115">
        <v>7.4700000000000003E-2</v>
      </c>
      <c r="F4115">
        <v>7.5899999999999995E-2</v>
      </c>
    </row>
    <row r="4116" spans="1:6" x14ac:dyDescent="0.3">
      <c r="A4116" t="s">
        <v>4151</v>
      </c>
      <c r="B4116" t="s">
        <v>26</v>
      </c>
      <c r="C4116">
        <v>1280000</v>
      </c>
      <c r="D4116">
        <v>150863.70000000001</v>
      </c>
      <c r="E4116">
        <v>4.9700000000000001E-2</v>
      </c>
      <c r="F4116">
        <v>4.0899999999999999E-2</v>
      </c>
    </row>
    <row r="4117" spans="1:6" x14ac:dyDescent="0.3">
      <c r="A4117" t="s">
        <v>4152</v>
      </c>
      <c r="B4117" t="s">
        <v>26</v>
      </c>
      <c r="C4117">
        <v>1450000</v>
      </c>
      <c r="D4117">
        <v>6567.8</v>
      </c>
      <c r="E4117">
        <v>5.5199999999999999E-2</v>
      </c>
      <c r="F4117">
        <v>5.0999999999999997E-2</v>
      </c>
    </row>
    <row r="4118" spans="1:6" x14ac:dyDescent="0.3">
      <c r="A4118" t="s">
        <v>4153</v>
      </c>
      <c r="B4118" t="s">
        <v>24</v>
      </c>
      <c r="C4118">
        <v>1680000</v>
      </c>
      <c r="D4118">
        <v>160315.29999999999</v>
      </c>
      <c r="E4118">
        <v>3.1800000000000002E-2</v>
      </c>
      <c r="F4118">
        <v>0.16880000000000001</v>
      </c>
    </row>
    <row r="4119" spans="1:6" x14ac:dyDescent="0.3">
      <c r="A4119" t="s">
        <v>4154</v>
      </c>
      <c r="B4119" t="s">
        <v>92</v>
      </c>
      <c r="C4119">
        <v>662000</v>
      </c>
      <c r="D4119">
        <v>6423.4</v>
      </c>
      <c r="E4119">
        <v>1.21E-2</v>
      </c>
      <c r="F4119">
        <v>7.6499999999999999E-2</v>
      </c>
    </row>
    <row r="4120" spans="1:6" x14ac:dyDescent="0.3">
      <c r="A4120" t="s">
        <v>4155</v>
      </c>
      <c r="B4120" t="s">
        <v>24</v>
      </c>
      <c r="C4120">
        <v>1140000</v>
      </c>
      <c r="D4120">
        <v>12948.6</v>
      </c>
      <c r="E4120">
        <v>1.6899999999999998E-2</v>
      </c>
      <c r="F4120">
        <v>0.16900000000000001</v>
      </c>
    </row>
    <row r="4121" spans="1:6" x14ac:dyDescent="0.3">
      <c r="A4121" t="s">
        <v>4156</v>
      </c>
      <c r="B4121" t="s">
        <v>195</v>
      </c>
      <c r="C4121">
        <v>858000</v>
      </c>
      <c r="D4121">
        <v>1009.8</v>
      </c>
      <c r="E4121">
        <v>1.0500000000000001E-2</v>
      </c>
      <c r="F4121">
        <v>8.2199999999999995E-2</v>
      </c>
    </row>
    <row r="4122" spans="1:6" x14ac:dyDescent="0.3">
      <c r="A4122" t="s">
        <v>4157</v>
      </c>
      <c r="B4122" t="s">
        <v>62</v>
      </c>
      <c r="C4122">
        <v>645000</v>
      </c>
      <c r="D4122">
        <v>2009.5</v>
      </c>
      <c r="E4122">
        <v>4.8899999999999999E-2</v>
      </c>
      <c r="F4122">
        <v>9.5100000000000004E-2</v>
      </c>
    </row>
    <row r="4123" spans="1:6" x14ac:dyDescent="0.3">
      <c r="A4123" t="s">
        <v>4158</v>
      </c>
      <c r="B4123" t="s">
        <v>41</v>
      </c>
      <c r="C4123">
        <v>787000</v>
      </c>
      <c r="D4123">
        <v>11955.8</v>
      </c>
      <c r="E4123">
        <v>4.0099999999999997E-2</v>
      </c>
      <c r="F4123">
        <v>7.5899999999999995E-2</v>
      </c>
    </row>
    <row r="4124" spans="1:6" x14ac:dyDescent="0.3">
      <c r="A4124" t="s">
        <v>4159</v>
      </c>
      <c r="B4124" t="s">
        <v>24</v>
      </c>
      <c r="C4124">
        <v>639000</v>
      </c>
      <c r="D4124">
        <v>4245.5</v>
      </c>
      <c r="E4124">
        <v>5.8999999999999997E-2</v>
      </c>
      <c r="F4124">
        <v>9.5100000000000004E-2</v>
      </c>
    </row>
    <row r="4125" spans="1:6" x14ac:dyDescent="0.3">
      <c r="A4125" t="s">
        <v>4160</v>
      </c>
      <c r="B4125" t="s">
        <v>490</v>
      </c>
      <c r="C4125">
        <v>1090000</v>
      </c>
      <c r="D4125">
        <v>144690</v>
      </c>
      <c r="E4125">
        <v>5.2299999999999999E-2</v>
      </c>
      <c r="F4125">
        <v>7.5899999999999995E-2</v>
      </c>
    </row>
    <row r="4126" spans="1:6" x14ac:dyDescent="0.3">
      <c r="A4126" t="s">
        <v>4161</v>
      </c>
      <c r="B4126" t="s">
        <v>26</v>
      </c>
      <c r="C4126">
        <v>645000</v>
      </c>
      <c r="D4126">
        <v>21750.9</v>
      </c>
      <c r="E4126">
        <v>2.3699999999999999E-2</v>
      </c>
      <c r="F4126">
        <v>9.3799999999999994E-2</v>
      </c>
    </row>
    <row r="4127" spans="1:6" x14ac:dyDescent="0.3">
      <c r="A4127" t="s">
        <v>4162</v>
      </c>
      <c r="B4127" t="s">
        <v>92</v>
      </c>
      <c r="C4127">
        <v>2530000</v>
      </c>
      <c r="D4127">
        <v>61171.1</v>
      </c>
      <c r="E4127">
        <v>1.4200000000000001E-2</v>
      </c>
      <c r="F4127">
        <v>0.1027</v>
      </c>
    </row>
    <row r="4128" spans="1:6" x14ac:dyDescent="0.3">
      <c r="A4128" t="s">
        <v>4163</v>
      </c>
      <c r="B4128" t="s">
        <v>74</v>
      </c>
      <c r="C4128">
        <v>629000</v>
      </c>
      <c r="D4128">
        <v>472</v>
      </c>
      <c r="E4128">
        <v>1.17E-2</v>
      </c>
      <c r="F4128">
        <v>0.1067</v>
      </c>
    </row>
    <row r="4129" spans="1:6" x14ac:dyDescent="0.3">
      <c r="A4129" t="s">
        <v>4164</v>
      </c>
      <c r="B4129" t="s">
        <v>92</v>
      </c>
      <c r="C4129">
        <v>623000</v>
      </c>
      <c r="D4129">
        <v>9504.2999999999993</v>
      </c>
      <c r="E4129">
        <v>2.3800000000000002E-2</v>
      </c>
      <c r="F4129">
        <v>9.5100000000000004E-2</v>
      </c>
    </row>
    <row r="4130" spans="1:6" x14ac:dyDescent="0.3">
      <c r="A4130" t="s">
        <v>4165</v>
      </c>
      <c r="B4130" t="s">
        <v>88</v>
      </c>
      <c r="C4130">
        <v>789000</v>
      </c>
      <c r="D4130">
        <v>6829.4</v>
      </c>
      <c r="E4130">
        <v>3.3799999999999997E-2</v>
      </c>
      <c r="F4130">
        <v>9.3799999999999994E-2</v>
      </c>
    </row>
    <row r="4131" spans="1:6" x14ac:dyDescent="0.3">
      <c r="A4131" t="s">
        <v>4166</v>
      </c>
      <c r="B4131" t="s">
        <v>26</v>
      </c>
      <c r="C4131">
        <v>1820000</v>
      </c>
      <c r="D4131">
        <v>622144</v>
      </c>
      <c r="E4131">
        <v>4.3299999999999998E-2</v>
      </c>
      <c r="F4131">
        <v>5.0999999999999997E-2</v>
      </c>
    </row>
    <row r="4132" spans="1:6" x14ac:dyDescent="0.3">
      <c r="A4132" t="s">
        <v>4167</v>
      </c>
      <c r="B4132" t="s">
        <v>24</v>
      </c>
      <c r="C4132">
        <v>818000</v>
      </c>
      <c r="D4132">
        <v>13562.2</v>
      </c>
      <c r="E4132">
        <v>3.09E-2</v>
      </c>
      <c r="F4132">
        <v>9.3799999999999994E-2</v>
      </c>
    </row>
    <row r="4133" spans="1:6" x14ac:dyDescent="0.3">
      <c r="A4133" t="s">
        <v>4168</v>
      </c>
      <c r="B4133" t="s">
        <v>26</v>
      </c>
      <c r="C4133">
        <v>2660000</v>
      </c>
      <c r="D4133">
        <v>140711.29999999999</v>
      </c>
      <c r="E4133">
        <v>7.1000000000000004E-3</v>
      </c>
      <c r="F4133">
        <v>6.54E-2</v>
      </c>
    </row>
    <row r="4134" spans="1:6" x14ac:dyDescent="0.3">
      <c r="A4134" t="s">
        <v>4169</v>
      </c>
      <c r="B4134" t="s">
        <v>30</v>
      </c>
      <c r="C4134">
        <v>2280000</v>
      </c>
      <c r="D4134">
        <v>882124.9</v>
      </c>
      <c r="E4134">
        <v>7.9000000000000008E-3</v>
      </c>
      <c r="F4134">
        <v>6.54E-2</v>
      </c>
    </row>
    <row r="4135" spans="1:6" x14ac:dyDescent="0.3">
      <c r="A4135" t="s">
        <v>4170</v>
      </c>
      <c r="B4135" t="s">
        <v>26</v>
      </c>
      <c r="C4135">
        <v>808000</v>
      </c>
      <c r="D4135">
        <v>357826.8</v>
      </c>
      <c r="E4135">
        <v>2.98E-2</v>
      </c>
      <c r="F4135">
        <v>5.1799999999999999E-2</v>
      </c>
    </row>
    <row r="4136" spans="1:6" x14ac:dyDescent="0.3">
      <c r="A4136" t="s">
        <v>4171</v>
      </c>
      <c r="B4136" t="s">
        <v>490</v>
      </c>
      <c r="C4136">
        <v>1170000</v>
      </c>
      <c r="D4136">
        <v>11343.1</v>
      </c>
      <c r="E4136">
        <v>1.3899999999999999E-2</v>
      </c>
      <c r="F4136">
        <v>4.6199999999999998E-2</v>
      </c>
    </row>
    <row r="4137" spans="1:6" x14ac:dyDescent="0.3">
      <c r="A4137" t="s">
        <v>4172</v>
      </c>
      <c r="B4137" t="s">
        <v>88</v>
      </c>
      <c r="C4137">
        <v>609000</v>
      </c>
      <c r="D4137">
        <v>2034.8</v>
      </c>
      <c r="E4137">
        <v>1.77E-2</v>
      </c>
      <c r="F4137">
        <v>0.13100000000000001</v>
      </c>
    </row>
    <row r="4138" spans="1:6" x14ac:dyDescent="0.3">
      <c r="A4138" t="s">
        <v>4173</v>
      </c>
      <c r="B4138" t="s">
        <v>41</v>
      </c>
      <c r="C4138">
        <v>730000</v>
      </c>
      <c r="D4138">
        <v>920.3</v>
      </c>
      <c r="E4138">
        <v>1.09E-2</v>
      </c>
      <c r="F4138">
        <v>0.2092</v>
      </c>
    </row>
    <row r="4139" spans="1:6" x14ac:dyDescent="0.3">
      <c r="A4139" t="s">
        <v>4174</v>
      </c>
      <c r="B4139" t="s">
        <v>88</v>
      </c>
      <c r="C4139">
        <v>1390000</v>
      </c>
      <c r="D4139">
        <v>6227.1</v>
      </c>
      <c r="E4139">
        <v>3.6299999999999999E-2</v>
      </c>
      <c r="F4139">
        <v>0.1043</v>
      </c>
    </row>
    <row r="4140" spans="1:6" x14ac:dyDescent="0.3">
      <c r="A4140" t="s">
        <v>4175</v>
      </c>
      <c r="B4140" t="s">
        <v>287</v>
      </c>
      <c r="C4140">
        <v>1280000</v>
      </c>
      <c r="D4140">
        <v>88382.399999999994</v>
      </c>
      <c r="E4140">
        <v>2.6599999999999999E-2</v>
      </c>
      <c r="F4140">
        <v>7.5899999999999995E-2</v>
      </c>
    </row>
    <row r="4141" spans="1:6" x14ac:dyDescent="0.3">
      <c r="A4141" t="s">
        <v>4176</v>
      </c>
      <c r="B4141" t="s">
        <v>195</v>
      </c>
      <c r="C4141">
        <v>708000</v>
      </c>
      <c r="D4141">
        <v>3104.3</v>
      </c>
      <c r="E4141">
        <v>2.53E-2</v>
      </c>
      <c r="F4141">
        <v>5.0999999999999997E-2</v>
      </c>
    </row>
    <row r="4142" spans="1:6" x14ac:dyDescent="0.3">
      <c r="A4142" t="s">
        <v>4177</v>
      </c>
      <c r="B4142" t="s">
        <v>71</v>
      </c>
      <c r="C4142">
        <v>1320000</v>
      </c>
      <c r="D4142">
        <v>8564.7999999999993</v>
      </c>
      <c r="E4142">
        <v>2.6599999999999999E-2</v>
      </c>
      <c r="F4142">
        <v>7.5899999999999995E-2</v>
      </c>
    </row>
    <row r="4143" spans="1:6" x14ac:dyDescent="0.3">
      <c r="A4143" t="s">
        <v>4178</v>
      </c>
      <c r="B4143" t="s">
        <v>21</v>
      </c>
      <c r="C4143">
        <v>910000</v>
      </c>
      <c r="D4143">
        <v>145037</v>
      </c>
      <c r="E4143">
        <v>3.78E-2</v>
      </c>
      <c r="F4143">
        <v>9.3799999999999994E-2</v>
      </c>
    </row>
    <row r="4144" spans="1:6" x14ac:dyDescent="0.3">
      <c r="A4144" t="s">
        <v>4179</v>
      </c>
      <c r="B4144" t="s">
        <v>88</v>
      </c>
      <c r="C4144">
        <v>919000</v>
      </c>
      <c r="D4144">
        <v>6136.2</v>
      </c>
      <c r="E4144">
        <v>1.4E-2</v>
      </c>
      <c r="F4144">
        <v>0.1067</v>
      </c>
    </row>
    <row r="4145" spans="1:6" x14ac:dyDescent="0.3">
      <c r="A4145" t="s">
        <v>4180</v>
      </c>
      <c r="B4145" t="s">
        <v>50</v>
      </c>
      <c r="C4145">
        <v>670000</v>
      </c>
      <c r="D4145">
        <v>6775.1</v>
      </c>
      <c r="E4145">
        <v>2.7300000000000001E-2</v>
      </c>
      <c r="F4145">
        <v>5.3800000000000001E-2</v>
      </c>
    </row>
    <row r="4146" spans="1:6" x14ac:dyDescent="0.3">
      <c r="A4146" t="s">
        <v>4181</v>
      </c>
      <c r="B4146" t="s">
        <v>26</v>
      </c>
      <c r="C4146">
        <v>607000</v>
      </c>
      <c r="D4146">
        <v>1275923.8999999999</v>
      </c>
      <c r="E4146">
        <v>1.7600000000000001E-2</v>
      </c>
      <c r="F4146">
        <v>0.30299999999999999</v>
      </c>
    </row>
    <row r="4147" spans="1:6" x14ac:dyDescent="0.3">
      <c r="A4147" t="s">
        <v>4182</v>
      </c>
      <c r="B4147" t="s">
        <v>32</v>
      </c>
      <c r="C4147">
        <v>797000</v>
      </c>
      <c r="D4147">
        <v>1640.5</v>
      </c>
      <c r="E4147">
        <v>1.0800000000000001E-2</v>
      </c>
      <c r="F4147">
        <v>0.15390000000000001</v>
      </c>
    </row>
    <row r="4148" spans="1:6" x14ac:dyDescent="0.3">
      <c r="A4148" t="s">
        <v>4183</v>
      </c>
      <c r="B4148" t="s">
        <v>26</v>
      </c>
      <c r="C4148">
        <v>850000</v>
      </c>
      <c r="D4148">
        <v>30821.3</v>
      </c>
      <c r="E4148">
        <v>3.1199999999999999E-2</v>
      </c>
      <c r="F4148">
        <v>9.3799999999999994E-2</v>
      </c>
    </row>
    <row r="4149" spans="1:6" x14ac:dyDescent="0.3">
      <c r="A4149" t="s">
        <v>4184</v>
      </c>
      <c r="B4149" t="s">
        <v>26</v>
      </c>
      <c r="C4149">
        <v>831000</v>
      </c>
      <c r="D4149">
        <v>74249.100000000006</v>
      </c>
      <c r="E4149">
        <v>4.6699999999999998E-2</v>
      </c>
      <c r="F4149">
        <v>9.3799999999999994E-2</v>
      </c>
    </row>
    <row r="4150" spans="1:6" x14ac:dyDescent="0.3">
      <c r="A4150" t="s">
        <v>4185</v>
      </c>
      <c r="B4150" t="s">
        <v>26</v>
      </c>
      <c r="C4150">
        <v>791000</v>
      </c>
      <c r="D4150">
        <v>158999.9</v>
      </c>
      <c r="E4150">
        <v>1.34E-2</v>
      </c>
      <c r="F4150">
        <v>0.1067</v>
      </c>
    </row>
    <row r="4151" spans="1:6" x14ac:dyDescent="0.3">
      <c r="A4151" t="s">
        <v>4186</v>
      </c>
      <c r="B4151" t="s">
        <v>214</v>
      </c>
      <c r="C4151">
        <v>765000</v>
      </c>
      <c r="D4151">
        <v>2813.4</v>
      </c>
      <c r="E4151">
        <v>8.2000000000000007E-3</v>
      </c>
      <c r="F4151">
        <v>8.2199999999999995E-2</v>
      </c>
    </row>
    <row r="4152" spans="1:6" x14ac:dyDescent="0.3">
      <c r="A4152" t="s">
        <v>4187</v>
      </c>
      <c r="B4152" t="s">
        <v>26</v>
      </c>
      <c r="C4152">
        <v>977000</v>
      </c>
      <c r="D4152">
        <v>12140</v>
      </c>
      <c r="E4152">
        <v>1.43E-2</v>
      </c>
      <c r="F4152">
        <v>8.2100000000000006E-2</v>
      </c>
    </row>
    <row r="4153" spans="1:6" x14ac:dyDescent="0.3">
      <c r="A4153" t="s">
        <v>4188</v>
      </c>
      <c r="B4153" t="s">
        <v>28</v>
      </c>
      <c r="C4153">
        <v>637000</v>
      </c>
      <c r="D4153">
        <v>1313.2</v>
      </c>
      <c r="E4153">
        <v>4.4000000000000003E-3</v>
      </c>
      <c r="F4153">
        <v>8.2199999999999995E-2</v>
      </c>
    </row>
    <row r="4154" spans="1:6" x14ac:dyDescent="0.3">
      <c r="A4154" t="s">
        <v>4189</v>
      </c>
      <c r="B4154" t="s">
        <v>88</v>
      </c>
      <c r="C4154">
        <v>644000</v>
      </c>
      <c r="D4154">
        <v>8314.5</v>
      </c>
      <c r="E4154">
        <v>2.24E-2</v>
      </c>
      <c r="F4154">
        <v>9.5100000000000004E-2</v>
      </c>
    </row>
    <row r="4155" spans="1:6" x14ac:dyDescent="0.3">
      <c r="A4155" t="s">
        <v>4190</v>
      </c>
      <c r="B4155" t="s">
        <v>92</v>
      </c>
      <c r="C4155">
        <v>651000</v>
      </c>
      <c r="D4155">
        <v>40093.1</v>
      </c>
      <c r="E4155">
        <v>2.0500000000000001E-2</v>
      </c>
      <c r="F4155">
        <v>0.11700000000000001</v>
      </c>
    </row>
    <row r="4156" spans="1:6" x14ac:dyDescent="0.3">
      <c r="A4156" t="s">
        <v>4191</v>
      </c>
      <c r="B4156" t="s">
        <v>26</v>
      </c>
      <c r="C4156">
        <v>1540000</v>
      </c>
      <c r="D4156">
        <v>207665.3</v>
      </c>
      <c r="E4156">
        <v>5.8299999999999998E-2</v>
      </c>
      <c r="F4156">
        <v>7.5899999999999995E-2</v>
      </c>
    </row>
    <row r="4157" spans="1:6" x14ac:dyDescent="0.3">
      <c r="A4157" t="s">
        <v>4192</v>
      </c>
      <c r="B4157" t="s">
        <v>88</v>
      </c>
      <c r="C4157">
        <v>731000</v>
      </c>
      <c r="D4157">
        <v>567.70000000000005</v>
      </c>
      <c r="E4157">
        <v>3.8600000000000002E-2</v>
      </c>
      <c r="F4157">
        <v>9.5100000000000004E-2</v>
      </c>
    </row>
    <row r="4158" spans="1:6" x14ac:dyDescent="0.3">
      <c r="A4158" t="s">
        <v>4193</v>
      </c>
      <c r="B4158" t="s">
        <v>88</v>
      </c>
      <c r="C4158">
        <v>620000</v>
      </c>
      <c r="D4158">
        <v>2926.3</v>
      </c>
      <c r="E4158">
        <v>1.7500000000000002E-2</v>
      </c>
      <c r="F4158">
        <v>0.2064</v>
      </c>
    </row>
    <row r="4159" spans="1:6" x14ac:dyDescent="0.3">
      <c r="A4159" t="s">
        <v>4194</v>
      </c>
      <c r="B4159" t="s">
        <v>88</v>
      </c>
      <c r="C4159">
        <v>704000</v>
      </c>
      <c r="D4159">
        <v>17577.5</v>
      </c>
      <c r="E4159">
        <v>5.3999999999999999E-2</v>
      </c>
      <c r="F4159">
        <v>7.5899999999999995E-2</v>
      </c>
    </row>
    <row r="4160" spans="1:6" x14ac:dyDescent="0.3">
      <c r="A4160" t="s">
        <v>4195</v>
      </c>
      <c r="B4160" t="s">
        <v>92</v>
      </c>
      <c r="C4160">
        <v>650000</v>
      </c>
      <c r="D4160">
        <v>978.1</v>
      </c>
      <c r="F4160">
        <v>5.0999999999999997E-2</v>
      </c>
    </row>
    <row r="4161" spans="1:6" x14ac:dyDescent="0.3">
      <c r="A4161" t="s">
        <v>4196</v>
      </c>
      <c r="B4161" t="s">
        <v>81</v>
      </c>
      <c r="C4161">
        <v>655000</v>
      </c>
      <c r="D4161">
        <v>13246</v>
      </c>
      <c r="E4161">
        <v>1.8800000000000001E-2</v>
      </c>
      <c r="F4161">
        <v>9.5000000000000001E-2</v>
      </c>
    </row>
    <row r="4162" spans="1:6" x14ac:dyDescent="0.3">
      <c r="A4162" t="s">
        <v>4197</v>
      </c>
      <c r="B4162" t="s">
        <v>92</v>
      </c>
      <c r="C4162">
        <v>780000</v>
      </c>
      <c r="D4162">
        <v>43656.1</v>
      </c>
      <c r="E4162">
        <v>1.21E-2</v>
      </c>
      <c r="F4162">
        <v>7.7499999999999999E-2</v>
      </c>
    </row>
    <row r="4163" spans="1:6" x14ac:dyDescent="0.3">
      <c r="A4163" t="s">
        <v>4198</v>
      </c>
      <c r="B4163" t="s">
        <v>26</v>
      </c>
      <c r="C4163">
        <v>967000</v>
      </c>
      <c r="D4163">
        <v>192669.8</v>
      </c>
      <c r="E4163">
        <v>2.0799999999999999E-2</v>
      </c>
      <c r="F4163">
        <v>7.5899999999999995E-2</v>
      </c>
    </row>
    <row r="4164" spans="1:6" x14ac:dyDescent="0.3">
      <c r="A4164" t="s">
        <v>4199</v>
      </c>
      <c r="B4164" t="s">
        <v>26</v>
      </c>
      <c r="C4164">
        <v>910000</v>
      </c>
      <c r="D4164">
        <v>140831.1</v>
      </c>
      <c r="E4164">
        <v>2.0500000000000001E-2</v>
      </c>
      <c r="F4164">
        <v>8.5400000000000004E-2</v>
      </c>
    </row>
    <row r="4165" spans="1:6" x14ac:dyDescent="0.3">
      <c r="A4165" t="s">
        <v>4200</v>
      </c>
      <c r="B4165" t="s">
        <v>50</v>
      </c>
      <c r="C4165">
        <v>601000</v>
      </c>
      <c r="D4165">
        <v>7646.1</v>
      </c>
      <c r="E4165">
        <v>1.7299999999999999E-2</v>
      </c>
      <c r="F4165">
        <v>4.6199999999999998E-2</v>
      </c>
    </row>
    <row r="4166" spans="1:6" x14ac:dyDescent="0.3">
      <c r="A4166" t="s">
        <v>4201</v>
      </c>
      <c r="B4166" t="s">
        <v>490</v>
      </c>
      <c r="C4166">
        <v>613000</v>
      </c>
      <c r="D4166">
        <v>1276</v>
      </c>
      <c r="E4166">
        <v>1.66E-2</v>
      </c>
      <c r="F4166">
        <v>5.8400000000000001E-2</v>
      </c>
    </row>
    <row r="4167" spans="1:6" x14ac:dyDescent="0.3">
      <c r="A4167" t="s">
        <v>4202</v>
      </c>
      <c r="B4167" t="s">
        <v>41</v>
      </c>
      <c r="C4167">
        <v>621000</v>
      </c>
      <c r="D4167">
        <v>2874.5</v>
      </c>
      <c r="E4167">
        <v>2.8799999999999999E-2</v>
      </c>
      <c r="F4167">
        <v>9.5100000000000004E-2</v>
      </c>
    </row>
    <row r="4168" spans="1:6" x14ac:dyDescent="0.3">
      <c r="A4168" t="s">
        <v>4203</v>
      </c>
      <c r="B4168" t="s">
        <v>26</v>
      </c>
      <c r="C4168">
        <v>1560000</v>
      </c>
      <c r="D4168">
        <v>650149.6</v>
      </c>
      <c r="F4168">
        <v>4.0899999999999999E-2</v>
      </c>
    </row>
    <row r="4169" spans="1:6" x14ac:dyDescent="0.3">
      <c r="A4169" t="s">
        <v>4204</v>
      </c>
      <c r="B4169" t="s">
        <v>74</v>
      </c>
      <c r="C4169">
        <v>862000</v>
      </c>
      <c r="D4169">
        <v>3906.9</v>
      </c>
      <c r="E4169">
        <v>2.53E-2</v>
      </c>
      <c r="F4169">
        <v>9.3799999999999994E-2</v>
      </c>
    </row>
    <row r="4170" spans="1:6" x14ac:dyDescent="0.3">
      <c r="A4170" t="s">
        <v>4205</v>
      </c>
      <c r="B4170" t="s">
        <v>41</v>
      </c>
      <c r="C4170">
        <v>1300000</v>
      </c>
      <c r="D4170">
        <v>10781.3</v>
      </c>
      <c r="E4170">
        <v>3.5999999999999997E-2</v>
      </c>
      <c r="F4170">
        <v>9.3799999999999994E-2</v>
      </c>
    </row>
    <row r="4171" spans="1:6" x14ac:dyDescent="0.3">
      <c r="A4171" t="s">
        <v>4206</v>
      </c>
      <c r="B4171" t="s">
        <v>92</v>
      </c>
      <c r="C4171">
        <v>665000</v>
      </c>
      <c r="D4171">
        <v>5689.9</v>
      </c>
      <c r="E4171">
        <v>8.3000000000000001E-3</v>
      </c>
      <c r="F4171">
        <v>8.1100000000000005E-2</v>
      </c>
    </row>
    <row r="4172" spans="1:6" x14ac:dyDescent="0.3">
      <c r="A4172" t="s">
        <v>4207</v>
      </c>
      <c r="B4172" t="s">
        <v>214</v>
      </c>
      <c r="C4172">
        <v>1080000</v>
      </c>
      <c r="D4172">
        <v>251</v>
      </c>
      <c r="E4172">
        <v>1.0200000000000001E-2</v>
      </c>
      <c r="F4172">
        <v>0.22670000000000001</v>
      </c>
    </row>
    <row r="4173" spans="1:6" x14ac:dyDescent="0.3">
      <c r="A4173" t="s">
        <v>4208</v>
      </c>
      <c r="B4173" t="s">
        <v>35</v>
      </c>
      <c r="C4173">
        <v>612000</v>
      </c>
      <c r="D4173">
        <v>1490.1</v>
      </c>
      <c r="E4173">
        <v>1.2800000000000001E-2</v>
      </c>
      <c r="F4173">
        <v>6.1600000000000002E-2</v>
      </c>
    </row>
    <row r="4174" spans="1:6" x14ac:dyDescent="0.3">
      <c r="A4174" t="s">
        <v>4209</v>
      </c>
      <c r="B4174" t="s">
        <v>490</v>
      </c>
      <c r="C4174">
        <v>3700000</v>
      </c>
      <c r="D4174">
        <v>696075.8</v>
      </c>
      <c r="E4174">
        <v>3.9300000000000002E-2</v>
      </c>
      <c r="F4174">
        <v>7.5899999999999995E-2</v>
      </c>
    </row>
    <row r="4175" spans="1:6" x14ac:dyDescent="0.3">
      <c r="A4175" t="s">
        <v>4210</v>
      </c>
      <c r="B4175" t="s">
        <v>81</v>
      </c>
      <c r="C4175">
        <v>618000</v>
      </c>
      <c r="D4175">
        <v>40679.599999999999</v>
      </c>
      <c r="E4175">
        <v>4.4200000000000003E-2</v>
      </c>
      <c r="F4175">
        <v>9.5100000000000004E-2</v>
      </c>
    </row>
    <row r="4176" spans="1:6" x14ac:dyDescent="0.3">
      <c r="A4176" t="s">
        <v>4211</v>
      </c>
      <c r="B4176" t="s">
        <v>88</v>
      </c>
      <c r="C4176">
        <v>875000</v>
      </c>
      <c r="D4176">
        <v>4946</v>
      </c>
      <c r="E4176">
        <v>3.8300000000000001E-2</v>
      </c>
      <c r="F4176">
        <v>9.3799999999999994E-2</v>
      </c>
    </row>
    <row r="4177" spans="1:6" x14ac:dyDescent="0.3">
      <c r="A4177" t="s">
        <v>4212</v>
      </c>
      <c r="B4177" t="s">
        <v>26</v>
      </c>
      <c r="C4177">
        <v>1560000</v>
      </c>
      <c r="D4177">
        <v>63489</v>
      </c>
      <c r="E4177">
        <v>2.07E-2</v>
      </c>
      <c r="F4177">
        <v>8.5400000000000004E-2</v>
      </c>
    </row>
    <row r="4178" spans="1:6" x14ac:dyDescent="0.3">
      <c r="A4178" t="s">
        <v>4213</v>
      </c>
      <c r="B4178" t="s">
        <v>214</v>
      </c>
      <c r="C4178">
        <v>929000</v>
      </c>
      <c r="D4178">
        <v>1637270.4</v>
      </c>
      <c r="E4178">
        <v>8.8999999999999999E-3</v>
      </c>
      <c r="F4178">
        <v>6.54E-2</v>
      </c>
    </row>
    <row r="4179" spans="1:6" x14ac:dyDescent="0.3">
      <c r="A4179" t="s">
        <v>4214</v>
      </c>
      <c r="B4179" t="s">
        <v>26</v>
      </c>
      <c r="C4179">
        <v>677000</v>
      </c>
      <c r="D4179">
        <v>7340</v>
      </c>
      <c r="E4179">
        <v>6.8099999999999994E-2</v>
      </c>
      <c r="F4179">
        <v>9.3799999999999994E-2</v>
      </c>
    </row>
    <row r="4180" spans="1:6" x14ac:dyDescent="0.3">
      <c r="A4180" t="s">
        <v>4215</v>
      </c>
      <c r="B4180" t="s">
        <v>26</v>
      </c>
      <c r="C4180">
        <v>886000</v>
      </c>
      <c r="D4180">
        <v>929974</v>
      </c>
      <c r="E4180">
        <v>2.9899999999999999E-2</v>
      </c>
      <c r="F4180">
        <v>4.0899999999999999E-2</v>
      </c>
    </row>
    <row r="4181" spans="1:6" x14ac:dyDescent="0.3">
      <c r="A4181" t="s">
        <v>4216</v>
      </c>
      <c r="B4181" t="s">
        <v>41</v>
      </c>
      <c r="C4181">
        <v>657000</v>
      </c>
      <c r="D4181">
        <v>32350</v>
      </c>
      <c r="E4181">
        <v>1.3599999999999999E-2</v>
      </c>
      <c r="F4181">
        <v>0.15390000000000001</v>
      </c>
    </row>
    <row r="4182" spans="1:6" x14ac:dyDescent="0.3">
      <c r="A4182" t="s">
        <v>4217</v>
      </c>
      <c r="B4182" t="s">
        <v>26</v>
      </c>
      <c r="C4182">
        <v>618000</v>
      </c>
      <c r="D4182">
        <v>10869.7</v>
      </c>
      <c r="E4182">
        <v>3.4700000000000002E-2</v>
      </c>
      <c r="F4182">
        <v>0.1057</v>
      </c>
    </row>
    <row r="4183" spans="1:6" x14ac:dyDescent="0.3">
      <c r="A4183" t="s">
        <v>4218</v>
      </c>
      <c r="B4183" t="s">
        <v>53</v>
      </c>
      <c r="C4183">
        <v>1210000</v>
      </c>
      <c r="D4183">
        <v>7871.8</v>
      </c>
      <c r="F4183">
        <v>4.0899999999999999E-2</v>
      </c>
    </row>
    <row r="4184" spans="1:6" x14ac:dyDescent="0.3">
      <c r="A4184" t="s">
        <v>4219</v>
      </c>
      <c r="B4184" t="s">
        <v>26</v>
      </c>
      <c r="C4184">
        <v>646000</v>
      </c>
      <c r="D4184">
        <v>1636.4</v>
      </c>
      <c r="E4184">
        <v>3.0099999999999998E-2</v>
      </c>
      <c r="F4184">
        <v>4.3200000000000002E-2</v>
      </c>
    </row>
    <row r="4185" spans="1:6" x14ac:dyDescent="0.3">
      <c r="A4185" t="s">
        <v>4220</v>
      </c>
      <c r="B4185" t="s">
        <v>26</v>
      </c>
      <c r="C4185">
        <v>641000</v>
      </c>
      <c r="D4185">
        <v>22104.400000000001</v>
      </c>
      <c r="E4185">
        <v>2.75E-2</v>
      </c>
      <c r="F4185">
        <v>9.98E-2</v>
      </c>
    </row>
    <row r="4186" spans="1:6" x14ac:dyDescent="0.3">
      <c r="A4186" t="s">
        <v>4221</v>
      </c>
      <c r="B4186" t="s">
        <v>26</v>
      </c>
      <c r="C4186">
        <v>665000</v>
      </c>
      <c r="D4186">
        <v>16506.099999999999</v>
      </c>
      <c r="E4186">
        <v>3.2599999999999997E-2</v>
      </c>
      <c r="F4186">
        <v>7.5899999999999995E-2</v>
      </c>
    </row>
    <row r="4187" spans="1:6" x14ac:dyDescent="0.3">
      <c r="A4187" t="s">
        <v>4222</v>
      </c>
      <c r="B4187" t="s">
        <v>71</v>
      </c>
      <c r="C4187">
        <v>906000</v>
      </c>
      <c r="D4187">
        <v>4678.3</v>
      </c>
      <c r="E4187">
        <v>3.95E-2</v>
      </c>
      <c r="F4187">
        <v>7.5899999999999995E-2</v>
      </c>
    </row>
    <row r="4188" spans="1:6" x14ac:dyDescent="0.3">
      <c r="A4188" t="s">
        <v>4223</v>
      </c>
      <c r="B4188" t="s">
        <v>26</v>
      </c>
      <c r="C4188">
        <v>749000</v>
      </c>
      <c r="D4188">
        <v>30840.2</v>
      </c>
      <c r="E4188">
        <v>8.5000000000000006E-3</v>
      </c>
      <c r="F4188">
        <v>0.10150000000000001</v>
      </c>
    </row>
    <row r="4189" spans="1:6" x14ac:dyDescent="0.3">
      <c r="A4189" t="s">
        <v>4224</v>
      </c>
      <c r="B4189" t="s">
        <v>26</v>
      </c>
      <c r="C4189">
        <v>793000</v>
      </c>
      <c r="D4189">
        <v>5915.1</v>
      </c>
      <c r="F4189">
        <v>9.5100000000000004E-2</v>
      </c>
    </row>
    <row r="4190" spans="1:6" x14ac:dyDescent="0.3">
      <c r="A4190" t="s">
        <v>4225</v>
      </c>
      <c r="B4190" t="s">
        <v>92</v>
      </c>
      <c r="C4190">
        <v>688000</v>
      </c>
      <c r="D4190">
        <v>50800.7</v>
      </c>
      <c r="E4190">
        <v>2.4199999999999999E-2</v>
      </c>
      <c r="F4190">
        <v>7.5899999999999995E-2</v>
      </c>
    </row>
    <row r="4191" spans="1:6" x14ac:dyDescent="0.3">
      <c r="A4191" t="s">
        <v>4226</v>
      </c>
      <c r="B4191" t="s">
        <v>92</v>
      </c>
      <c r="C4191">
        <v>488000</v>
      </c>
      <c r="D4191">
        <v>3260.1</v>
      </c>
      <c r="E4191">
        <v>1.5699999999999999E-2</v>
      </c>
      <c r="F4191">
        <v>4.6199999999999998E-2</v>
      </c>
    </row>
    <row r="4192" spans="1:6" x14ac:dyDescent="0.3">
      <c r="A4192" t="s">
        <v>4227</v>
      </c>
      <c r="B4192" t="s">
        <v>24</v>
      </c>
      <c r="C4192">
        <v>1960000</v>
      </c>
      <c r="D4192">
        <v>2040.9</v>
      </c>
      <c r="E4192">
        <v>5.96E-2</v>
      </c>
      <c r="F4192">
        <v>9.3799999999999994E-2</v>
      </c>
    </row>
    <row r="4193" spans="1:6" x14ac:dyDescent="0.3">
      <c r="A4193" t="s">
        <v>4228</v>
      </c>
      <c r="B4193" t="s">
        <v>24</v>
      </c>
      <c r="C4193">
        <v>741000</v>
      </c>
      <c r="D4193">
        <v>2337</v>
      </c>
      <c r="E4193">
        <v>2.2599999999999999E-2</v>
      </c>
      <c r="F4193">
        <v>4.0899999999999999E-2</v>
      </c>
    </row>
    <row r="4194" spans="1:6" x14ac:dyDescent="0.3">
      <c r="A4194" t="s">
        <v>4229</v>
      </c>
      <c r="B4194" t="s">
        <v>26</v>
      </c>
      <c r="C4194">
        <v>813000</v>
      </c>
      <c r="D4194">
        <v>13056.7</v>
      </c>
      <c r="E4194">
        <v>7.7000000000000002E-3</v>
      </c>
      <c r="F4194">
        <v>6.54E-2</v>
      </c>
    </row>
    <row r="4195" spans="1:6" x14ac:dyDescent="0.3">
      <c r="A4195" t="s">
        <v>4230</v>
      </c>
      <c r="B4195" t="s">
        <v>287</v>
      </c>
      <c r="C4195">
        <v>609000</v>
      </c>
      <c r="D4195">
        <v>78908.600000000006</v>
      </c>
      <c r="E4195">
        <v>2.2200000000000001E-2</v>
      </c>
      <c r="F4195">
        <v>9.5100000000000004E-2</v>
      </c>
    </row>
    <row r="4196" spans="1:6" x14ac:dyDescent="0.3">
      <c r="A4196" t="s">
        <v>4231</v>
      </c>
      <c r="B4196" t="s">
        <v>41</v>
      </c>
      <c r="C4196">
        <v>1590000</v>
      </c>
      <c r="D4196">
        <v>11743.8</v>
      </c>
      <c r="F4196">
        <v>4.0899999999999999E-2</v>
      </c>
    </row>
    <row r="4197" spans="1:6" x14ac:dyDescent="0.3">
      <c r="A4197" t="s">
        <v>4232</v>
      </c>
      <c r="B4197" t="s">
        <v>24</v>
      </c>
      <c r="C4197">
        <v>991000</v>
      </c>
      <c r="D4197">
        <v>5363.1</v>
      </c>
      <c r="E4197">
        <v>4.0300000000000002E-2</v>
      </c>
      <c r="F4197">
        <v>9.3799999999999994E-2</v>
      </c>
    </row>
    <row r="4198" spans="1:6" x14ac:dyDescent="0.3">
      <c r="A4198" t="s">
        <v>4233</v>
      </c>
      <c r="B4198" t="s">
        <v>26</v>
      </c>
      <c r="C4198">
        <v>630000</v>
      </c>
      <c r="D4198">
        <v>149258.6</v>
      </c>
      <c r="E4198">
        <v>2.2200000000000001E-2</v>
      </c>
      <c r="F4198">
        <v>0.1067</v>
      </c>
    </row>
    <row r="4199" spans="1:6" x14ac:dyDescent="0.3">
      <c r="A4199" t="s">
        <v>4234</v>
      </c>
      <c r="B4199" t="s">
        <v>287</v>
      </c>
      <c r="C4199">
        <v>634000</v>
      </c>
      <c r="D4199">
        <v>104966</v>
      </c>
      <c r="E4199">
        <v>7.6E-3</v>
      </c>
      <c r="F4199">
        <v>0.1027</v>
      </c>
    </row>
    <row r="4200" spans="1:6" x14ac:dyDescent="0.3">
      <c r="A4200" t="s">
        <v>4235</v>
      </c>
      <c r="B4200" t="s">
        <v>28</v>
      </c>
      <c r="C4200">
        <v>995000</v>
      </c>
      <c r="D4200">
        <v>26985.5</v>
      </c>
      <c r="E4200">
        <v>1.6500000000000001E-2</v>
      </c>
      <c r="F4200">
        <v>4.8800000000000003E-2</v>
      </c>
    </row>
    <row r="4201" spans="1:6" x14ac:dyDescent="0.3">
      <c r="A4201" t="s">
        <v>4236</v>
      </c>
      <c r="B4201" t="s">
        <v>92</v>
      </c>
      <c r="C4201">
        <v>525000</v>
      </c>
      <c r="D4201">
        <v>1526</v>
      </c>
      <c r="E4201">
        <v>2.7900000000000001E-2</v>
      </c>
      <c r="F4201">
        <v>9.3799999999999994E-2</v>
      </c>
    </row>
    <row r="4202" spans="1:6" x14ac:dyDescent="0.3">
      <c r="A4202" t="s">
        <v>4237</v>
      </c>
      <c r="B4202" t="s">
        <v>26</v>
      </c>
      <c r="C4202">
        <v>684000</v>
      </c>
      <c r="D4202">
        <v>4457.7</v>
      </c>
      <c r="E4202">
        <v>1.52E-2</v>
      </c>
      <c r="F4202">
        <v>5.7599999999999998E-2</v>
      </c>
    </row>
    <row r="4203" spans="1:6" x14ac:dyDescent="0.3">
      <c r="A4203" t="s">
        <v>4238</v>
      </c>
      <c r="B4203" t="s">
        <v>490</v>
      </c>
      <c r="C4203">
        <v>663000</v>
      </c>
      <c r="D4203">
        <v>649276.69999999995</v>
      </c>
      <c r="E4203">
        <v>4.58E-2</v>
      </c>
      <c r="F4203">
        <v>9.5100000000000004E-2</v>
      </c>
    </row>
    <row r="4204" spans="1:6" x14ac:dyDescent="0.3">
      <c r="A4204" t="s">
        <v>4239</v>
      </c>
      <c r="B4204" t="s">
        <v>26</v>
      </c>
      <c r="C4204">
        <v>715000</v>
      </c>
      <c r="D4204">
        <v>10169.5</v>
      </c>
      <c r="F4204">
        <v>4.0899999999999999E-2</v>
      </c>
    </row>
    <row r="4205" spans="1:6" x14ac:dyDescent="0.3">
      <c r="A4205" t="s">
        <v>4240</v>
      </c>
      <c r="B4205" t="s">
        <v>50</v>
      </c>
      <c r="C4205">
        <v>608000</v>
      </c>
      <c r="D4205">
        <v>11230.3</v>
      </c>
      <c r="E4205">
        <v>5.5199999999999999E-2</v>
      </c>
      <c r="F4205">
        <v>9.3799999999999994E-2</v>
      </c>
    </row>
    <row r="4206" spans="1:6" x14ac:dyDescent="0.3">
      <c r="A4206" t="s">
        <v>4241</v>
      </c>
      <c r="B4206" t="s">
        <v>26</v>
      </c>
      <c r="C4206">
        <v>652000</v>
      </c>
      <c r="D4206">
        <v>4145</v>
      </c>
      <c r="E4206">
        <v>7.7999999999999996E-3</v>
      </c>
      <c r="F4206">
        <v>8.2199999999999995E-2</v>
      </c>
    </row>
    <row r="4207" spans="1:6" x14ac:dyDescent="0.3">
      <c r="A4207" t="s">
        <v>4242</v>
      </c>
      <c r="B4207" t="s">
        <v>26</v>
      </c>
      <c r="C4207">
        <v>597000</v>
      </c>
      <c r="D4207">
        <v>2070.1999999999998</v>
      </c>
      <c r="F4207">
        <v>4.0899999999999999E-2</v>
      </c>
    </row>
    <row r="4208" spans="1:6" x14ac:dyDescent="0.3">
      <c r="A4208" t="s">
        <v>4243</v>
      </c>
      <c r="B4208" t="s">
        <v>81</v>
      </c>
      <c r="C4208">
        <v>570000</v>
      </c>
      <c r="D4208">
        <v>19368.5</v>
      </c>
      <c r="E4208">
        <v>2.5899999999999999E-2</v>
      </c>
      <c r="F4208">
        <v>5.1799999999999999E-2</v>
      </c>
    </row>
    <row r="4209" spans="1:6" x14ac:dyDescent="0.3">
      <c r="A4209" t="s">
        <v>4244</v>
      </c>
      <c r="B4209" t="s">
        <v>26</v>
      </c>
      <c r="C4209">
        <v>816000</v>
      </c>
      <c r="D4209">
        <v>8964.2999999999993</v>
      </c>
      <c r="E4209">
        <v>2.63E-2</v>
      </c>
      <c r="F4209">
        <v>7.5899999999999995E-2</v>
      </c>
    </row>
    <row r="4210" spans="1:6" x14ac:dyDescent="0.3">
      <c r="A4210" t="s">
        <v>4245</v>
      </c>
      <c r="B4210" t="s">
        <v>26</v>
      </c>
      <c r="C4210">
        <v>1390000</v>
      </c>
      <c r="D4210">
        <v>327623.90000000002</v>
      </c>
      <c r="E4210">
        <v>5.5500000000000001E-2</v>
      </c>
      <c r="F4210">
        <v>7.5899999999999995E-2</v>
      </c>
    </row>
    <row r="4211" spans="1:6" x14ac:dyDescent="0.3">
      <c r="A4211" t="s">
        <v>4246</v>
      </c>
      <c r="B4211" t="s">
        <v>30</v>
      </c>
      <c r="C4211">
        <v>1140000</v>
      </c>
      <c r="D4211">
        <v>9734.4</v>
      </c>
      <c r="E4211">
        <v>1.5100000000000001E-2</v>
      </c>
      <c r="F4211">
        <v>5.8400000000000001E-2</v>
      </c>
    </row>
    <row r="4212" spans="1:6" x14ac:dyDescent="0.3">
      <c r="A4212" t="s">
        <v>4247</v>
      </c>
      <c r="B4212" t="s">
        <v>26</v>
      </c>
      <c r="C4212">
        <v>623000</v>
      </c>
      <c r="D4212">
        <v>527.4</v>
      </c>
      <c r="E4212">
        <v>2.92E-2</v>
      </c>
      <c r="F4212">
        <v>6.7900000000000002E-2</v>
      </c>
    </row>
    <row r="4213" spans="1:6" x14ac:dyDescent="0.3">
      <c r="A4213" t="s">
        <v>4248</v>
      </c>
      <c r="B4213" t="s">
        <v>195</v>
      </c>
      <c r="C4213">
        <v>615000</v>
      </c>
      <c r="D4213">
        <v>16612.900000000001</v>
      </c>
      <c r="E4213">
        <v>3.0700000000000002E-2</v>
      </c>
      <c r="F4213">
        <v>9.5100000000000004E-2</v>
      </c>
    </row>
    <row r="4214" spans="1:6" x14ac:dyDescent="0.3">
      <c r="A4214" t="s">
        <v>4249</v>
      </c>
      <c r="B4214" t="s">
        <v>24</v>
      </c>
      <c r="C4214">
        <v>891000</v>
      </c>
      <c r="D4214">
        <v>23229.1</v>
      </c>
      <c r="E4214">
        <v>1.3599999999999999E-2</v>
      </c>
      <c r="F4214">
        <v>8.5400000000000004E-2</v>
      </c>
    </row>
    <row r="4215" spans="1:6" x14ac:dyDescent="0.3">
      <c r="A4215" t="s">
        <v>4250</v>
      </c>
      <c r="B4215" t="s">
        <v>88</v>
      </c>
      <c r="C4215">
        <v>673000</v>
      </c>
      <c r="D4215">
        <v>8224.4</v>
      </c>
      <c r="E4215">
        <v>7.0599999999999996E-2</v>
      </c>
      <c r="F4215">
        <v>9.3799999999999994E-2</v>
      </c>
    </row>
    <row r="4216" spans="1:6" x14ac:dyDescent="0.3">
      <c r="A4216" t="s">
        <v>4251</v>
      </c>
      <c r="B4216" t="s">
        <v>24</v>
      </c>
      <c r="C4216">
        <v>1870000</v>
      </c>
      <c r="D4216">
        <v>14928.9</v>
      </c>
      <c r="E4216">
        <v>0.1298</v>
      </c>
      <c r="F4216">
        <v>9.3799999999999994E-2</v>
      </c>
    </row>
    <row r="4217" spans="1:6" x14ac:dyDescent="0.3">
      <c r="A4217" t="s">
        <v>4252</v>
      </c>
      <c r="B4217" t="s">
        <v>26</v>
      </c>
      <c r="C4217">
        <v>954000</v>
      </c>
      <c r="D4217">
        <v>67640</v>
      </c>
      <c r="E4217">
        <v>5.3199999999999997E-2</v>
      </c>
      <c r="F4217">
        <v>7.5899999999999995E-2</v>
      </c>
    </row>
    <row r="4218" spans="1:6" x14ac:dyDescent="0.3">
      <c r="A4218" t="s">
        <v>4253</v>
      </c>
      <c r="B4218" t="s">
        <v>41</v>
      </c>
      <c r="C4218">
        <v>624000</v>
      </c>
      <c r="D4218">
        <v>1196</v>
      </c>
      <c r="E4218">
        <v>1.4E-2</v>
      </c>
      <c r="F4218">
        <v>5.8400000000000001E-2</v>
      </c>
    </row>
    <row r="4219" spans="1:6" x14ac:dyDescent="0.3">
      <c r="A4219" t="s">
        <v>4254</v>
      </c>
      <c r="B4219" t="s">
        <v>81</v>
      </c>
      <c r="C4219">
        <v>627000</v>
      </c>
      <c r="D4219">
        <v>6615.8</v>
      </c>
      <c r="E4219">
        <v>2.1000000000000001E-2</v>
      </c>
      <c r="F4219">
        <v>5.8000000000000003E-2</v>
      </c>
    </row>
    <row r="4220" spans="1:6" x14ac:dyDescent="0.3">
      <c r="A4220" t="s">
        <v>4255</v>
      </c>
      <c r="B4220" t="s">
        <v>26</v>
      </c>
      <c r="C4220">
        <v>882000</v>
      </c>
      <c r="D4220">
        <v>305932</v>
      </c>
      <c r="E4220">
        <v>4.0000000000000001E-3</v>
      </c>
      <c r="F4220">
        <v>8.2199999999999995E-2</v>
      </c>
    </row>
    <row r="4221" spans="1:6" x14ac:dyDescent="0.3">
      <c r="A4221" t="s">
        <v>4256</v>
      </c>
      <c r="B4221" t="s">
        <v>214</v>
      </c>
      <c r="C4221">
        <v>755000</v>
      </c>
      <c r="D4221">
        <v>19496.099999999999</v>
      </c>
      <c r="E4221">
        <v>4.2099999999999999E-2</v>
      </c>
      <c r="F4221">
        <v>0.11700000000000001</v>
      </c>
    </row>
    <row r="4222" spans="1:6" x14ac:dyDescent="0.3">
      <c r="A4222" t="s">
        <v>4257</v>
      </c>
      <c r="B4222" t="s">
        <v>26</v>
      </c>
      <c r="C4222">
        <v>720000</v>
      </c>
      <c r="D4222">
        <v>187816.7</v>
      </c>
      <c r="E4222">
        <v>1.55E-2</v>
      </c>
      <c r="F4222">
        <v>8.5400000000000004E-2</v>
      </c>
    </row>
    <row r="4223" spans="1:6" x14ac:dyDescent="0.3">
      <c r="A4223" t="s">
        <v>4258</v>
      </c>
      <c r="B4223" t="s">
        <v>26</v>
      </c>
      <c r="C4223">
        <v>2030000</v>
      </c>
      <c r="D4223">
        <v>310184.2</v>
      </c>
      <c r="E4223">
        <v>3.9E-2</v>
      </c>
      <c r="F4223">
        <v>7.5899999999999995E-2</v>
      </c>
    </row>
    <row r="4224" spans="1:6" x14ac:dyDescent="0.3">
      <c r="A4224" t="s">
        <v>4259</v>
      </c>
      <c r="B4224" t="s">
        <v>62</v>
      </c>
      <c r="C4224">
        <v>840000</v>
      </c>
      <c r="D4224">
        <v>265408.40000000002</v>
      </c>
      <c r="E4224">
        <v>5.1400000000000001E-2</v>
      </c>
      <c r="F4224">
        <v>9.5100000000000004E-2</v>
      </c>
    </row>
    <row r="4225" spans="1:6" x14ac:dyDescent="0.3">
      <c r="A4225" t="s">
        <v>4260</v>
      </c>
      <c r="B4225" t="s">
        <v>81</v>
      </c>
      <c r="C4225">
        <v>654000</v>
      </c>
      <c r="D4225">
        <v>30530.799999999999</v>
      </c>
      <c r="E4225">
        <v>2.6200000000000001E-2</v>
      </c>
      <c r="F4225">
        <v>7.5899999999999995E-2</v>
      </c>
    </row>
    <row r="4226" spans="1:6" x14ac:dyDescent="0.3">
      <c r="A4226" t="s">
        <v>4261</v>
      </c>
      <c r="B4226" t="s">
        <v>81</v>
      </c>
      <c r="C4226">
        <v>4280000</v>
      </c>
      <c r="D4226">
        <v>206775.9</v>
      </c>
      <c r="E4226">
        <v>8.9999999999999993E-3</v>
      </c>
      <c r="F4226">
        <v>6.54E-2</v>
      </c>
    </row>
    <row r="4227" spans="1:6" x14ac:dyDescent="0.3">
      <c r="A4227" t="s">
        <v>4262</v>
      </c>
      <c r="B4227" t="s">
        <v>32</v>
      </c>
      <c r="C4227">
        <v>774000</v>
      </c>
      <c r="D4227">
        <v>89772.4</v>
      </c>
      <c r="E4227">
        <v>1.7500000000000002E-2</v>
      </c>
      <c r="F4227">
        <v>4.8800000000000003E-2</v>
      </c>
    </row>
    <row r="4228" spans="1:6" x14ac:dyDescent="0.3">
      <c r="A4228" t="s">
        <v>4263</v>
      </c>
      <c r="B4228" t="s">
        <v>41</v>
      </c>
      <c r="C4228">
        <v>909000</v>
      </c>
      <c r="D4228">
        <v>24336.5</v>
      </c>
      <c r="E4228">
        <v>6.0900000000000003E-2</v>
      </c>
      <c r="F4228">
        <v>9.5100000000000004E-2</v>
      </c>
    </row>
    <row r="4229" spans="1:6" x14ac:dyDescent="0.3">
      <c r="A4229" t="s">
        <v>4264</v>
      </c>
      <c r="B4229" t="s">
        <v>32</v>
      </c>
      <c r="C4229">
        <v>885000</v>
      </c>
      <c r="D4229">
        <v>18273.099999999999</v>
      </c>
      <c r="E4229">
        <v>8.5000000000000006E-3</v>
      </c>
      <c r="F4229">
        <v>6.54E-2</v>
      </c>
    </row>
    <row r="4230" spans="1:6" x14ac:dyDescent="0.3">
      <c r="A4230" t="s">
        <v>4265</v>
      </c>
      <c r="B4230" t="s">
        <v>287</v>
      </c>
      <c r="C4230">
        <v>888000</v>
      </c>
      <c r="D4230">
        <v>26717.5</v>
      </c>
      <c r="E4230">
        <v>7.6E-3</v>
      </c>
      <c r="F4230">
        <v>6.54E-2</v>
      </c>
    </row>
    <row r="4231" spans="1:6" x14ac:dyDescent="0.3">
      <c r="A4231" t="s">
        <v>4266</v>
      </c>
      <c r="B4231" t="s">
        <v>214</v>
      </c>
      <c r="C4231">
        <v>846000</v>
      </c>
      <c r="D4231">
        <v>900709.7</v>
      </c>
      <c r="E4231">
        <v>7.7999999999999996E-3</v>
      </c>
      <c r="F4231">
        <v>6.54E-2</v>
      </c>
    </row>
    <row r="4232" spans="1:6" x14ac:dyDescent="0.3">
      <c r="A4232" t="s">
        <v>4267</v>
      </c>
      <c r="B4232" t="s">
        <v>24</v>
      </c>
      <c r="C4232">
        <v>830000</v>
      </c>
      <c r="D4232">
        <v>16410.099999999999</v>
      </c>
      <c r="E4232">
        <v>2.8000000000000001E-2</v>
      </c>
      <c r="F4232">
        <v>7.5899999999999995E-2</v>
      </c>
    </row>
    <row r="4233" spans="1:6" x14ac:dyDescent="0.3">
      <c r="A4233" t="s">
        <v>4268</v>
      </c>
      <c r="B4233" t="s">
        <v>26</v>
      </c>
      <c r="C4233">
        <v>801000</v>
      </c>
      <c r="D4233">
        <v>1471.5</v>
      </c>
      <c r="E4233">
        <v>5.4999999999999997E-3</v>
      </c>
      <c r="F4233">
        <v>8.2199999999999995E-2</v>
      </c>
    </row>
    <row r="4234" spans="1:6" x14ac:dyDescent="0.3">
      <c r="A4234" t="s">
        <v>4269</v>
      </c>
      <c r="B4234" t="s">
        <v>41</v>
      </c>
      <c r="C4234">
        <v>893000</v>
      </c>
      <c r="D4234">
        <v>19466.099999999999</v>
      </c>
      <c r="E4234">
        <v>4.3E-3</v>
      </c>
      <c r="F4234">
        <v>8.2199999999999995E-2</v>
      </c>
    </row>
    <row r="4235" spans="1:6" x14ac:dyDescent="0.3">
      <c r="A4235" t="s">
        <v>4270</v>
      </c>
      <c r="B4235" t="s">
        <v>32</v>
      </c>
      <c r="C4235">
        <v>683000</v>
      </c>
      <c r="D4235">
        <v>40076.400000000001</v>
      </c>
      <c r="E4235">
        <v>2.3599999999999999E-2</v>
      </c>
      <c r="F4235">
        <v>6.7199999999999996E-2</v>
      </c>
    </row>
    <row r="4236" spans="1:6" x14ac:dyDescent="0.3">
      <c r="A4236" t="s">
        <v>4271</v>
      </c>
      <c r="B4236" t="s">
        <v>26</v>
      </c>
      <c r="C4236">
        <v>665000</v>
      </c>
      <c r="D4236">
        <v>9466.7999999999993</v>
      </c>
      <c r="E4236">
        <v>1.4999999999999999E-2</v>
      </c>
      <c r="F4236">
        <v>0.1053</v>
      </c>
    </row>
    <row r="4237" spans="1:6" x14ac:dyDescent="0.3">
      <c r="A4237" t="s">
        <v>4272</v>
      </c>
      <c r="B4237" t="s">
        <v>24</v>
      </c>
      <c r="C4237">
        <v>802000</v>
      </c>
      <c r="D4237">
        <v>79110.399999999994</v>
      </c>
      <c r="E4237">
        <v>1.7999999999999999E-2</v>
      </c>
      <c r="F4237">
        <v>0.1067</v>
      </c>
    </row>
    <row r="4238" spans="1:6" x14ac:dyDescent="0.3">
      <c r="A4238" t="s">
        <v>4273</v>
      </c>
      <c r="B4238" t="s">
        <v>21</v>
      </c>
      <c r="C4238">
        <v>1060000</v>
      </c>
      <c r="D4238">
        <v>39372.699999999997</v>
      </c>
      <c r="E4238">
        <v>2.7400000000000001E-2</v>
      </c>
      <c r="F4238">
        <v>6.7199999999999996E-2</v>
      </c>
    </row>
    <row r="4239" spans="1:6" x14ac:dyDescent="0.3">
      <c r="A4239" t="s">
        <v>4274</v>
      </c>
      <c r="B4239" t="s">
        <v>41</v>
      </c>
      <c r="C4239">
        <v>584000</v>
      </c>
      <c r="D4239">
        <v>2266.6</v>
      </c>
      <c r="E4239">
        <v>3.9699999999999999E-2</v>
      </c>
      <c r="F4239">
        <v>5.1799999999999999E-2</v>
      </c>
    </row>
    <row r="4240" spans="1:6" x14ac:dyDescent="0.3">
      <c r="A4240" t="s">
        <v>4275</v>
      </c>
      <c r="B4240" t="s">
        <v>490</v>
      </c>
      <c r="C4240">
        <v>707000</v>
      </c>
      <c r="D4240">
        <v>11389</v>
      </c>
      <c r="E4240">
        <v>1.8700000000000001E-2</v>
      </c>
      <c r="F4240">
        <v>4.8800000000000003E-2</v>
      </c>
    </row>
    <row r="4241" spans="1:6" x14ac:dyDescent="0.3">
      <c r="A4241" t="s">
        <v>4276</v>
      </c>
      <c r="B4241" t="s">
        <v>26</v>
      </c>
      <c r="C4241">
        <v>602000</v>
      </c>
      <c r="D4241">
        <v>574.70000000000005</v>
      </c>
      <c r="E4241">
        <v>2.87E-2</v>
      </c>
      <c r="F4241">
        <v>9.5100000000000004E-2</v>
      </c>
    </row>
    <row r="4242" spans="1:6" x14ac:dyDescent="0.3">
      <c r="A4242" t="s">
        <v>4277</v>
      </c>
      <c r="B4242" t="s">
        <v>26</v>
      </c>
      <c r="C4242">
        <v>608000</v>
      </c>
      <c r="D4242">
        <v>15795.5</v>
      </c>
      <c r="F4242">
        <v>4.0899999999999999E-2</v>
      </c>
    </row>
    <row r="4243" spans="1:6" x14ac:dyDescent="0.3">
      <c r="A4243" t="s">
        <v>4278</v>
      </c>
      <c r="B4243" t="s">
        <v>21</v>
      </c>
      <c r="C4243">
        <v>1710000</v>
      </c>
      <c r="D4243">
        <v>439347.7</v>
      </c>
      <c r="E4243">
        <v>5.8599999999999999E-2</v>
      </c>
      <c r="F4243">
        <v>7.5899999999999995E-2</v>
      </c>
    </row>
    <row r="4244" spans="1:6" x14ac:dyDescent="0.3">
      <c r="A4244" t="s">
        <v>4279</v>
      </c>
      <c r="B4244" t="s">
        <v>74</v>
      </c>
      <c r="C4244">
        <v>655000</v>
      </c>
      <c r="D4244">
        <v>4401.8999999999996</v>
      </c>
      <c r="E4244">
        <v>4.2000000000000003E-2</v>
      </c>
      <c r="F4244">
        <v>9.3799999999999994E-2</v>
      </c>
    </row>
    <row r="4245" spans="1:6" x14ac:dyDescent="0.3">
      <c r="A4245" t="s">
        <v>4280</v>
      </c>
      <c r="B4245" t="s">
        <v>92</v>
      </c>
      <c r="C4245">
        <v>1800000</v>
      </c>
      <c r="D4245">
        <v>73898</v>
      </c>
      <c r="E4245">
        <v>3.5799999999999998E-2</v>
      </c>
      <c r="F4245">
        <v>9.5100000000000004E-2</v>
      </c>
    </row>
    <row r="4246" spans="1:6" x14ac:dyDescent="0.3">
      <c r="A4246" t="s">
        <v>4281</v>
      </c>
      <c r="B4246" t="s">
        <v>490</v>
      </c>
      <c r="C4246">
        <v>701000</v>
      </c>
      <c r="D4246">
        <v>183</v>
      </c>
      <c r="E4246">
        <v>2.4799999999999999E-2</v>
      </c>
      <c r="F4246">
        <v>0.13719999999999999</v>
      </c>
    </row>
    <row r="4247" spans="1:6" x14ac:dyDescent="0.3">
      <c r="A4247" t="s">
        <v>4282</v>
      </c>
      <c r="B4247" t="s">
        <v>88</v>
      </c>
      <c r="C4247">
        <v>675000</v>
      </c>
      <c r="D4247">
        <v>849.7</v>
      </c>
      <c r="E4247">
        <v>7.22E-2</v>
      </c>
      <c r="F4247">
        <v>7.5899999999999995E-2</v>
      </c>
    </row>
    <row r="4248" spans="1:6" x14ac:dyDescent="0.3">
      <c r="A4248" t="s">
        <v>4283</v>
      </c>
      <c r="B4248" t="s">
        <v>88</v>
      </c>
      <c r="C4248">
        <v>796000</v>
      </c>
      <c r="D4248">
        <v>2336.1999999999998</v>
      </c>
      <c r="E4248">
        <v>8.9899999999999994E-2</v>
      </c>
      <c r="F4248">
        <v>7.5899999999999995E-2</v>
      </c>
    </row>
    <row r="4249" spans="1:6" x14ac:dyDescent="0.3">
      <c r="A4249" t="s">
        <v>4284</v>
      </c>
      <c r="B4249" t="s">
        <v>41</v>
      </c>
      <c r="C4249">
        <v>856000</v>
      </c>
      <c r="D4249">
        <v>3763.7</v>
      </c>
      <c r="E4249">
        <v>2.3800000000000002E-2</v>
      </c>
      <c r="F4249">
        <v>9.3799999999999994E-2</v>
      </c>
    </row>
    <row r="4250" spans="1:6" x14ac:dyDescent="0.3">
      <c r="A4250" t="s">
        <v>4285</v>
      </c>
      <c r="B4250" t="s">
        <v>214</v>
      </c>
      <c r="C4250">
        <v>703000</v>
      </c>
      <c r="D4250">
        <v>5350.2</v>
      </c>
      <c r="E4250">
        <v>9.2999999999999992E-3</v>
      </c>
      <c r="F4250">
        <v>0.1187</v>
      </c>
    </row>
    <row r="4251" spans="1:6" x14ac:dyDescent="0.3">
      <c r="A4251" t="s">
        <v>4286</v>
      </c>
      <c r="B4251" t="s">
        <v>41</v>
      </c>
      <c r="C4251">
        <v>635000</v>
      </c>
      <c r="D4251">
        <v>1566.8</v>
      </c>
      <c r="E4251">
        <v>1.6199999999999999E-2</v>
      </c>
      <c r="F4251">
        <v>5.8500000000000003E-2</v>
      </c>
    </row>
    <row r="4252" spans="1:6" x14ac:dyDescent="0.3">
      <c r="A4252" t="s">
        <v>4287</v>
      </c>
      <c r="B4252" t="s">
        <v>71</v>
      </c>
      <c r="C4252">
        <v>795000</v>
      </c>
      <c r="D4252">
        <v>5696</v>
      </c>
      <c r="E4252">
        <v>3.9399999999999998E-2</v>
      </c>
      <c r="F4252">
        <v>9.3799999999999994E-2</v>
      </c>
    </row>
    <row r="4253" spans="1:6" x14ac:dyDescent="0.3">
      <c r="A4253" t="s">
        <v>4288</v>
      </c>
      <c r="B4253" t="s">
        <v>53</v>
      </c>
      <c r="C4253">
        <v>805000</v>
      </c>
      <c r="D4253">
        <v>4805.6000000000004</v>
      </c>
      <c r="E4253">
        <v>9.5799999999999996E-2</v>
      </c>
      <c r="F4253">
        <v>9.3799999999999994E-2</v>
      </c>
    </row>
    <row r="4254" spans="1:6" x14ac:dyDescent="0.3">
      <c r="A4254" t="s">
        <v>4289</v>
      </c>
      <c r="B4254" t="s">
        <v>195</v>
      </c>
      <c r="C4254">
        <v>902000</v>
      </c>
      <c r="D4254">
        <v>2458.9</v>
      </c>
      <c r="E4254">
        <v>2.2200000000000001E-2</v>
      </c>
      <c r="F4254">
        <v>0.16880000000000001</v>
      </c>
    </row>
    <row r="4255" spans="1:6" x14ac:dyDescent="0.3">
      <c r="A4255" t="s">
        <v>4290</v>
      </c>
      <c r="B4255" t="s">
        <v>88</v>
      </c>
      <c r="C4255">
        <v>631000</v>
      </c>
      <c r="D4255">
        <v>12944.3</v>
      </c>
      <c r="E4255">
        <v>2.8199999999999999E-2</v>
      </c>
      <c r="F4255">
        <v>9.5100000000000004E-2</v>
      </c>
    </row>
    <row r="4256" spans="1:6" x14ac:dyDescent="0.3">
      <c r="A4256" t="s">
        <v>4291</v>
      </c>
      <c r="B4256" t="s">
        <v>92</v>
      </c>
      <c r="C4256">
        <v>1040000</v>
      </c>
      <c r="D4256">
        <v>82161.2</v>
      </c>
      <c r="E4256">
        <v>1.3299999999999999E-2</v>
      </c>
      <c r="F4256">
        <v>6.1600000000000002E-2</v>
      </c>
    </row>
    <row r="4257" spans="1:6" x14ac:dyDescent="0.3">
      <c r="A4257" t="s">
        <v>4292</v>
      </c>
      <c r="B4257" t="s">
        <v>26</v>
      </c>
      <c r="C4257">
        <v>594000</v>
      </c>
      <c r="D4257">
        <v>1381.6</v>
      </c>
      <c r="E4257">
        <v>4.7699999999999999E-2</v>
      </c>
      <c r="F4257">
        <v>4.0899999999999999E-2</v>
      </c>
    </row>
    <row r="4258" spans="1:6" x14ac:dyDescent="0.3">
      <c r="A4258" t="s">
        <v>4293</v>
      </c>
      <c r="B4258" t="s">
        <v>53</v>
      </c>
      <c r="C4258">
        <v>702000</v>
      </c>
      <c r="D4258">
        <v>62496.1</v>
      </c>
      <c r="E4258">
        <v>9.1000000000000004E-3</v>
      </c>
      <c r="F4258">
        <v>0.14710000000000001</v>
      </c>
    </row>
    <row r="4259" spans="1:6" x14ac:dyDescent="0.3">
      <c r="A4259" t="s">
        <v>4294</v>
      </c>
      <c r="B4259" t="s">
        <v>53</v>
      </c>
      <c r="C4259">
        <v>703000</v>
      </c>
      <c r="D4259">
        <v>8504.9</v>
      </c>
      <c r="E4259">
        <v>6.1800000000000001E-2</v>
      </c>
      <c r="F4259">
        <v>9.3799999999999994E-2</v>
      </c>
    </row>
    <row r="4260" spans="1:6" x14ac:dyDescent="0.3">
      <c r="A4260" t="s">
        <v>4295</v>
      </c>
      <c r="B4260" t="s">
        <v>26</v>
      </c>
      <c r="C4260">
        <v>593000</v>
      </c>
      <c r="D4260">
        <v>351752.8</v>
      </c>
      <c r="E4260">
        <v>2.53E-2</v>
      </c>
      <c r="F4260">
        <v>4.0899999999999999E-2</v>
      </c>
    </row>
    <row r="4261" spans="1:6" x14ac:dyDescent="0.3">
      <c r="A4261" t="s">
        <v>4296</v>
      </c>
      <c r="B4261" t="s">
        <v>26</v>
      </c>
      <c r="C4261">
        <v>724000</v>
      </c>
      <c r="D4261">
        <v>27560.9</v>
      </c>
      <c r="E4261">
        <v>2.6100000000000002E-2</v>
      </c>
      <c r="F4261">
        <v>5.0999999999999997E-2</v>
      </c>
    </row>
    <row r="4262" spans="1:6" x14ac:dyDescent="0.3">
      <c r="A4262" t="s">
        <v>4297</v>
      </c>
      <c r="B4262" t="s">
        <v>24</v>
      </c>
      <c r="C4262">
        <v>602000</v>
      </c>
      <c r="D4262">
        <v>26869.8</v>
      </c>
      <c r="F4262">
        <v>9.3799999999999994E-2</v>
      </c>
    </row>
    <row r="4263" spans="1:6" x14ac:dyDescent="0.3">
      <c r="A4263" t="s">
        <v>4298</v>
      </c>
      <c r="B4263" t="s">
        <v>62</v>
      </c>
      <c r="C4263">
        <v>596000</v>
      </c>
      <c r="D4263">
        <v>3030.8</v>
      </c>
      <c r="E4263">
        <v>3.1399999999999997E-2</v>
      </c>
      <c r="F4263">
        <v>9.5100000000000004E-2</v>
      </c>
    </row>
    <row r="4264" spans="1:6" x14ac:dyDescent="0.3">
      <c r="A4264" t="s">
        <v>4299</v>
      </c>
      <c r="B4264" t="s">
        <v>24</v>
      </c>
      <c r="C4264">
        <v>743000</v>
      </c>
      <c r="D4264">
        <v>9953.9</v>
      </c>
      <c r="E4264">
        <v>3.3E-3</v>
      </c>
      <c r="F4264">
        <v>8.2199999999999995E-2</v>
      </c>
    </row>
    <row r="4265" spans="1:6" x14ac:dyDescent="0.3">
      <c r="A4265" t="s">
        <v>4300</v>
      </c>
      <c r="B4265" t="s">
        <v>214</v>
      </c>
      <c r="C4265">
        <v>642000</v>
      </c>
      <c r="D4265">
        <v>430021.2</v>
      </c>
      <c r="E4265">
        <v>1.78E-2</v>
      </c>
      <c r="F4265">
        <v>4.8800000000000003E-2</v>
      </c>
    </row>
    <row r="4266" spans="1:6" x14ac:dyDescent="0.3">
      <c r="A4266" t="s">
        <v>4301</v>
      </c>
      <c r="B4266" t="s">
        <v>50</v>
      </c>
      <c r="C4266">
        <v>1060000</v>
      </c>
      <c r="D4266">
        <v>10431.299999999999</v>
      </c>
      <c r="E4266">
        <v>1.9300000000000001E-2</v>
      </c>
      <c r="F4266">
        <v>0.13719999999999999</v>
      </c>
    </row>
    <row r="4267" spans="1:6" x14ac:dyDescent="0.3">
      <c r="A4267" t="s">
        <v>4302</v>
      </c>
      <c r="B4267" t="s">
        <v>53</v>
      </c>
      <c r="C4267">
        <v>589000</v>
      </c>
      <c r="D4267">
        <v>1729.6</v>
      </c>
      <c r="F4267">
        <v>9.5100000000000004E-2</v>
      </c>
    </row>
    <row r="4268" spans="1:6" x14ac:dyDescent="0.3">
      <c r="A4268" t="s">
        <v>4303</v>
      </c>
      <c r="B4268" t="s">
        <v>26</v>
      </c>
      <c r="C4268">
        <v>596000</v>
      </c>
      <c r="D4268">
        <v>8892.7000000000007</v>
      </c>
      <c r="E4268">
        <v>3.27E-2</v>
      </c>
      <c r="F4268">
        <v>9.5100000000000004E-2</v>
      </c>
    </row>
    <row r="4269" spans="1:6" x14ac:dyDescent="0.3">
      <c r="A4269" t="s">
        <v>4304</v>
      </c>
      <c r="B4269" t="s">
        <v>74</v>
      </c>
      <c r="C4269">
        <v>1720000</v>
      </c>
      <c r="D4269">
        <v>336570.6</v>
      </c>
      <c r="E4269">
        <v>2.23E-2</v>
      </c>
      <c r="F4269">
        <v>5.1799999999999999E-2</v>
      </c>
    </row>
    <row r="4270" spans="1:6" x14ac:dyDescent="0.3">
      <c r="A4270" t="s">
        <v>4305</v>
      </c>
      <c r="B4270" t="s">
        <v>62</v>
      </c>
      <c r="C4270">
        <v>716000</v>
      </c>
      <c r="D4270">
        <v>6732.5</v>
      </c>
      <c r="E4270">
        <v>6.8900000000000003E-2</v>
      </c>
      <c r="F4270">
        <v>7.5899999999999995E-2</v>
      </c>
    </row>
    <row r="4271" spans="1:6" x14ac:dyDescent="0.3">
      <c r="A4271" t="s">
        <v>4306</v>
      </c>
      <c r="B4271" t="s">
        <v>195</v>
      </c>
      <c r="C4271">
        <v>597000</v>
      </c>
      <c r="D4271">
        <v>107516.1</v>
      </c>
      <c r="E4271">
        <v>2.7300000000000001E-2</v>
      </c>
      <c r="F4271">
        <v>9.5100000000000004E-2</v>
      </c>
    </row>
    <row r="4272" spans="1:6" x14ac:dyDescent="0.3">
      <c r="A4272" t="s">
        <v>4307</v>
      </c>
      <c r="B4272" t="s">
        <v>26</v>
      </c>
      <c r="C4272">
        <v>1400000</v>
      </c>
      <c r="D4272">
        <v>191863</v>
      </c>
      <c r="E4272">
        <v>1.8700000000000001E-2</v>
      </c>
      <c r="F4272">
        <v>4.8800000000000003E-2</v>
      </c>
    </row>
    <row r="4273" spans="1:6" x14ac:dyDescent="0.3">
      <c r="A4273" t="s">
        <v>4308</v>
      </c>
      <c r="B4273" t="s">
        <v>24</v>
      </c>
      <c r="C4273">
        <v>1120000</v>
      </c>
      <c r="D4273">
        <v>4349.1000000000004</v>
      </c>
      <c r="E4273">
        <v>6.1000000000000004E-3</v>
      </c>
      <c r="F4273">
        <v>8.1100000000000005E-2</v>
      </c>
    </row>
    <row r="4274" spans="1:6" x14ac:dyDescent="0.3">
      <c r="A4274" t="s">
        <v>4309</v>
      </c>
      <c r="B4274" t="s">
        <v>26</v>
      </c>
      <c r="C4274">
        <v>747000</v>
      </c>
      <c r="D4274">
        <v>84953.5</v>
      </c>
      <c r="E4274">
        <v>3.32E-2</v>
      </c>
      <c r="F4274">
        <v>7.5899999999999995E-2</v>
      </c>
    </row>
    <row r="4275" spans="1:6" x14ac:dyDescent="0.3">
      <c r="A4275" t="s">
        <v>4310</v>
      </c>
      <c r="B4275" t="s">
        <v>88</v>
      </c>
      <c r="C4275">
        <v>872000</v>
      </c>
      <c r="D4275">
        <v>28076.3</v>
      </c>
      <c r="E4275">
        <v>5.0299999999999997E-2</v>
      </c>
      <c r="F4275">
        <v>7.5899999999999995E-2</v>
      </c>
    </row>
    <row r="4276" spans="1:6" x14ac:dyDescent="0.3">
      <c r="A4276" t="s">
        <v>4311</v>
      </c>
      <c r="B4276" t="s">
        <v>41</v>
      </c>
      <c r="C4276">
        <v>728000</v>
      </c>
      <c r="D4276">
        <v>5660.9</v>
      </c>
      <c r="E4276">
        <v>3.09E-2</v>
      </c>
      <c r="F4276">
        <v>5.0999999999999997E-2</v>
      </c>
    </row>
    <row r="4277" spans="1:6" x14ac:dyDescent="0.3">
      <c r="A4277" t="s">
        <v>4312</v>
      </c>
      <c r="B4277" t="s">
        <v>62</v>
      </c>
      <c r="C4277">
        <v>644000</v>
      </c>
      <c r="D4277">
        <v>4029.1</v>
      </c>
      <c r="E4277">
        <v>1.9300000000000001E-2</v>
      </c>
      <c r="F4277">
        <v>0.13900000000000001</v>
      </c>
    </row>
    <row r="4278" spans="1:6" x14ac:dyDescent="0.3">
      <c r="A4278" t="s">
        <v>4313</v>
      </c>
      <c r="B4278" t="s">
        <v>88</v>
      </c>
      <c r="C4278">
        <v>636000</v>
      </c>
      <c r="D4278">
        <v>21656</v>
      </c>
      <c r="E4278">
        <v>8.5000000000000006E-3</v>
      </c>
      <c r="F4278">
        <v>0.10150000000000001</v>
      </c>
    </row>
    <row r="4279" spans="1:6" x14ac:dyDescent="0.3">
      <c r="A4279" t="s">
        <v>4314</v>
      </c>
      <c r="B4279" t="s">
        <v>71</v>
      </c>
      <c r="C4279">
        <v>711000</v>
      </c>
      <c r="D4279">
        <v>4020.5</v>
      </c>
      <c r="E4279">
        <v>2.5600000000000001E-2</v>
      </c>
      <c r="F4279">
        <v>7.5899999999999995E-2</v>
      </c>
    </row>
    <row r="4280" spans="1:6" x14ac:dyDescent="0.3">
      <c r="A4280" t="s">
        <v>4315</v>
      </c>
      <c r="B4280" t="s">
        <v>26</v>
      </c>
      <c r="C4280">
        <v>703000</v>
      </c>
      <c r="D4280">
        <v>103511.5</v>
      </c>
      <c r="F4280">
        <v>7.5899999999999995E-2</v>
      </c>
    </row>
    <row r="4281" spans="1:6" x14ac:dyDescent="0.3">
      <c r="A4281" t="s">
        <v>4316</v>
      </c>
      <c r="B4281" t="s">
        <v>50</v>
      </c>
      <c r="C4281">
        <v>722000</v>
      </c>
      <c r="D4281">
        <v>9696.1</v>
      </c>
      <c r="E4281">
        <v>5.1900000000000002E-2</v>
      </c>
      <c r="F4281">
        <v>7.5899999999999995E-2</v>
      </c>
    </row>
    <row r="4282" spans="1:6" x14ac:dyDescent="0.3">
      <c r="A4282" t="s">
        <v>4317</v>
      </c>
      <c r="B4282" t="s">
        <v>88</v>
      </c>
      <c r="C4282">
        <v>580000</v>
      </c>
      <c r="D4282">
        <v>3574.1</v>
      </c>
      <c r="E4282">
        <v>2.4500000000000001E-2</v>
      </c>
      <c r="F4282">
        <v>0.11700000000000001</v>
      </c>
    </row>
    <row r="4283" spans="1:6" x14ac:dyDescent="0.3">
      <c r="A4283" t="s">
        <v>4318</v>
      </c>
      <c r="B4283" t="s">
        <v>26</v>
      </c>
      <c r="C4283">
        <v>903000</v>
      </c>
      <c r="D4283">
        <v>402880.3</v>
      </c>
      <c r="E4283">
        <v>1.6400000000000001E-2</v>
      </c>
      <c r="F4283">
        <v>4.6199999999999998E-2</v>
      </c>
    </row>
    <row r="4284" spans="1:6" x14ac:dyDescent="0.3">
      <c r="A4284" t="s">
        <v>4319</v>
      </c>
      <c r="B4284" t="s">
        <v>50</v>
      </c>
      <c r="C4284">
        <v>4100000</v>
      </c>
      <c r="D4284">
        <v>78079.3</v>
      </c>
      <c r="E4284">
        <v>1.6400000000000001E-2</v>
      </c>
      <c r="F4284">
        <v>4.6199999999999998E-2</v>
      </c>
    </row>
    <row r="4285" spans="1:6" x14ac:dyDescent="0.3">
      <c r="A4285" t="s">
        <v>4320</v>
      </c>
      <c r="B4285" t="s">
        <v>50</v>
      </c>
      <c r="C4285">
        <v>728000</v>
      </c>
      <c r="D4285">
        <v>192496.3</v>
      </c>
      <c r="E4285">
        <v>3.15E-2</v>
      </c>
      <c r="F4285">
        <v>9.5100000000000004E-2</v>
      </c>
    </row>
    <row r="4286" spans="1:6" x14ac:dyDescent="0.3">
      <c r="A4286" t="s">
        <v>4321</v>
      </c>
      <c r="B4286" t="s">
        <v>24</v>
      </c>
      <c r="C4286">
        <v>683000</v>
      </c>
      <c r="D4286">
        <v>67.3</v>
      </c>
      <c r="E4286">
        <v>2.3400000000000001E-2</v>
      </c>
      <c r="F4286">
        <v>0.25430000000000003</v>
      </c>
    </row>
    <row r="4287" spans="1:6" x14ac:dyDescent="0.3">
      <c r="A4287" t="s">
        <v>4322</v>
      </c>
      <c r="B4287" t="s">
        <v>41</v>
      </c>
      <c r="C4287">
        <v>1000000</v>
      </c>
      <c r="D4287">
        <v>200072.3</v>
      </c>
      <c r="E4287">
        <v>2.6700000000000002E-2</v>
      </c>
      <c r="F4287">
        <v>7.5899999999999995E-2</v>
      </c>
    </row>
    <row r="4288" spans="1:6" x14ac:dyDescent="0.3">
      <c r="A4288" t="s">
        <v>4323</v>
      </c>
      <c r="B4288" t="s">
        <v>92</v>
      </c>
      <c r="C4288">
        <v>525000</v>
      </c>
      <c r="D4288">
        <v>4791.6000000000004</v>
      </c>
      <c r="E4288">
        <v>1.52E-2</v>
      </c>
      <c r="F4288">
        <v>9.4899999999999998E-2</v>
      </c>
    </row>
    <row r="4289" spans="1:6" x14ac:dyDescent="0.3">
      <c r="A4289" t="s">
        <v>4324</v>
      </c>
      <c r="B4289" t="s">
        <v>88</v>
      </c>
      <c r="C4289">
        <v>665000</v>
      </c>
      <c r="D4289">
        <v>26040.2</v>
      </c>
      <c r="E4289">
        <v>6.7400000000000002E-2</v>
      </c>
      <c r="F4289">
        <v>9.5100000000000004E-2</v>
      </c>
    </row>
    <row r="4290" spans="1:6" x14ac:dyDescent="0.3">
      <c r="A4290" t="s">
        <v>4325</v>
      </c>
      <c r="B4290" t="s">
        <v>287</v>
      </c>
      <c r="C4290">
        <v>653000</v>
      </c>
      <c r="D4290">
        <v>6356.6</v>
      </c>
      <c r="E4290">
        <v>2.9399999999999999E-2</v>
      </c>
      <c r="F4290">
        <v>4.0899999999999999E-2</v>
      </c>
    </row>
    <row r="4291" spans="1:6" x14ac:dyDescent="0.3">
      <c r="A4291" t="s">
        <v>4326</v>
      </c>
      <c r="B4291" t="s">
        <v>26</v>
      </c>
      <c r="C4291">
        <v>1230000</v>
      </c>
      <c r="D4291">
        <v>469.8</v>
      </c>
      <c r="E4291">
        <v>3.6700000000000003E-2</v>
      </c>
      <c r="F4291">
        <v>0.1226</v>
      </c>
    </row>
    <row r="4292" spans="1:6" x14ac:dyDescent="0.3">
      <c r="A4292" t="s">
        <v>4327</v>
      </c>
      <c r="B4292" t="s">
        <v>24</v>
      </c>
      <c r="C4292">
        <v>934000</v>
      </c>
      <c r="D4292">
        <v>622492.4</v>
      </c>
      <c r="E4292">
        <v>4.0800000000000003E-2</v>
      </c>
      <c r="F4292">
        <v>7.5899999999999995E-2</v>
      </c>
    </row>
    <row r="4293" spans="1:6" x14ac:dyDescent="0.3">
      <c r="A4293" t="s">
        <v>4328</v>
      </c>
      <c r="B4293" t="s">
        <v>88</v>
      </c>
      <c r="C4293">
        <v>810000</v>
      </c>
      <c r="D4293">
        <v>883.6</v>
      </c>
      <c r="E4293">
        <v>0.12790000000000001</v>
      </c>
      <c r="F4293">
        <v>9.3799999999999994E-2</v>
      </c>
    </row>
    <row r="4294" spans="1:6" x14ac:dyDescent="0.3">
      <c r="A4294" t="s">
        <v>4329</v>
      </c>
      <c r="B4294" t="s">
        <v>88</v>
      </c>
      <c r="C4294">
        <v>598000</v>
      </c>
      <c r="D4294">
        <v>3882.7</v>
      </c>
      <c r="E4294">
        <v>1.8499999999999999E-2</v>
      </c>
      <c r="F4294">
        <v>0.1067</v>
      </c>
    </row>
    <row r="4295" spans="1:6" x14ac:dyDescent="0.3">
      <c r="A4295" t="s">
        <v>4330</v>
      </c>
      <c r="B4295" t="s">
        <v>26</v>
      </c>
      <c r="C4295">
        <v>583000</v>
      </c>
      <c r="D4295">
        <v>279.60000000000002</v>
      </c>
      <c r="E4295">
        <v>1.83E-2</v>
      </c>
      <c r="F4295">
        <v>0.1067</v>
      </c>
    </row>
    <row r="4296" spans="1:6" x14ac:dyDescent="0.3">
      <c r="A4296" t="s">
        <v>4331</v>
      </c>
      <c r="B4296" t="s">
        <v>26</v>
      </c>
      <c r="C4296">
        <v>781000</v>
      </c>
      <c r="D4296">
        <v>99217.2</v>
      </c>
      <c r="E4296">
        <v>2.8899999999999999E-2</v>
      </c>
      <c r="F4296">
        <v>5.1799999999999999E-2</v>
      </c>
    </row>
    <row r="4297" spans="1:6" x14ac:dyDescent="0.3">
      <c r="A4297" t="s">
        <v>4332</v>
      </c>
      <c r="B4297" t="s">
        <v>74</v>
      </c>
      <c r="C4297">
        <v>596000</v>
      </c>
      <c r="D4297">
        <v>3037.9</v>
      </c>
      <c r="E4297">
        <v>1.4E-2</v>
      </c>
      <c r="F4297">
        <v>7.3599999999999999E-2</v>
      </c>
    </row>
    <row r="4298" spans="1:6" x14ac:dyDescent="0.3">
      <c r="A4298" t="s">
        <v>4333</v>
      </c>
      <c r="B4298" t="s">
        <v>92</v>
      </c>
      <c r="C4298">
        <v>594000</v>
      </c>
      <c r="D4298">
        <v>1198</v>
      </c>
      <c r="E4298">
        <v>2.1700000000000001E-2</v>
      </c>
      <c r="F4298">
        <v>0.1067</v>
      </c>
    </row>
    <row r="4299" spans="1:6" x14ac:dyDescent="0.3">
      <c r="A4299" t="s">
        <v>4334</v>
      </c>
      <c r="B4299" t="s">
        <v>35</v>
      </c>
      <c r="C4299">
        <v>621000</v>
      </c>
      <c r="D4299">
        <v>53187.3</v>
      </c>
      <c r="E4299">
        <v>2.7699999999999999E-2</v>
      </c>
      <c r="F4299">
        <v>9.5100000000000004E-2</v>
      </c>
    </row>
    <row r="4300" spans="1:6" x14ac:dyDescent="0.3">
      <c r="A4300" t="s">
        <v>4335</v>
      </c>
      <c r="B4300" t="s">
        <v>26</v>
      </c>
      <c r="C4300">
        <v>680000</v>
      </c>
      <c r="D4300">
        <v>21658.2</v>
      </c>
      <c r="E4300">
        <v>2.58E-2</v>
      </c>
      <c r="F4300">
        <v>6.7199999999999996E-2</v>
      </c>
    </row>
    <row r="4301" spans="1:6" x14ac:dyDescent="0.3">
      <c r="A4301" t="s">
        <v>4336</v>
      </c>
      <c r="B4301" t="s">
        <v>50</v>
      </c>
      <c r="C4301">
        <v>699000</v>
      </c>
      <c r="D4301">
        <v>225921.2</v>
      </c>
      <c r="E4301">
        <v>1.5299999999999999E-2</v>
      </c>
      <c r="F4301">
        <v>5.8500000000000003E-2</v>
      </c>
    </row>
    <row r="4302" spans="1:6" x14ac:dyDescent="0.3">
      <c r="A4302" t="s">
        <v>4337</v>
      </c>
      <c r="B4302" t="s">
        <v>32</v>
      </c>
      <c r="C4302">
        <v>674000</v>
      </c>
      <c r="D4302">
        <v>712.6</v>
      </c>
      <c r="E4302">
        <v>4.6699999999999998E-2</v>
      </c>
      <c r="F4302">
        <v>9.3799999999999994E-2</v>
      </c>
    </row>
    <row r="4303" spans="1:6" x14ac:dyDescent="0.3">
      <c r="A4303" t="s">
        <v>4338</v>
      </c>
      <c r="B4303" t="s">
        <v>30</v>
      </c>
      <c r="C4303">
        <v>598000</v>
      </c>
      <c r="D4303">
        <v>426.3</v>
      </c>
      <c r="E4303">
        <v>1.3899999999999999E-2</v>
      </c>
      <c r="F4303">
        <v>0.16170000000000001</v>
      </c>
    </row>
    <row r="4304" spans="1:6" x14ac:dyDescent="0.3">
      <c r="A4304" t="s">
        <v>4339</v>
      </c>
      <c r="B4304" t="s">
        <v>92</v>
      </c>
      <c r="C4304">
        <v>602000</v>
      </c>
      <c r="D4304">
        <v>17774.599999999999</v>
      </c>
      <c r="E4304">
        <v>3.49E-2</v>
      </c>
      <c r="F4304">
        <v>5.0999999999999997E-2</v>
      </c>
    </row>
    <row r="4305" spans="1:6" x14ac:dyDescent="0.3">
      <c r="A4305" t="s">
        <v>4340</v>
      </c>
      <c r="B4305" t="s">
        <v>26</v>
      </c>
      <c r="C4305">
        <v>946000</v>
      </c>
      <c r="D4305">
        <v>16726.400000000001</v>
      </c>
      <c r="E4305">
        <v>2.1399999999999999E-2</v>
      </c>
      <c r="F4305">
        <v>4.0899999999999999E-2</v>
      </c>
    </row>
    <row r="4306" spans="1:6" x14ac:dyDescent="0.3">
      <c r="A4306" t="s">
        <v>4341</v>
      </c>
      <c r="B4306" t="s">
        <v>32</v>
      </c>
      <c r="C4306">
        <v>717000</v>
      </c>
      <c r="D4306">
        <v>658430.69999999995</v>
      </c>
      <c r="E4306">
        <v>1.04E-2</v>
      </c>
      <c r="F4306">
        <v>0.13270000000000001</v>
      </c>
    </row>
    <row r="4307" spans="1:6" x14ac:dyDescent="0.3">
      <c r="A4307" t="s">
        <v>4342</v>
      </c>
      <c r="B4307" t="s">
        <v>53</v>
      </c>
      <c r="C4307">
        <v>772000</v>
      </c>
      <c r="D4307">
        <v>14766.6</v>
      </c>
      <c r="F4307">
        <v>7.5899999999999995E-2</v>
      </c>
    </row>
    <row r="4308" spans="1:6" x14ac:dyDescent="0.3">
      <c r="A4308" t="s">
        <v>4343</v>
      </c>
      <c r="B4308" t="s">
        <v>35</v>
      </c>
      <c r="C4308">
        <v>1030000</v>
      </c>
      <c r="D4308">
        <v>151.19999999999999</v>
      </c>
      <c r="E4308">
        <v>1.7500000000000002E-2</v>
      </c>
      <c r="F4308">
        <v>0.1225</v>
      </c>
    </row>
    <row r="4309" spans="1:6" x14ac:dyDescent="0.3">
      <c r="A4309" t="s">
        <v>4344</v>
      </c>
      <c r="B4309" t="s">
        <v>26</v>
      </c>
      <c r="C4309">
        <v>286000</v>
      </c>
      <c r="D4309">
        <v>8742.7999999999993</v>
      </c>
      <c r="E4309">
        <v>4.7800000000000002E-2</v>
      </c>
      <c r="F4309">
        <v>9.5100000000000004E-2</v>
      </c>
    </row>
    <row r="4310" spans="1:6" x14ac:dyDescent="0.3">
      <c r="A4310" t="s">
        <v>4345</v>
      </c>
      <c r="B4310" t="s">
        <v>74</v>
      </c>
      <c r="C4310">
        <v>1210000</v>
      </c>
      <c r="D4310">
        <v>74207.100000000006</v>
      </c>
      <c r="E4310">
        <v>6.7199999999999996E-2</v>
      </c>
      <c r="F4310">
        <v>7.5899999999999995E-2</v>
      </c>
    </row>
    <row r="4311" spans="1:6" x14ac:dyDescent="0.3">
      <c r="A4311" t="s">
        <v>4346</v>
      </c>
      <c r="B4311" t="s">
        <v>53</v>
      </c>
      <c r="C4311">
        <v>589000</v>
      </c>
      <c r="D4311">
        <v>2200.8000000000002</v>
      </c>
      <c r="E4311">
        <v>9.1999999999999998E-2</v>
      </c>
      <c r="F4311">
        <v>9.3799999999999994E-2</v>
      </c>
    </row>
    <row r="4312" spans="1:6" x14ac:dyDescent="0.3">
      <c r="A4312" t="s">
        <v>4347</v>
      </c>
      <c r="B4312" t="s">
        <v>490</v>
      </c>
      <c r="C4312">
        <v>593000</v>
      </c>
      <c r="D4312">
        <v>589.29999999999995</v>
      </c>
      <c r="E4312">
        <v>1.12E-2</v>
      </c>
      <c r="F4312">
        <v>8.1100000000000005E-2</v>
      </c>
    </row>
    <row r="4313" spans="1:6" x14ac:dyDescent="0.3">
      <c r="A4313" t="s">
        <v>4348</v>
      </c>
      <c r="B4313" t="s">
        <v>490</v>
      </c>
      <c r="C4313">
        <v>803000</v>
      </c>
      <c r="D4313">
        <v>6444.1</v>
      </c>
      <c r="E4313">
        <v>1.6400000000000001E-2</v>
      </c>
      <c r="F4313">
        <v>4.6199999999999998E-2</v>
      </c>
    </row>
    <row r="4314" spans="1:6" x14ac:dyDescent="0.3">
      <c r="A4314" t="s">
        <v>4349</v>
      </c>
      <c r="B4314" t="s">
        <v>195</v>
      </c>
      <c r="C4314">
        <v>900000</v>
      </c>
      <c r="D4314">
        <v>3032.2</v>
      </c>
      <c r="E4314">
        <v>3.39E-2</v>
      </c>
      <c r="F4314">
        <v>7.5899999999999995E-2</v>
      </c>
    </row>
    <row r="4315" spans="1:6" x14ac:dyDescent="0.3">
      <c r="A4315" t="s">
        <v>4350</v>
      </c>
      <c r="B4315" t="s">
        <v>287</v>
      </c>
      <c r="C4315">
        <v>665000</v>
      </c>
      <c r="D4315">
        <v>2589557.7000000002</v>
      </c>
      <c r="E4315">
        <v>3.2599999999999997E-2</v>
      </c>
      <c r="F4315">
        <v>7.5899999999999995E-2</v>
      </c>
    </row>
    <row r="4316" spans="1:6" x14ac:dyDescent="0.3">
      <c r="A4316" t="s">
        <v>4351</v>
      </c>
      <c r="B4316" t="s">
        <v>26</v>
      </c>
      <c r="C4316">
        <v>719000</v>
      </c>
      <c r="D4316">
        <v>59331</v>
      </c>
      <c r="E4316">
        <v>5.0200000000000002E-2</v>
      </c>
      <c r="F4316">
        <v>5.0999999999999997E-2</v>
      </c>
    </row>
    <row r="4317" spans="1:6" x14ac:dyDescent="0.3">
      <c r="A4317" t="s">
        <v>4352</v>
      </c>
      <c r="B4317" t="s">
        <v>26</v>
      </c>
      <c r="C4317">
        <v>577000</v>
      </c>
      <c r="D4317">
        <v>27287.7</v>
      </c>
      <c r="E4317">
        <v>9.9900000000000003E-2</v>
      </c>
      <c r="F4317">
        <v>9.5100000000000004E-2</v>
      </c>
    </row>
    <row r="4318" spans="1:6" x14ac:dyDescent="0.3">
      <c r="A4318" t="s">
        <v>4353</v>
      </c>
      <c r="B4318" t="s">
        <v>490</v>
      </c>
      <c r="C4318">
        <v>620000</v>
      </c>
      <c r="D4318">
        <v>4866.8</v>
      </c>
      <c r="E4318">
        <v>8.2000000000000007E-3</v>
      </c>
      <c r="F4318">
        <v>8.1100000000000005E-2</v>
      </c>
    </row>
    <row r="4319" spans="1:6" x14ac:dyDescent="0.3">
      <c r="A4319" t="s">
        <v>4354</v>
      </c>
      <c r="B4319" t="s">
        <v>92</v>
      </c>
      <c r="C4319">
        <v>790000</v>
      </c>
      <c r="D4319">
        <v>106113.8</v>
      </c>
      <c r="E4319">
        <v>3.1099999999999999E-2</v>
      </c>
      <c r="F4319">
        <v>7.5899999999999995E-2</v>
      </c>
    </row>
    <row r="4320" spans="1:6" x14ac:dyDescent="0.3">
      <c r="A4320" t="s">
        <v>4355</v>
      </c>
      <c r="B4320" t="s">
        <v>26</v>
      </c>
      <c r="C4320">
        <v>620000</v>
      </c>
      <c r="D4320">
        <v>19853.400000000001</v>
      </c>
      <c r="E4320">
        <v>3.15E-2</v>
      </c>
      <c r="F4320">
        <v>5.8400000000000001E-2</v>
      </c>
    </row>
    <row r="4321" spans="1:6" x14ac:dyDescent="0.3">
      <c r="A4321" t="s">
        <v>4356</v>
      </c>
      <c r="B4321" t="s">
        <v>26</v>
      </c>
      <c r="C4321">
        <v>648000</v>
      </c>
      <c r="D4321">
        <v>33510.1</v>
      </c>
      <c r="E4321">
        <v>3.2399999999999998E-2</v>
      </c>
      <c r="F4321">
        <v>4.3200000000000002E-2</v>
      </c>
    </row>
    <row r="4322" spans="1:6" x14ac:dyDescent="0.3">
      <c r="A4322" t="s">
        <v>4357</v>
      </c>
      <c r="B4322" t="s">
        <v>26</v>
      </c>
      <c r="C4322">
        <v>627000</v>
      </c>
      <c r="D4322">
        <v>231755.2</v>
      </c>
      <c r="E4322">
        <v>4.2299999999999997E-2</v>
      </c>
      <c r="F4322">
        <v>9.5100000000000004E-2</v>
      </c>
    </row>
    <row r="4323" spans="1:6" x14ac:dyDescent="0.3">
      <c r="A4323" t="s">
        <v>4358</v>
      </c>
      <c r="B4323" t="s">
        <v>81</v>
      </c>
      <c r="C4323">
        <v>583000</v>
      </c>
      <c r="D4323">
        <v>923.8</v>
      </c>
      <c r="E4323">
        <v>4.4999999999999997E-3</v>
      </c>
      <c r="F4323">
        <v>0.15390000000000001</v>
      </c>
    </row>
    <row r="4324" spans="1:6" x14ac:dyDescent="0.3">
      <c r="A4324" t="s">
        <v>4359</v>
      </c>
      <c r="B4324" t="s">
        <v>26</v>
      </c>
      <c r="C4324">
        <v>619000</v>
      </c>
      <c r="D4324">
        <v>11916.1</v>
      </c>
      <c r="E4324">
        <v>6.6000000000000003E-2</v>
      </c>
      <c r="F4324">
        <v>9.3799999999999994E-2</v>
      </c>
    </row>
    <row r="4325" spans="1:6" x14ac:dyDescent="0.3">
      <c r="A4325" t="s">
        <v>4360</v>
      </c>
      <c r="B4325" t="s">
        <v>26</v>
      </c>
      <c r="C4325">
        <v>633000</v>
      </c>
      <c r="D4325">
        <v>40200.699999999997</v>
      </c>
      <c r="E4325">
        <v>2.8500000000000001E-2</v>
      </c>
      <c r="F4325">
        <v>7.5899999999999995E-2</v>
      </c>
    </row>
    <row r="4326" spans="1:6" x14ac:dyDescent="0.3">
      <c r="A4326" t="s">
        <v>4361</v>
      </c>
      <c r="B4326" t="s">
        <v>41</v>
      </c>
      <c r="C4326">
        <v>590000</v>
      </c>
      <c r="D4326">
        <v>408.9</v>
      </c>
      <c r="E4326">
        <v>2.7900000000000001E-2</v>
      </c>
      <c r="F4326">
        <v>9.3799999999999994E-2</v>
      </c>
    </row>
    <row r="4327" spans="1:6" x14ac:dyDescent="0.3">
      <c r="A4327" t="s">
        <v>4362</v>
      </c>
      <c r="B4327" t="s">
        <v>32</v>
      </c>
      <c r="C4327">
        <v>763000</v>
      </c>
      <c r="D4327">
        <v>153341.29999999999</v>
      </c>
      <c r="E4327">
        <v>6.8999999999999999E-3</v>
      </c>
      <c r="F4327">
        <v>8.1100000000000005E-2</v>
      </c>
    </row>
    <row r="4328" spans="1:6" x14ac:dyDescent="0.3">
      <c r="A4328" t="s">
        <v>4363</v>
      </c>
      <c r="B4328" t="s">
        <v>74</v>
      </c>
      <c r="C4328">
        <v>600000</v>
      </c>
      <c r="D4328">
        <v>16363.1</v>
      </c>
      <c r="E4328">
        <v>2.7699999999999999E-2</v>
      </c>
      <c r="F4328">
        <v>9.3799999999999994E-2</v>
      </c>
    </row>
    <row r="4329" spans="1:6" x14ac:dyDescent="0.3">
      <c r="A4329" t="s">
        <v>4364</v>
      </c>
      <c r="B4329" t="s">
        <v>62</v>
      </c>
      <c r="C4329">
        <v>616000</v>
      </c>
      <c r="D4329">
        <v>661.2</v>
      </c>
      <c r="E4329">
        <v>1.7600000000000001E-2</v>
      </c>
      <c r="F4329">
        <v>4.0899999999999999E-2</v>
      </c>
    </row>
    <row r="4330" spans="1:6" x14ac:dyDescent="0.3">
      <c r="A4330" t="s">
        <v>4365</v>
      </c>
      <c r="B4330" t="s">
        <v>41</v>
      </c>
      <c r="C4330">
        <v>1080000</v>
      </c>
      <c r="D4330">
        <v>973.9</v>
      </c>
      <c r="E4330">
        <v>2.58E-2</v>
      </c>
      <c r="F4330">
        <v>9.3799999999999994E-2</v>
      </c>
    </row>
    <row r="4331" spans="1:6" x14ac:dyDescent="0.3">
      <c r="A4331" t="s">
        <v>4366</v>
      </c>
      <c r="B4331" t="s">
        <v>71</v>
      </c>
      <c r="C4331">
        <v>727000</v>
      </c>
      <c r="D4331">
        <v>2105.9</v>
      </c>
      <c r="E4331">
        <v>1.5800000000000002E-2</v>
      </c>
      <c r="F4331">
        <v>0.1053</v>
      </c>
    </row>
    <row r="4332" spans="1:6" x14ac:dyDescent="0.3">
      <c r="A4332" t="s">
        <v>4367</v>
      </c>
      <c r="B4332" t="s">
        <v>26</v>
      </c>
      <c r="C4332">
        <v>861000</v>
      </c>
      <c r="D4332">
        <v>174367.5</v>
      </c>
      <c r="E4332">
        <v>2.1899999999999999E-2</v>
      </c>
      <c r="F4332">
        <v>4.0899999999999999E-2</v>
      </c>
    </row>
    <row r="4333" spans="1:6" x14ac:dyDescent="0.3">
      <c r="A4333" t="s">
        <v>4368</v>
      </c>
      <c r="B4333" t="s">
        <v>24</v>
      </c>
      <c r="C4333">
        <v>684000</v>
      </c>
      <c r="D4333">
        <v>640850.19999999995</v>
      </c>
      <c r="E4333">
        <v>2.5600000000000001E-2</v>
      </c>
      <c r="F4333">
        <v>5.1799999999999999E-2</v>
      </c>
    </row>
    <row r="4334" spans="1:6" x14ac:dyDescent="0.3">
      <c r="A4334" t="s">
        <v>4369</v>
      </c>
      <c r="B4334" t="s">
        <v>21</v>
      </c>
      <c r="C4334">
        <v>779000</v>
      </c>
      <c r="D4334">
        <v>1745.7</v>
      </c>
      <c r="E4334">
        <v>9.9000000000000008E-3</v>
      </c>
      <c r="F4334">
        <v>8.1100000000000005E-2</v>
      </c>
    </row>
    <row r="4335" spans="1:6" x14ac:dyDescent="0.3">
      <c r="A4335" t="s">
        <v>4370</v>
      </c>
      <c r="B4335" t="s">
        <v>32</v>
      </c>
      <c r="C4335">
        <v>666000</v>
      </c>
      <c r="D4335">
        <v>382028</v>
      </c>
      <c r="E4335">
        <v>3.2500000000000001E-2</v>
      </c>
      <c r="F4335">
        <v>5.1799999999999999E-2</v>
      </c>
    </row>
    <row r="4336" spans="1:6" x14ac:dyDescent="0.3">
      <c r="A4336" t="s">
        <v>4371</v>
      </c>
      <c r="B4336" t="s">
        <v>88</v>
      </c>
      <c r="C4336">
        <v>669000</v>
      </c>
      <c r="D4336">
        <v>30091.4</v>
      </c>
      <c r="E4336">
        <v>5.9700000000000003E-2</v>
      </c>
      <c r="F4336">
        <v>9.5100000000000004E-2</v>
      </c>
    </row>
    <row r="4337" spans="1:6" x14ac:dyDescent="0.3">
      <c r="A4337" t="s">
        <v>4372</v>
      </c>
      <c r="B4337" t="s">
        <v>24</v>
      </c>
      <c r="C4337">
        <v>1080000</v>
      </c>
      <c r="D4337">
        <v>62296.3</v>
      </c>
      <c r="E4337">
        <v>3.6299999999999999E-2</v>
      </c>
      <c r="F4337">
        <v>9.5100000000000004E-2</v>
      </c>
    </row>
    <row r="4338" spans="1:6" x14ac:dyDescent="0.3">
      <c r="A4338" t="s">
        <v>4373</v>
      </c>
      <c r="B4338" t="s">
        <v>24</v>
      </c>
      <c r="C4338">
        <v>643000</v>
      </c>
      <c r="D4338">
        <v>7143.6</v>
      </c>
      <c r="E4338">
        <v>1.49E-2</v>
      </c>
      <c r="F4338">
        <v>0.18859999999999999</v>
      </c>
    </row>
    <row r="4339" spans="1:6" x14ac:dyDescent="0.3">
      <c r="A4339" t="s">
        <v>4374</v>
      </c>
      <c r="B4339" t="s">
        <v>62</v>
      </c>
      <c r="C4339">
        <v>605000</v>
      </c>
      <c r="D4339">
        <v>2976.2</v>
      </c>
      <c r="E4339">
        <v>8.0000000000000002E-3</v>
      </c>
      <c r="F4339">
        <v>8.2199999999999995E-2</v>
      </c>
    </row>
    <row r="4340" spans="1:6" x14ac:dyDescent="0.3">
      <c r="A4340" t="s">
        <v>4375</v>
      </c>
      <c r="B4340" t="s">
        <v>41</v>
      </c>
      <c r="C4340">
        <v>1050000</v>
      </c>
      <c r="D4340">
        <v>18172.400000000001</v>
      </c>
      <c r="F4340">
        <v>4.0899999999999999E-2</v>
      </c>
    </row>
    <row r="4341" spans="1:6" x14ac:dyDescent="0.3">
      <c r="A4341" t="s">
        <v>4376</v>
      </c>
      <c r="B4341" t="s">
        <v>26</v>
      </c>
      <c r="C4341">
        <v>721000</v>
      </c>
      <c r="D4341">
        <v>34863.699999999997</v>
      </c>
      <c r="E4341">
        <v>4.4999999999999998E-2</v>
      </c>
      <c r="F4341">
        <v>4.3200000000000002E-2</v>
      </c>
    </row>
    <row r="4342" spans="1:6" x14ac:dyDescent="0.3">
      <c r="A4342" t="s">
        <v>4377</v>
      </c>
      <c r="B4342" t="s">
        <v>26</v>
      </c>
      <c r="C4342">
        <v>1330000</v>
      </c>
      <c r="D4342">
        <v>140046.1</v>
      </c>
      <c r="E4342">
        <v>5.67E-2</v>
      </c>
      <c r="F4342">
        <v>9.5100000000000004E-2</v>
      </c>
    </row>
    <row r="4343" spans="1:6" x14ac:dyDescent="0.3">
      <c r="A4343" t="s">
        <v>4378</v>
      </c>
      <c r="B4343" t="s">
        <v>21</v>
      </c>
      <c r="C4343">
        <v>626000</v>
      </c>
      <c r="D4343">
        <v>3024.8</v>
      </c>
      <c r="E4343">
        <v>4.5100000000000001E-2</v>
      </c>
      <c r="F4343">
        <v>9.3799999999999994E-2</v>
      </c>
    </row>
    <row r="4344" spans="1:6" x14ac:dyDescent="0.3">
      <c r="A4344" t="s">
        <v>4379</v>
      </c>
      <c r="B4344" t="s">
        <v>74</v>
      </c>
      <c r="C4344">
        <v>686000</v>
      </c>
      <c r="D4344">
        <v>12952.5</v>
      </c>
      <c r="E4344">
        <v>4.1399999999999999E-2</v>
      </c>
      <c r="F4344">
        <v>7.5899999999999995E-2</v>
      </c>
    </row>
    <row r="4345" spans="1:6" x14ac:dyDescent="0.3">
      <c r="A4345" t="s">
        <v>4380</v>
      </c>
      <c r="B4345" t="s">
        <v>53</v>
      </c>
      <c r="C4345">
        <v>665000</v>
      </c>
      <c r="D4345">
        <v>570</v>
      </c>
      <c r="E4345">
        <v>7.5800000000000006E-2</v>
      </c>
      <c r="F4345">
        <v>7.5899999999999995E-2</v>
      </c>
    </row>
    <row r="4346" spans="1:6" x14ac:dyDescent="0.3">
      <c r="A4346" t="s">
        <v>4381</v>
      </c>
      <c r="B4346" t="s">
        <v>88</v>
      </c>
      <c r="C4346">
        <v>626000</v>
      </c>
      <c r="D4346">
        <v>180483</v>
      </c>
      <c r="E4346">
        <v>4.2099999999999999E-2</v>
      </c>
      <c r="F4346">
        <v>9.5100000000000004E-2</v>
      </c>
    </row>
    <row r="4347" spans="1:6" x14ac:dyDescent="0.3">
      <c r="A4347" t="s">
        <v>4382</v>
      </c>
      <c r="B4347" t="s">
        <v>92</v>
      </c>
      <c r="C4347">
        <v>580000</v>
      </c>
      <c r="D4347">
        <v>527136.69999999995</v>
      </c>
      <c r="E4347">
        <v>3.3599999999999998E-2</v>
      </c>
      <c r="F4347">
        <v>9.5100000000000004E-2</v>
      </c>
    </row>
    <row r="4348" spans="1:6" x14ac:dyDescent="0.3">
      <c r="A4348" t="s">
        <v>4383</v>
      </c>
      <c r="B4348" t="s">
        <v>92</v>
      </c>
      <c r="C4348">
        <v>605000</v>
      </c>
      <c r="D4348">
        <v>4294.3</v>
      </c>
      <c r="E4348">
        <v>1.29E-2</v>
      </c>
      <c r="F4348">
        <v>5.8400000000000001E-2</v>
      </c>
    </row>
    <row r="4349" spans="1:6" x14ac:dyDescent="0.3">
      <c r="A4349" t="s">
        <v>4384</v>
      </c>
      <c r="B4349" t="s">
        <v>32</v>
      </c>
      <c r="C4349">
        <v>697000</v>
      </c>
      <c r="D4349">
        <v>349051.6</v>
      </c>
      <c r="E4349">
        <v>3.7999999999999999E-2</v>
      </c>
      <c r="F4349">
        <v>9.5100000000000004E-2</v>
      </c>
    </row>
    <row r="4350" spans="1:6" x14ac:dyDescent="0.3">
      <c r="A4350" t="s">
        <v>4385</v>
      </c>
      <c r="B4350" t="s">
        <v>26</v>
      </c>
      <c r="C4350">
        <v>612000</v>
      </c>
      <c r="D4350">
        <v>9976.2999999999993</v>
      </c>
      <c r="E4350">
        <v>5.3400000000000003E-2</v>
      </c>
      <c r="F4350">
        <v>9.5100000000000004E-2</v>
      </c>
    </row>
    <row r="4351" spans="1:6" x14ac:dyDescent="0.3">
      <c r="A4351" t="s">
        <v>4386</v>
      </c>
      <c r="B4351" t="s">
        <v>92</v>
      </c>
      <c r="C4351">
        <v>622000</v>
      </c>
      <c r="D4351">
        <v>4314.7</v>
      </c>
      <c r="E4351">
        <v>1.44E-2</v>
      </c>
      <c r="F4351">
        <v>0.17119999999999999</v>
      </c>
    </row>
    <row r="4352" spans="1:6" x14ac:dyDescent="0.3">
      <c r="A4352" t="s">
        <v>4387</v>
      </c>
      <c r="B4352" t="s">
        <v>26</v>
      </c>
      <c r="C4352">
        <v>615000</v>
      </c>
      <c r="D4352">
        <v>104738.8</v>
      </c>
      <c r="E4352">
        <v>5.2499999999999998E-2</v>
      </c>
      <c r="F4352">
        <v>5.4600000000000003E-2</v>
      </c>
    </row>
    <row r="4353" spans="1:6" x14ac:dyDescent="0.3">
      <c r="A4353" t="s">
        <v>4388</v>
      </c>
      <c r="B4353" t="s">
        <v>195</v>
      </c>
      <c r="C4353">
        <v>863000</v>
      </c>
      <c r="D4353">
        <v>2032.3</v>
      </c>
      <c r="E4353">
        <v>2.5399999999999999E-2</v>
      </c>
      <c r="F4353">
        <v>5.0999999999999997E-2</v>
      </c>
    </row>
    <row r="4354" spans="1:6" x14ac:dyDescent="0.3">
      <c r="A4354" t="s">
        <v>4389</v>
      </c>
      <c r="B4354" t="s">
        <v>26</v>
      </c>
      <c r="C4354">
        <v>556000</v>
      </c>
      <c r="D4354">
        <v>2893.3</v>
      </c>
      <c r="E4354">
        <v>6.7000000000000004E-2</v>
      </c>
      <c r="F4354">
        <v>5.2200000000000003E-2</v>
      </c>
    </row>
    <row r="4355" spans="1:6" x14ac:dyDescent="0.3">
      <c r="A4355" t="s">
        <v>4390</v>
      </c>
      <c r="B4355" t="s">
        <v>26</v>
      </c>
      <c r="C4355">
        <v>582000</v>
      </c>
      <c r="D4355">
        <v>758.1</v>
      </c>
      <c r="E4355">
        <v>0.10970000000000001</v>
      </c>
      <c r="F4355">
        <v>7.5899999999999995E-2</v>
      </c>
    </row>
    <row r="4356" spans="1:6" x14ac:dyDescent="0.3">
      <c r="A4356" t="s">
        <v>4391</v>
      </c>
      <c r="B4356" t="s">
        <v>41</v>
      </c>
      <c r="C4356">
        <v>983000</v>
      </c>
      <c r="D4356">
        <v>4373.2</v>
      </c>
      <c r="E4356">
        <v>2.23E-2</v>
      </c>
      <c r="F4356">
        <v>9.3799999999999994E-2</v>
      </c>
    </row>
    <row r="4357" spans="1:6" x14ac:dyDescent="0.3">
      <c r="A4357" t="s">
        <v>4392</v>
      </c>
      <c r="B4357" t="s">
        <v>41</v>
      </c>
      <c r="C4357">
        <v>598000</v>
      </c>
      <c r="D4357">
        <v>4723.8999999999996</v>
      </c>
      <c r="E4357">
        <v>2.6200000000000001E-2</v>
      </c>
      <c r="F4357">
        <v>9.3799999999999994E-2</v>
      </c>
    </row>
    <row r="4358" spans="1:6" x14ac:dyDescent="0.3">
      <c r="A4358" t="s">
        <v>4393</v>
      </c>
      <c r="B4358" t="s">
        <v>62</v>
      </c>
      <c r="C4358">
        <v>589000</v>
      </c>
      <c r="D4358">
        <v>5184.1000000000004</v>
      </c>
      <c r="E4358">
        <v>8.9999999999999993E-3</v>
      </c>
      <c r="F4358">
        <v>0.1603</v>
      </c>
    </row>
    <row r="4359" spans="1:6" x14ac:dyDescent="0.3">
      <c r="A4359" t="s">
        <v>4394</v>
      </c>
      <c r="B4359" t="s">
        <v>26</v>
      </c>
      <c r="C4359">
        <v>710000</v>
      </c>
      <c r="D4359">
        <v>28929.599999999999</v>
      </c>
      <c r="E4359">
        <v>1.5100000000000001E-2</v>
      </c>
      <c r="F4359">
        <v>7.5700000000000003E-2</v>
      </c>
    </row>
    <row r="4360" spans="1:6" x14ac:dyDescent="0.3">
      <c r="A4360" t="s">
        <v>4395</v>
      </c>
      <c r="B4360" t="s">
        <v>24</v>
      </c>
      <c r="C4360">
        <v>658000</v>
      </c>
      <c r="D4360">
        <v>751.2</v>
      </c>
      <c r="E4360">
        <v>6.3899999999999998E-2</v>
      </c>
      <c r="F4360">
        <v>0.1168</v>
      </c>
    </row>
    <row r="4361" spans="1:6" x14ac:dyDescent="0.3">
      <c r="A4361" t="s">
        <v>4396</v>
      </c>
      <c r="B4361" t="s">
        <v>71</v>
      </c>
      <c r="C4361">
        <v>726000</v>
      </c>
      <c r="D4361">
        <v>5034.3</v>
      </c>
      <c r="E4361">
        <v>5.5999999999999999E-3</v>
      </c>
      <c r="F4361">
        <v>6.54E-2</v>
      </c>
    </row>
    <row r="4362" spans="1:6" x14ac:dyDescent="0.3">
      <c r="A4362" t="s">
        <v>4397</v>
      </c>
      <c r="B4362" t="s">
        <v>24</v>
      </c>
      <c r="C4362">
        <v>642000</v>
      </c>
      <c r="D4362">
        <v>28836.9</v>
      </c>
      <c r="E4362">
        <v>2.3199999999999998E-2</v>
      </c>
      <c r="F4362">
        <v>0.1067</v>
      </c>
    </row>
    <row r="4363" spans="1:6" x14ac:dyDescent="0.3">
      <c r="A4363" t="s">
        <v>4398</v>
      </c>
      <c r="B4363" t="s">
        <v>26</v>
      </c>
      <c r="C4363">
        <v>641000</v>
      </c>
      <c r="D4363">
        <v>25851.3</v>
      </c>
      <c r="E4363">
        <v>4.7199999999999999E-2</v>
      </c>
      <c r="F4363">
        <v>7.5899999999999995E-2</v>
      </c>
    </row>
    <row r="4364" spans="1:6" x14ac:dyDescent="0.3">
      <c r="A4364" t="s">
        <v>4399</v>
      </c>
      <c r="B4364" t="s">
        <v>92</v>
      </c>
      <c r="C4364">
        <v>600000</v>
      </c>
      <c r="D4364">
        <v>69596.600000000006</v>
      </c>
      <c r="E4364">
        <v>2.58E-2</v>
      </c>
      <c r="F4364">
        <v>8.4500000000000006E-2</v>
      </c>
    </row>
    <row r="4365" spans="1:6" x14ac:dyDescent="0.3">
      <c r="A4365" t="s">
        <v>4400</v>
      </c>
      <c r="B4365" t="s">
        <v>88</v>
      </c>
      <c r="C4365">
        <v>568000</v>
      </c>
      <c r="D4365">
        <v>11150.1</v>
      </c>
      <c r="E4365">
        <v>3.3500000000000002E-2</v>
      </c>
      <c r="F4365">
        <v>7.5899999999999995E-2</v>
      </c>
    </row>
    <row r="4366" spans="1:6" x14ac:dyDescent="0.3">
      <c r="A4366" t="s">
        <v>4401</v>
      </c>
      <c r="B4366" t="s">
        <v>26</v>
      </c>
      <c r="C4366">
        <v>663000</v>
      </c>
      <c r="D4366">
        <v>209071.3</v>
      </c>
      <c r="E4366">
        <v>3.39E-2</v>
      </c>
      <c r="F4366">
        <v>9.5100000000000004E-2</v>
      </c>
    </row>
    <row r="4367" spans="1:6" x14ac:dyDescent="0.3">
      <c r="A4367" t="s">
        <v>4402</v>
      </c>
      <c r="B4367" t="s">
        <v>74</v>
      </c>
      <c r="C4367">
        <v>605000</v>
      </c>
      <c r="D4367">
        <v>351.3</v>
      </c>
      <c r="E4367">
        <v>4.7300000000000002E-2</v>
      </c>
      <c r="F4367">
        <v>0.30099999999999999</v>
      </c>
    </row>
    <row r="4368" spans="1:6" x14ac:dyDescent="0.3">
      <c r="A4368" t="s">
        <v>4403</v>
      </c>
      <c r="B4368" t="s">
        <v>88</v>
      </c>
      <c r="C4368">
        <v>581000</v>
      </c>
      <c r="D4368">
        <v>10869.1</v>
      </c>
      <c r="E4368">
        <v>2.76E-2</v>
      </c>
      <c r="F4368">
        <v>9.5100000000000004E-2</v>
      </c>
    </row>
    <row r="4369" spans="1:6" x14ac:dyDescent="0.3">
      <c r="A4369" t="s">
        <v>4404</v>
      </c>
      <c r="B4369" t="s">
        <v>26</v>
      </c>
      <c r="C4369">
        <v>708000</v>
      </c>
      <c r="D4369">
        <v>39804.1</v>
      </c>
      <c r="E4369">
        <v>5.1299999999999998E-2</v>
      </c>
      <c r="F4369">
        <v>4.1200000000000001E-2</v>
      </c>
    </row>
    <row r="4370" spans="1:6" x14ac:dyDescent="0.3">
      <c r="A4370" t="s">
        <v>4405</v>
      </c>
      <c r="B4370" t="s">
        <v>32</v>
      </c>
      <c r="C4370">
        <v>668000</v>
      </c>
      <c r="D4370">
        <v>25378.1</v>
      </c>
      <c r="E4370">
        <v>3.78E-2</v>
      </c>
      <c r="F4370">
        <v>9.5100000000000004E-2</v>
      </c>
    </row>
    <row r="4371" spans="1:6" x14ac:dyDescent="0.3">
      <c r="A4371" t="s">
        <v>4406</v>
      </c>
      <c r="B4371" t="s">
        <v>92</v>
      </c>
      <c r="C4371">
        <v>825000</v>
      </c>
      <c r="D4371">
        <v>169829.4</v>
      </c>
      <c r="E4371">
        <v>1.52E-2</v>
      </c>
      <c r="F4371">
        <v>4.6199999999999998E-2</v>
      </c>
    </row>
    <row r="4372" spans="1:6" x14ac:dyDescent="0.3">
      <c r="A4372" t="s">
        <v>4407</v>
      </c>
      <c r="B4372" t="s">
        <v>41</v>
      </c>
      <c r="C4372">
        <v>739000</v>
      </c>
      <c r="D4372">
        <v>7665.7</v>
      </c>
      <c r="E4372">
        <v>9.0200000000000002E-2</v>
      </c>
      <c r="F4372">
        <v>9.3799999999999994E-2</v>
      </c>
    </row>
    <row r="4373" spans="1:6" x14ac:dyDescent="0.3">
      <c r="A4373" t="s">
        <v>4408</v>
      </c>
      <c r="B4373" t="s">
        <v>41</v>
      </c>
      <c r="C4373">
        <v>809000</v>
      </c>
      <c r="D4373">
        <v>3278.2</v>
      </c>
      <c r="E4373">
        <v>1.47E-2</v>
      </c>
      <c r="F4373">
        <v>5.7599999999999998E-2</v>
      </c>
    </row>
    <row r="4374" spans="1:6" x14ac:dyDescent="0.3">
      <c r="A4374" t="s">
        <v>4409</v>
      </c>
      <c r="B4374" t="s">
        <v>26</v>
      </c>
      <c r="C4374">
        <v>1400000</v>
      </c>
      <c r="D4374">
        <v>842332.5</v>
      </c>
      <c r="E4374">
        <v>4.0399999999999998E-2</v>
      </c>
      <c r="F4374">
        <v>4.0899999999999999E-2</v>
      </c>
    </row>
    <row r="4375" spans="1:6" x14ac:dyDescent="0.3">
      <c r="A4375" t="s">
        <v>4410</v>
      </c>
      <c r="B4375" t="s">
        <v>214</v>
      </c>
      <c r="C4375">
        <v>1840000</v>
      </c>
      <c r="D4375">
        <v>8722.7999999999993</v>
      </c>
      <c r="E4375">
        <v>9.2999999999999992E-3</v>
      </c>
      <c r="F4375">
        <v>8.1100000000000005E-2</v>
      </c>
    </row>
    <row r="4376" spans="1:6" x14ac:dyDescent="0.3">
      <c r="A4376" t="s">
        <v>4411</v>
      </c>
      <c r="B4376" t="s">
        <v>74</v>
      </c>
      <c r="C4376">
        <v>571000</v>
      </c>
      <c r="D4376">
        <v>209507.9</v>
      </c>
      <c r="E4376">
        <v>3.2099999999999997E-2</v>
      </c>
      <c r="F4376">
        <v>9.5100000000000004E-2</v>
      </c>
    </row>
    <row r="4377" spans="1:6" x14ac:dyDescent="0.3">
      <c r="A4377" t="s">
        <v>4412</v>
      </c>
      <c r="B4377" t="s">
        <v>214</v>
      </c>
      <c r="C4377">
        <v>693000</v>
      </c>
      <c r="D4377">
        <v>5454.9</v>
      </c>
      <c r="E4377">
        <v>9.4000000000000004E-3</v>
      </c>
      <c r="F4377">
        <v>8.2199999999999995E-2</v>
      </c>
    </row>
    <row r="4378" spans="1:6" x14ac:dyDescent="0.3">
      <c r="A4378" t="s">
        <v>4413</v>
      </c>
      <c r="B4378" t="s">
        <v>26</v>
      </c>
      <c r="C4378">
        <v>685000</v>
      </c>
      <c r="D4378">
        <v>1086.8</v>
      </c>
      <c r="E4378">
        <v>1.0699999999999999E-2</v>
      </c>
      <c r="F4378">
        <v>6.54E-2</v>
      </c>
    </row>
    <row r="4379" spans="1:6" x14ac:dyDescent="0.3">
      <c r="A4379" t="s">
        <v>4414</v>
      </c>
      <c r="B4379" t="s">
        <v>53</v>
      </c>
      <c r="C4379">
        <v>570000</v>
      </c>
      <c r="F4379">
        <v>7.5899999999999995E-2</v>
      </c>
    </row>
    <row r="4380" spans="1:6" x14ac:dyDescent="0.3">
      <c r="A4380" t="s">
        <v>4415</v>
      </c>
      <c r="B4380" t="s">
        <v>21</v>
      </c>
      <c r="C4380">
        <v>737000</v>
      </c>
      <c r="D4380">
        <v>104744.8</v>
      </c>
      <c r="E4380">
        <v>1.1299999999999999E-2</v>
      </c>
      <c r="F4380">
        <v>5.8400000000000001E-2</v>
      </c>
    </row>
    <row r="4381" spans="1:6" x14ac:dyDescent="0.3">
      <c r="A4381" t="s">
        <v>4416</v>
      </c>
      <c r="B4381" t="s">
        <v>21</v>
      </c>
      <c r="C4381">
        <v>689000</v>
      </c>
      <c r="D4381">
        <v>188162.9</v>
      </c>
      <c r="E4381">
        <v>2.8299999999999999E-2</v>
      </c>
      <c r="F4381">
        <v>6.7199999999999996E-2</v>
      </c>
    </row>
    <row r="4382" spans="1:6" x14ac:dyDescent="0.3">
      <c r="A4382" t="s">
        <v>4417</v>
      </c>
      <c r="B4382" t="s">
        <v>74</v>
      </c>
      <c r="C4382">
        <v>580000</v>
      </c>
      <c r="D4382">
        <v>74.7</v>
      </c>
      <c r="E4382">
        <v>2.0400000000000001E-2</v>
      </c>
      <c r="F4382">
        <v>0.57509999999999994</v>
      </c>
    </row>
    <row r="4383" spans="1:6" x14ac:dyDescent="0.3">
      <c r="A4383" t="s">
        <v>4418</v>
      </c>
      <c r="B4383" t="s">
        <v>88</v>
      </c>
      <c r="C4383">
        <v>1080000</v>
      </c>
      <c r="D4383">
        <v>4720.7</v>
      </c>
      <c r="E4383">
        <v>4.07E-2</v>
      </c>
      <c r="F4383">
        <v>9.3799999999999994E-2</v>
      </c>
    </row>
    <row r="4384" spans="1:6" x14ac:dyDescent="0.3">
      <c r="A4384" t="s">
        <v>4419</v>
      </c>
      <c r="B4384" t="s">
        <v>24</v>
      </c>
      <c r="C4384">
        <v>635000</v>
      </c>
      <c r="D4384">
        <v>1734.3</v>
      </c>
      <c r="E4384">
        <v>4.4499999999999998E-2</v>
      </c>
      <c r="F4384">
        <v>7.5899999999999995E-2</v>
      </c>
    </row>
    <row r="4385" spans="1:6" x14ac:dyDescent="0.3">
      <c r="A4385" t="s">
        <v>4420</v>
      </c>
      <c r="B4385" t="s">
        <v>81</v>
      </c>
      <c r="C4385">
        <v>658000</v>
      </c>
      <c r="D4385">
        <v>7691.6</v>
      </c>
      <c r="E4385">
        <v>3.1E-2</v>
      </c>
      <c r="F4385">
        <v>9.3799999999999994E-2</v>
      </c>
    </row>
    <row r="4386" spans="1:6" x14ac:dyDescent="0.3">
      <c r="A4386" t="s">
        <v>4421</v>
      </c>
      <c r="B4386" t="s">
        <v>71</v>
      </c>
      <c r="C4386">
        <v>679000</v>
      </c>
      <c r="D4386">
        <v>3311.3</v>
      </c>
      <c r="E4386">
        <v>2.4400000000000002E-2</v>
      </c>
      <c r="F4386">
        <v>9.3799999999999994E-2</v>
      </c>
    </row>
    <row r="4387" spans="1:6" x14ac:dyDescent="0.3">
      <c r="A4387" t="s">
        <v>4422</v>
      </c>
      <c r="B4387" t="s">
        <v>41</v>
      </c>
      <c r="C4387">
        <v>617000</v>
      </c>
      <c r="D4387">
        <v>3395.2</v>
      </c>
      <c r="E4387">
        <v>1.12E-2</v>
      </c>
      <c r="F4387">
        <v>8.1100000000000005E-2</v>
      </c>
    </row>
    <row r="4388" spans="1:6" x14ac:dyDescent="0.3">
      <c r="A4388" t="s">
        <v>4423</v>
      </c>
      <c r="B4388" t="s">
        <v>30</v>
      </c>
      <c r="C4388">
        <v>675000</v>
      </c>
      <c r="D4388">
        <v>10362.700000000001</v>
      </c>
      <c r="E4388">
        <v>6.0000000000000001E-3</v>
      </c>
      <c r="F4388">
        <v>6.54E-2</v>
      </c>
    </row>
    <row r="4389" spans="1:6" x14ac:dyDescent="0.3">
      <c r="A4389" t="s">
        <v>4424</v>
      </c>
      <c r="B4389" t="s">
        <v>26</v>
      </c>
      <c r="C4389">
        <v>575000</v>
      </c>
      <c r="D4389">
        <v>144339.4</v>
      </c>
      <c r="E4389">
        <v>2.1700000000000001E-2</v>
      </c>
      <c r="F4389">
        <v>5.1799999999999999E-2</v>
      </c>
    </row>
    <row r="4390" spans="1:6" x14ac:dyDescent="0.3">
      <c r="A4390" t="s">
        <v>4425</v>
      </c>
      <c r="B4390" t="s">
        <v>26</v>
      </c>
      <c r="C4390">
        <v>804000</v>
      </c>
      <c r="D4390">
        <v>91929.4</v>
      </c>
      <c r="E4390">
        <v>3.9899999999999998E-2</v>
      </c>
      <c r="F4390">
        <v>7.5899999999999995E-2</v>
      </c>
    </row>
    <row r="4391" spans="1:6" x14ac:dyDescent="0.3">
      <c r="A4391" t="s">
        <v>4426</v>
      </c>
      <c r="B4391" t="s">
        <v>92</v>
      </c>
      <c r="C4391">
        <v>598000</v>
      </c>
      <c r="D4391">
        <v>1516.6</v>
      </c>
      <c r="E4391">
        <v>4.3700000000000003E-2</v>
      </c>
      <c r="F4391">
        <v>0.13589999999999999</v>
      </c>
    </row>
    <row r="4392" spans="1:6" x14ac:dyDescent="0.3">
      <c r="A4392" t="s">
        <v>4427</v>
      </c>
      <c r="B4392" t="s">
        <v>26</v>
      </c>
      <c r="C4392">
        <v>1010000</v>
      </c>
      <c r="D4392">
        <v>16564.5</v>
      </c>
      <c r="E4392">
        <v>4.9599999999999998E-2</v>
      </c>
      <c r="F4392">
        <v>7.5899999999999995E-2</v>
      </c>
    </row>
    <row r="4393" spans="1:6" x14ac:dyDescent="0.3">
      <c r="A4393" t="s">
        <v>4428</v>
      </c>
      <c r="B4393" t="s">
        <v>92</v>
      </c>
      <c r="C4393">
        <v>622000</v>
      </c>
      <c r="D4393">
        <v>68827.899999999994</v>
      </c>
      <c r="E4393">
        <v>9.0300000000000005E-2</v>
      </c>
      <c r="F4393">
        <v>7.5899999999999995E-2</v>
      </c>
    </row>
    <row r="4394" spans="1:6" x14ac:dyDescent="0.3">
      <c r="A4394" t="s">
        <v>4429</v>
      </c>
      <c r="B4394" t="s">
        <v>88</v>
      </c>
      <c r="C4394">
        <v>571000</v>
      </c>
      <c r="F4394">
        <v>7.5899999999999995E-2</v>
      </c>
    </row>
    <row r="4395" spans="1:6" x14ac:dyDescent="0.3">
      <c r="A4395" t="s">
        <v>4430</v>
      </c>
      <c r="B4395" t="s">
        <v>92</v>
      </c>
      <c r="C4395">
        <v>913000</v>
      </c>
      <c r="D4395">
        <v>17095.900000000001</v>
      </c>
      <c r="E4395">
        <v>1.8100000000000002E-2</v>
      </c>
      <c r="F4395">
        <v>4.6199999999999998E-2</v>
      </c>
    </row>
    <row r="4396" spans="1:6" x14ac:dyDescent="0.3">
      <c r="A4396" t="s">
        <v>4431</v>
      </c>
      <c r="B4396" t="s">
        <v>26</v>
      </c>
      <c r="C4396">
        <v>583000</v>
      </c>
      <c r="D4396">
        <v>649887.19999999995</v>
      </c>
      <c r="E4396">
        <v>2.9100000000000001E-2</v>
      </c>
      <c r="F4396">
        <v>9.5100000000000004E-2</v>
      </c>
    </row>
    <row r="4397" spans="1:6" x14ac:dyDescent="0.3">
      <c r="A4397" t="s">
        <v>4432</v>
      </c>
      <c r="B4397" t="s">
        <v>24</v>
      </c>
      <c r="C4397">
        <v>613000</v>
      </c>
      <c r="D4397">
        <v>1555.9</v>
      </c>
      <c r="E4397">
        <v>3.95E-2</v>
      </c>
      <c r="F4397">
        <v>5.4600000000000003E-2</v>
      </c>
    </row>
    <row r="4398" spans="1:6" x14ac:dyDescent="0.3">
      <c r="A4398" t="s">
        <v>4433</v>
      </c>
      <c r="B4398" t="s">
        <v>26</v>
      </c>
      <c r="C4398">
        <v>784000</v>
      </c>
      <c r="D4398">
        <v>433890.3</v>
      </c>
      <c r="E4398">
        <v>3.8300000000000001E-2</v>
      </c>
      <c r="F4398">
        <v>4.0899999999999999E-2</v>
      </c>
    </row>
    <row r="4399" spans="1:6" x14ac:dyDescent="0.3">
      <c r="A4399" t="s">
        <v>4434</v>
      </c>
      <c r="B4399" t="s">
        <v>214</v>
      </c>
      <c r="C4399">
        <v>680000</v>
      </c>
      <c r="D4399">
        <v>11790.8</v>
      </c>
      <c r="E4399">
        <v>6.7199999999999996E-2</v>
      </c>
      <c r="F4399">
        <v>9.5100000000000004E-2</v>
      </c>
    </row>
    <row r="4400" spans="1:6" x14ac:dyDescent="0.3">
      <c r="A4400" t="s">
        <v>4435</v>
      </c>
      <c r="B4400" t="s">
        <v>50</v>
      </c>
      <c r="C4400">
        <v>671000</v>
      </c>
      <c r="D4400">
        <v>11261.4</v>
      </c>
      <c r="E4400">
        <v>2.8000000000000001E-2</v>
      </c>
      <c r="F4400">
        <v>4.0899999999999999E-2</v>
      </c>
    </row>
    <row r="4401" spans="1:6" x14ac:dyDescent="0.3">
      <c r="A4401" t="s">
        <v>4436</v>
      </c>
      <c r="B4401" t="s">
        <v>21</v>
      </c>
      <c r="C4401">
        <v>607000</v>
      </c>
      <c r="D4401">
        <v>164259.29999999999</v>
      </c>
      <c r="E4401">
        <v>6.1999999999999998E-3</v>
      </c>
      <c r="F4401">
        <v>8.2199999999999995E-2</v>
      </c>
    </row>
    <row r="4402" spans="1:6" x14ac:dyDescent="0.3">
      <c r="A4402" t="s">
        <v>4437</v>
      </c>
      <c r="B4402" t="s">
        <v>26</v>
      </c>
      <c r="C4402">
        <v>669000</v>
      </c>
      <c r="D4402">
        <v>4164.7</v>
      </c>
      <c r="E4402">
        <v>2.5399999999999999E-2</v>
      </c>
      <c r="F4402">
        <v>5.0999999999999997E-2</v>
      </c>
    </row>
    <row r="4403" spans="1:6" x14ac:dyDescent="0.3">
      <c r="A4403" t="s">
        <v>4438</v>
      </c>
      <c r="B4403" t="s">
        <v>26</v>
      </c>
      <c r="C4403">
        <v>1010000</v>
      </c>
      <c r="D4403">
        <v>70948</v>
      </c>
      <c r="E4403">
        <v>1.46E-2</v>
      </c>
      <c r="F4403">
        <v>8.5400000000000004E-2</v>
      </c>
    </row>
    <row r="4404" spans="1:6" x14ac:dyDescent="0.3">
      <c r="A4404" t="s">
        <v>4439</v>
      </c>
      <c r="B4404" t="s">
        <v>62</v>
      </c>
      <c r="C4404">
        <v>840000</v>
      </c>
      <c r="D4404">
        <v>224899.1</v>
      </c>
      <c r="E4404">
        <v>3.1800000000000002E-2</v>
      </c>
      <c r="F4404">
        <v>5.1799999999999999E-2</v>
      </c>
    </row>
    <row r="4405" spans="1:6" x14ac:dyDescent="0.3">
      <c r="A4405" t="s">
        <v>4440</v>
      </c>
      <c r="B4405" t="s">
        <v>88</v>
      </c>
      <c r="C4405">
        <v>674000</v>
      </c>
      <c r="D4405">
        <v>6347.8</v>
      </c>
      <c r="E4405">
        <v>6.1499999999999999E-2</v>
      </c>
      <c r="F4405">
        <v>9.3799999999999994E-2</v>
      </c>
    </row>
    <row r="4406" spans="1:6" x14ac:dyDescent="0.3">
      <c r="A4406" t="s">
        <v>4441</v>
      </c>
      <c r="B4406" t="s">
        <v>214</v>
      </c>
      <c r="C4406">
        <v>626000</v>
      </c>
      <c r="D4406">
        <v>714044.3</v>
      </c>
      <c r="E4406">
        <v>1.7299999999999999E-2</v>
      </c>
      <c r="F4406">
        <v>9.5000000000000001E-2</v>
      </c>
    </row>
    <row r="4407" spans="1:6" x14ac:dyDescent="0.3">
      <c r="A4407" t="s">
        <v>4442</v>
      </c>
      <c r="B4407" t="s">
        <v>26</v>
      </c>
      <c r="C4407">
        <v>672000</v>
      </c>
      <c r="D4407">
        <v>241502.8</v>
      </c>
      <c r="E4407">
        <v>1.7999999999999999E-2</v>
      </c>
      <c r="F4407">
        <v>8.5400000000000004E-2</v>
      </c>
    </row>
    <row r="4408" spans="1:6" x14ac:dyDescent="0.3">
      <c r="A4408" t="s">
        <v>4443</v>
      </c>
      <c r="B4408" t="s">
        <v>24</v>
      </c>
      <c r="C4408">
        <v>862000</v>
      </c>
      <c r="D4408">
        <v>33103.1</v>
      </c>
      <c r="E4408">
        <v>6.93E-2</v>
      </c>
      <c r="F4408">
        <v>9.3799999999999994E-2</v>
      </c>
    </row>
    <row r="4409" spans="1:6" x14ac:dyDescent="0.3">
      <c r="A4409" t="s">
        <v>4444</v>
      </c>
      <c r="B4409" t="s">
        <v>92</v>
      </c>
      <c r="C4409">
        <v>620000</v>
      </c>
      <c r="D4409">
        <v>4116.5</v>
      </c>
      <c r="E4409">
        <v>1.18E-2</v>
      </c>
      <c r="F4409">
        <v>5.1999999999999998E-2</v>
      </c>
    </row>
    <row r="4410" spans="1:6" x14ac:dyDescent="0.3">
      <c r="A4410" t="s">
        <v>4445</v>
      </c>
      <c r="B4410" t="s">
        <v>24</v>
      </c>
      <c r="C4410">
        <v>1380000</v>
      </c>
      <c r="D4410">
        <v>67813.399999999994</v>
      </c>
      <c r="E4410">
        <v>9.4299999999999995E-2</v>
      </c>
      <c r="F4410">
        <v>7.5899999999999995E-2</v>
      </c>
    </row>
    <row r="4411" spans="1:6" x14ac:dyDescent="0.3">
      <c r="A4411" t="s">
        <v>4446</v>
      </c>
      <c r="B4411" t="s">
        <v>26</v>
      </c>
      <c r="C4411">
        <v>685000</v>
      </c>
      <c r="D4411">
        <v>1488</v>
      </c>
      <c r="E4411">
        <v>1.84E-2</v>
      </c>
      <c r="F4411">
        <v>0.22670000000000001</v>
      </c>
    </row>
    <row r="4412" spans="1:6" x14ac:dyDescent="0.3">
      <c r="A4412" t="s">
        <v>4447</v>
      </c>
      <c r="B4412" t="s">
        <v>26</v>
      </c>
      <c r="C4412">
        <v>582000</v>
      </c>
      <c r="D4412">
        <v>6723.6</v>
      </c>
      <c r="E4412">
        <v>3.8100000000000002E-2</v>
      </c>
      <c r="F4412">
        <v>9.3799999999999994E-2</v>
      </c>
    </row>
    <row r="4413" spans="1:6" x14ac:dyDescent="0.3">
      <c r="A4413" t="s">
        <v>4448</v>
      </c>
      <c r="B4413" t="s">
        <v>195</v>
      </c>
      <c r="C4413">
        <v>758000</v>
      </c>
      <c r="D4413">
        <v>4129.3999999999996</v>
      </c>
      <c r="E4413">
        <v>2.53E-2</v>
      </c>
      <c r="F4413">
        <v>4.0899999999999999E-2</v>
      </c>
    </row>
    <row r="4414" spans="1:6" x14ac:dyDescent="0.3">
      <c r="A4414" t="s">
        <v>4449</v>
      </c>
      <c r="B4414" t="s">
        <v>24</v>
      </c>
      <c r="C4414">
        <v>571000</v>
      </c>
      <c r="D4414">
        <v>779.5</v>
      </c>
      <c r="E4414">
        <v>1.8800000000000001E-2</v>
      </c>
      <c r="F4414">
        <v>5.8500000000000003E-2</v>
      </c>
    </row>
    <row r="4415" spans="1:6" x14ac:dyDescent="0.3">
      <c r="A4415" t="s">
        <v>4450</v>
      </c>
      <c r="B4415" t="s">
        <v>92</v>
      </c>
      <c r="C4415">
        <v>572000</v>
      </c>
      <c r="D4415">
        <v>213.5</v>
      </c>
      <c r="E4415">
        <v>6.0000000000000001E-3</v>
      </c>
      <c r="F4415">
        <v>0.29970000000000002</v>
      </c>
    </row>
    <row r="4416" spans="1:6" x14ac:dyDescent="0.3">
      <c r="A4416" t="s">
        <v>4451</v>
      </c>
      <c r="B4416" t="s">
        <v>88</v>
      </c>
      <c r="C4416">
        <v>568000</v>
      </c>
      <c r="D4416">
        <v>771.1</v>
      </c>
      <c r="E4416">
        <v>4.8099999999999997E-2</v>
      </c>
      <c r="F4416">
        <v>9.5100000000000004E-2</v>
      </c>
    </row>
    <row r="4417" spans="1:6" x14ac:dyDescent="0.3">
      <c r="A4417" t="s">
        <v>4452</v>
      </c>
      <c r="B4417" t="s">
        <v>41</v>
      </c>
      <c r="C4417">
        <v>661000</v>
      </c>
      <c r="D4417">
        <v>157.6</v>
      </c>
      <c r="E4417">
        <v>1.6799999999999999E-2</v>
      </c>
      <c r="F4417">
        <v>0.2059</v>
      </c>
    </row>
    <row r="4418" spans="1:6" x14ac:dyDescent="0.3">
      <c r="A4418" t="s">
        <v>4453</v>
      </c>
      <c r="B4418" t="s">
        <v>26</v>
      </c>
      <c r="C4418">
        <v>603000</v>
      </c>
      <c r="D4418">
        <v>69169</v>
      </c>
      <c r="E4418">
        <v>1.8599999999999998E-2</v>
      </c>
      <c r="F4418">
        <v>7.5700000000000003E-2</v>
      </c>
    </row>
    <row r="4419" spans="1:6" x14ac:dyDescent="0.3">
      <c r="A4419" t="s">
        <v>4454</v>
      </c>
      <c r="B4419" t="s">
        <v>26</v>
      </c>
      <c r="C4419">
        <v>948000</v>
      </c>
      <c r="D4419">
        <v>33253.599999999999</v>
      </c>
      <c r="E4419">
        <v>3.9800000000000002E-2</v>
      </c>
      <c r="F4419">
        <v>4.3200000000000002E-2</v>
      </c>
    </row>
    <row r="4420" spans="1:6" x14ac:dyDescent="0.3">
      <c r="A4420" t="s">
        <v>4455</v>
      </c>
      <c r="B4420" t="s">
        <v>26</v>
      </c>
      <c r="C4420">
        <v>621000</v>
      </c>
      <c r="D4420">
        <v>1327159.7</v>
      </c>
      <c r="E4420">
        <v>4.6800000000000001E-2</v>
      </c>
      <c r="F4420">
        <v>5.1799999999999999E-2</v>
      </c>
    </row>
    <row r="4421" spans="1:6" x14ac:dyDescent="0.3">
      <c r="A4421" t="s">
        <v>4456</v>
      </c>
      <c r="B4421" t="s">
        <v>92</v>
      </c>
      <c r="C4421">
        <v>624000</v>
      </c>
      <c r="D4421">
        <v>10194.799999999999</v>
      </c>
      <c r="E4421">
        <v>9.2999999999999992E-3</v>
      </c>
      <c r="F4421">
        <v>6.54E-2</v>
      </c>
    </row>
    <row r="4422" spans="1:6" x14ac:dyDescent="0.3">
      <c r="A4422" t="s">
        <v>4457</v>
      </c>
      <c r="B4422" t="s">
        <v>92</v>
      </c>
      <c r="C4422">
        <v>679000</v>
      </c>
      <c r="D4422">
        <v>10908.1</v>
      </c>
      <c r="E4422">
        <v>1.34E-2</v>
      </c>
      <c r="F4422">
        <v>5.7599999999999998E-2</v>
      </c>
    </row>
    <row r="4423" spans="1:6" x14ac:dyDescent="0.3">
      <c r="A4423" t="s">
        <v>4458</v>
      </c>
      <c r="B4423" t="s">
        <v>26</v>
      </c>
      <c r="C4423">
        <v>557000</v>
      </c>
      <c r="D4423">
        <v>1119.9000000000001</v>
      </c>
      <c r="E4423">
        <v>5.74E-2</v>
      </c>
      <c r="F4423">
        <v>9.5100000000000004E-2</v>
      </c>
    </row>
    <row r="4424" spans="1:6" x14ac:dyDescent="0.3">
      <c r="A4424" t="s">
        <v>4459</v>
      </c>
      <c r="B4424" t="s">
        <v>24</v>
      </c>
      <c r="C4424">
        <v>594000</v>
      </c>
      <c r="D4424">
        <v>800.6</v>
      </c>
      <c r="E4424">
        <v>6.1999999999999998E-3</v>
      </c>
      <c r="F4424">
        <v>6.54E-2</v>
      </c>
    </row>
    <row r="4425" spans="1:6" x14ac:dyDescent="0.3">
      <c r="A4425" t="s">
        <v>4460</v>
      </c>
      <c r="B4425" t="s">
        <v>41</v>
      </c>
      <c r="C4425">
        <v>769000</v>
      </c>
      <c r="D4425">
        <v>1500.2</v>
      </c>
      <c r="E4425">
        <v>2.4899999999999999E-2</v>
      </c>
      <c r="F4425">
        <v>9.3799999999999994E-2</v>
      </c>
    </row>
    <row r="4426" spans="1:6" x14ac:dyDescent="0.3">
      <c r="A4426" t="s">
        <v>4461</v>
      </c>
      <c r="B4426" t="s">
        <v>24</v>
      </c>
      <c r="C4426">
        <v>627000</v>
      </c>
      <c r="D4426">
        <v>2336.5</v>
      </c>
      <c r="E4426">
        <v>3.5999999999999997E-2</v>
      </c>
      <c r="F4426">
        <v>6.7199999999999996E-2</v>
      </c>
    </row>
    <row r="4427" spans="1:6" x14ac:dyDescent="0.3">
      <c r="A4427" t="s">
        <v>4462</v>
      </c>
      <c r="B4427" t="s">
        <v>50</v>
      </c>
      <c r="C4427">
        <v>616000</v>
      </c>
      <c r="D4427">
        <v>315.3</v>
      </c>
      <c r="E4427">
        <v>6.9999999999999999E-4</v>
      </c>
      <c r="F4427">
        <v>0.1113</v>
      </c>
    </row>
    <row r="4428" spans="1:6" x14ac:dyDescent="0.3">
      <c r="A4428" t="s">
        <v>4463</v>
      </c>
      <c r="B4428" t="s">
        <v>24</v>
      </c>
      <c r="C4428">
        <v>1370000</v>
      </c>
      <c r="D4428">
        <v>1242457.3</v>
      </c>
      <c r="E4428">
        <v>4.6600000000000003E-2</v>
      </c>
      <c r="F4428">
        <v>9.5100000000000004E-2</v>
      </c>
    </row>
    <row r="4429" spans="1:6" x14ac:dyDescent="0.3">
      <c r="A4429" t="s">
        <v>4464</v>
      </c>
      <c r="B4429" t="s">
        <v>26</v>
      </c>
      <c r="C4429">
        <v>609000</v>
      </c>
      <c r="D4429">
        <v>57647.5</v>
      </c>
      <c r="E4429">
        <v>2.4299999999999999E-2</v>
      </c>
      <c r="F4429">
        <v>9.5100000000000004E-2</v>
      </c>
    </row>
    <row r="4430" spans="1:6" x14ac:dyDescent="0.3">
      <c r="A4430" t="s">
        <v>4465</v>
      </c>
      <c r="B4430" t="s">
        <v>30</v>
      </c>
      <c r="C4430">
        <v>1230000</v>
      </c>
      <c r="D4430">
        <v>13985.8</v>
      </c>
      <c r="E4430">
        <v>3.6999999999999998E-2</v>
      </c>
      <c r="F4430">
        <v>4.0899999999999999E-2</v>
      </c>
    </row>
    <row r="4431" spans="1:6" x14ac:dyDescent="0.3">
      <c r="A4431" t="s">
        <v>4466</v>
      </c>
      <c r="B4431" t="s">
        <v>71</v>
      </c>
      <c r="C4431">
        <v>1470000</v>
      </c>
      <c r="D4431">
        <v>6246.9</v>
      </c>
      <c r="E4431">
        <v>2.4299999999999999E-2</v>
      </c>
      <c r="F4431">
        <v>5.0999999999999997E-2</v>
      </c>
    </row>
    <row r="4432" spans="1:6" x14ac:dyDescent="0.3">
      <c r="A4432" t="s">
        <v>4467</v>
      </c>
      <c r="B4432" t="s">
        <v>88</v>
      </c>
      <c r="C4432">
        <v>564000</v>
      </c>
      <c r="D4432">
        <v>603.9</v>
      </c>
      <c r="E4432">
        <v>5.5999999999999999E-3</v>
      </c>
      <c r="F4432">
        <v>8.2199999999999995E-2</v>
      </c>
    </row>
    <row r="4433" spans="1:6" x14ac:dyDescent="0.3">
      <c r="A4433" t="s">
        <v>4468</v>
      </c>
      <c r="B4433" t="s">
        <v>71</v>
      </c>
      <c r="C4433">
        <v>568000</v>
      </c>
      <c r="D4433">
        <v>1068.9000000000001</v>
      </c>
      <c r="E4433">
        <v>2.9000000000000001E-2</v>
      </c>
      <c r="F4433">
        <v>0.11700000000000001</v>
      </c>
    </row>
    <row r="4434" spans="1:6" x14ac:dyDescent="0.3">
      <c r="A4434" t="s">
        <v>4469</v>
      </c>
      <c r="B4434" t="s">
        <v>32</v>
      </c>
      <c r="C4434">
        <v>1590000</v>
      </c>
      <c r="D4434">
        <v>17524.5</v>
      </c>
      <c r="E4434">
        <v>7.1099999999999997E-2</v>
      </c>
      <c r="F4434">
        <v>7.5899999999999995E-2</v>
      </c>
    </row>
    <row r="4435" spans="1:6" x14ac:dyDescent="0.3">
      <c r="A4435" t="s">
        <v>4470</v>
      </c>
      <c r="B4435" t="s">
        <v>41</v>
      </c>
      <c r="C4435">
        <v>835000</v>
      </c>
      <c r="D4435">
        <v>4774.1000000000004</v>
      </c>
      <c r="E4435">
        <v>2.76E-2</v>
      </c>
      <c r="F4435">
        <v>9.3799999999999994E-2</v>
      </c>
    </row>
    <row r="4436" spans="1:6" x14ac:dyDescent="0.3">
      <c r="A4436" t="s">
        <v>4471</v>
      </c>
      <c r="B4436" t="s">
        <v>32</v>
      </c>
      <c r="C4436">
        <v>585000</v>
      </c>
      <c r="D4436">
        <v>3142.8</v>
      </c>
      <c r="E4436">
        <v>2.1700000000000001E-2</v>
      </c>
      <c r="F4436">
        <v>0.1067</v>
      </c>
    </row>
    <row r="4437" spans="1:6" x14ac:dyDescent="0.3">
      <c r="A4437" t="s">
        <v>4472</v>
      </c>
      <c r="B4437" t="s">
        <v>74</v>
      </c>
      <c r="C4437">
        <v>985000</v>
      </c>
      <c r="D4437">
        <v>50931.199999999997</v>
      </c>
      <c r="E4437">
        <v>2.2100000000000002E-2</v>
      </c>
      <c r="F4437">
        <v>9.3799999999999994E-2</v>
      </c>
    </row>
    <row r="4438" spans="1:6" x14ac:dyDescent="0.3">
      <c r="A4438" t="s">
        <v>4473</v>
      </c>
      <c r="B4438" t="s">
        <v>62</v>
      </c>
      <c r="C4438">
        <v>693000</v>
      </c>
      <c r="D4438">
        <v>12630.5</v>
      </c>
      <c r="E4438">
        <v>5.6000000000000001E-2</v>
      </c>
      <c r="F4438">
        <v>7.5899999999999995E-2</v>
      </c>
    </row>
    <row r="4439" spans="1:6" x14ac:dyDescent="0.3">
      <c r="A4439" t="s">
        <v>4474</v>
      </c>
      <c r="B4439" t="s">
        <v>26</v>
      </c>
      <c r="C4439">
        <v>800000</v>
      </c>
      <c r="D4439">
        <v>308196.09999999998</v>
      </c>
      <c r="E4439">
        <v>4.1399999999999999E-2</v>
      </c>
      <c r="F4439">
        <v>4.3200000000000002E-2</v>
      </c>
    </row>
    <row r="4440" spans="1:6" x14ac:dyDescent="0.3">
      <c r="A4440" t="s">
        <v>4475</v>
      </c>
      <c r="B4440" t="s">
        <v>26</v>
      </c>
      <c r="C4440">
        <v>798000</v>
      </c>
      <c r="D4440">
        <v>16485.7</v>
      </c>
      <c r="E4440">
        <v>2.7099999999999999E-2</v>
      </c>
      <c r="F4440">
        <v>9.3799999999999994E-2</v>
      </c>
    </row>
    <row r="4441" spans="1:6" x14ac:dyDescent="0.3">
      <c r="A4441" t="s">
        <v>4476</v>
      </c>
      <c r="B4441" t="s">
        <v>287</v>
      </c>
      <c r="C4441">
        <v>1000000</v>
      </c>
      <c r="D4441">
        <v>4815.8999999999996</v>
      </c>
      <c r="E4441">
        <v>2.7799999999999998E-2</v>
      </c>
      <c r="F4441">
        <v>7.5899999999999995E-2</v>
      </c>
    </row>
    <row r="4442" spans="1:6" x14ac:dyDescent="0.3">
      <c r="A4442" t="s">
        <v>4477</v>
      </c>
      <c r="B4442" t="s">
        <v>32</v>
      </c>
      <c r="C4442">
        <v>597000</v>
      </c>
      <c r="D4442">
        <v>116.9</v>
      </c>
      <c r="E4442">
        <v>1.55E-2</v>
      </c>
      <c r="F4442">
        <v>0.2011</v>
      </c>
    </row>
    <row r="4443" spans="1:6" x14ac:dyDescent="0.3">
      <c r="A4443" t="s">
        <v>4478</v>
      </c>
      <c r="B4443" t="s">
        <v>41</v>
      </c>
      <c r="C4443">
        <v>579000</v>
      </c>
      <c r="D4443">
        <v>4475.2</v>
      </c>
      <c r="E4443">
        <v>3.9E-2</v>
      </c>
      <c r="F4443">
        <v>9.5100000000000004E-2</v>
      </c>
    </row>
    <row r="4444" spans="1:6" x14ac:dyDescent="0.3">
      <c r="A4444" t="s">
        <v>4479</v>
      </c>
      <c r="B4444" t="s">
        <v>88</v>
      </c>
      <c r="C4444">
        <v>1090000</v>
      </c>
      <c r="D4444">
        <v>135049.79999999999</v>
      </c>
      <c r="E4444">
        <v>5.1700000000000003E-2</v>
      </c>
      <c r="F4444">
        <v>7.5899999999999995E-2</v>
      </c>
    </row>
    <row r="4445" spans="1:6" x14ac:dyDescent="0.3">
      <c r="A4445" t="s">
        <v>4480</v>
      </c>
      <c r="B4445" t="s">
        <v>26</v>
      </c>
      <c r="C4445">
        <v>633000</v>
      </c>
      <c r="D4445">
        <v>9939</v>
      </c>
      <c r="F4445">
        <v>7.5899999999999995E-2</v>
      </c>
    </row>
    <row r="4446" spans="1:6" x14ac:dyDescent="0.3">
      <c r="A4446" t="s">
        <v>4481</v>
      </c>
      <c r="B4446" t="s">
        <v>88</v>
      </c>
      <c r="C4446">
        <v>1040000</v>
      </c>
      <c r="D4446">
        <v>5277.9</v>
      </c>
      <c r="E4446">
        <v>5.45E-2</v>
      </c>
      <c r="F4446">
        <v>7.5899999999999995E-2</v>
      </c>
    </row>
    <row r="4447" spans="1:6" x14ac:dyDescent="0.3">
      <c r="A4447" t="s">
        <v>4482</v>
      </c>
      <c r="B4447" t="s">
        <v>26</v>
      </c>
      <c r="C4447">
        <v>720000</v>
      </c>
      <c r="D4447">
        <v>19674.900000000001</v>
      </c>
      <c r="E4447">
        <v>1.84E-2</v>
      </c>
      <c r="F4447">
        <v>0.1053</v>
      </c>
    </row>
    <row r="4448" spans="1:6" x14ac:dyDescent="0.3">
      <c r="A4448" t="s">
        <v>4483</v>
      </c>
      <c r="B4448" t="s">
        <v>81</v>
      </c>
      <c r="C4448">
        <v>579000</v>
      </c>
      <c r="D4448">
        <v>14299.6</v>
      </c>
      <c r="E4448">
        <v>1.1900000000000001E-2</v>
      </c>
      <c r="F4448">
        <v>8.2199999999999995E-2</v>
      </c>
    </row>
    <row r="4449" spans="1:6" x14ac:dyDescent="0.3">
      <c r="A4449" t="s">
        <v>4484</v>
      </c>
      <c r="B4449" t="s">
        <v>24</v>
      </c>
      <c r="C4449">
        <v>894000</v>
      </c>
      <c r="D4449">
        <v>146271.1</v>
      </c>
      <c r="E4449">
        <v>1.32E-2</v>
      </c>
      <c r="F4449">
        <v>6.54E-2</v>
      </c>
    </row>
    <row r="4450" spans="1:6" x14ac:dyDescent="0.3">
      <c r="A4450" t="s">
        <v>4485</v>
      </c>
      <c r="B4450" t="s">
        <v>88</v>
      </c>
      <c r="C4450">
        <v>790000</v>
      </c>
      <c r="D4450">
        <v>1052.2</v>
      </c>
      <c r="E4450">
        <v>6.9800000000000001E-2</v>
      </c>
      <c r="F4450">
        <v>9.3799999999999994E-2</v>
      </c>
    </row>
    <row r="4451" spans="1:6" x14ac:dyDescent="0.3">
      <c r="A4451" t="s">
        <v>4486</v>
      </c>
      <c r="B4451" t="s">
        <v>88</v>
      </c>
      <c r="C4451">
        <v>932000</v>
      </c>
      <c r="D4451">
        <v>3302.8</v>
      </c>
      <c r="E4451">
        <v>1.7000000000000001E-2</v>
      </c>
      <c r="F4451">
        <v>0.1053</v>
      </c>
    </row>
    <row r="4452" spans="1:6" x14ac:dyDescent="0.3">
      <c r="A4452" t="s">
        <v>4487</v>
      </c>
      <c r="B4452" t="s">
        <v>195</v>
      </c>
      <c r="C4452">
        <v>616000</v>
      </c>
      <c r="D4452">
        <v>82070.100000000006</v>
      </c>
      <c r="E4452">
        <v>7.2999999999999995E-2</v>
      </c>
      <c r="F4452">
        <v>5.1799999999999999E-2</v>
      </c>
    </row>
    <row r="4453" spans="1:6" x14ac:dyDescent="0.3">
      <c r="A4453" t="s">
        <v>4488</v>
      </c>
      <c r="B4453" t="s">
        <v>53</v>
      </c>
      <c r="C4453">
        <v>803000</v>
      </c>
      <c r="D4453">
        <v>283057.5</v>
      </c>
      <c r="E4453">
        <v>1.7000000000000001E-2</v>
      </c>
      <c r="F4453">
        <v>0.1067</v>
      </c>
    </row>
    <row r="4454" spans="1:6" x14ac:dyDescent="0.3">
      <c r="A4454" t="s">
        <v>4489</v>
      </c>
      <c r="B4454" t="s">
        <v>53</v>
      </c>
      <c r="C4454">
        <v>1390000</v>
      </c>
      <c r="D4454">
        <v>9458.9</v>
      </c>
      <c r="F4454">
        <v>9.5100000000000004E-2</v>
      </c>
    </row>
    <row r="4455" spans="1:6" x14ac:dyDescent="0.3">
      <c r="A4455" t="s">
        <v>4490</v>
      </c>
      <c r="B4455" t="s">
        <v>74</v>
      </c>
      <c r="C4455">
        <v>590000</v>
      </c>
      <c r="D4455">
        <v>29777.1</v>
      </c>
      <c r="E4455">
        <v>1.0999999999999999E-2</v>
      </c>
      <c r="F4455">
        <v>9.11E-2</v>
      </c>
    </row>
    <row r="4456" spans="1:6" x14ac:dyDescent="0.3">
      <c r="A4456" t="s">
        <v>4491</v>
      </c>
      <c r="B4456" t="s">
        <v>26</v>
      </c>
      <c r="C4456">
        <v>544000</v>
      </c>
      <c r="D4456">
        <v>1307548.3999999999</v>
      </c>
      <c r="E4456">
        <v>1.54E-2</v>
      </c>
      <c r="F4456">
        <v>5.8500000000000003E-2</v>
      </c>
    </row>
    <row r="4457" spans="1:6" x14ac:dyDescent="0.3">
      <c r="A4457" t="s">
        <v>4492</v>
      </c>
      <c r="B4457" t="s">
        <v>28</v>
      </c>
      <c r="C4457">
        <v>555000</v>
      </c>
      <c r="D4457">
        <v>8917.5</v>
      </c>
      <c r="E4457">
        <v>3.3300000000000003E-2</v>
      </c>
      <c r="F4457">
        <v>9.5100000000000004E-2</v>
      </c>
    </row>
    <row r="4458" spans="1:6" x14ac:dyDescent="0.3">
      <c r="A4458" t="s">
        <v>4493</v>
      </c>
      <c r="B4458" t="s">
        <v>26</v>
      </c>
      <c r="C4458">
        <v>569000</v>
      </c>
      <c r="D4458">
        <v>3766162</v>
      </c>
      <c r="E4458">
        <v>2.86E-2</v>
      </c>
      <c r="F4458">
        <v>5.2200000000000003E-2</v>
      </c>
    </row>
    <row r="4459" spans="1:6" x14ac:dyDescent="0.3">
      <c r="A4459" t="s">
        <v>4494</v>
      </c>
      <c r="B4459" t="s">
        <v>26</v>
      </c>
      <c r="C4459">
        <v>1310000</v>
      </c>
      <c r="D4459">
        <v>7322061.4000000004</v>
      </c>
      <c r="E4459">
        <v>7.7000000000000002E-3</v>
      </c>
      <c r="F4459">
        <v>8.2199999999999995E-2</v>
      </c>
    </row>
    <row r="4460" spans="1:6" x14ac:dyDescent="0.3">
      <c r="A4460" t="s">
        <v>4495</v>
      </c>
      <c r="B4460" t="s">
        <v>92</v>
      </c>
      <c r="C4460">
        <v>856000</v>
      </c>
      <c r="D4460">
        <v>31047.4</v>
      </c>
      <c r="E4460">
        <v>3.8600000000000002E-2</v>
      </c>
      <c r="F4460">
        <v>9.5100000000000004E-2</v>
      </c>
    </row>
    <row r="4461" spans="1:6" x14ac:dyDescent="0.3">
      <c r="A4461" t="s">
        <v>4496</v>
      </c>
      <c r="B4461" t="s">
        <v>26</v>
      </c>
      <c r="C4461">
        <v>672000</v>
      </c>
      <c r="D4461">
        <v>34489.1</v>
      </c>
      <c r="E4461">
        <v>2.9100000000000001E-2</v>
      </c>
      <c r="F4461">
        <v>7.5899999999999995E-2</v>
      </c>
    </row>
    <row r="4462" spans="1:6" x14ac:dyDescent="0.3">
      <c r="A4462" t="s">
        <v>4497</v>
      </c>
      <c r="B4462" t="s">
        <v>26</v>
      </c>
      <c r="C4462">
        <v>779000</v>
      </c>
      <c r="D4462">
        <v>139625.70000000001</v>
      </c>
      <c r="E4462">
        <v>3.5799999999999998E-2</v>
      </c>
      <c r="F4462">
        <v>7.5899999999999995E-2</v>
      </c>
    </row>
    <row r="4463" spans="1:6" x14ac:dyDescent="0.3">
      <c r="A4463" t="s">
        <v>4498</v>
      </c>
      <c r="B4463" t="s">
        <v>26</v>
      </c>
      <c r="C4463">
        <v>581000</v>
      </c>
      <c r="D4463">
        <v>31820.400000000001</v>
      </c>
      <c r="E4463">
        <v>7.2099999999999997E-2</v>
      </c>
      <c r="F4463">
        <v>7.5899999999999995E-2</v>
      </c>
    </row>
    <row r="4464" spans="1:6" x14ac:dyDescent="0.3">
      <c r="A4464" t="s">
        <v>4499</v>
      </c>
      <c r="B4464" t="s">
        <v>62</v>
      </c>
      <c r="C4464">
        <v>718000</v>
      </c>
      <c r="D4464">
        <v>4128.1000000000004</v>
      </c>
      <c r="E4464">
        <v>5.8900000000000001E-2</v>
      </c>
      <c r="F4464">
        <v>9.3799999999999994E-2</v>
      </c>
    </row>
    <row r="4465" spans="1:6" x14ac:dyDescent="0.3">
      <c r="A4465" t="s">
        <v>4500</v>
      </c>
      <c r="B4465" t="s">
        <v>26</v>
      </c>
      <c r="C4465">
        <v>566000</v>
      </c>
      <c r="D4465">
        <v>85333.4</v>
      </c>
      <c r="E4465">
        <v>1.7000000000000001E-2</v>
      </c>
      <c r="F4465">
        <v>0.1067</v>
      </c>
    </row>
    <row r="4466" spans="1:6" x14ac:dyDescent="0.3">
      <c r="A4466" t="s">
        <v>4501</v>
      </c>
      <c r="B4466" t="s">
        <v>35</v>
      </c>
      <c r="C4466">
        <v>589000</v>
      </c>
      <c r="D4466">
        <v>7719.3</v>
      </c>
      <c r="E4466">
        <v>4.0599999999999997E-2</v>
      </c>
      <c r="F4466">
        <v>0.11700000000000001</v>
      </c>
    </row>
    <row r="4467" spans="1:6" x14ac:dyDescent="0.3">
      <c r="A4467" t="s">
        <v>4502</v>
      </c>
      <c r="B4467" t="s">
        <v>26</v>
      </c>
      <c r="C4467">
        <v>539000</v>
      </c>
      <c r="D4467">
        <v>3122.6</v>
      </c>
      <c r="E4467">
        <v>1.37E-2</v>
      </c>
      <c r="F4467">
        <v>0.1062</v>
      </c>
    </row>
    <row r="4468" spans="1:6" x14ac:dyDescent="0.3">
      <c r="A4468" t="s">
        <v>4503</v>
      </c>
      <c r="B4468" t="s">
        <v>32</v>
      </c>
      <c r="C4468">
        <v>1150000</v>
      </c>
      <c r="D4468">
        <v>7062.3</v>
      </c>
      <c r="E4468">
        <v>1.5800000000000002E-2</v>
      </c>
      <c r="F4468">
        <v>5.7599999999999998E-2</v>
      </c>
    </row>
    <row r="4469" spans="1:6" x14ac:dyDescent="0.3">
      <c r="A4469" t="s">
        <v>4504</v>
      </c>
      <c r="B4469" t="s">
        <v>32</v>
      </c>
      <c r="C4469">
        <v>566000</v>
      </c>
      <c r="D4469">
        <v>159245</v>
      </c>
      <c r="E4469">
        <v>2.23E-2</v>
      </c>
      <c r="F4469">
        <v>9.5100000000000004E-2</v>
      </c>
    </row>
    <row r="4470" spans="1:6" x14ac:dyDescent="0.3">
      <c r="A4470" t="s">
        <v>4505</v>
      </c>
      <c r="B4470" t="s">
        <v>35</v>
      </c>
      <c r="C4470">
        <v>1020000</v>
      </c>
      <c r="D4470">
        <v>880743.5</v>
      </c>
      <c r="E4470">
        <v>2.5100000000000001E-2</v>
      </c>
      <c r="F4470">
        <v>4.0899999999999999E-2</v>
      </c>
    </row>
    <row r="4471" spans="1:6" x14ac:dyDescent="0.3">
      <c r="A4471" t="s">
        <v>4506</v>
      </c>
      <c r="B4471" t="s">
        <v>214</v>
      </c>
      <c r="C4471">
        <v>694000</v>
      </c>
      <c r="D4471">
        <v>7330.1</v>
      </c>
      <c r="E4471">
        <v>2.2599999999999999E-2</v>
      </c>
      <c r="F4471">
        <v>7.5899999999999995E-2</v>
      </c>
    </row>
    <row r="4472" spans="1:6" x14ac:dyDescent="0.3">
      <c r="A4472" t="s">
        <v>4507</v>
      </c>
      <c r="B4472" t="s">
        <v>26</v>
      </c>
      <c r="C4472">
        <v>856000</v>
      </c>
      <c r="D4472">
        <v>3067.4</v>
      </c>
      <c r="E4472">
        <v>1.03E-2</v>
      </c>
      <c r="F4472">
        <v>0.1187</v>
      </c>
    </row>
    <row r="4473" spans="1:6" x14ac:dyDescent="0.3">
      <c r="A4473" t="s">
        <v>4508</v>
      </c>
      <c r="B4473" t="s">
        <v>50</v>
      </c>
      <c r="C4473">
        <v>738000</v>
      </c>
      <c r="D4473">
        <v>2737109.5</v>
      </c>
      <c r="E4473">
        <v>3.1199999999999999E-2</v>
      </c>
      <c r="F4473">
        <v>5.1799999999999999E-2</v>
      </c>
    </row>
    <row r="4474" spans="1:6" x14ac:dyDescent="0.3">
      <c r="A4474" t="s">
        <v>4509</v>
      </c>
      <c r="B4474" t="s">
        <v>26</v>
      </c>
      <c r="C4474">
        <v>536000</v>
      </c>
      <c r="D4474">
        <v>6068.3</v>
      </c>
      <c r="E4474">
        <v>1.2999999999999999E-2</v>
      </c>
      <c r="F4474">
        <v>7.3599999999999999E-2</v>
      </c>
    </row>
    <row r="4475" spans="1:6" x14ac:dyDescent="0.3">
      <c r="A4475" t="s">
        <v>4510</v>
      </c>
      <c r="B4475" t="s">
        <v>32</v>
      </c>
      <c r="C4475">
        <v>590000</v>
      </c>
      <c r="D4475">
        <v>165814.9</v>
      </c>
      <c r="E4475">
        <v>5.3600000000000002E-2</v>
      </c>
      <c r="F4475">
        <v>0.11840000000000001</v>
      </c>
    </row>
    <row r="4476" spans="1:6" x14ac:dyDescent="0.3">
      <c r="A4476" t="s">
        <v>4511</v>
      </c>
      <c r="B4476" t="s">
        <v>62</v>
      </c>
      <c r="C4476">
        <v>591000</v>
      </c>
      <c r="D4476">
        <v>8148.1</v>
      </c>
      <c r="E4476">
        <v>9.4000000000000004E-3</v>
      </c>
      <c r="F4476">
        <v>0.14710000000000001</v>
      </c>
    </row>
    <row r="4477" spans="1:6" x14ac:dyDescent="0.3">
      <c r="A4477" t="s">
        <v>4512</v>
      </c>
      <c r="B4477" t="s">
        <v>81</v>
      </c>
      <c r="C4477">
        <v>628000</v>
      </c>
      <c r="D4477">
        <v>6111.5</v>
      </c>
      <c r="E4477">
        <v>3.2500000000000001E-2</v>
      </c>
      <c r="F4477">
        <v>9.3799999999999994E-2</v>
      </c>
    </row>
    <row r="4478" spans="1:6" x14ac:dyDescent="0.3">
      <c r="A4478" t="s">
        <v>4513</v>
      </c>
      <c r="B4478" t="s">
        <v>50</v>
      </c>
      <c r="C4478">
        <v>586000</v>
      </c>
      <c r="D4478">
        <v>334808.09999999998</v>
      </c>
      <c r="E4478">
        <v>9.4000000000000004E-3</v>
      </c>
      <c r="F4478">
        <v>8.2199999999999995E-2</v>
      </c>
    </row>
    <row r="4479" spans="1:6" x14ac:dyDescent="0.3">
      <c r="A4479" t="s">
        <v>4514</v>
      </c>
      <c r="B4479" t="s">
        <v>92</v>
      </c>
      <c r="C4479">
        <v>697000</v>
      </c>
      <c r="D4479">
        <v>6993.7</v>
      </c>
      <c r="E4479">
        <v>1.49E-2</v>
      </c>
      <c r="F4479">
        <v>4.6199999999999998E-2</v>
      </c>
    </row>
    <row r="4480" spans="1:6" x14ac:dyDescent="0.3">
      <c r="A4480" t="s">
        <v>4515</v>
      </c>
      <c r="B4480" t="s">
        <v>88</v>
      </c>
      <c r="C4480">
        <v>722000</v>
      </c>
      <c r="D4480">
        <v>4408.5</v>
      </c>
      <c r="E4480">
        <v>0.10630000000000001</v>
      </c>
      <c r="F4480">
        <v>0.1043</v>
      </c>
    </row>
    <row r="4481" spans="1:6" x14ac:dyDescent="0.3">
      <c r="A4481" t="s">
        <v>4516</v>
      </c>
      <c r="B4481" t="s">
        <v>32</v>
      </c>
      <c r="C4481">
        <v>717000</v>
      </c>
      <c r="D4481">
        <v>481.4</v>
      </c>
      <c r="E4481">
        <v>1.9699999999999999E-2</v>
      </c>
      <c r="F4481">
        <v>8.5400000000000004E-2</v>
      </c>
    </row>
    <row r="4482" spans="1:6" x14ac:dyDescent="0.3">
      <c r="A4482" t="s">
        <v>4517</v>
      </c>
      <c r="B4482" t="s">
        <v>88</v>
      </c>
      <c r="C4482">
        <v>575000</v>
      </c>
      <c r="D4482">
        <v>10851.5</v>
      </c>
      <c r="E4482">
        <v>4.5199999999999997E-2</v>
      </c>
      <c r="F4482">
        <v>0.15179999999999999</v>
      </c>
    </row>
    <row r="4483" spans="1:6" x14ac:dyDescent="0.3">
      <c r="A4483" t="s">
        <v>4518</v>
      </c>
      <c r="B4483" t="s">
        <v>88</v>
      </c>
      <c r="C4483">
        <v>790000</v>
      </c>
      <c r="D4483">
        <v>10394.700000000001</v>
      </c>
      <c r="E4483">
        <v>4.7600000000000003E-2</v>
      </c>
      <c r="F4483">
        <v>9.3799999999999994E-2</v>
      </c>
    </row>
    <row r="4484" spans="1:6" x14ac:dyDescent="0.3">
      <c r="A4484" t="s">
        <v>4519</v>
      </c>
      <c r="B4484" t="s">
        <v>26</v>
      </c>
      <c r="C4484">
        <v>590000</v>
      </c>
      <c r="D4484">
        <v>27644.7</v>
      </c>
      <c r="E4484">
        <v>4.3400000000000001E-2</v>
      </c>
      <c r="F4484">
        <v>4.0899999999999999E-2</v>
      </c>
    </row>
    <row r="4485" spans="1:6" x14ac:dyDescent="0.3">
      <c r="A4485" t="s">
        <v>4520</v>
      </c>
      <c r="B4485" t="s">
        <v>21</v>
      </c>
      <c r="C4485">
        <v>785000</v>
      </c>
      <c r="D4485">
        <v>485643.2</v>
      </c>
      <c r="E4485">
        <v>6.5000000000000002E-2</v>
      </c>
      <c r="F4485">
        <v>9.5100000000000004E-2</v>
      </c>
    </row>
    <row r="4486" spans="1:6" x14ac:dyDescent="0.3">
      <c r="A4486" t="s">
        <v>4521</v>
      </c>
      <c r="B4486" t="s">
        <v>21</v>
      </c>
      <c r="C4486">
        <v>2580000</v>
      </c>
      <c r="D4486">
        <v>36804.699999999997</v>
      </c>
      <c r="E4486">
        <v>5.4000000000000003E-3</v>
      </c>
      <c r="F4486">
        <v>6.54E-2</v>
      </c>
    </row>
    <row r="4487" spans="1:6" x14ac:dyDescent="0.3">
      <c r="A4487" t="s">
        <v>4522</v>
      </c>
      <c r="B4487" t="s">
        <v>26</v>
      </c>
      <c r="C4487">
        <v>685000</v>
      </c>
      <c r="D4487">
        <v>6675</v>
      </c>
      <c r="E4487">
        <v>5.8900000000000001E-2</v>
      </c>
      <c r="F4487">
        <v>9.3799999999999994E-2</v>
      </c>
    </row>
    <row r="4488" spans="1:6" x14ac:dyDescent="0.3">
      <c r="A4488" t="s">
        <v>4523</v>
      </c>
      <c r="B4488" t="s">
        <v>26</v>
      </c>
      <c r="C4488">
        <v>769000</v>
      </c>
      <c r="D4488">
        <v>38140.400000000001</v>
      </c>
      <c r="E4488">
        <v>1.5900000000000001E-2</v>
      </c>
      <c r="F4488">
        <v>8.5400000000000004E-2</v>
      </c>
    </row>
    <row r="4489" spans="1:6" x14ac:dyDescent="0.3">
      <c r="A4489" t="s">
        <v>4524</v>
      </c>
      <c r="B4489" t="s">
        <v>214</v>
      </c>
      <c r="C4489">
        <v>555000</v>
      </c>
      <c r="D4489">
        <v>1209.4000000000001</v>
      </c>
      <c r="E4489">
        <v>2.2100000000000002E-2</v>
      </c>
      <c r="F4489">
        <v>8.4500000000000006E-2</v>
      </c>
    </row>
    <row r="4490" spans="1:6" x14ac:dyDescent="0.3">
      <c r="A4490" t="s">
        <v>4525</v>
      </c>
      <c r="B4490" t="s">
        <v>41</v>
      </c>
      <c r="C4490">
        <v>642000</v>
      </c>
      <c r="D4490">
        <v>18838</v>
      </c>
      <c r="E4490">
        <v>2.2200000000000001E-2</v>
      </c>
      <c r="F4490">
        <v>7.5899999999999995E-2</v>
      </c>
    </row>
    <row r="4491" spans="1:6" x14ac:dyDescent="0.3">
      <c r="A4491" t="s">
        <v>4526</v>
      </c>
      <c r="B4491" t="s">
        <v>287</v>
      </c>
      <c r="C4491">
        <v>564000</v>
      </c>
      <c r="D4491">
        <v>1030.5999999999999</v>
      </c>
      <c r="F4491">
        <v>4.0899999999999999E-2</v>
      </c>
    </row>
    <row r="4492" spans="1:6" x14ac:dyDescent="0.3">
      <c r="A4492" t="s">
        <v>4527</v>
      </c>
      <c r="B4492" t="s">
        <v>26</v>
      </c>
      <c r="C4492">
        <v>1420000</v>
      </c>
      <c r="D4492">
        <v>11027.5</v>
      </c>
      <c r="E4492">
        <v>3.9100000000000003E-2</v>
      </c>
      <c r="F4492">
        <v>0.1168</v>
      </c>
    </row>
    <row r="4493" spans="1:6" x14ac:dyDescent="0.3">
      <c r="A4493" t="s">
        <v>4528</v>
      </c>
      <c r="B4493" t="s">
        <v>30</v>
      </c>
      <c r="C4493">
        <v>910000</v>
      </c>
      <c r="D4493">
        <v>103295</v>
      </c>
      <c r="E4493">
        <v>3.4299999999999997E-2</v>
      </c>
      <c r="F4493">
        <v>7.5899999999999995E-2</v>
      </c>
    </row>
    <row r="4494" spans="1:6" x14ac:dyDescent="0.3">
      <c r="A4494" t="s">
        <v>4529</v>
      </c>
      <c r="B4494" t="s">
        <v>88</v>
      </c>
      <c r="C4494">
        <v>578000</v>
      </c>
      <c r="D4494">
        <v>6661.6</v>
      </c>
      <c r="E4494">
        <v>1.95E-2</v>
      </c>
      <c r="F4494">
        <v>7.6499999999999999E-2</v>
      </c>
    </row>
    <row r="4495" spans="1:6" x14ac:dyDescent="0.3">
      <c r="A4495" t="s">
        <v>4530</v>
      </c>
      <c r="B4495" t="s">
        <v>50</v>
      </c>
      <c r="C4495">
        <v>1270000</v>
      </c>
      <c r="D4495">
        <v>33471.300000000003</v>
      </c>
      <c r="E4495">
        <v>5.1799999999999999E-2</v>
      </c>
      <c r="F4495">
        <v>9.3799999999999994E-2</v>
      </c>
    </row>
    <row r="4496" spans="1:6" x14ac:dyDescent="0.3">
      <c r="A4496" t="s">
        <v>4531</v>
      </c>
      <c r="B4496" t="s">
        <v>50</v>
      </c>
      <c r="C4496">
        <v>539000</v>
      </c>
      <c r="D4496">
        <v>12341.5</v>
      </c>
      <c r="E4496">
        <v>1.7299999999999999E-2</v>
      </c>
      <c r="F4496">
        <v>5.1799999999999999E-2</v>
      </c>
    </row>
    <row r="4497" spans="1:6" x14ac:dyDescent="0.3">
      <c r="A4497" t="s">
        <v>4532</v>
      </c>
      <c r="B4497" t="s">
        <v>26</v>
      </c>
      <c r="C4497">
        <v>837000</v>
      </c>
      <c r="D4497">
        <v>625967.1</v>
      </c>
      <c r="E4497">
        <v>2.5100000000000001E-2</v>
      </c>
      <c r="F4497">
        <v>5.0999999999999997E-2</v>
      </c>
    </row>
    <row r="4498" spans="1:6" x14ac:dyDescent="0.3">
      <c r="A4498" t="s">
        <v>4533</v>
      </c>
      <c r="B4498" t="s">
        <v>24</v>
      </c>
      <c r="C4498">
        <v>1120000</v>
      </c>
      <c r="D4498">
        <v>992899.9</v>
      </c>
      <c r="E4498">
        <v>2.81E-2</v>
      </c>
      <c r="F4498">
        <v>4.0899999999999999E-2</v>
      </c>
    </row>
    <row r="4499" spans="1:6" x14ac:dyDescent="0.3">
      <c r="A4499" t="s">
        <v>4534</v>
      </c>
      <c r="B4499" t="s">
        <v>88</v>
      </c>
      <c r="C4499">
        <v>714000</v>
      </c>
      <c r="D4499">
        <v>683.8</v>
      </c>
      <c r="E4499">
        <v>3.9800000000000002E-2</v>
      </c>
      <c r="F4499">
        <v>0.1226</v>
      </c>
    </row>
    <row r="4500" spans="1:6" x14ac:dyDescent="0.3">
      <c r="A4500" t="s">
        <v>4535</v>
      </c>
      <c r="B4500" t="s">
        <v>26</v>
      </c>
      <c r="C4500">
        <v>640000</v>
      </c>
      <c r="D4500">
        <v>546.5</v>
      </c>
      <c r="E4500">
        <v>6.4999999999999997E-3</v>
      </c>
      <c r="F4500">
        <v>9.0300000000000005E-2</v>
      </c>
    </row>
    <row r="4501" spans="1:6" x14ac:dyDescent="0.3">
      <c r="A4501" t="s">
        <v>4536</v>
      </c>
      <c r="B4501" t="s">
        <v>21</v>
      </c>
      <c r="C4501">
        <v>579000</v>
      </c>
      <c r="D4501">
        <v>31925</v>
      </c>
      <c r="E4501">
        <v>4.5400000000000003E-2</v>
      </c>
      <c r="F4501">
        <v>7.5899999999999995E-2</v>
      </c>
    </row>
    <row r="4502" spans="1:6" x14ac:dyDescent="0.3">
      <c r="A4502" t="s">
        <v>4537</v>
      </c>
      <c r="B4502" t="s">
        <v>21</v>
      </c>
      <c r="C4502">
        <v>713000</v>
      </c>
      <c r="D4502">
        <v>31004.7</v>
      </c>
      <c r="E4502">
        <v>8.0999999999999996E-3</v>
      </c>
      <c r="F4502">
        <v>8.2199999999999995E-2</v>
      </c>
    </row>
    <row r="4503" spans="1:6" x14ac:dyDescent="0.3">
      <c r="A4503" t="s">
        <v>4538</v>
      </c>
      <c r="B4503" t="s">
        <v>62</v>
      </c>
      <c r="C4503">
        <v>614000</v>
      </c>
      <c r="D4503">
        <v>2378.9</v>
      </c>
      <c r="E4503">
        <v>0.04</v>
      </c>
      <c r="F4503">
        <v>9.3799999999999994E-2</v>
      </c>
    </row>
    <row r="4504" spans="1:6" x14ac:dyDescent="0.3">
      <c r="A4504" t="s">
        <v>4539</v>
      </c>
      <c r="B4504" t="s">
        <v>88</v>
      </c>
      <c r="C4504">
        <v>685000</v>
      </c>
      <c r="D4504">
        <v>657</v>
      </c>
      <c r="E4504">
        <v>4.24E-2</v>
      </c>
      <c r="F4504">
        <v>7.5899999999999995E-2</v>
      </c>
    </row>
    <row r="4505" spans="1:6" x14ac:dyDescent="0.3">
      <c r="A4505" t="s">
        <v>4540</v>
      </c>
      <c r="B4505" t="s">
        <v>26</v>
      </c>
      <c r="C4505">
        <v>520000</v>
      </c>
      <c r="D4505">
        <v>9844.2000000000007</v>
      </c>
      <c r="F4505">
        <v>9.5100000000000004E-2</v>
      </c>
    </row>
    <row r="4506" spans="1:6" x14ac:dyDescent="0.3">
      <c r="A4506" t="s">
        <v>4541</v>
      </c>
      <c r="B4506" t="s">
        <v>214</v>
      </c>
      <c r="C4506">
        <v>918000</v>
      </c>
      <c r="D4506">
        <v>10053.799999999999</v>
      </c>
      <c r="E4506">
        <v>1.26E-2</v>
      </c>
      <c r="F4506">
        <v>5.8400000000000001E-2</v>
      </c>
    </row>
    <row r="4507" spans="1:6" x14ac:dyDescent="0.3">
      <c r="A4507" t="s">
        <v>4542</v>
      </c>
      <c r="B4507" t="s">
        <v>26</v>
      </c>
      <c r="C4507">
        <v>554000</v>
      </c>
      <c r="D4507">
        <v>685.2</v>
      </c>
      <c r="E4507">
        <v>1.0699999999999999E-2</v>
      </c>
      <c r="F4507">
        <v>8.2199999999999995E-2</v>
      </c>
    </row>
    <row r="4508" spans="1:6" x14ac:dyDescent="0.3">
      <c r="A4508" t="s">
        <v>4543</v>
      </c>
      <c r="B4508" t="s">
        <v>50</v>
      </c>
      <c r="C4508">
        <v>564000</v>
      </c>
      <c r="D4508">
        <v>1494.3</v>
      </c>
      <c r="E4508">
        <v>8.6E-3</v>
      </c>
      <c r="F4508">
        <v>8.2199999999999995E-2</v>
      </c>
    </row>
    <row r="4509" spans="1:6" x14ac:dyDescent="0.3">
      <c r="A4509" t="s">
        <v>4544</v>
      </c>
      <c r="B4509" t="s">
        <v>92</v>
      </c>
      <c r="C4509">
        <v>562000</v>
      </c>
      <c r="D4509">
        <v>947.8</v>
      </c>
      <c r="E4509">
        <v>1.9599999999999999E-2</v>
      </c>
      <c r="F4509">
        <v>0.1053</v>
      </c>
    </row>
    <row r="4510" spans="1:6" x14ac:dyDescent="0.3">
      <c r="A4510" t="s">
        <v>4545</v>
      </c>
      <c r="B4510" t="s">
        <v>30</v>
      </c>
      <c r="C4510">
        <v>562000</v>
      </c>
      <c r="D4510">
        <v>10875.7</v>
      </c>
      <c r="E4510">
        <v>5.4300000000000001E-2</v>
      </c>
      <c r="F4510">
        <v>9.5100000000000004E-2</v>
      </c>
    </row>
    <row r="4511" spans="1:6" x14ac:dyDescent="0.3">
      <c r="A4511" t="s">
        <v>4546</v>
      </c>
      <c r="B4511" t="s">
        <v>71</v>
      </c>
      <c r="C4511">
        <v>554000</v>
      </c>
      <c r="D4511">
        <v>4609.8999999999996</v>
      </c>
      <c r="E4511">
        <v>0.04</v>
      </c>
      <c r="F4511">
        <v>4.0899999999999999E-2</v>
      </c>
    </row>
    <row r="4512" spans="1:6" x14ac:dyDescent="0.3">
      <c r="A4512" t="s">
        <v>4547</v>
      </c>
      <c r="B4512" t="s">
        <v>50</v>
      </c>
      <c r="C4512">
        <v>623000</v>
      </c>
      <c r="D4512">
        <v>10376.6</v>
      </c>
      <c r="E4512">
        <v>6.7999999999999996E-3</v>
      </c>
      <c r="F4512">
        <v>0.1013</v>
      </c>
    </row>
    <row r="4513" spans="1:6" x14ac:dyDescent="0.3">
      <c r="A4513" t="s">
        <v>4548</v>
      </c>
      <c r="B4513" t="s">
        <v>41</v>
      </c>
      <c r="C4513">
        <v>644000</v>
      </c>
      <c r="D4513">
        <v>289.5</v>
      </c>
      <c r="E4513">
        <v>1.34E-2</v>
      </c>
      <c r="F4513">
        <v>7.2599999999999998E-2</v>
      </c>
    </row>
    <row r="4514" spans="1:6" x14ac:dyDescent="0.3">
      <c r="A4514" t="s">
        <v>4549</v>
      </c>
      <c r="B4514" t="s">
        <v>26</v>
      </c>
      <c r="C4514">
        <v>634000</v>
      </c>
      <c r="D4514">
        <v>17501.8</v>
      </c>
      <c r="E4514">
        <v>7.9000000000000008E-3</v>
      </c>
      <c r="F4514">
        <v>8.1100000000000005E-2</v>
      </c>
    </row>
    <row r="4515" spans="1:6" x14ac:dyDescent="0.3">
      <c r="A4515" t="s">
        <v>4550</v>
      </c>
      <c r="B4515" t="s">
        <v>26</v>
      </c>
      <c r="C4515">
        <v>855000</v>
      </c>
      <c r="D4515">
        <v>31429.7</v>
      </c>
      <c r="E4515">
        <v>8.0299999999999996E-2</v>
      </c>
      <c r="F4515">
        <v>9.3799999999999994E-2</v>
      </c>
    </row>
    <row r="4516" spans="1:6" x14ac:dyDescent="0.3">
      <c r="A4516" t="s">
        <v>4551</v>
      </c>
      <c r="B4516" t="s">
        <v>53</v>
      </c>
      <c r="C4516">
        <v>661000</v>
      </c>
      <c r="D4516">
        <v>43685.5</v>
      </c>
      <c r="E4516">
        <v>2.1299999999999999E-2</v>
      </c>
      <c r="F4516">
        <v>9.5100000000000004E-2</v>
      </c>
    </row>
    <row r="4517" spans="1:6" x14ac:dyDescent="0.3">
      <c r="A4517" t="s">
        <v>4552</v>
      </c>
      <c r="B4517" t="s">
        <v>26</v>
      </c>
      <c r="C4517">
        <v>959000</v>
      </c>
      <c r="D4517">
        <v>7513</v>
      </c>
      <c r="E4517">
        <v>1.2E-2</v>
      </c>
      <c r="F4517">
        <v>0.1187</v>
      </c>
    </row>
    <row r="4518" spans="1:6" x14ac:dyDescent="0.3">
      <c r="A4518" t="s">
        <v>4553</v>
      </c>
      <c r="B4518" t="s">
        <v>26</v>
      </c>
      <c r="C4518">
        <v>933000</v>
      </c>
      <c r="D4518">
        <v>683859.6</v>
      </c>
      <c r="E4518">
        <v>2.3300000000000001E-2</v>
      </c>
      <c r="F4518">
        <v>8.1299999999999997E-2</v>
      </c>
    </row>
    <row r="4519" spans="1:6" x14ac:dyDescent="0.3">
      <c r="A4519" t="s">
        <v>4554</v>
      </c>
      <c r="B4519" t="s">
        <v>71</v>
      </c>
      <c r="C4519">
        <v>556000</v>
      </c>
      <c r="D4519">
        <v>197482</v>
      </c>
      <c r="E4519">
        <v>5.0700000000000002E-2</v>
      </c>
      <c r="F4519">
        <v>9.5100000000000004E-2</v>
      </c>
    </row>
    <row r="4520" spans="1:6" x14ac:dyDescent="0.3">
      <c r="A4520" t="s">
        <v>4555</v>
      </c>
      <c r="B4520" t="s">
        <v>53</v>
      </c>
      <c r="C4520">
        <v>739000</v>
      </c>
      <c r="D4520">
        <v>47296.800000000003</v>
      </c>
      <c r="E4520">
        <v>3.0499999999999999E-2</v>
      </c>
      <c r="F4520">
        <v>4.3200000000000002E-2</v>
      </c>
    </row>
    <row r="4521" spans="1:6" x14ac:dyDescent="0.3">
      <c r="A4521" t="s">
        <v>4556</v>
      </c>
      <c r="B4521" t="s">
        <v>92</v>
      </c>
      <c r="C4521">
        <v>561000</v>
      </c>
      <c r="D4521">
        <v>848.7</v>
      </c>
      <c r="E4521">
        <v>5.11E-2</v>
      </c>
      <c r="F4521">
        <v>7.5899999999999995E-2</v>
      </c>
    </row>
    <row r="4522" spans="1:6" x14ac:dyDescent="0.3">
      <c r="A4522" t="s">
        <v>4557</v>
      </c>
      <c r="B4522" t="s">
        <v>21</v>
      </c>
      <c r="C4522">
        <v>574000</v>
      </c>
      <c r="D4522">
        <v>4205.8</v>
      </c>
      <c r="E4522">
        <v>8.2000000000000007E-3</v>
      </c>
      <c r="F4522">
        <v>8.1100000000000005E-2</v>
      </c>
    </row>
    <row r="4523" spans="1:6" x14ac:dyDescent="0.3">
      <c r="A4523" t="s">
        <v>4558</v>
      </c>
      <c r="B4523" t="s">
        <v>24</v>
      </c>
      <c r="C4523">
        <v>594000</v>
      </c>
      <c r="D4523">
        <v>14481.5</v>
      </c>
      <c r="E4523">
        <v>0.106</v>
      </c>
      <c r="F4523">
        <v>9.3799999999999994E-2</v>
      </c>
    </row>
    <row r="4524" spans="1:6" x14ac:dyDescent="0.3">
      <c r="A4524" t="s">
        <v>4559</v>
      </c>
      <c r="B4524" t="s">
        <v>214</v>
      </c>
      <c r="C4524">
        <v>544000</v>
      </c>
      <c r="D4524">
        <v>153.9</v>
      </c>
      <c r="E4524">
        <v>3.5700000000000003E-2</v>
      </c>
      <c r="F4524">
        <v>5.0999999999999997E-2</v>
      </c>
    </row>
    <row r="4525" spans="1:6" x14ac:dyDescent="0.3">
      <c r="A4525" t="s">
        <v>4560</v>
      </c>
      <c r="B4525" t="s">
        <v>88</v>
      </c>
      <c r="C4525">
        <v>875000</v>
      </c>
      <c r="D4525">
        <v>50862.6</v>
      </c>
      <c r="E4525">
        <v>6.1499999999999999E-2</v>
      </c>
      <c r="F4525">
        <v>7.5899999999999995E-2</v>
      </c>
    </row>
    <row r="4526" spans="1:6" x14ac:dyDescent="0.3">
      <c r="A4526" t="s">
        <v>4561</v>
      </c>
      <c r="B4526" t="s">
        <v>26</v>
      </c>
      <c r="C4526">
        <v>1550000</v>
      </c>
      <c r="D4526">
        <v>51656.5</v>
      </c>
      <c r="E4526">
        <v>2.2200000000000001E-2</v>
      </c>
      <c r="F4526">
        <v>8.5400000000000004E-2</v>
      </c>
    </row>
    <row r="4527" spans="1:6" x14ac:dyDescent="0.3">
      <c r="A4527" t="s">
        <v>4562</v>
      </c>
      <c r="B4527" t="s">
        <v>214</v>
      </c>
      <c r="C4527">
        <v>840000</v>
      </c>
      <c r="D4527">
        <v>9181.5</v>
      </c>
      <c r="E4527">
        <v>0.01</v>
      </c>
      <c r="F4527">
        <v>0.1187</v>
      </c>
    </row>
    <row r="4528" spans="1:6" x14ac:dyDescent="0.3">
      <c r="A4528" t="s">
        <v>4563</v>
      </c>
      <c r="B4528" t="s">
        <v>41</v>
      </c>
      <c r="C4528">
        <v>544000</v>
      </c>
      <c r="D4528">
        <v>20167.400000000001</v>
      </c>
      <c r="E4528">
        <v>1.3299999999999999E-2</v>
      </c>
      <c r="F4528">
        <v>0.1067</v>
      </c>
    </row>
    <row r="4529" spans="1:6" x14ac:dyDescent="0.3">
      <c r="A4529" t="s">
        <v>4564</v>
      </c>
      <c r="B4529" t="s">
        <v>24</v>
      </c>
      <c r="C4529">
        <v>535000</v>
      </c>
      <c r="D4529">
        <v>9356.9</v>
      </c>
      <c r="E4529">
        <v>2.35E-2</v>
      </c>
      <c r="F4529">
        <v>5.8500000000000003E-2</v>
      </c>
    </row>
    <row r="4530" spans="1:6" x14ac:dyDescent="0.3">
      <c r="A4530" t="s">
        <v>4565</v>
      </c>
      <c r="B4530" t="s">
        <v>24</v>
      </c>
      <c r="C4530">
        <v>650000</v>
      </c>
      <c r="D4530">
        <v>167698</v>
      </c>
      <c r="E4530">
        <v>3.32E-2</v>
      </c>
      <c r="F4530">
        <v>9.5100000000000004E-2</v>
      </c>
    </row>
    <row r="4531" spans="1:6" x14ac:dyDescent="0.3">
      <c r="A4531" t="s">
        <v>4566</v>
      </c>
      <c r="B4531" t="s">
        <v>53</v>
      </c>
      <c r="C4531">
        <v>1300000</v>
      </c>
      <c r="D4531">
        <v>567680.9</v>
      </c>
      <c r="E4531">
        <v>1.1900000000000001E-2</v>
      </c>
      <c r="F4531">
        <v>0.1067</v>
      </c>
    </row>
    <row r="4532" spans="1:6" x14ac:dyDescent="0.3">
      <c r="A4532" t="s">
        <v>4567</v>
      </c>
      <c r="B4532" t="s">
        <v>53</v>
      </c>
      <c r="C4532">
        <v>603000</v>
      </c>
      <c r="D4532">
        <v>5028.5</v>
      </c>
      <c r="E4532">
        <v>2.5000000000000001E-3</v>
      </c>
      <c r="F4532">
        <v>8.1100000000000005E-2</v>
      </c>
    </row>
    <row r="4533" spans="1:6" x14ac:dyDescent="0.3">
      <c r="A4533" t="s">
        <v>4568</v>
      </c>
      <c r="B4533" t="s">
        <v>214</v>
      </c>
      <c r="C4533">
        <v>914000</v>
      </c>
      <c r="D4533">
        <v>4960.6000000000004</v>
      </c>
      <c r="E4533">
        <v>4.0000000000000001E-3</v>
      </c>
      <c r="F4533">
        <v>6.54E-2</v>
      </c>
    </row>
    <row r="4534" spans="1:6" x14ac:dyDescent="0.3">
      <c r="A4534" t="s">
        <v>4569</v>
      </c>
      <c r="B4534" t="s">
        <v>26</v>
      </c>
      <c r="C4534">
        <v>569000</v>
      </c>
      <c r="D4534">
        <v>37708</v>
      </c>
      <c r="E4534">
        <v>1.9800000000000002E-2</v>
      </c>
      <c r="F4534">
        <v>8.5400000000000004E-2</v>
      </c>
    </row>
    <row r="4535" spans="1:6" x14ac:dyDescent="0.3">
      <c r="A4535" t="s">
        <v>4570</v>
      </c>
      <c r="B4535" t="s">
        <v>195</v>
      </c>
      <c r="C4535">
        <v>1030000</v>
      </c>
      <c r="D4535">
        <v>5286</v>
      </c>
      <c r="E4535">
        <v>5.7599999999999998E-2</v>
      </c>
      <c r="F4535">
        <v>0.1241</v>
      </c>
    </row>
    <row r="4536" spans="1:6" x14ac:dyDescent="0.3">
      <c r="A4536" t="s">
        <v>4571</v>
      </c>
      <c r="B4536" t="s">
        <v>88</v>
      </c>
      <c r="C4536">
        <v>575000</v>
      </c>
      <c r="D4536">
        <v>21547.8</v>
      </c>
      <c r="F4536">
        <v>9.3799999999999994E-2</v>
      </c>
    </row>
    <row r="4537" spans="1:6" x14ac:dyDescent="0.3">
      <c r="A4537" t="s">
        <v>4572</v>
      </c>
      <c r="B4537" t="s">
        <v>287</v>
      </c>
      <c r="C4537">
        <v>584000</v>
      </c>
      <c r="D4537">
        <v>29459.5</v>
      </c>
      <c r="E4537">
        <v>4.7100000000000003E-2</v>
      </c>
      <c r="F4537">
        <v>7.5899999999999995E-2</v>
      </c>
    </row>
    <row r="4538" spans="1:6" x14ac:dyDescent="0.3">
      <c r="A4538" t="s">
        <v>4573</v>
      </c>
      <c r="B4538" t="s">
        <v>74</v>
      </c>
      <c r="C4538">
        <v>557000</v>
      </c>
      <c r="D4538">
        <v>1066.9000000000001</v>
      </c>
      <c r="E4538">
        <v>2.1299999999999999E-2</v>
      </c>
      <c r="F4538">
        <v>0.11700000000000001</v>
      </c>
    </row>
    <row r="4539" spans="1:6" x14ac:dyDescent="0.3">
      <c r="A4539" t="s">
        <v>4574</v>
      </c>
      <c r="B4539" t="s">
        <v>287</v>
      </c>
      <c r="C4539">
        <v>1220000</v>
      </c>
      <c r="D4539">
        <v>136445.1</v>
      </c>
      <c r="E4539">
        <v>2.4299999999999999E-2</v>
      </c>
      <c r="F4539">
        <v>4.0899999999999999E-2</v>
      </c>
    </row>
    <row r="4540" spans="1:6" x14ac:dyDescent="0.3">
      <c r="A4540" t="s">
        <v>4575</v>
      </c>
      <c r="B4540" t="s">
        <v>26</v>
      </c>
      <c r="C4540">
        <v>625000</v>
      </c>
      <c r="D4540">
        <v>72810.5</v>
      </c>
      <c r="E4540">
        <v>2.0799999999999999E-2</v>
      </c>
      <c r="F4540">
        <v>7.5899999999999995E-2</v>
      </c>
    </row>
    <row r="4541" spans="1:6" x14ac:dyDescent="0.3">
      <c r="A4541" t="s">
        <v>4576</v>
      </c>
      <c r="B4541" t="s">
        <v>21</v>
      </c>
      <c r="C4541">
        <v>769000</v>
      </c>
      <c r="D4541">
        <v>229068.9</v>
      </c>
      <c r="E4541">
        <v>4.24E-2</v>
      </c>
      <c r="F4541">
        <v>7.5899999999999995E-2</v>
      </c>
    </row>
    <row r="4542" spans="1:6" x14ac:dyDescent="0.3">
      <c r="A4542" t="s">
        <v>4577</v>
      </c>
      <c r="B4542" t="s">
        <v>74</v>
      </c>
      <c r="C4542">
        <v>624000</v>
      </c>
      <c r="D4542">
        <v>7475.7</v>
      </c>
      <c r="E4542">
        <v>2.2599999999999999E-2</v>
      </c>
      <c r="F4542">
        <v>7.5899999999999995E-2</v>
      </c>
    </row>
    <row r="4543" spans="1:6" x14ac:dyDescent="0.3">
      <c r="A4543" t="s">
        <v>4578</v>
      </c>
      <c r="B4543" t="s">
        <v>81</v>
      </c>
      <c r="C4543">
        <v>571000</v>
      </c>
      <c r="D4543">
        <v>30321.7</v>
      </c>
      <c r="E4543">
        <v>4.1000000000000002E-2</v>
      </c>
      <c r="F4543">
        <v>0.11700000000000001</v>
      </c>
    </row>
    <row r="4544" spans="1:6" x14ac:dyDescent="0.3">
      <c r="A4544" t="s">
        <v>4579</v>
      </c>
      <c r="B4544" t="s">
        <v>62</v>
      </c>
      <c r="C4544">
        <v>829000</v>
      </c>
      <c r="D4544">
        <v>105170.3</v>
      </c>
      <c r="E4544">
        <v>6.5600000000000006E-2</v>
      </c>
      <c r="F4544">
        <v>4.3200000000000002E-2</v>
      </c>
    </row>
    <row r="4545" spans="1:6" x14ac:dyDescent="0.3">
      <c r="A4545" t="s">
        <v>4580</v>
      </c>
      <c r="B4545" t="s">
        <v>26</v>
      </c>
      <c r="C4545">
        <v>535000</v>
      </c>
      <c r="D4545">
        <v>18266.8</v>
      </c>
      <c r="E4545">
        <v>4.53E-2</v>
      </c>
      <c r="F4545">
        <v>7.5899999999999995E-2</v>
      </c>
    </row>
    <row r="4546" spans="1:6" x14ac:dyDescent="0.3">
      <c r="A4546" t="s">
        <v>4581</v>
      </c>
      <c r="B4546" t="s">
        <v>92</v>
      </c>
      <c r="C4546">
        <v>654000</v>
      </c>
      <c r="D4546">
        <v>80600.5</v>
      </c>
      <c r="E4546">
        <v>1.7299999999999999E-2</v>
      </c>
      <c r="F4546">
        <v>5.8500000000000003E-2</v>
      </c>
    </row>
    <row r="4547" spans="1:6" x14ac:dyDescent="0.3">
      <c r="A4547" t="s">
        <v>4582</v>
      </c>
      <c r="B4547" t="s">
        <v>24</v>
      </c>
      <c r="C4547">
        <v>547000</v>
      </c>
      <c r="D4547">
        <v>393.9</v>
      </c>
      <c r="E4547">
        <v>1.54E-2</v>
      </c>
      <c r="F4547">
        <v>9.5000000000000001E-2</v>
      </c>
    </row>
    <row r="4548" spans="1:6" x14ac:dyDescent="0.3">
      <c r="A4548" t="s">
        <v>4583</v>
      </c>
      <c r="B4548" t="s">
        <v>214</v>
      </c>
      <c r="C4548">
        <v>575000</v>
      </c>
      <c r="D4548">
        <v>49278.6</v>
      </c>
      <c r="E4548">
        <v>1.47E-2</v>
      </c>
      <c r="F4548">
        <v>0.1119</v>
      </c>
    </row>
    <row r="4549" spans="1:6" x14ac:dyDescent="0.3">
      <c r="A4549" t="s">
        <v>4584</v>
      </c>
      <c r="B4549" t="s">
        <v>26</v>
      </c>
      <c r="C4549">
        <v>531000</v>
      </c>
      <c r="D4549">
        <v>334736.7</v>
      </c>
      <c r="E4549">
        <v>3.0499999999999999E-2</v>
      </c>
      <c r="F4549">
        <v>9.5100000000000004E-2</v>
      </c>
    </row>
    <row r="4550" spans="1:6" x14ac:dyDescent="0.3">
      <c r="A4550" t="s">
        <v>4585</v>
      </c>
      <c r="B4550" t="s">
        <v>92</v>
      </c>
      <c r="C4550">
        <v>566000</v>
      </c>
      <c r="D4550">
        <v>10103.5</v>
      </c>
      <c r="E4550">
        <v>2.3599999999999999E-2</v>
      </c>
      <c r="F4550">
        <v>9.5100000000000004E-2</v>
      </c>
    </row>
    <row r="4551" spans="1:6" x14ac:dyDescent="0.3">
      <c r="A4551" t="s">
        <v>4586</v>
      </c>
      <c r="B4551" t="s">
        <v>26</v>
      </c>
      <c r="C4551">
        <v>581000</v>
      </c>
      <c r="D4551">
        <v>15748.1</v>
      </c>
      <c r="E4551">
        <v>2.06E-2</v>
      </c>
      <c r="F4551">
        <v>8.5400000000000004E-2</v>
      </c>
    </row>
    <row r="4552" spans="1:6" x14ac:dyDescent="0.3">
      <c r="A4552" t="s">
        <v>4587</v>
      </c>
      <c r="B4552" t="s">
        <v>26</v>
      </c>
      <c r="C4552">
        <v>792000</v>
      </c>
      <c r="D4552">
        <v>230191.9</v>
      </c>
      <c r="E4552">
        <v>2.75E-2</v>
      </c>
      <c r="F4552">
        <v>4.0899999999999999E-2</v>
      </c>
    </row>
    <row r="4553" spans="1:6" x14ac:dyDescent="0.3">
      <c r="A4553" t="s">
        <v>4588</v>
      </c>
      <c r="B4553" t="s">
        <v>41</v>
      </c>
      <c r="C4553">
        <v>553000</v>
      </c>
      <c r="D4553">
        <v>1687.2</v>
      </c>
      <c r="E4553">
        <v>9.7000000000000003E-3</v>
      </c>
      <c r="F4553">
        <v>0.10150000000000001</v>
      </c>
    </row>
    <row r="4554" spans="1:6" x14ac:dyDescent="0.3">
      <c r="A4554" t="s">
        <v>4589</v>
      </c>
      <c r="B4554" t="s">
        <v>24</v>
      </c>
      <c r="C4554">
        <v>536000</v>
      </c>
      <c r="D4554">
        <v>744.2</v>
      </c>
      <c r="E4554">
        <v>2.5000000000000001E-2</v>
      </c>
      <c r="F4554">
        <v>9.5100000000000004E-2</v>
      </c>
    </row>
    <row r="4555" spans="1:6" x14ac:dyDescent="0.3">
      <c r="A4555" t="s">
        <v>4590</v>
      </c>
      <c r="B4555" t="s">
        <v>92</v>
      </c>
      <c r="C4555">
        <v>2210000</v>
      </c>
      <c r="D4555">
        <v>449681.7</v>
      </c>
      <c r="E4555">
        <v>2.3900000000000001E-2</v>
      </c>
      <c r="F4555">
        <v>4.0899999999999999E-2</v>
      </c>
    </row>
    <row r="4556" spans="1:6" x14ac:dyDescent="0.3">
      <c r="A4556" t="s">
        <v>4591</v>
      </c>
      <c r="B4556" t="s">
        <v>88</v>
      </c>
      <c r="C4556">
        <v>761000</v>
      </c>
      <c r="D4556">
        <v>6018.7</v>
      </c>
      <c r="E4556">
        <v>3.7699999999999997E-2</v>
      </c>
      <c r="F4556">
        <v>7.5899999999999995E-2</v>
      </c>
    </row>
    <row r="4557" spans="1:6" x14ac:dyDescent="0.3">
      <c r="A4557" t="s">
        <v>4592</v>
      </c>
      <c r="B4557" t="s">
        <v>26</v>
      </c>
      <c r="C4557">
        <v>246000</v>
      </c>
      <c r="D4557">
        <v>354.2</v>
      </c>
      <c r="E4557">
        <v>1.84E-2</v>
      </c>
      <c r="F4557">
        <v>0.1053</v>
      </c>
    </row>
    <row r="4558" spans="1:6" x14ac:dyDescent="0.3">
      <c r="A4558" t="s">
        <v>4593</v>
      </c>
      <c r="B4558" t="s">
        <v>53</v>
      </c>
      <c r="C4558">
        <v>554000</v>
      </c>
      <c r="D4558">
        <v>7636.9</v>
      </c>
      <c r="E4558">
        <v>5.3800000000000001E-2</v>
      </c>
      <c r="F4558">
        <v>7.5899999999999995E-2</v>
      </c>
    </row>
    <row r="4559" spans="1:6" x14ac:dyDescent="0.3">
      <c r="A4559" t="s">
        <v>4594</v>
      </c>
      <c r="B4559" t="s">
        <v>214</v>
      </c>
      <c r="C4559">
        <v>540000</v>
      </c>
      <c r="D4559">
        <v>9065.7000000000007</v>
      </c>
      <c r="E4559">
        <v>2.29E-2</v>
      </c>
      <c r="F4559">
        <v>5.1799999999999999E-2</v>
      </c>
    </row>
    <row r="4560" spans="1:6" x14ac:dyDescent="0.3">
      <c r="A4560" t="s">
        <v>4595</v>
      </c>
      <c r="B4560" t="s">
        <v>26</v>
      </c>
      <c r="C4560">
        <v>1010000</v>
      </c>
      <c r="D4560">
        <v>105855.8</v>
      </c>
      <c r="E4560">
        <v>5.1299999999999998E-2</v>
      </c>
      <c r="F4560">
        <v>7.5899999999999995E-2</v>
      </c>
    </row>
    <row r="4561" spans="1:6" x14ac:dyDescent="0.3">
      <c r="A4561" t="s">
        <v>4596</v>
      </c>
      <c r="B4561" t="s">
        <v>53</v>
      </c>
      <c r="C4561">
        <v>556000</v>
      </c>
      <c r="D4561">
        <v>19168</v>
      </c>
      <c r="E4561">
        <v>0.1132</v>
      </c>
      <c r="F4561">
        <v>9.5100000000000004E-2</v>
      </c>
    </row>
    <row r="4562" spans="1:6" x14ac:dyDescent="0.3">
      <c r="A4562" t="s">
        <v>4597</v>
      </c>
      <c r="B4562" t="s">
        <v>26</v>
      </c>
      <c r="C4562">
        <v>1720000</v>
      </c>
      <c r="D4562">
        <v>124748.3</v>
      </c>
      <c r="E4562">
        <v>7.7999999999999996E-3</v>
      </c>
      <c r="F4562">
        <v>6.54E-2</v>
      </c>
    </row>
    <row r="4563" spans="1:6" x14ac:dyDescent="0.3">
      <c r="A4563" t="s">
        <v>4598</v>
      </c>
      <c r="B4563" t="s">
        <v>74</v>
      </c>
      <c r="C4563">
        <v>583000</v>
      </c>
      <c r="D4563">
        <v>17607.099999999999</v>
      </c>
      <c r="E4563">
        <v>4.0599999999999997E-2</v>
      </c>
      <c r="F4563">
        <v>7.5899999999999995E-2</v>
      </c>
    </row>
    <row r="4564" spans="1:6" x14ac:dyDescent="0.3">
      <c r="A4564" t="s">
        <v>4599</v>
      </c>
      <c r="B4564" t="s">
        <v>92</v>
      </c>
      <c r="C4564">
        <v>539000</v>
      </c>
      <c r="D4564">
        <v>107700.2</v>
      </c>
      <c r="E4564">
        <v>2.2100000000000002E-2</v>
      </c>
      <c r="F4564">
        <v>5.1799999999999999E-2</v>
      </c>
    </row>
    <row r="4565" spans="1:6" x14ac:dyDescent="0.3">
      <c r="A4565" t="s">
        <v>4600</v>
      </c>
      <c r="B4565" t="s">
        <v>26</v>
      </c>
      <c r="C4565">
        <v>560000</v>
      </c>
      <c r="D4565">
        <v>5777.8</v>
      </c>
      <c r="E4565">
        <v>2.5499999999999998E-2</v>
      </c>
      <c r="F4565">
        <v>7.5899999999999995E-2</v>
      </c>
    </row>
    <row r="4566" spans="1:6" x14ac:dyDescent="0.3">
      <c r="A4566" t="s">
        <v>4601</v>
      </c>
      <c r="B4566" t="s">
        <v>26</v>
      </c>
      <c r="C4566">
        <v>688000</v>
      </c>
      <c r="D4566">
        <v>2580.8000000000002</v>
      </c>
      <c r="E4566">
        <v>4.0500000000000001E-2</v>
      </c>
      <c r="F4566">
        <v>7.5899999999999995E-2</v>
      </c>
    </row>
    <row r="4567" spans="1:6" x14ac:dyDescent="0.3">
      <c r="A4567" t="s">
        <v>4602</v>
      </c>
      <c r="B4567" t="s">
        <v>92</v>
      </c>
      <c r="C4567">
        <v>695000</v>
      </c>
      <c r="D4567">
        <v>176337.9</v>
      </c>
      <c r="E4567">
        <v>1.1299999999999999E-2</v>
      </c>
      <c r="F4567">
        <v>5.8400000000000001E-2</v>
      </c>
    </row>
    <row r="4568" spans="1:6" x14ac:dyDescent="0.3">
      <c r="A4568" t="s">
        <v>4603</v>
      </c>
      <c r="B4568" t="s">
        <v>24</v>
      </c>
      <c r="C4568">
        <v>569000</v>
      </c>
      <c r="D4568">
        <v>34542.5</v>
      </c>
      <c r="E4568">
        <v>3.4500000000000003E-2</v>
      </c>
      <c r="F4568">
        <v>7.5899999999999995E-2</v>
      </c>
    </row>
    <row r="4569" spans="1:6" x14ac:dyDescent="0.3">
      <c r="A4569" t="s">
        <v>4604</v>
      </c>
      <c r="B4569" t="s">
        <v>50</v>
      </c>
      <c r="C4569">
        <v>660000</v>
      </c>
      <c r="D4569">
        <v>20177</v>
      </c>
      <c r="E4569">
        <v>5.7999999999999996E-3</v>
      </c>
      <c r="F4569">
        <v>8.1100000000000005E-2</v>
      </c>
    </row>
    <row r="4570" spans="1:6" x14ac:dyDescent="0.3">
      <c r="A4570" t="s">
        <v>4605</v>
      </c>
      <c r="B4570" t="s">
        <v>50</v>
      </c>
      <c r="C4570">
        <v>563000</v>
      </c>
      <c r="D4570">
        <v>13483.8</v>
      </c>
      <c r="E4570">
        <v>2.2599999999999999E-2</v>
      </c>
      <c r="F4570">
        <v>5.8500000000000003E-2</v>
      </c>
    </row>
    <row r="4571" spans="1:6" x14ac:dyDescent="0.3">
      <c r="A4571" t="s">
        <v>4606</v>
      </c>
      <c r="B4571" t="s">
        <v>26</v>
      </c>
      <c r="C4571">
        <v>665000</v>
      </c>
      <c r="D4571">
        <v>803195.5</v>
      </c>
      <c r="E4571">
        <v>2.5000000000000001E-2</v>
      </c>
      <c r="F4571">
        <v>5.1799999999999999E-2</v>
      </c>
    </row>
    <row r="4572" spans="1:6" x14ac:dyDescent="0.3">
      <c r="A4572" t="s">
        <v>4607</v>
      </c>
      <c r="B4572" t="s">
        <v>71</v>
      </c>
      <c r="C4572">
        <v>1520000</v>
      </c>
      <c r="D4572">
        <v>458022.7</v>
      </c>
      <c r="E4572">
        <v>1.21E-2</v>
      </c>
      <c r="F4572">
        <v>5.1999999999999998E-2</v>
      </c>
    </row>
    <row r="4573" spans="1:6" x14ac:dyDescent="0.3">
      <c r="A4573" t="s">
        <v>4608</v>
      </c>
      <c r="B4573" t="s">
        <v>26</v>
      </c>
      <c r="C4573">
        <v>656000</v>
      </c>
      <c r="D4573">
        <v>20817.900000000001</v>
      </c>
      <c r="E4573">
        <v>5.8799999999999998E-2</v>
      </c>
      <c r="F4573">
        <v>4.0899999999999999E-2</v>
      </c>
    </row>
    <row r="4574" spans="1:6" x14ac:dyDescent="0.3">
      <c r="A4574" t="s">
        <v>4609</v>
      </c>
      <c r="B4574" t="s">
        <v>21</v>
      </c>
      <c r="C4574">
        <v>624000</v>
      </c>
      <c r="D4574">
        <v>208386.5</v>
      </c>
      <c r="E4574">
        <v>3.6299999999999999E-2</v>
      </c>
      <c r="F4574">
        <v>9.5100000000000004E-2</v>
      </c>
    </row>
    <row r="4575" spans="1:6" x14ac:dyDescent="0.3">
      <c r="A4575" t="s">
        <v>4610</v>
      </c>
      <c r="B4575" t="s">
        <v>41</v>
      </c>
      <c r="C4575">
        <v>684000</v>
      </c>
      <c r="D4575">
        <v>837.8</v>
      </c>
      <c r="E4575">
        <v>4.1799999999999997E-2</v>
      </c>
      <c r="F4575">
        <v>0.15160000000000001</v>
      </c>
    </row>
    <row r="4576" spans="1:6" x14ac:dyDescent="0.3">
      <c r="A4576" t="s">
        <v>4611</v>
      </c>
      <c r="B4576" t="s">
        <v>24</v>
      </c>
      <c r="C4576">
        <v>600000</v>
      </c>
      <c r="D4576">
        <v>15492.2</v>
      </c>
      <c r="E4576">
        <v>4.4600000000000001E-2</v>
      </c>
      <c r="F4576">
        <v>9.5100000000000004E-2</v>
      </c>
    </row>
    <row r="4577" spans="1:6" x14ac:dyDescent="0.3">
      <c r="A4577" t="s">
        <v>4612</v>
      </c>
      <c r="B4577" t="s">
        <v>26</v>
      </c>
      <c r="C4577">
        <v>695000</v>
      </c>
      <c r="D4577">
        <v>10083.6</v>
      </c>
      <c r="E4577">
        <v>1.5900000000000001E-2</v>
      </c>
      <c r="F4577">
        <v>9.3700000000000006E-2</v>
      </c>
    </row>
    <row r="4578" spans="1:6" x14ac:dyDescent="0.3">
      <c r="A4578" t="s">
        <v>4613</v>
      </c>
      <c r="B4578" t="s">
        <v>26</v>
      </c>
      <c r="C4578">
        <v>734000</v>
      </c>
      <c r="D4578">
        <v>17971.8</v>
      </c>
      <c r="E4578">
        <v>5.5999999999999999E-3</v>
      </c>
      <c r="F4578">
        <v>8.1100000000000005E-2</v>
      </c>
    </row>
    <row r="4579" spans="1:6" x14ac:dyDescent="0.3">
      <c r="A4579" t="s">
        <v>4614</v>
      </c>
      <c r="B4579" t="s">
        <v>26</v>
      </c>
      <c r="C4579">
        <v>605000</v>
      </c>
      <c r="D4579">
        <v>7279.7</v>
      </c>
      <c r="E4579">
        <v>4.5199999999999997E-2</v>
      </c>
      <c r="F4579">
        <v>7.5899999999999995E-2</v>
      </c>
    </row>
    <row r="4580" spans="1:6" x14ac:dyDescent="0.3">
      <c r="A4580" t="s">
        <v>4615</v>
      </c>
      <c r="B4580" t="s">
        <v>26</v>
      </c>
      <c r="C4580">
        <v>618000</v>
      </c>
      <c r="D4580">
        <v>52275.3</v>
      </c>
      <c r="E4580">
        <v>1.4999999999999999E-2</v>
      </c>
      <c r="F4580">
        <v>5.7599999999999998E-2</v>
      </c>
    </row>
    <row r="4581" spans="1:6" x14ac:dyDescent="0.3">
      <c r="A4581" t="s">
        <v>4616</v>
      </c>
      <c r="B4581" t="s">
        <v>26</v>
      </c>
      <c r="C4581">
        <v>831000</v>
      </c>
      <c r="D4581">
        <v>145354.5</v>
      </c>
      <c r="E4581">
        <v>9.8199999999999996E-2</v>
      </c>
      <c r="F4581">
        <v>7.5899999999999995E-2</v>
      </c>
    </row>
    <row r="4582" spans="1:6" x14ac:dyDescent="0.3">
      <c r="A4582" t="s">
        <v>4617</v>
      </c>
      <c r="B4582" t="s">
        <v>26</v>
      </c>
      <c r="C4582">
        <v>590000</v>
      </c>
      <c r="D4582">
        <v>20823.099999999999</v>
      </c>
      <c r="E4582">
        <v>2.4500000000000001E-2</v>
      </c>
      <c r="F4582">
        <v>5.1799999999999999E-2</v>
      </c>
    </row>
    <row r="4583" spans="1:6" x14ac:dyDescent="0.3">
      <c r="A4583" t="s">
        <v>4618</v>
      </c>
      <c r="B4583" t="s">
        <v>92</v>
      </c>
      <c r="C4583">
        <v>553000</v>
      </c>
      <c r="D4583">
        <v>8845.6</v>
      </c>
      <c r="E4583">
        <v>2.7E-2</v>
      </c>
      <c r="F4583">
        <v>9.5100000000000004E-2</v>
      </c>
    </row>
    <row r="4584" spans="1:6" x14ac:dyDescent="0.3">
      <c r="A4584" t="s">
        <v>4619</v>
      </c>
      <c r="B4584" t="s">
        <v>26</v>
      </c>
      <c r="C4584">
        <v>608000</v>
      </c>
      <c r="D4584">
        <v>18273</v>
      </c>
      <c r="E4584">
        <v>4.2099999999999999E-2</v>
      </c>
      <c r="F4584">
        <v>7.5899999999999995E-2</v>
      </c>
    </row>
    <row r="4585" spans="1:6" x14ac:dyDescent="0.3">
      <c r="A4585" t="s">
        <v>4620</v>
      </c>
      <c r="B4585" t="s">
        <v>50</v>
      </c>
      <c r="C4585">
        <v>722000</v>
      </c>
      <c r="D4585">
        <v>161665</v>
      </c>
      <c r="E4585">
        <v>2.92E-2</v>
      </c>
      <c r="F4585">
        <v>5.8400000000000001E-2</v>
      </c>
    </row>
    <row r="4586" spans="1:6" x14ac:dyDescent="0.3">
      <c r="A4586" t="s">
        <v>4621</v>
      </c>
      <c r="B4586" t="s">
        <v>35</v>
      </c>
      <c r="C4586">
        <v>692000</v>
      </c>
      <c r="D4586">
        <v>3065.4</v>
      </c>
      <c r="E4586">
        <v>1.8700000000000001E-2</v>
      </c>
      <c r="F4586">
        <v>0.13100000000000001</v>
      </c>
    </row>
    <row r="4587" spans="1:6" x14ac:dyDescent="0.3">
      <c r="A4587" t="s">
        <v>4622</v>
      </c>
      <c r="B4587" t="s">
        <v>26</v>
      </c>
      <c r="C4587">
        <v>809000</v>
      </c>
      <c r="D4587">
        <v>523468.5</v>
      </c>
      <c r="E4587">
        <v>1.7899999999999999E-2</v>
      </c>
      <c r="F4587">
        <v>0.22939999999999999</v>
      </c>
    </row>
    <row r="4588" spans="1:6" x14ac:dyDescent="0.3">
      <c r="A4588" t="s">
        <v>4623</v>
      </c>
      <c r="B4588" t="s">
        <v>50</v>
      </c>
      <c r="C4588">
        <v>861000</v>
      </c>
      <c r="D4588">
        <v>47262.5</v>
      </c>
      <c r="E4588">
        <v>0.10730000000000001</v>
      </c>
      <c r="F4588">
        <v>9.3799999999999994E-2</v>
      </c>
    </row>
    <row r="4589" spans="1:6" x14ac:dyDescent="0.3">
      <c r="A4589" t="s">
        <v>4624</v>
      </c>
      <c r="B4589" t="s">
        <v>26</v>
      </c>
      <c r="C4589">
        <v>744000</v>
      </c>
      <c r="D4589">
        <v>404789.3</v>
      </c>
      <c r="E4589">
        <v>4.0300000000000002E-2</v>
      </c>
      <c r="F4589">
        <v>4.3200000000000002E-2</v>
      </c>
    </row>
    <row r="4590" spans="1:6" x14ac:dyDescent="0.3">
      <c r="A4590" t="s">
        <v>4625</v>
      </c>
      <c r="B4590" t="s">
        <v>26</v>
      </c>
      <c r="C4590">
        <v>550000</v>
      </c>
      <c r="D4590">
        <v>3012</v>
      </c>
      <c r="E4590">
        <v>6.1999999999999998E-3</v>
      </c>
      <c r="F4590">
        <v>8.1100000000000005E-2</v>
      </c>
    </row>
    <row r="4591" spans="1:6" x14ac:dyDescent="0.3">
      <c r="A4591" t="s">
        <v>4626</v>
      </c>
      <c r="B4591" t="s">
        <v>41</v>
      </c>
      <c r="C4591">
        <v>769000</v>
      </c>
      <c r="D4591">
        <v>30116.799999999999</v>
      </c>
      <c r="E4591">
        <v>2.63E-2</v>
      </c>
      <c r="F4591">
        <v>9.3799999999999994E-2</v>
      </c>
    </row>
    <row r="4592" spans="1:6" x14ac:dyDescent="0.3">
      <c r="A4592" t="s">
        <v>4627</v>
      </c>
      <c r="B4592" t="s">
        <v>26</v>
      </c>
      <c r="C4592">
        <v>596000</v>
      </c>
      <c r="D4592">
        <v>40034.400000000001</v>
      </c>
      <c r="E4592">
        <v>6.08E-2</v>
      </c>
      <c r="F4592">
        <v>7.5899999999999995E-2</v>
      </c>
    </row>
    <row r="4593" spans="1:6" x14ac:dyDescent="0.3">
      <c r="A4593" t="s">
        <v>4628</v>
      </c>
      <c r="B4593" t="s">
        <v>88</v>
      </c>
      <c r="C4593">
        <v>695000</v>
      </c>
      <c r="D4593">
        <v>25249</v>
      </c>
      <c r="E4593">
        <v>3.3399999999999999E-2</v>
      </c>
      <c r="F4593">
        <v>9.3799999999999994E-2</v>
      </c>
    </row>
    <row r="4594" spans="1:6" x14ac:dyDescent="0.3">
      <c r="A4594" t="s">
        <v>4629</v>
      </c>
      <c r="B4594" t="s">
        <v>74</v>
      </c>
      <c r="C4594">
        <v>910000</v>
      </c>
      <c r="D4594">
        <v>24760</v>
      </c>
      <c r="E4594">
        <v>6.1800000000000001E-2</v>
      </c>
      <c r="F4594">
        <v>7.5899999999999995E-2</v>
      </c>
    </row>
    <row r="4595" spans="1:6" x14ac:dyDescent="0.3">
      <c r="A4595" t="s">
        <v>4630</v>
      </c>
      <c r="B4595" t="s">
        <v>50</v>
      </c>
      <c r="C4595">
        <v>715000</v>
      </c>
      <c r="D4595">
        <v>64928.6</v>
      </c>
      <c r="E4595">
        <v>3.1600000000000003E-2</v>
      </c>
      <c r="F4595">
        <v>5.1799999999999999E-2</v>
      </c>
    </row>
    <row r="4596" spans="1:6" x14ac:dyDescent="0.3">
      <c r="A4596" t="s">
        <v>4631</v>
      </c>
      <c r="B4596" t="s">
        <v>92</v>
      </c>
      <c r="C4596">
        <v>697000</v>
      </c>
      <c r="D4596">
        <v>18705</v>
      </c>
      <c r="E4596">
        <v>2.0899999999999998E-2</v>
      </c>
      <c r="F4596">
        <v>7.5899999999999995E-2</v>
      </c>
    </row>
    <row r="4597" spans="1:6" x14ac:dyDescent="0.3">
      <c r="A4597" t="s">
        <v>4632</v>
      </c>
      <c r="B4597" t="s">
        <v>26</v>
      </c>
      <c r="C4597">
        <v>603000</v>
      </c>
      <c r="D4597">
        <v>14427</v>
      </c>
      <c r="E4597">
        <v>3.3500000000000002E-2</v>
      </c>
      <c r="F4597">
        <v>4.0899999999999999E-2</v>
      </c>
    </row>
    <row r="4598" spans="1:6" x14ac:dyDescent="0.3">
      <c r="A4598" t="s">
        <v>4633</v>
      </c>
      <c r="B4598" t="s">
        <v>26</v>
      </c>
      <c r="C4598">
        <v>521000</v>
      </c>
      <c r="D4598">
        <v>29792.7</v>
      </c>
      <c r="E4598">
        <v>1.9599999999999999E-2</v>
      </c>
      <c r="F4598">
        <v>6.1600000000000002E-2</v>
      </c>
    </row>
    <row r="4599" spans="1:6" x14ac:dyDescent="0.3">
      <c r="A4599" t="s">
        <v>4634</v>
      </c>
      <c r="B4599" t="s">
        <v>53</v>
      </c>
      <c r="C4599">
        <v>530000</v>
      </c>
      <c r="D4599">
        <v>122949.8</v>
      </c>
      <c r="E4599">
        <v>1.4500000000000001E-2</v>
      </c>
      <c r="F4599">
        <v>0.1067</v>
      </c>
    </row>
    <row r="4600" spans="1:6" x14ac:dyDescent="0.3">
      <c r="A4600" t="s">
        <v>4635</v>
      </c>
      <c r="B4600" t="s">
        <v>62</v>
      </c>
      <c r="C4600">
        <v>925000</v>
      </c>
      <c r="D4600">
        <v>5014.2</v>
      </c>
      <c r="E4600">
        <v>2.4799999999999999E-2</v>
      </c>
      <c r="F4600">
        <v>7.5899999999999995E-2</v>
      </c>
    </row>
    <row r="4601" spans="1:6" x14ac:dyDescent="0.3">
      <c r="A4601" t="s">
        <v>4636</v>
      </c>
      <c r="B4601" t="s">
        <v>62</v>
      </c>
      <c r="C4601">
        <v>542000</v>
      </c>
      <c r="D4601">
        <v>3018.8</v>
      </c>
      <c r="E4601">
        <v>1.29E-2</v>
      </c>
      <c r="F4601">
        <v>5.8500000000000003E-2</v>
      </c>
    </row>
    <row r="4602" spans="1:6" x14ac:dyDescent="0.3">
      <c r="A4602" t="s">
        <v>4637</v>
      </c>
      <c r="B4602" t="s">
        <v>74</v>
      </c>
      <c r="C4602">
        <v>521000</v>
      </c>
      <c r="D4602">
        <v>221.6</v>
      </c>
      <c r="E4602">
        <v>6.6699999999999995E-2</v>
      </c>
      <c r="F4602">
        <v>9.5100000000000004E-2</v>
      </c>
    </row>
    <row r="4603" spans="1:6" x14ac:dyDescent="0.3">
      <c r="A4603" t="s">
        <v>4638</v>
      </c>
      <c r="B4603" t="s">
        <v>26</v>
      </c>
      <c r="C4603">
        <v>604000</v>
      </c>
      <c r="D4603">
        <v>1339031.1000000001</v>
      </c>
      <c r="E4603">
        <v>2.4400000000000002E-2</v>
      </c>
      <c r="F4603">
        <v>5.1799999999999999E-2</v>
      </c>
    </row>
    <row r="4604" spans="1:6" x14ac:dyDescent="0.3">
      <c r="A4604" t="s">
        <v>4639</v>
      </c>
      <c r="B4604" t="s">
        <v>74</v>
      </c>
      <c r="C4604">
        <v>1010000</v>
      </c>
      <c r="D4604">
        <v>4058153.9</v>
      </c>
      <c r="E4604">
        <v>1.8800000000000001E-2</v>
      </c>
      <c r="F4604">
        <v>5.8500000000000003E-2</v>
      </c>
    </row>
    <row r="4605" spans="1:6" x14ac:dyDescent="0.3">
      <c r="A4605" t="s">
        <v>4640</v>
      </c>
      <c r="B4605" t="s">
        <v>41</v>
      </c>
      <c r="C4605">
        <v>988000</v>
      </c>
      <c r="D4605">
        <v>1111.2</v>
      </c>
      <c r="E4605">
        <v>9.4999999999999998E-3</v>
      </c>
      <c r="F4605">
        <v>0.112</v>
      </c>
    </row>
    <row r="4606" spans="1:6" x14ac:dyDescent="0.3">
      <c r="A4606" t="s">
        <v>4641</v>
      </c>
      <c r="B4606" t="s">
        <v>195</v>
      </c>
      <c r="C4606">
        <v>716000</v>
      </c>
      <c r="D4606">
        <v>13923.3</v>
      </c>
      <c r="E4606">
        <v>6.2300000000000001E-2</v>
      </c>
      <c r="F4606">
        <v>7.5899999999999995E-2</v>
      </c>
    </row>
    <row r="4607" spans="1:6" x14ac:dyDescent="0.3">
      <c r="A4607" t="s">
        <v>4642</v>
      </c>
      <c r="B4607" t="s">
        <v>32</v>
      </c>
      <c r="C4607">
        <v>681000</v>
      </c>
      <c r="D4607">
        <v>21147.4</v>
      </c>
      <c r="E4607">
        <v>2.0500000000000001E-2</v>
      </c>
      <c r="F4607">
        <v>4.0899999999999999E-2</v>
      </c>
    </row>
    <row r="4608" spans="1:6" x14ac:dyDescent="0.3">
      <c r="A4608" t="s">
        <v>4643</v>
      </c>
      <c r="B4608" t="s">
        <v>53</v>
      </c>
      <c r="C4608">
        <v>576000</v>
      </c>
      <c r="D4608">
        <v>676.8</v>
      </c>
      <c r="E4608">
        <v>1.66E-2</v>
      </c>
      <c r="F4608">
        <v>6.08E-2</v>
      </c>
    </row>
    <row r="4609" spans="1:6" x14ac:dyDescent="0.3">
      <c r="A4609" t="s">
        <v>4644</v>
      </c>
      <c r="B4609" t="s">
        <v>71</v>
      </c>
      <c r="C4609">
        <v>1520000</v>
      </c>
      <c r="D4609">
        <v>269679.2</v>
      </c>
      <c r="E4609">
        <v>4.4299999999999999E-2</v>
      </c>
      <c r="F4609">
        <v>9.3799999999999994E-2</v>
      </c>
    </row>
    <row r="4610" spans="1:6" x14ac:dyDescent="0.3">
      <c r="A4610" t="s">
        <v>4645</v>
      </c>
      <c r="B4610" t="s">
        <v>26</v>
      </c>
      <c r="C4610">
        <v>949000</v>
      </c>
      <c r="D4610">
        <v>397359.3</v>
      </c>
      <c r="E4610">
        <v>3.4000000000000002E-2</v>
      </c>
      <c r="F4610">
        <v>4.3200000000000002E-2</v>
      </c>
    </row>
    <row r="4611" spans="1:6" x14ac:dyDescent="0.3">
      <c r="A4611" t="s">
        <v>4646</v>
      </c>
      <c r="B4611" t="s">
        <v>30</v>
      </c>
      <c r="C4611">
        <v>628000</v>
      </c>
      <c r="D4611">
        <v>3152.1</v>
      </c>
      <c r="E4611">
        <v>5.5999999999999999E-3</v>
      </c>
      <c r="F4611">
        <v>6.54E-2</v>
      </c>
    </row>
    <row r="4612" spans="1:6" x14ac:dyDescent="0.3">
      <c r="A4612" t="s">
        <v>4647</v>
      </c>
      <c r="B4612" t="s">
        <v>35</v>
      </c>
      <c r="C4612">
        <v>1120000</v>
      </c>
      <c r="D4612">
        <v>110912.6</v>
      </c>
      <c r="E4612">
        <v>5.7799999999999997E-2</v>
      </c>
      <c r="F4612">
        <v>7.5899999999999995E-2</v>
      </c>
    </row>
    <row r="4613" spans="1:6" x14ac:dyDescent="0.3">
      <c r="A4613" t="s">
        <v>4648</v>
      </c>
      <c r="B4613" t="s">
        <v>53</v>
      </c>
      <c r="C4613">
        <v>529000</v>
      </c>
      <c r="D4613">
        <v>12351.1</v>
      </c>
      <c r="E4613">
        <v>0.12870000000000001</v>
      </c>
      <c r="F4613">
        <v>9.5100000000000004E-2</v>
      </c>
    </row>
    <row r="4614" spans="1:6" x14ac:dyDescent="0.3">
      <c r="A4614" t="s">
        <v>4649</v>
      </c>
      <c r="B4614" t="s">
        <v>53</v>
      </c>
      <c r="C4614">
        <v>837000</v>
      </c>
      <c r="D4614">
        <v>48537.7</v>
      </c>
      <c r="E4614">
        <v>4.5400000000000003E-2</v>
      </c>
      <c r="F4614">
        <v>9.5100000000000004E-2</v>
      </c>
    </row>
    <row r="4615" spans="1:6" x14ac:dyDescent="0.3">
      <c r="A4615" t="s">
        <v>4650</v>
      </c>
      <c r="B4615" t="s">
        <v>195</v>
      </c>
      <c r="C4615">
        <v>596000</v>
      </c>
      <c r="D4615">
        <v>2981.6</v>
      </c>
      <c r="E4615">
        <v>2.4199999999999999E-2</v>
      </c>
      <c r="F4615">
        <v>9.3799999999999994E-2</v>
      </c>
    </row>
    <row r="4616" spans="1:6" x14ac:dyDescent="0.3">
      <c r="A4616" t="s">
        <v>4651</v>
      </c>
      <c r="B4616" t="s">
        <v>92</v>
      </c>
      <c r="C4616">
        <v>730000</v>
      </c>
      <c r="D4616">
        <v>968706.8</v>
      </c>
      <c r="E4616">
        <v>2.7400000000000001E-2</v>
      </c>
      <c r="F4616">
        <v>5.1799999999999999E-2</v>
      </c>
    </row>
    <row r="4617" spans="1:6" x14ac:dyDescent="0.3">
      <c r="A4617" t="s">
        <v>4652</v>
      </c>
      <c r="B4617" t="s">
        <v>81</v>
      </c>
      <c r="C4617">
        <v>568000</v>
      </c>
      <c r="D4617">
        <v>1136</v>
      </c>
      <c r="E4617">
        <v>2.8199999999999999E-2</v>
      </c>
      <c r="F4617">
        <v>0.1119</v>
      </c>
    </row>
    <row r="4618" spans="1:6" x14ac:dyDescent="0.3">
      <c r="A4618" t="s">
        <v>4653</v>
      </c>
      <c r="B4618" t="s">
        <v>26</v>
      </c>
      <c r="C4618">
        <v>1110000</v>
      </c>
      <c r="D4618">
        <v>20360</v>
      </c>
      <c r="E4618">
        <v>3.9E-2</v>
      </c>
      <c r="F4618">
        <v>4.0899999999999999E-2</v>
      </c>
    </row>
    <row r="4619" spans="1:6" x14ac:dyDescent="0.3">
      <c r="A4619" t="s">
        <v>4654</v>
      </c>
      <c r="B4619" t="s">
        <v>81</v>
      </c>
      <c r="C4619">
        <v>530000</v>
      </c>
      <c r="D4619">
        <v>12065.4</v>
      </c>
      <c r="E4619">
        <v>8.5000000000000006E-3</v>
      </c>
      <c r="F4619">
        <v>0.14710000000000001</v>
      </c>
    </row>
    <row r="4620" spans="1:6" x14ac:dyDescent="0.3">
      <c r="A4620" t="s">
        <v>4655</v>
      </c>
      <c r="B4620" t="s">
        <v>26</v>
      </c>
      <c r="C4620">
        <v>595000</v>
      </c>
      <c r="D4620">
        <v>249048.7</v>
      </c>
      <c r="E4620">
        <v>4.99E-2</v>
      </c>
      <c r="F4620">
        <v>5.1799999999999999E-2</v>
      </c>
    </row>
    <row r="4621" spans="1:6" x14ac:dyDescent="0.3">
      <c r="A4621" t="s">
        <v>4656</v>
      </c>
      <c r="B4621" t="s">
        <v>41</v>
      </c>
      <c r="C4621">
        <v>612000</v>
      </c>
      <c r="D4621">
        <v>3723.6</v>
      </c>
      <c r="E4621">
        <v>2.23E-2</v>
      </c>
      <c r="F4621">
        <v>0.1067</v>
      </c>
    </row>
    <row r="4622" spans="1:6" x14ac:dyDescent="0.3">
      <c r="A4622" t="s">
        <v>4657</v>
      </c>
      <c r="B4622" t="s">
        <v>24</v>
      </c>
      <c r="C4622">
        <v>761000</v>
      </c>
      <c r="D4622">
        <v>98567.9</v>
      </c>
      <c r="E4622">
        <v>2.3599999999999999E-2</v>
      </c>
      <c r="F4622">
        <v>4.3200000000000002E-2</v>
      </c>
    </row>
    <row r="4623" spans="1:6" x14ac:dyDescent="0.3">
      <c r="A4623" t="s">
        <v>4658</v>
      </c>
      <c r="B4623" t="s">
        <v>26</v>
      </c>
      <c r="C4623">
        <v>642000</v>
      </c>
      <c r="D4623">
        <v>6452.8</v>
      </c>
      <c r="E4623">
        <v>6.4399999999999999E-2</v>
      </c>
      <c r="F4623">
        <v>9.3799999999999994E-2</v>
      </c>
    </row>
    <row r="4624" spans="1:6" x14ac:dyDescent="0.3">
      <c r="A4624" t="s">
        <v>4659</v>
      </c>
      <c r="B4624" t="s">
        <v>24</v>
      </c>
      <c r="C4624">
        <v>568000</v>
      </c>
      <c r="D4624">
        <v>317.10000000000002</v>
      </c>
      <c r="E4624">
        <v>5.74E-2</v>
      </c>
      <c r="F4624">
        <v>7.5899999999999995E-2</v>
      </c>
    </row>
    <row r="4625" spans="1:6" x14ac:dyDescent="0.3">
      <c r="A4625" t="s">
        <v>4660</v>
      </c>
      <c r="B4625" t="s">
        <v>62</v>
      </c>
      <c r="C4625">
        <v>607000</v>
      </c>
      <c r="D4625">
        <v>9770</v>
      </c>
      <c r="E4625">
        <v>3.39E-2</v>
      </c>
      <c r="F4625">
        <v>4.3200000000000002E-2</v>
      </c>
    </row>
    <row r="4626" spans="1:6" x14ac:dyDescent="0.3">
      <c r="A4626" t="s">
        <v>4661</v>
      </c>
      <c r="B4626" t="s">
        <v>88</v>
      </c>
      <c r="C4626">
        <v>514000</v>
      </c>
      <c r="D4626">
        <v>1396.7</v>
      </c>
      <c r="E4626">
        <v>5.3999999999999999E-2</v>
      </c>
      <c r="F4626">
        <v>0.11700000000000001</v>
      </c>
    </row>
    <row r="4627" spans="1:6" x14ac:dyDescent="0.3">
      <c r="A4627" t="s">
        <v>4662</v>
      </c>
      <c r="B4627" t="s">
        <v>41</v>
      </c>
      <c r="C4627">
        <v>1350000</v>
      </c>
      <c r="D4627">
        <v>1567.6</v>
      </c>
      <c r="E4627">
        <v>2.9499999999999998E-2</v>
      </c>
      <c r="F4627">
        <v>5.0999999999999997E-2</v>
      </c>
    </row>
    <row r="4628" spans="1:6" x14ac:dyDescent="0.3">
      <c r="A4628" t="s">
        <v>4663</v>
      </c>
      <c r="B4628" t="s">
        <v>195</v>
      </c>
      <c r="C4628">
        <v>627000</v>
      </c>
      <c r="D4628">
        <v>14257.4</v>
      </c>
      <c r="E4628">
        <v>1.12E-2</v>
      </c>
      <c r="F4628">
        <v>6.5699999999999995E-2</v>
      </c>
    </row>
    <row r="4629" spans="1:6" x14ac:dyDescent="0.3">
      <c r="A4629" t="s">
        <v>4664</v>
      </c>
      <c r="B4629" t="s">
        <v>88</v>
      </c>
      <c r="C4629">
        <v>724000</v>
      </c>
      <c r="D4629">
        <v>2564.1999999999998</v>
      </c>
      <c r="E4629">
        <v>3.39E-2</v>
      </c>
      <c r="F4629">
        <v>9.3799999999999994E-2</v>
      </c>
    </row>
    <row r="4630" spans="1:6" x14ac:dyDescent="0.3">
      <c r="A4630" t="s">
        <v>4665</v>
      </c>
      <c r="B4630" t="s">
        <v>26</v>
      </c>
      <c r="C4630">
        <v>531000</v>
      </c>
      <c r="D4630">
        <v>1203.5999999999999</v>
      </c>
      <c r="E4630">
        <v>1.9900000000000001E-2</v>
      </c>
      <c r="F4630">
        <v>9.5100000000000004E-2</v>
      </c>
    </row>
    <row r="4631" spans="1:6" x14ac:dyDescent="0.3">
      <c r="A4631" t="s">
        <v>4666</v>
      </c>
      <c r="B4631" t="s">
        <v>195</v>
      </c>
      <c r="C4631">
        <v>533000</v>
      </c>
      <c r="D4631">
        <v>233.4</v>
      </c>
      <c r="E4631">
        <v>5.1900000000000002E-2</v>
      </c>
      <c r="F4631">
        <v>7.5899999999999995E-2</v>
      </c>
    </row>
    <row r="4632" spans="1:6" x14ac:dyDescent="0.3">
      <c r="A4632" t="s">
        <v>4667</v>
      </c>
      <c r="B4632" t="s">
        <v>81</v>
      </c>
      <c r="C4632">
        <v>546000</v>
      </c>
      <c r="D4632">
        <v>8723.7999999999993</v>
      </c>
      <c r="E4632">
        <v>2.1899999999999999E-2</v>
      </c>
      <c r="F4632">
        <v>0.1067</v>
      </c>
    </row>
    <row r="4633" spans="1:6" x14ac:dyDescent="0.3">
      <c r="A4633" t="s">
        <v>4668</v>
      </c>
      <c r="B4633" t="s">
        <v>88</v>
      </c>
      <c r="C4633">
        <v>564000</v>
      </c>
      <c r="D4633">
        <v>214.1</v>
      </c>
      <c r="E4633">
        <v>4.0500000000000001E-2</v>
      </c>
      <c r="F4633">
        <v>9.3799999999999994E-2</v>
      </c>
    </row>
    <row r="4634" spans="1:6" x14ac:dyDescent="0.3">
      <c r="A4634" t="s">
        <v>4669</v>
      </c>
      <c r="B4634" t="s">
        <v>26</v>
      </c>
      <c r="C4634">
        <v>783000</v>
      </c>
      <c r="D4634">
        <v>70753.899999999994</v>
      </c>
      <c r="E4634">
        <v>0.05</v>
      </c>
      <c r="F4634">
        <v>7.5899999999999995E-2</v>
      </c>
    </row>
    <row r="4635" spans="1:6" x14ac:dyDescent="0.3">
      <c r="A4635" t="s">
        <v>4670</v>
      </c>
      <c r="B4635" t="s">
        <v>81</v>
      </c>
      <c r="C4635">
        <v>702000</v>
      </c>
      <c r="D4635">
        <v>545187.30000000005</v>
      </c>
      <c r="E4635">
        <v>2.18E-2</v>
      </c>
      <c r="F4635">
        <v>5.1799999999999999E-2</v>
      </c>
    </row>
    <row r="4636" spans="1:6" x14ac:dyDescent="0.3">
      <c r="A4636" t="s">
        <v>4671</v>
      </c>
      <c r="B4636" t="s">
        <v>74</v>
      </c>
      <c r="C4636">
        <v>765000</v>
      </c>
      <c r="D4636">
        <v>19774.5</v>
      </c>
      <c r="E4636">
        <v>3.1099999999999999E-2</v>
      </c>
      <c r="F4636">
        <v>6.7199999999999996E-2</v>
      </c>
    </row>
    <row r="4637" spans="1:6" x14ac:dyDescent="0.3">
      <c r="A4637" t="s">
        <v>4672</v>
      </c>
      <c r="B4637" t="s">
        <v>53</v>
      </c>
      <c r="C4637">
        <v>861000</v>
      </c>
      <c r="D4637">
        <v>1202558.8</v>
      </c>
      <c r="E4637">
        <v>3.2399999999999998E-2</v>
      </c>
      <c r="F4637">
        <v>4.3200000000000002E-2</v>
      </c>
    </row>
    <row r="4638" spans="1:6" x14ac:dyDescent="0.3">
      <c r="A4638" t="s">
        <v>4673</v>
      </c>
      <c r="B4638" t="s">
        <v>62</v>
      </c>
      <c r="C4638">
        <v>966000</v>
      </c>
      <c r="D4638">
        <v>8472.2999999999993</v>
      </c>
      <c r="E4638">
        <v>2.6200000000000001E-2</v>
      </c>
      <c r="F4638">
        <v>5.4600000000000003E-2</v>
      </c>
    </row>
    <row r="4639" spans="1:6" x14ac:dyDescent="0.3">
      <c r="A4639" t="s">
        <v>4674</v>
      </c>
      <c r="B4639" t="s">
        <v>92</v>
      </c>
      <c r="C4639">
        <v>745000</v>
      </c>
      <c r="D4639">
        <v>9787.6</v>
      </c>
      <c r="E4639">
        <v>1.29E-2</v>
      </c>
      <c r="F4639">
        <v>7.2599999999999998E-2</v>
      </c>
    </row>
    <row r="4640" spans="1:6" x14ac:dyDescent="0.3">
      <c r="A4640" t="s">
        <v>4675</v>
      </c>
      <c r="B4640" t="s">
        <v>92</v>
      </c>
      <c r="C4640">
        <v>531000</v>
      </c>
      <c r="D4640">
        <v>1863.3</v>
      </c>
      <c r="E4640">
        <v>3.5999999999999997E-2</v>
      </c>
      <c r="F4640">
        <v>9.5100000000000004E-2</v>
      </c>
    </row>
    <row r="4641" spans="1:6" x14ac:dyDescent="0.3">
      <c r="A4641" t="s">
        <v>4676</v>
      </c>
      <c r="B4641" t="s">
        <v>26</v>
      </c>
      <c r="C4641">
        <v>916000</v>
      </c>
      <c r="D4641">
        <v>2931.9</v>
      </c>
      <c r="E4641">
        <v>1.11E-2</v>
      </c>
      <c r="F4641">
        <v>6.8900000000000003E-2</v>
      </c>
    </row>
    <row r="4642" spans="1:6" x14ac:dyDescent="0.3">
      <c r="A4642" t="s">
        <v>4677</v>
      </c>
      <c r="B4642" t="s">
        <v>88</v>
      </c>
      <c r="C4642">
        <v>528000</v>
      </c>
      <c r="D4642">
        <v>877.8</v>
      </c>
      <c r="E4642">
        <v>1.67E-2</v>
      </c>
      <c r="F4642">
        <v>0.13100000000000001</v>
      </c>
    </row>
    <row r="4643" spans="1:6" x14ac:dyDescent="0.3">
      <c r="A4643" t="s">
        <v>4678</v>
      </c>
      <c r="B4643" t="s">
        <v>26</v>
      </c>
      <c r="C4643">
        <v>534000</v>
      </c>
      <c r="D4643">
        <v>31869.8</v>
      </c>
      <c r="F4643">
        <v>5.1799999999999999E-2</v>
      </c>
    </row>
    <row r="4644" spans="1:6" x14ac:dyDescent="0.3">
      <c r="A4644" t="s">
        <v>4679</v>
      </c>
      <c r="B4644" t="s">
        <v>26</v>
      </c>
      <c r="C4644">
        <v>685000</v>
      </c>
      <c r="D4644">
        <v>29010.3</v>
      </c>
      <c r="E4644">
        <v>4.1000000000000002E-2</v>
      </c>
      <c r="F4644">
        <v>9.3799999999999994E-2</v>
      </c>
    </row>
    <row r="4645" spans="1:6" x14ac:dyDescent="0.3">
      <c r="A4645" t="s">
        <v>4680</v>
      </c>
      <c r="B4645" t="s">
        <v>214</v>
      </c>
      <c r="C4645">
        <v>669000</v>
      </c>
      <c r="D4645">
        <v>8032.9</v>
      </c>
      <c r="E4645">
        <v>2.87E-2</v>
      </c>
      <c r="F4645">
        <v>9.5100000000000004E-2</v>
      </c>
    </row>
    <row r="4646" spans="1:6" x14ac:dyDescent="0.3">
      <c r="A4646" t="s">
        <v>4681</v>
      </c>
      <c r="B4646" t="s">
        <v>62</v>
      </c>
      <c r="C4646">
        <v>639000</v>
      </c>
      <c r="D4646">
        <v>37143.599999999999</v>
      </c>
      <c r="E4646">
        <v>2.4400000000000002E-2</v>
      </c>
      <c r="F4646">
        <v>7.5899999999999995E-2</v>
      </c>
    </row>
    <row r="4647" spans="1:6" x14ac:dyDescent="0.3">
      <c r="A4647" t="s">
        <v>4682</v>
      </c>
      <c r="B4647" t="s">
        <v>24</v>
      </c>
      <c r="C4647">
        <v>960000</v>
      </c>
      <c r="D4647">
        <v>24893.7</v>
      </c>
      <c r="E4647">
        <v>5.5599999999999997E-2</v>
      </c>
      <c r="F4647">
        <v>9.3799999999999994E-2</v>
      </c>
    </row>
    <row r="4648" spans="1:6" x14ac:dyDescent="0.3">
      <c r="A4648" t="s">
        <v>4683</v>
      </c>
      <c r="B4648" t="s">
        <v>50</v>
      </c>
      <c r="C4648">
        <v>951000</v>
      </c>
      <c r="D4648">
        <v>6297.8</v>
      </c>
      <c r="E4648">
        <v>3.5999999999999999E-3</v>
      </c>
      <c r="F4648">
        <v>8.1100000000000005E-2</v>
      </c>
    </row>
    <row r="4649" spans="1:6" x14ac:dyDescent="0.3">
      <c r="A4649" t="s">
        <v>4684</v>
      </c>
      <c r="B4649" t="s">
        <v>71</v>
      </c>
      <c r="C4649">
        <v>857000</v>
      </c>
      <c r="D4649">
        <v>68343.3</v>
      </c>
      <c r="E4649">
        <v>4.65E-2</v>
      </c>
      <c r="F4649">
        <v>7.5899999999999995E-2</v>
      </c>
    </row>
    <row r="4650" spans="1:6" x14ac:dyDescent="0.3">
      <c r="A4650" t="s">
        <v>4685</v>
      </c>
      <c r="B4650" t="s">
        <v>88</v>
      </c>
      <c r="C4650">
        <v>494000</v>
      </c>
      <c r="D4650">
        <v>1870.7</v>
      </c>
      <c r="E4650">
        <v>3.3700000000000001E-2</v>
      </c>
      <c r="F4650">
        <v>9.5100000000000004E-2</v>
      </c>
    </row>
    <row r="4651" spans="1:6" x14ac:dyDescent="0.3">
      <c r="A4651" t="s">
        <v>4686</v>
      </c>
      <c r="B4651" t="s">
        <v>81</v>
      </c>
      <c r="C4651">
        <v>622000</v>
      </c>
      <c r="D4651">
        <v>257933.3</v>
      </c>
      <c r="E4651">
        <v>4.24E-2</v>
      </c>
      <c r="F4651">
        <v>9.3799999999999994E-2</v>
      </c>
    </row>
    <row r="4652" spans="1:6" x14ac:dyDescent="0.3">
      <c r="A4652" t="s">
        <v>4687</v>
      </c>
      <c r="B4652" t="s">
        <v>88</v>
      </c>
      <c r="C4652">
        <v>516000</v>
      </c>
      <c r="D4652">
        <v>445.2</v>
      </c>
      <c r="E4652">
        <v>1.84E-2</v>
      </c>
      <c r="F4652">
        <v>0.1067</v>
      </c>
    </row>
    <row r="4653" spans="1:6" x14ac:dyDescent="0.3">
      <c r="A4653" t="s">
        <v>4688</v>
      </c>
      <c r="B4653" t="s">
        <v>21</v>
      </c>
      <c r="C4653">
        <v>232000</v>
      </c>
      <c r="D4653">
        <v>1389.2</v>
      </c>
      <c r="E4653">
        <v>4.4299999999999999E-2</v>
      </c>
      <c r="F4653">
        <v>7.5899999999999995E-2</v>
      </c>
    </row>
    <row r="4654" spans="1:6" x14ac:dyDescent="0.3">
      <c r="A4654" t="s">
        <v>4689</v>
      </c>
      <c r="B4654" t="s">
        <v>32</v>
      </c>
      <c r="C4654">
        <v>881000</v>
      </c>
      <c r="D4654">
        <v>1246367.5</v>
      </c>
      <c r="E4654">
        <v>9.4999999999999998E-3</v>
      </c>
      <c r="F4654">
        <v>8.2199999999999995E-2</v>
      </c>
    </row>
    <row r="4655" spans="1:6" x14ac:dyDescent="0.3">
      <c r="A4655" t="s">
        <v>4690</v>
      </c>
      <c r="B4655" t="s">
        <v>62</v>
      </c>
      <c r="C4655">
        <v>530000</v>
      </c>
      <c r="D4655">
        <v>9441.1</v>
      </c>
      <c r="E4655">
        <v>4.4600000000000001E-2</v>
      </c>
      <c r="F4655">
        <v>7.5899999999999995E-2</v>
      </c>
    </row>
    <row r="4656" spans="1:6" x14ac:dyDescent="0.3">
      <c r="A4656" t="s">
        <v>4691</v>
      </c>
      <c r="B4656" t="s">
        <v>24</v>
      </c>
      <c r="C4656">
        <v>701000</v>
      </c>
      <c r="D4656">
        <v>1953.6</v>
      </c>
      <c r="E4656">
        <v>1.9300000000000001E-2</v>
      </c>
      <c r="F4656">
        <v>5.1400000000000001E-2</v>
      </c>
    </row>
    <row r="4657" spans="1:6" x14ac:dyDescent="0.3">
      <c r="A4657" t="s">
        <v>4692</v>
      </c>
      <c r="B4657" t="s">
        <v>287</v>
      </c>
      <c r="C4657">
        <v>635000</v>
      </c>
      <c r="D4657">
        <v>32451.599999999999</v>
      </c>
      <c r="E4657">
        <v>3.9E-2</v>
      </c>
      <c r="F4657">
        <v>7.5899999999999995E-2</v>
      </c>
    </row>
    <row r="4658" spans="1:6" x14ac:dyDescent="0.3">
      <c r="A4658" t="s">
        <v>4693</v>
      </c>
      <c r="B4658" t="s">
        <v>26</v>
      </c>
      <c r="C4658">
        <v>937000</v>
      </c>
      <c r="D4658">
        <v>3350.5</v>
      </c>
      <c r="E4658">
        <v>2.7300000000000001E-2</v>
      </c>
      <c r="F4658">
        <v>7.5899999999999995E-2</v>
      </c>
    </row>
    <row r="4659" spans="1:6" x14ac:dyDescent="0.3">
      <c r="A4659" t="s">
        <v>4694</v>
      </c>
      <c r="B4659" t="s">
        <v>53</v>
      </c>
      <c r="C4659">
        <v>624000</v>
      </c>
      <c r="D4659">
        <v>1014.5</v>
      </c>
      <c r="E4659">
        <v>4.87E-2</v>
      </c>
      <c r="F4659">
        <v>9.3799999999999994E-2</v>
      </c>
    </row>
    <row r="4660" spans="1:6" x14ac:dyDescent="0.3">
      <c r="A4660" t="s">
        <v>4695</v>
      </c>
      <c r="B4660" t="s">
        <v>26</v>
      </c>
      <c r="C4660">
        <v>769000</v>
      </c>
      <c r="D4660">
        <v>275442.7</v>
      </c>
      <c r="E4660">
        <v>2.4400000000000002E-2</v>
      </c>
      <c r="F4660">
        <v>4.0899999999999999E-2</v>
      </c>
    </row>
    <row r="4661" spans="1:6" x14ac:dyDescent="0.3">
      <c r="A4661" t="s">
        <v>4696</v>
      </c>
      <c r="B4661" t="s">
        <v>32</v>
      </c>
      <c r="C4661">
        <v>561000</v>
      </c>
      <c r="D4661">
        <v>18170.099999999999</v>
      </c>
      <c r="E4661">
        <v>1.6E-2</v>
      </c>
      <c r="F4661">
        <v>5.8500000000000003E-2</v>
      </c>
    </row>
    <row r="4662" spans="1:6" x14ac:dyDescent="0.3">
      <c r="A4662" t="s">
        <v>4697</v>
      </c>
      <c r="B4662" t="s">
        <v>24</v>
      </c>
      <c r="C4662">
        <v>640000</v>
      </c>
      <c r="D4662">
        <v>23260.2</v>
      </c>
      <c r="E4662">
        <v>1.95E-2</v>
      </c>
      <c r="F4662">
        <v>7.5899999999999995E-2</v>
      </c>
    </row>
    <row r="4663" spans="1:6" x14ac:dyDescent="0.3">
      <c r="A4663" t="s">
        <v>4698</v>
      </c>
      <c r="B4663" t="s">
        <v>71</v>
      </c>
      <c r="C4663">
        <v>187000</v>
      </c>
      <c r="D4663">
        <v>43913.1</v>
      </c>
      <c r="E4663">
        <v>5.6800000000000003E-2</v>
      </c>
      <c r="F4663">
        <v>9.5100000000000004E-2</v>
      </c>
    </row>
    <row r="4664" spans="1:6" x14ac:dyDescent="0.3">
      <c r="A4664" t="s">
        <v>4699</v>
      </c>
      <c r="B4664" t="s">
        <v>62</v>
      </c>
      <c r="C4664">
        <v>823000</v>
      </c>
      <c r="D4664">
        <v>6087.2</v>
      </c>
      <c r="E4664">
        <v>1.89E-2</v>
      </c>
      <c r="F4664">
        <v>4.8800000000000003E-2</v>
      </c>
    </row>
    <row r="4665" spans="1:6" x14ac:dyDescent="0.3">
      <c r="A4665" t="s">
        <v>4700</v>
      </c>
      <c r="B4665" t="s">
        <v>214</v>
      </c>
      <c r="C4665">
        <v>623000</v>
      </c>
      <c r="D4665">
        <v>49551.6</v>
      </c>
      <c r="E4665">
        <v>5.2600000000000001E-2</v>
      </c>
      <c r="F4665">
        <v>9.5100000000000004E-2</v>
      </c>
    </row>
    <row r="4666" spans="1:6" x14ac:dyDescent="0.3">
      <c r="A4666" t="s">
        <v>4701</v>
      </c>
      <c r="B4666" t="s">
        <v>26</v>
      </c>
      <c r="C4666">
        <v>3080000</v>
      </c>
      <c r="D4666">
        <v>2306438.7000000002</v>
      </c>
      <c r="E4666">
        <v>5.04E-2</v>
      </c>
      <c r="F4666">
        <v>4.3200000000000002E-2</v>
      </c>
    </row>
    <row r="4667" spans="1:6" x14ac:dyDescent="0.3">
      <c r="A4667" t="s">
        <v>4702</v>
      </c>
      <c r="B4667" t="s">
        <v>26</v>
      </c>
      <c r="C4667">
        <v>1290000</v>
      </c>
      <c r="D4667">
        <v>95879.4</v>
      </c>
      <c r="E4667">
        <v>1.9099999999999999E-2</v>
      </c>
      <c r="F4667">
        <v>5.7599999999999998E-2</v>
      </c>
    </row>
    <row r="4668" spans="1:6" x14ac:dyDescent="0.3">
      <c r="A4668" t="s">
        <v>4703</v>
      </c>
      <c r="B4668" t="s">
        <v>26</v>
      </c>
      <c r="C4668">
        <v>556000</v>
      </c>
      <c r="D4668">
        <v>5819.6</v>
      </c>
      <c r="E4668">
        <v>4.1200000000000001E-2</v>
      </c>
      <c r="F4668">
        <v>9.5100000000000004E-2</v>
      </c>
    </row>
    <row r="4669" spans="1:6" x14ac:dyDescent="0.3">
      <c r="A4669" t="s">
        <v>4704</v>
      </c>
      <c r="B4669" t="s">
        <v>35</v>
      </c>
      <c r="C4669">
        <v>613000</v>
      </c>
      <c r="D4669">
        <v>611.1</v>
      </c>
      <c r="E4669">
        <v>8.6E-3</v>
      </c>
      <c r="F4669">
        <v>8.2199999999999995E-2</v>
      </c>
    </row>
    <row r="4670" spans="1:6" x14ac:dyDescent="0.3">
      <c r="A4670" t="s">
        <v>4705</v>
      </c>
      <c r="B4670" t="s">
        <v>62</v>
      </c>
      <c r="C4670">
        <v>527000</v>
      </c>
      <c r="D4670">
        <v>398</v>
      </c>
      <c r="E4670">
        <v>2.5100000000000001E-2</v>
      </c>
      <c r="F4670">
        <v>9.5100000000000004E-2</v>
      </c>
    </row>
    <row r="4671" spans="1:6" x14ac:dyDescent="0.3">
      <c r="A4671" t="s">
        <v>4706</v>
      </c>
      <c r="B4671" t="s">
        <v>88</v>
      </c>
      <c r="C4671">
        <v>703000</v>
      </c>
      <c r="D4671">
        <v>4353.7</v>
      </c>
      <c r="E4671">
        <v>2.9600000000000001E-2</v>
      </c>
      <c r="F4671">
        <v>9.3799999999999994E-2</v>
      </c>
    </row>
    <row r="4672" spans="1:6" x14ac:dyDescent="0.3">
      <c r="A4672" t="s">
        <v>4707</v>
      </c>
      <c r="B4672" t="s">
        <v>26</v>
      </c>
      <c r="C4672">
        <v>956000</v>
      </c>
      <c r="D4672">
        <v>10025.4</v>
      </c>
      <c r="E4672">
        <v>7.7999999999999996E-3</v>
      </c>
      <c r="F4672">
        <v>8.1100000000000005E-2</v>
      </c>
    </row>
    <row r="4673" spans="1:6" x14ac:dyDescent="0.3">
      <c r="A4673" t="s">
        <v>4708</v>
      </c>
      <c r="B4673" t="s">
        <v>214</v>
      </c>
      <c r="C4673">
        <v>521000</v>
      </c>
      <c r="D4673">
        <v>462.4</v>
      </c>
      <c r="E4673">
        <v>3.7100000000000001E-2</v>
      </c>
      <c r="F4673">
        <v>5.1799999999999999E-2</v>
      </c>
    </row>
    <row r="4674" spans="1:6" x14ac:dyDescent="0.3">
      <c r="A4674" t="s">
        <v>4709</v>
      </c>
      <c r="B4674" t="s">
        <v>26</v>
      </c>
      <c r="C4674">
        <v>642000</v>
      </c>
      <c r="D4674">
        <v>35037.1</v>
      </c>
      <c r="E4674">
        <v>5.3499999999999999E-2</v>
      </c>
      <c r="F4674">
        <v>7.5899999999999995E-2</v>
      </c>
    </row>
    <row r="4675" spans="1:6" x14ac:dyDescent="0.3">
      <c r="A4675" t="s">
        <v>4710</v>
      </c>
      <c r="B4675" t="s">
        <v>26</v>
      </c>
      <c r="C4675">
        <v>148000</v>
      </c>
      <c r="D4675">
        <v>4054.5</v>
      </c>
      <c r="E4675">
        <v>1.54E-2</v>
      </c>
      <c r="F4675">
        <v>9.5000000000000001E-2</v>
      </c>
    </row>
    <row r="4676" spans="1:6" x14ac:dyDescent="0.3">
      <c r="A4676" t="s">
        <v>4711</v>
      </c>
      <c r="B4676" t="s">
        <v>26</v>
      </c>
      <c r="C4676">
        <v>591000</v>
      </c>
      <c r="D4676">
        <v>2476819.4</v>
      </c>
      <c r="E4676">
        <v>1.55E-2</v>
      </c>
      <c r="F4676">
        <v>0.1027</v>
      </c>
    </row>
    <row r="4677" spans="1:6" x14ac:dyDescent="0.3">
      <c r="A4677" t="s">
        <v>4712</v>
      </c>
      <c r="B4677" t="s">
        <v>53</v>
      </c>
      <c r="C4677">
        <v>539000</v>
      </c>
      <c r="D4677">
        <v>2860.7</v>
      </c>
      <c r="E4677">
        <v>5.7500000000000002E-2</v>
      </c>
      <c r="F4677">
        <v>9.5100000000000004E-2</v>
      </c>
    </row>
    <row r="4678" spans="1:6" x14ac:dyDescent="0.3">
      <c r="A4678" t="s">
        <v>4713</v>
      </c>
      <c r="B4678" t="s">
        <v>26</v>
      </c>
      <c r="C4678">
        <v>695000</v>
      </c>
      <c r="D4678">
        <v>578833</v>
      </c>
      <c r="E4678">
        <v>3.1699999999999999E-2</v>
      </c>
      <c r="F4678">
        <v>5.1799999999999999E-2</v>
      </c>
    </row>
    <row r="4679" spans="1:6" x14ac:dyDescent="0.3">
      <c r="A4679" t="s">
        <v>4714</v>
      </c>
      <c r="B4679" t="s">
        <v>88</v>
      </c>
      <c r="C4679">
        <v>518000</v>
      </c>
      <c r="D4679">
        <v>153</v>
      </c>
      <c r="E4679">
        <v>2.46E-2</v>
      </c>
      <c r="F4679">
        <v>0.1308</v>
      </c>
    </row>
    <row r="4680" spans="1:6" x14ac:dyDescent="0.3">
      <c r="A4680" t="s">
        <v>4715</v>
      </c>
      <c r="B4680" t="s">
        <v>214</v>
      </c>
      <c r="C4680">
        <v>532000</v>
      </c>
      <c r="D4680">
        <v>5571.2</v>
      </c>
      <c r="E4680">
        <v>2.93E-2</v>
      </c>
      <c r="F4680">
        <v>9.5100000000000004E-2</v>
      </c>
    </row>
    <row r="4681" spans="1:6" x14ac:dyDescent="0.3">
      <c r="A4681" t="s">
        <v>4716</v>
      </c>
      <c r="B4681" t="s">
        <v>41</v>
      </c>
      <c r="C4681">
        <v>764000</v>
      </c>
      <c r="D4681">
        <v>5515.2</v>
      </c>
      <c r="E4681">
        <v>4.3799999999999999E-2</v>
      </c>
      <c r="F4681">
        <v>9.3799999999999994E-2</v>
      </c>
    </row>
    <row r="4682" spans="1:6" x14ac:dyDescent="0.3">
      <c r="A4682" t="s">
        <v>4717</v>
      </c>
      <c r="B4682" t="s">
        <v>88</v>
      </c>
      <c r="C4682">
        <v>542000</v>
      </c>
      <c r="D4682">
        <v>393.5</v>
      </c>
      <c r="E4682">
        <v>6.6600000000000006E-2</v>
      </c>
      <c r="F4682">
        <v>0.11700000000000001</v>
      </c>
    </row>
    <row r="4683" spans="1:6" x14ac:dyDescent="0.3">
      <c r="A4683" t="s">
        <v>4718</v>
      </c>
      <c r="B4683" t="s">
        <v>88</v>
      </c>
      <c r="C4683">
        <v>520000</v>
      </c>
      <c r="D4683">
        <v>608.9</v>
      </c>
      <c r="E4683">
        <v>1.9300000000000001E-2</v>
      </c>
      <c r="F4683">
        <v>0.13100000000000001</v>
      </c>
    </row>
    <row r="4684" spans="1:6" x14ac:dyDescent="0.3">
      <c r="A4684" t="s">
        <v>4719</v>
      </c>
      <c r="B4684" t="s">
        <v>26</v>
      </c>
      <c r="C4684">
        <v>799000</v>
      </c>
      <c r="D4684">
        <v>11252.9</v>
      </c>
      <c r="E4684">
        <v>1.9800000000000002E-2</v>
      </c>
      <c r="F4684">
        <v>4.8800000000000003E-2</v>
      </c>
    </row>
    <row r="4685" spans="1:6" x14ac:dyDescent="0.3">
      <c r="A4685" t="s">
        <v>4720</v>
      </c>
      <c r="B4685" t="s">
        <v>26</v>
      </c>
      <c r="C4685">
        <v>498000</v>
      </c>
      <c r="D4685">
        <v>377</v>
      </c>
      <c r="E4685">
        <v>3.9399999999999998E-2</v>
      </c>
      <c r="F4685">
        <v>9.5100000000000004E-2</v>
      </c>
    </row>
    <row r="4686" spans="1:6" x14ac:dyDescent="0.3">
      <c r="A4686" t="s">
        <v>4721</v>
      </c>
      <c r="B4686" t="s">
        <v>26</v>
      </c>
      <c r="C4686">
        <v>877000</v>
      </c>
      <c r="D4686">
        <v>255395.4</v>
      </c>
      <c r="E4686">
        <v>2.07E-2</v>
      </c>
      <c r="F4686">
        <v>4.8800000000000003E-2</v>
      </c>
    </row>
    <row r="4687" spans="1:6" x14ac:dyDescent="0.3">
      <c r="A4687" t="s">
        <v>4722</v>
      </c>
      <c r="B4687" t="s">
        <v>41</v>
      </c>
      <c r="C4687">
        <v>515000</v>
      </c>
      <c r="D4687">
        <v>14626.9</v>
      </c>
      <c r="E4687">
        <v>5.5100000000000003E-2</v>
      </c>
      <c r="F4687">
        <v>9.5100000000000004E-2</v>
      </c>
    </row>
    <row r="4688" spans="1:6" x14ac:dyDescent="0.3">
      <c r="A4688" t="s">
        <v>4723</v>
      </c>
      <c r="B4688" t="s">
        <v>74</v>
      </c>
      <c r="C4688">
        <v>918000</v>
      </c>
      <c r="D4688">
        <v>124332.6</v>
      </c>
      <c r="E4688">
        <v>6.7299999999999999E-2</v>
      </c>
      <c r="F4688">
        <v>7.5899999999999995E-2</v>
      </c>
    </row>
    <row r="4689" spans="1:6" x14ac:dyDescent="0.3">
      <c r="A4689" t="s">
        <v>4724</v>
      </c>
      <c r="B4689" t="s">
        <v>62</v>
      </c>
      <c r="C4689">
        <v>637000</v>
      </c>
      <c r="D4689">
        <v>41040.5</v>
      </c>
      <c r="E4689">
        <v>3.9600000000000003E-2</v>
      </c>
      <c r="F4689">
        <v>7.5899999999999995E-2</v>
      </c>
    </row>
    <row r="4690" spans="1:6" x14ac:dyDescent="0.3">
      <c r="A4690" t="s">
        <v>4725</v>
      </c>
      <c r="B4690" t="s">
        <v>88</v>
      </c>
      <c r="C4690">
        <v>556000</v>
      </c>
      <c r="D4690">
        <v>8512</v>
      </c>
      <c r="E4690">
        <v>1.0999999999999999E-2</v>
      </c>
      <c r="F4690">
        <v>6.54E-2</v>
      </c>
    </row>
    <row r="4691" spans="1:6" x14ac:dyDescent="0.3">
      <c r="A4691" t="s">
        <v>4726</v>
      </c>
      <c r="B4691" t="s">
        <v>21</v>
      </c>
      <c r="C4691">
        <v>3880000</v>
      </c>
      <c r="D4691">
        <v>3947.8</v>
      </c>
      <c r="E4691">
        <v>0.02</v>
      </c>
      <c r="F4691">
        <v>5.0999999999999997E-2</v>
      </c>
    </row>
    <row r="4692" spans="1:6" x14ac:dyDescent="0.3">
      <c r="A4692" t="s">
        <v>4727</v>
      </c>
      <c r="B4692" t="s">
        <v>92</v>
      </c>
      <c r="C4692">
        <v>524000</v>
      </c>
      <c r="D4692">
        <v>1568.9</v>
      </c>
      <c r="E4692">
        <v>1.09E-2</v>
      </c>
      <c r="F4692">
        <v>7.3599999999999999E-2</v>
      </c>
    </row>
    <row r="4693" spans="1:6" x14ac:dyDescent="0.3">
      <c r="A4693" t="s">
        <v>4728</v>
      </c>
      <c r="B4693" t="s">
        <v>26</v>
      </c>
      <c r="C4693">
        <v>751000</v>
      </c>
      <c r="D4693">
        <v>4355.6000000000004</v>
      </c>
      <c r="E4693">
        <v>2.1600000000000001E-2</v>
      </c>
      <c r="F4693">
        <v>0.62709999999999999</v>
      </c>
    </row>
    <row r="4694" spans="1:6" x14ac:dyDescent="0.3">
      <c r="A4694" t="s">
        <v>4729</v>
      </c>
      <c r="B4694" t="s">
        <v>71</v>
      </c>
      <c r="C4694">
        <v>800000</v>
      </c>
      <c r="D4694">
        <v>30765.4</v>
      </c>
      <c r="E4694">
        <v>7.2700000000000001E-2</v>
      </c>
      <c r="F4694">
        <v>9.3799999999999994E-2</v>
      </c>
    </row>
    <row r="4695" spans="1:6" x14ac:dyDescent="0.3">
      <c r="A4695" t="s">
        <v>4730</v>
      </c>
      <c r="B4695" t="s">
        <v>50</v>
      </c>
      <c r="C4695">
        <v>957000</v>
      </c>
      <c r="D4695">
        <v>41132.9</v>
      </c>
      <c r="E4695">
        <v>8.1000000000000003E-2</v>
      </c>
      <c r="F4695">
        <v>7.5899999999999995E-2</v>
      </c>
    </row>
    <row r="4696" spans="1:6" x14ac:dyDescent="0.3">
      <c r="A4696" t="s">
        <v>4731</v>
      </c>
      <c r="B4696" t="s">
        <v>26</v>
      </c>
      <c r="C4696">
        <v>770000</v>
      </c>
      <c r="D4696">
        <v>3156.5</v>
      </c>
      <c r="E4696">
        <v>5.4199999999999998E-2</v>
      </c>
      <c r="F4696">
        <v>9.3799999999999994E-2</v>
      </c>
    </row>
    <row r="4697" spans="1:6" x14ac:dyDescent="0.3">
      <c r="A4697" t="s">
        <v>4732</v>
      </c>
      <c r="B4697" t="s">
        <v>24</v>
      </c>
      <c r="C4697">
        <v>570000</v>
      </c>
      <c r="D4697">
        <v>32466</v>
      </c>
      <c r="E4697">
        <v>2.8799999999999999E-2</v>
      </c>
      <c r="F4697">
        <v>7.5899999999999995E-2</v>
      </c>
    </row>
    <row r="4698" spans="1:6" x14ac:dyDescent="0.3">
      <c r="A4698" t="s">
        <v>4733</v>
      </c>
      <c r="B4698" t="s">
        <v>81</v>
      </c>
      <c r="C4698">
        <v>785000</v>
      </c>
      <c r="D4698">
        <v>1056143.3</v>
      </c>
      <c r="E4698">
        <v>1.0200000000000001E-2</v>
      </c>
      <c r="F4698">
        <v>8.2199999999999995E-2</v>
      </c>
    </row>
    <row r="4699" spans="1:6" x14ac:dyDescent="0.3">
      <c r="A4699" t="s">
        <v>4734</v>
      </c>
      <c r="B4699" t="s">
        <v>26</v>
      </c>
      <c r="C4699">
        <v>1190000</v>
      </c>
      <c r="D4699">
        <v>882161.3</v>
      </c>
      <c r="E4699">
        <v>2.9499999999999998E-2</v>
      </c>
      <c r="F4699">
        <v>4.0899999999999999E-2</v>
      </c>
    </row>
    <row r="4700" spans="1:6" x14ac:dyDescent="0.3">
      <c r="A4700" t="s">
        <v>4735</v>
      </c>
      <c r="B4700" t="s">
        <v>41</v>
      </c>
      <c r="C4700">
        <v>882000</v>
      </c>
      <c r="D4700">
        <v>1665.5</v>
      </c>
      <c r="E4700">
        <v>1.8100000000000002E-2</v>
      </c>
      <c r="F4700">
        <v>0.13719999999999999</v>
      </c>
    </row>
    <row r="4701" spans="1:6" x14ac:dyDescent="0.3">
      <c r="A4701" t="s">
        <v>4736</v>
      </c>
      <c r="B4701" t="s">
        <v>214</v>
      </c>
      <c r="C4701">
        <v>846000</v>
      </c>
      <c r="D4701">
        <v>4067.4</v>
      </c>
      <c r="E4701">
        <v>4.2000000000000003E-2</v>
      </c>
      <c r="F4701">
        <v>7.5899999999999995E-2</v>
      </c>
    </row>
    <row r="4702" spans="1:6" x14ac:dyDescent="0.3">
      <c r="A4702" t="s">
        <v>4737</v>
      </c>
      <c r="B4702" t="s">
        <v>41</v>
      </c>
      <c r="C4702">
        <v>1840000</v>
      </c>
      <c r="D4702">
        <v>2672.6</v>
      </c>
      <c r="E4702">
        <v>1.95E-2</v>
      </c>
      <c r="F4702">
        <v>5.7599999999999998E-2</v>
      </c>
    </row>
    <row r="4703" spans="1:6" x14ac:dyDescent="0.3">
      <c r="A4703" t="s">
        <v>4738</v>
      </c>
      <c r="B4703" t="s">
        <v>92</v>
      </c>
      <c r="C4703">
        <v>532000</v>
      </c>
      <c r="D4703">
        <v>709.6</v>
      </c>
      <c r="E4703">
        <v>2.0899999999999998E-2</v>
      </c>
      <c r="F4703">
        <v>0.1066</v>
      </c>
    </row>
    <row r="4704" spans="1:6" x14ac:dyDescent="0.3">
      <c r="A4704" t="s">
        <v>4739</v>
      </c>
      <c r="B4704" t="s">
        <v>41</v>
      </c>
      <c r="C4704">
        <v>512000</v>
      </c>
      <c r="D4704">
        <v>309.2</v>
      </c>
      <c r="E4704">
        <v>9.1999999999999998E-3</v>
      </c>
      <c r="F4704">
        <v>8.2199999999999995E-2</v>
      </c>
    </row>
    <row r="4705" spans="1:6" x14ac:dyDescent="0.3">
      <c r="A4705" t="s">
        <v>4740</v>
      </c>
      <c r="B4705" t="s">
        <v>26</v>
      </c>
      <c r="C4705">
        <v>1050000</v>
      </c>
      <c r="D4705">
        <v>95580</v>
      </c>
      <c r="E4705">
        <v>2.7199999999999998E-2</v>
      </c>
      <c r="F4705">
        <v>7.5899999999999995E-2</v>
      </c>
    </row>
    <row r="4706" spans="1:6" x14ac:dyDescent="0.3">
      <c r="A4706" t="s">
        <v>4741</v>
      </c>
      <c r="B4706" t="s">
        <v>30</v>
      </c>
      <c r="C4706">
        <v>1110000</v>
      </c>
      <c r="D4706">
        <v>1464017.8</v>
      </c>
      <c r="E4706">
        <v>7.1999999999999998E-3</v>
      </c>
      <c r="F4706">
        <v>6.54E-2</v>
      </c>
    </row>
    <row r="4707" spans="1:6" x14ac:dyDescent="0.3">
      <c r="A4707" t="s">
        <v>4742</v>
      </c>
      <c r="B4707" t="s">
        <v>214</v>
      </c>
      <c r="C4707">
        <v>520000</v>
      </c>
      <c r="D4707">
        <v>8079.2</v>
      </c>
      <c r="E4707">
        <v>1.6899999999999998E-2</v>
      </c>
      <c r="F4707">
        <v>5.8500000000000003E-2</v>
      </c>
    </row>
    <row r="4708" spans="1:6" x14ac:dyDescent="0.3">
      <c r="A4708" t="s">
        <v>4743</v>
      </c>
      <c r="B4708" t="s">
        <v>28</v>
      </c>
      <c r="C4708">
        <v>3420000</v>
      </c>
      <c r="D4708">
        <v>63522.9</v>
      </c>
      <c r="E4708">
        <v>5.1999999999999998E-3</v>
      </c>
      <c r="F4708">
        <v>6.54E-2</v>
      </c>
    </row>
    <row r="4709" spans="1:6" x14ac:dyDescent="0.3">
      <c r="A4709" t="s">
        <v>4744</v>
      </c>
      <c r="B4709" t="s">
        <v>21</v>
      </c>
      <c r="C4709">
        <v>532000</v>
      </c>
      <c r="D4709">
        <v>9687.2999999999993</v>
      </c>
      <c r="E4709">
        <v>2.7400000000000001E-2</v>
      </c>
      <c r="F4709">
        <v>5.1799999999999999E-2</v>
      </c>
    </row>
    <row r="4710" spans="1:6" x14ac:dyDescent="0.3">
      <c r="A4710" t="s">
        <v>4745</v>
      </c>
      <c r="B4710" t="s">
        <v>26</v>
      </c>
      <c r="C4710">
        <v>686000</v>
      </c>
      <c r="D4710">
        <v>6357</v>
      </c>
      <c r="E4710">
        <v>6.7000000000000002E-3</v>
      </c>
      <c r="F4710">
        <v>6.54E-2</v>
      </c>
    </row>
    <row r="4711" spans="1:6" x14ac:dyDescent="0.3">
      <c r="A4711" t="s">
        <v>4746</v>
      </c>
      <c r="B4711" t="s">
        <v>195</v>
      </c>
      <c r="C4711">
        <v>516000</v>
      </c>
      <c r="D4711">
        <v>2227.4</v>
      </c>
      <c r="E4711">
        <v>1.18E-2</v>
      </c>
      <c r="F4711">
        <v>0.18890000000000001</v>
      </c>
    </row>
    <row r="4712" spans="1:6" x14ac:dyDescent="0.3">
      <c r="A4712" t="s">
        <v>4747</v>
      </c>
      <c r="B4712" t="s">
        <v>26</v>
      </c>
      <c r="C4712">
        <v>781000</v>
      </c>
      <c r="D4712">
        <v>13789.3</v>
      </c>
      <c r="E4712">
        <v>1.2699999999999999E-2</v>
      </c>
      <c r="F4712">
        <v>0.14710000000000001</v>
      </c>
    </row>
    <row r="4713" spans="1:6" x14ac:dyDescent="0.3">
      <c r="A4713" t="s">
        <v>4748</v>
      </c>
      <c r="B4713" t="s">
        <v>24</v>
      </c>
      <c r="C4713">
        <v>685000</v>
      </c>
      <c r="D4713">
        <v>18164.099999999999</v>
      </c>
      <c r="E4713">
        <v>3.78E-2</v>
      </c>
      <c r="F4713">
        <v>7.5899999999999995E-2</v>
      </c>
    </row>
    <row r="4714" spans="1:6" x14ac:dyDescent="0.3">
      <c r="A4714" t="s">
        <v>4749</v>
      </c>
      <c r="B4714" t="s">
        <v>21</v>
      </c>
      <c r="C4714">
        <v>699000</v>
      </c>
      <c r="D4714">
        <v>334.5</v>
      </c>
      <c r="E4714">
        <v>6.5799999999999997E-2</v>
      </c>
      <c r="F4714">
        <v>9.3799999999999994E-2</v>
      </c>
    </row>
    <row r="4715" spans="1:6" x14ac:dyDescent="0.3">
      <c r="A4715" t="s">
        <v>4750</v>
      </c>
      <c r="B4715" t="s">
        <v>88</v>
      </c>
      <c r="C4715">
        <v>660000</v>
      </c>
      <c r="D4715">
        <v>1667.5</v>
      </c>
      <c r="E4715">
        <v>2.93E-2</v>
      </c>
      <c r="F4715">
        <v>9.5100000000000004E-2</v>
      </c>
    </row>
    <row r="4716" spans="1:6" x14ac:dyDescent="0.3">
      <c r="A4716" t="s">
        <v>4751</v>
      </c>
      <c r="B4716" t="s">
        <v>53</v>
      </c>
      <c r="C4716">
        <v>1480000</v>
      </c>
      <c r="D4716">
        <v>475288.6</v>
      </c>
      <c r="E4716">
        <v>9.1000000000000004E-3</v>
      </c>
      <c r="F4716">
        <v>8.2199999999999995E-2</v>
      </c>
    </row>
    <row r="4717" spans="1:6" x14ac:dyDescent="0.3">
      <c r="A4717" t="s">
        <v>4752</v>
      </c>
      <c r="B4717" t="s">
        <v>26</v>
      </c>
      <c r="C4717">
        <v>519000</v>
      </c>
      <c r="D4717">
        <v>723.7</v>
      </c>
      <c r="E4717">
        <v>1.5900000000000001E-2</v>
      </c>
      <c r="F4717">
        <v>0.1067</v>
      </c>
    </row>
    <row r="4718" spans="1:6" x14ac:dyDescent="0.3">
      <c r="A4718" t="s">
        <v>4753</v>
      </c>
      <c r="B4718" t="s">
        <v>71</v>
      </c>
      <c r="C4718">
        <v>744000</v>
      </c>
      <c r="D4718">
        <v>42990.5</v>
      </c>
      <c r="E4718">
        <v>4.1300000000000003E-2</v>
      </c>
      <c r="F4718">
        <v>7.5899999999999995E-2</v>
      </c>
    </row>
    <row r="4719" spans="1:6" x14ac:dyDescent="0.3">
      <c r="A4719" t="s">
        <v>4754</v>
      </c>
      <c r="B4719" t="s">
        <v>88</v>
      </c>
      <c r="C4719">
        <v>553000</v>
      </c>
      <c r="D4719">
        <v>142.19999999999999</v>
      </c>
      <c r="E4719">
        <v>3.8999999999999998E-3</v>
      </c>
      <c r="F4719">
        <v>0.16819999999999999</v>
      </c>
    </row>
    <row r="4720" spans="1:6" x14ac:dyDescent="0.3">
      <c r="A4720" t="s">
        <v>4755</v>
      </c>
      <c r="B4720" t="s">
        <v>24</v>
      </c>
      <c r="C4720">
        <v>812000</v>
      </c>
      <c r="D4720">
        <v>10944.2</v>
      </c>
      <c r="E4720">
        <v>1.15E-2</v>
      </c>
      <c r="F4720">
        <v>0.1187</v>
      </c>
    </row>
    <row r="4721" spans="1:6" x14ac:dyDescent="0.3">
      <c r="A4721" t="s">
        <v>4756</v>
      </c>
      <c r="B4721" t="s">
        <v>24</v>
      </c>
      <c r="C4721">
        <v>937000</v>
      </c>
      <c r="D4721">
        <v>442096.6</v>
      </c>
      <c r="E4721">
        <v>2.4899999999999999E-2</v>
      </c>
      <c r="F4721">
        <v>6.7199999999999996E-2</v>
      </c>
    </row>
    <row r="4722" spans="1:6" x14ac:dyDescent="0.3">
      <c r="A4722" t="s">
        <v>4757</v>
      </c>
      <c r="B4722" t="s">
        <v>195</v>
      </c>
      <c r="C4722">
        <v>576000</v>
      </c>
      <c r="D4722">
        <v>31478.2</v>
      </c>
      <c r="E4722">
        <v>4.4200000000000003E-2</v>
      </c>
      <c r="F4722">
        <v>7.5899999999999995E-2</v>
      </c>
    </row>
    <row r="4723" spans="1:6" x14ac:dyDescent="0.3">
      <c r="A4723" t="s">
        <v>4758</v>
      </c>
      <c r="B4723" t="s">
        <v>88</v>
      </c>
      <c r="C4723">
        <v>514000</v>
      </c>
      <c r="D4723">
        <v>4139.5</v>
      </c>
      <c r="E4723">
        <v>1.9400000000000001E-2</v>
      </c>
      <c r="F4723">
        <v>9.5100000000000004E-2</v>
      </c>
    </row>
    <row r="4724" spans="1:6" x14ac:dyDescent="0.3">
      <c r="A4724" t="s">
        <v>4759</v>
      </c>
      <c r="B4724" t="s">
        <v>62</v>
      </c>
      <c r="C4724">
        <v>567000</v>
      </c>
      <c r="D4724">
        <v>6669.9</v>
      </c>
      <c r="E4724">
        <v>5.0299999999999997E-2</v>
      </c>
      <c r="F4724">
        <v>7.5899999999999995E-2</v>
      </c>
    </row>
    <row r="4725" spans="1:6" x14ac:dyDescent="0.3">
      <c r="A4725" t="s">
        <v>4760</v>
      </c>
      <c r="B4725" t="s">
        <v>26</v>
      </c>
      <c r="C4725">
        <v>545000</v>
      </c>
      <c r="D4725">
        <v>5275.5</v>
      </c>
      <c r="E4725">
        <v>3.8399999999999997E-2</v>
      </c>
      <c r="F4725">
        <v>7.5899999999999995E-2</v>
      </c>
    </row>
    <row r="4726" spans="1:6" x14ac:dyDescent="0.3">
      <c r="A4726" t="s">
        <v>4761</v>
      </c>
      <c r="B4726" t="s">
        <v>41</v>
      </c>
      <c r="C4726">
        <v>627000</v>
      </c>
      <c r="D4726">
        <v>23420.400000000001</v>
      </c>
      <c r="E4726">
        <v>3.32E-2</v>
      </c>
      <c r="F4726">
        <v>7.5899999999999995E-2</v>
      </c>
    </row>
    <row r="4727" spans="1:6" x14ac:dyDescent="0.3">
      <c r="A4727" t="s">
        <v>4762</v>
      </c>
      <c r="B4727" t="s">
        <v>50</v>
      </c>
      <c r="C4727">
        <v>1120000</v>
      </c>
      <c r="D4727">
        <v>9520497.9000000004</v>
      </c>
      <c r="E4727">
        <v>5.3E-3</v>
      </c>
      <c r="F4727">
        <v>8.2199999999999995E-2</v>
      </c>
    </row>
    <row r="4728" spans="1:6" x14ac:dyDescent="0.3">
      <c r="A4728" t="s">
        <v>4763</v>
      </c>
      <c r="B4728" t="s">
        <v>32</v>
      </c>
      <c r="C4728">
        <v>815000</v>
      </c>
      <c r="D4728">
        <v>294714.8</v>
      </c>
      <c r="E4728">
        <v>5.5999999999999999E-3</v>
      </c>
      <c r="F4728">
        <v>8.2199999999999995E-2</v>
      </c>
    </row>
    <row r="4729" spans="1:6" x14ac:dyDescent="0.3">
      <c r="A4729" t="s">
        <v>4764</v>
      </c>
      <c r="B4729" t="s">
        <v>26</v>
      </c>
      <c r="C4729">
        <v>719000</v>
      </c>
      <c r="D4729">
        <v>2278248.2999999998</v>
      </c>
      <c r="E4729">
        <v>2.93E-2</v>
      </c>
      <c r="F4729">
        <v>5.1799999999999999E-2</v>
      </c>
    </row>
    <row r="4730" spans="1:6" x14ac:dyDescent="0.3">
      <c r="A4730" t="s">
        <v>4765</v>
      </c>
      <c r="B4730" t="s">
        <v>74</v>
      </c>
      <c r="C4730">
        <v>627000</v>
      </c>
      <c r="D4730">
        <v>68308.899999999994</v>
      </c>
      <c r="E4730">
        <v>6.0600000000000001E-2</v>
      </c>
      <c r="F4730">
        <v>9.5100000000000004E-2</v>
      </c>
    </row>
    <row r="4731" spans="1:6" x14ac:dyDescent="0.3">
      <c r="A4731" t="s">
        <v>4766</v>
      </c>
      <c r="B4731" t="s">
        <v>41</v>
      </c>
      <c r="C4731">
        <v>518000</v>
      </c>
      <c r="D4731">
        <v>3063.9</v>
      </c>
      <c r="E4731">
        <v>1.1299999999999999E-2</v>
      </c>
      <c r="F4731">
        <v>0.24790000000000001</v>
      </c>
    </row>
    <row r="4732" spans="1:6" x14ac:dyDescent="0.3">
      <c r="A4732" t="s">
        <v>4767</v>
      </c>
      <c r="B4732" t="s">
        <v>53</v>
      </c>
      <c r="C4732">
        <v>887000</v>
      </c>
      <c r="D4732">
        <v>33689.699999999997</v>
      </c>
      <c r="E4732">
        <v>4.99E-2</v>
      </c>
      <c r="F4732">
        <v>9.98E-2</v>
      </c>
    </row>
    <row r="4733" spans="1:6" x14ac:dyDescent="0.3">
      <c r="A4733" t="s">
        <v>4768</v>
      </c>
      <c r="B4733" t="s">
        <v>26</v>
      </c>
      <c r="C4733">
        <v>737000</v>
      </c>
      <c r="D4733">
        <v>63360.1</v>
      </c>
      <c r="E4733">
        <v>3.2300000000000002E-2</v>
      </c>
      <c r="F4733">
        <v>6.7199999999999996E-2</v>
      </c>
    </row>
    <row r="4734" spans="1:6" x14ac:dyDescent="0.3">
      <c r="A4734" t="s">
        <v>4769</v>
      </c>
      <c r="B4734" t="s">
        <v>21</v>
      </c>
      <c r="C4734">
        <v>561000</v>
      </c>
      <c r="D4734">
        <v>4581.7</v>
      </c>
      <c r="E4734">
        <v>5.8400000000000001E-2</v>
      </c>
      <c r="F4734">
        <v>9.5100000000000004E-2</v>
      </c>
    </row>
    <row r="4735" spans="1:6" x14ac:dyDescent="0.3">
      <c r="A4735" t="s">
        <v>4770</v>
      </c>
      <c r="B4735" t="s">
        <v>214</v>
      </c>
      <c r="C4735">
        <v>1690000</v>
      </c>
      <c r="D4735">
        <v>71163.600000000006</v>
      </c>
      <c r="E4735">
        <v>8.8000000000000005E-3</v>
      </c>
      <c r="F4735">
        <v>6.54E-2</v>
      </c>
    </row>
    <row r="4736" spans="1:6" x14ac:dyDescent="0.3">
      <c r="A4736" t="s">
        <v>4771</v>
      </c>
      <c r="B4736" t="s">
        <v>41</v>
      </c>
      <c r="C4736">
        <v>527000</v>
      </c>
      <c r="D4736">
        <v>14574.1</v>
      </c>
      <c r="E4736">
        <v>4.3200000000000002E-2</v>
      </c>
      <c r="F4736">
        <v>7.5899999999999995E-2</v>
      </c>
    </row>
    <row r="4737" spans="1:6" x14ac:dyDescent="0.3">
      <c r="A4737" t="s">
        <v>4772</v>
      </c>
      <c r="B4737" t="s">
        <v>26</v>
      </c>
      <c r="C4737">
        <v>519000</v>
      </c>
      <c r="D4737">
        <v>66277.3</v>
      </c>
      <c r="E4737">
        <v>3.5700000000000003E-2</v>
      </c>
      <c r="F4737">
        <v>7.5899999999999995E-2</v>
      </c>
    </row>
    <row r="4738" spans="1:6" x14ac:dyDescent="0.3">
      <c r="A4738" t="s">
        <v>4773</v>
      </c>
      <c r="B4738" t="s">
        <v>53</v>
      </c>
      <c r="C4738">
        <v>621000</v>
      </c>
      <c r="D4738">
        <v>41595</v>
      </c>
      <c r="E4738">
        <v>4.2999999999999997E-2</v>
      </c>
      <c r="F4738">
        <v>9.5100000000000004E-2</v>
      </c>
    </row>
    <row r="4739" spans="1:6" x14ac:dyDescent="0.3">
      <c r="A4739" t="s">
        <v>4774</v>
      </c>
      <c r="B4739" t="s">
        <v>92</v>
      </c>
      <c r="C4739">
        <v>608000</v>
      </c>
      <c r="D4739">
        <v>10130.200000000001</v>
      </c>
      <c r="E4739">
        <v>1.7000000000000001E-2</v>
      </c>
      <c r="F4739">
        <v>8.5400000000000004E-2</v>
      </c>
    </row>
    <row r="4740" spans="1:6" x14ac:dyDescent="0.3">
      <c r="A4740" t="s">
        <v>4775</v>
      </c>
      <c r="B4740" t="s">
        <v>53</v>
      </c>
      <c r="C4740">
        <v>3190000</v>
      </c>
      <c r="D4740">
        <v>303444.5</v>
      </c>
      <c r="E4740">
        <v>4.8000000000000001E-2</v>
      </c>
      <c r="F4740">
        <v>7.5899999999999995E-2</v>
      </c>
    </row>
    <row r="4741" spans="1:6" x14ac:dyDescent="0.3">
      <c r="A4741" t="s">
        <v>4776</v>
      </c>
      <c r="B4741" t="s">
        <v>62</v>
      </c>
      <c r="C4741">
        <v>540000</v>
      </c>
      <c r="D4741">
        <v>4582.3999999999996</v>
      </c>
      <c r="E4741">
        <v>7.46E-2</v>
      </c>
      <c r="F4741">
        <v>7.5899999999999995E-2</v>
      </c>
    </row>
    <row r="4742" spans="1:6" x14ac:dyDescent="0.3">
      <c r="A4742" t="s">
        <v>4777</v>
      </c>
      <c r="B4742" t="s">
        <v>41</v>
      </c>
      <c r="C4742">
        <v>704000</v>
      </c>
      <c r="D4742">
        <v>197.7</v>
      </c>
      <c r="E4742">
        <v>0.1323</v>
      </c>
      <c r="F4742">
        <v>5.3800000000000001E-2</v>
      </c>
    </row>
    <row r="4743" spans="1:6" x14ac:dyDescent="0.3">
      <c r="A4743" t="s">
        <v>4778</v>
      </c>
      <c r="B4743" t="s">
        <v>26</v>
      </c>
      <c r="C4743">
        <v>777000</v>
      </c>
      <c r="D4743">
        <v>21</v>
      </c>
      <c r="E4743">
        <v>0.01</v>
      </c>
      <c r="F4743">
        <v>0.3024</v>
      </c>
    </row>
    <row r="4744" spans="1:6" x14ac:dyDescent="0.3">
      <c r="A4744" t="s">
        <v>4779</v>
      </c>
      <c r="B4744" t="s">
        <v>92</v>
      </c>
      <c r="C4744">
        <v>523000</v>
      </c>
      <c r="D4744">
        <v>57221.599999999999</v>
      </c>
      <c r="E4744">
        <v>2.0500000000000001E-2</v>
      </c>
      <c r="F4744">
        <v>9.5100000000000004E-2</v>
      </c>
    </row>
    <row r="4745" spans="1:6" x14ac:dyDescent="0.3">
      <c r="A4745" t="s">
        <v>4780</v>
      </c>
      <c r="B4745" t="s">
        <v>74</v>
      </c>
      <c r="C4745">
        <v>517000</v>
      </c>
      <c r="D4745">
        <v>10747.4</v>
      </c>
      <c r="E4745">
        <v>8.1799999999999998E-2</v>
      </c>
      <c r="F4745">
        <v>9.5100000000000004E-2</v>
      </c>
    </row>
    <row r="4746" spans="1:6" x14ac:dyDescent="0.3">
      <c r="A4746" t="s">
        <v>4781</v>
      </c>
      <c r="B4746" t="s">
        <v>71</v>
      </c>
      <c r="C4746">
        <v>531000</v>
      </c>
      <c r="D4746">
        <v>48003.9</v>
      </c>
      <c r="E4746">
        <v>3.3500000000000002E-2</v>
      </c>
      <c r="F4746">
        <v>7.5899999999999995E-2</v>
      </c>
    </row>
    <row r="4747" spans="1:6" x14ac:dyDescent="0.3">
      <c r="A4747" t="s">
        <v>4782</v>
      </c>
      <c r="B4747" t="s">
        <v>35</v>
      </c>
      <c r="C4747">
        <v>646000</v>
      </c>
      <c r="D4747">
        <v>990982.2</v>
      </c>
      <c r="E4747">
        <v>2.0899999999999998E-2</v>
      </c>
      <c r="F4747">
        <v>0.1067</v>
      </c>
    </row>
    <row r="4748" spans="1:6" x14ac:dyDescent="0.3">
      <c r="A4748" t="s">
        <v>4783</v>
      </c>
      <c r="B4748" t="s">
        <v>26</v>
      </c>
      <c r="C4748">
        <v>619000</v>
      </c>
      <c r="D4748">
        <v>9669.6</v>
      </c>
      <c r="E4748">
        <v>5.2699999999999997E-2</v>
      </c>
      <c r="F4748">
        <v>7.5899999999999995E-2</v>
      </c>
    </row>
    <row r="4749" spans="1:6" x14ac:dyDescent="0.3">
      <c r="A4749" t="s">
        <v>4784</v>
      </c>
      <c r="B4749" t="s">
        <v>88</v>
      </c>
      <c r="C4749">
        <v>773000</v>
      </c>
      <c r="D4749">
        <v>14862.4</v>
      </c>
      <c r="E4749">
        <v>3.0200000000000001E-2</v>
      </c>
      <c r="F4749">
        <v>9.3799999999999994E-2</v>
      </c>
    </row>
    <row r="4750" spans="1:6" x14ac:dyDescent="0.3">
      <c r="A4750" t="s">
        <v>4785</v>
      </c>
      <c r="B4750" t="s">
        <v>92</v>
      </c>
      <c r="C4750">
        <v>687000</v>
      </c>
      <c r="D4750">
        <v>49665.3</v>
      </c>
      <c r="E4750">
        <v>2.3900000000000001E-2</v>
      </c>
      <c r="F4750">
        <v>4.0899999999999999E-2</v>
      </c>
    </row>
    <row r="4751" spans="1:6" x14ac:dyDescent="0.3">
      <c r="A4751" t="s">
        <v>4786</v>
      </c>
      <c r="B4751" t="s">
        <v>92</v>
      </c>
      <c r="C4751">
        <v>658000</v>
      </c>
      <c r="D4751">
        <v>82941.3</v>
      </c>
      <c r="E4751">
        <v>4.48E-2</v>
      </c>
      <c r="F4751">
        <v>5.1799999999999999E-2</v>
      </c>
    </row>
    <row r="4752" spans="1:6" x14ac:dyDescent="0.3">
      <c r="A4752" t="s">
        <v>4787</v>
      </c>
      <c r="B4752" t="s">
        <v>53</v>
      </c>
      <c r="C4752">
        <v>693000</v>
      </c>
      <c r="D4752">
        <v>23329.200000000001</v>
      </c>
      <c r="E4752">
        <v>6.54E-2</v>
      </c>
      <c r="F4752">
        <v>7.5899999999999995E-2</v>
      </c>
    </row>
    <row r="4753" spans="1:6" x14ac:dyDescent="0.3">
      <c r="A4753" t="s">
        <v>4788</v>
      </c>
      <c r="B4753" t="s">
        <v>214</v>
      </c>
      <c r="C4753">
        <v>765000</v>
      </c>
      <c r="D4753">
        <v>47132.1</v>
      </c>
      <c r="E4753">
        <v>5.1999999999999998E-3</v>
      </c>
      <c r="F4753">
        <v>0.1027</v>
      </c>
    </row>
    <row r="4754" spans="1:6" x14ac:dyDescent="0.3">
      <c r="A4754" t="s">
        <v>4789</v>
      </c>
      <c r="B4754" t="s">
        <v>26</v>
      </c>
      <c r="C4754">
        <v>700000</v>
      </c>
      <c r="D4754">
        <v>3708364.4</v>
      </c>
      <c r="E4754">
        <v>2.35E-2</v>
      </c>
      <c r="F4754">
        <v>8.4500000000000006E-2</v>
      </c>
    </row>
    <row r="4755" spans="1:6" x14ac:dyDescent="0.3">
      <c r="A4755" t="s">
        <v>4790</v>
      </c>
      <c r="B4755" t="s">
        <v>53</v>
      </c>
      <c r="C4755">
        <v>549000</v>
      </c>
      <c r="D4755">
        <v>1735.4</v>
      </c>
      <c r="E4755">
        <v>2.6599999999999999E-2</v>
      </c>
      <c r="F4755">
        <v>5.0999999999999997E-2</v>
      </c>
    </row>
    <row r="4756" spans="1:6" x14ac:dyDescent="0.3">
      <c r="A4756" t="s">
        <v>4791</v>
      </c>
      <c r="B4756" t="s">
        <v>53</v>
      </c>
      <c r="C4756">
        <v>1050000</v>
      </c>
      <c r="D4756">
        <v>184485.4</v>
      </c>
      <c r="E4756">
        <v>3.8600000000000002E-2</v>
      </c>
      <c r="F4756">
        <v>9.5100000000000004E-2</v>
      </c>
    </row>
    <row r="4757" spans="1:6" x14ac:dyDescent="0.3">
      <c r="A4757" t="s">
        <v>4792</v>
      </c>
      <c r="B4757" t="s">
        <v>26</v>
      </c>
      <c r="C4757">
        <v>539000</v>
      </c>
      <c r="D4757">
        <v>53926.8</v>
      </c>
      <c r="E4757">
        <v>3.09E-2</v>
      </c>
      <c r="F4757">
        <v>9.5100000000000004E-2</v>
      </c>
    </row>
    <row r="4758" spans="1:6" x14ac:dyDescent="0.3">
      <c r="A4758" t="s">
        <v>4793</v>
      </c>
      <c r="B4758" t="s">
        <v>24</v>
      </c>
      <c r="C4758">
        <v>799000</v>
      </c>
      <c r="D4758">
        <v>60557.5</v>
      </c>
      <c r="E4758">
        <v>1.95E-2</v>
      </c>
      <c r="F4758">
        <v>4.8800000000000003E-2</v>
      </c>
    </row>
    <row r="4759" spans="1:6" x14ac:dyDescent="0.3">
      <c r="A4759" t="s">
        <v>4794</v>
      </c>
      <c r="B4759" t="s">
        <v>53</v>
      </c>
      <c r="C4759">
        <v>678000</v>
      </c>
      <c r="D4759">
        <v>78447.399999999994</v>
      </c>
      <c r="E4759">
        <v>4.19E-2</v>
      </c>
      <c r="F4759">
        <v>9.5100000000000004E-2</v>
      </c>
    </row>
    <row r="4760" spans="1:6" x14ac:dyDescent="0.3">
      <c r="A4760" t="s">
        <v>4795</v>
      </c>
      <c r="B4760" t="s">
        <v>30</v>
      </c>
      <c r="C4760">
        <v>527000</v>
      </c>
      <c r="D4760">
        <v>21339</v>
      </c>
      <c r="E4760">
        <v>2.9499999999999998E-2</v>
      </c>
      <c r="F4760">
        <v>4.0899999999999999E-2</v>
      </c>
    </row>
    <row r="4761" spans="1:6" x14ac:dyDescent="0.3">
      <c r="A4761" t="s">
        <v>4796</v>
      </c>
      <c r="B4761" t="s">
        <v>26</v>
      </c>
      <c r="C4761">
        <v>533000</v>
      </c>
      <c r="D4761">
        <v>630.70000000000005</v>
      </c>
      <c r="E4761">
        <v>1.6E-2</v>
      </c>
      <c r="F4761">
        <v>0.13900000000000001</v>
      </c>
    </row>
    <row r="4762" spans="1:6" x14ac:dyDescent="0.3">
      <c r="A4762" t="s">
        <v>4797</v>
      </c>
      <c r="B4762" t="s">
        <v>21</v>
      </c>
      <c r="C4762">
        <v>594000</v>
      </c>
      <c r="D4762">
        <v>124.7</v>
      </c>
      <c r="E4762">
        <v>3.78E-2</v>
      </c>
      <c r="F4762">
        <v>9.3799999999999994E-2</v>
      </c>
    </row>
    <row r="4763" spans="1:6" x14ac:dyDescent="0.3">
      <c r="A4763" t="s">
        <v>4798</v>
      </c>
      <c r="B4763" t="s">
        <v>53</v>
      </c>
      <c r="C4763">
        <v>1290000</v>
      </c>
      <c r="D4763">
        <v>43592.800000000003</v>
      </c>
      <c r="F4763">
        <v>4.0899999999999999E-2</v>
      </c>
    </row>
    <row r="4764" spans="1:6" x14ac:dyDescent="0.3">
      <c r="A4764" t="s">
        <v>4799</v>
      </c>
      <c r="B4764" t="s">
        <v>26</v>
      </c>
      <c r="C4764">
        <v>787000</v>
      </c>
      <c r="D4764">
        <v>137415.29999999999</v>
      </c>
      <c r="E4764">
        <v>4.1200000000000001E-2</v>
      </c>
      <c r="F4764">
        <v>7.5899999999999995E-2</v>
      </c>
    </row>
    <row r="4765" spans="1:6" x14ac:dyDescent="0.3">
      <c r="A4765" t="s">
        <v>4800</v>
      </c>
      <c r="B4765" t="s">
        <v>21</v>
      </c>
      <c r="C4765">
        <v>2090000</v>
      </c>
      <c r="D4765">
        <v>1807</v>
      </c>
      <c r="E4765">
        <v>8.2000000000000007E-3</v>
      </c>
      <c r="F4765">
        <v>8.1100000000000005E-2</v>
      </c>
    </row>
    <row r="4766" spans="1:6" x14ac:dyDescent="0.3">
      <c r="A4766" t="s">
        <v>4801</v>
      </c>
      <c r="B4766" t="s">
        <v>26</v>
      </c>
      <c r="C4766">
        <v>955000</v>
      </c>
      <c r="D4766">
        <v>30826.5</v>
      </c>
      <c r="E4766">
        <v>5.5999999999999999E-3</v>
      </c>
      <c r="F4766">
        <v>6.54E-2</v>
      </c>
    </row>
    <row r="4767" spans="1:6" x14ac:dyDescent="0.3">
      <c r="A4767" t="s">
        <v>4802</v>
      </c>
      <c r="B4767" t="s">
        <v>195</v>
      </c>
      <c r="C4767">
        <v>558000</v>
      </c>
      <c r="D4767">
        <v>3512.5</v>
      </c>
      <c r="E4767">
        <v>2.52E-2</v>
      </c>
      <c r="F4767">
        <v>5.0999999999999997E-2</v>
      </c>
    </row>
    <row r="4768" spans="1:6" x14ac:dyDescent="0.3">
      <c r="A4768" t="s">
        <v>4803</v>
      </c>
      <c r="B4768" t="s">
        <v>41</v>
      </c>
      <c r="C4768">
        <v>542000</v>
      </c>
      <c r="D4768">
        <v>2929.2</v>
      </c>
      <c r="E4768">
        <v>1.9199999999999998E-2</v>
      </c>
      <c r="F4768">
        <v>5.7599999999999998E-2</v>
      </c>
    </row>
    <row r="4769" spans="1:6" x14ac:dyDescent="0.3">
      <c r="A4769" t="s">
        <v>4804</v>
      </c>
      <c r="B4769" t="s">
        <v>195</v>
      </c>
      <c r="C4769">
        <v>541000</v>
      </c>
      <c r="D4769">
        <v>1648.3</v>
      </c>
      <c r="E4769">
        <v>1.66E-2</v>
      </c>
      <c r="F4769">
        <v>5.7599999999999998E-2</v>
      </c>
    </row>
    <row r="4770" spans="1:6" x14ac:dyDescent="0.3">
      <c r="A4770" t="s">
        <v>4805</v>
      </c>
      <c r="B4770" t="s">
        <v>26</v>
      </c>
      <c r="C4770">
        <v>500000</v>
      </c>
      <c r="D4770">
        <v>57250.1</v>
      </c>
      <c r="E4770">
        <v>7.1199999999999999E-2</v>
      </c>
      <c r="F4770">
        <v>9.5100000000000004E-2</v>
      </c>
    </row>
    <row r="4771" spans="1:6" x14ac:dyDescent="0.3">
      <c r="A4771" t="s">
        <v>4806</v>
      </c>
      <c r="B4771" t="s">
        <v>32</v>
      </c>
      <c r="C4771">
        <v>1740000</v>
      </c>
      <c r="D4771">
        <v>8104.9</v>
      </c>
      <c r="E4771">
        <v>1.83E-2</v>
      </c>
      <c r="F4771">
        <v>0.1053</v>
      </c>
    </row>
    <row r="4772" spans="1:6" x14ac:dyDescent="0.3">
      <c r="A4772" t="s">
        <v>4807</v>
      </c>
      <c r="B4772" t="s">
        <v>81</v>
      </c>
      <c r="C4772">
        <v>550000</v>
      </c>
      <c r="D4772">
        <v>4578.1000000000004</v>
      </c>
      <c r="E4772">
        <v>1.9400000000000001E-2</v>
      </c>
      <c r="F4772">
        <v>8.5400000000000004E-2</v>
      </c>
    </row>
    <row r="4773" spans="1:6" x14ac:dyDescent="0.3">
      <c r="A4773" t="s">
        <v>4808</v>
      </c>
      <c r="B4773" t="s">
        <v>21</v>
      </c>
      <c r="C4773">
        <v>816000</v>
      </c>
      <c r="D4773">
        <v>22713.8</v>
      </c>
      <c r="E4773">
        <v>1.44E-2</v>
      </c>
      <c r="F4773">
        <v>4.6199999999999998E-2</v>
      </c>
    </row>
    <row r="4774" spans="1:6" x14ac:dyDescent="0.3">
      <c r="A4774" t="s">
        <v>4809</v>
      </c>
      <c r="B4774" t="s">
        <v>53</v>
      </c>
      <c r="C4774">
        <v>502000</v>
      </c>
      <c r="D4774">
        <v>21931.5</v>
      </c>
      <c r="E4774">
        <v>2.0199999999999999E-2</v>
      </c>
      <c r="F4774">
        <v>9.5100000000000004E-2</v>
      </c>
    </row>
    <row r="4775" spans="1:6" x14ac:dyDescent="0.3">
      <c r="A4775" t="s">
        <v>4810</v>
      </c>
      <c r="B4775" t="s">
        <v>26</v>
      </c>
      <c r="C4775">
        <v>598000</v>
      </c>
      <c r="D4775">
        <v>680561.4</v>
      </c>
      <c r="E4775">
        <v>5.5300000000000002E-2</v>
      </c>
      <c r="F4775">
        <v>7.5899999999999995E-2</v>
      </c>
    </row>
    <row r="4776" spans="1:6" x14ac:dyDescent="0.3">
      <c r="A4776" t="s">
        <v>4811</v>
      </c>
      <c r="B4776" t="s">
        <v>26</v>
      </c>
      <c r="C4776">
        <v>539000</v>
      </c>
      <c r="D4776">
        <v>215415.2</v>
      </c>
      <c r="E4776">
        <v>3.1699999999999999E-2</v>
      </c>
      <c r="F4776">
        <v>9.5100000000000004E-2</v>
      </c>
    </row>
    <row r="4777" spans="1:6" x14ac:dyDescent="0.3">
      <c r="A4777" t="s">
        <v>4812</v>
      </c>
      <c r="B4777" t="s">
        <v>214</v>
      </c>
      <c r="C4777">
        <v>567000</v>
      </c>
      <c r="D4777">
        <v>8023.3</v>
      </c>
      <c r="E4777">
        <v>1.3899999999999999E-2</v>
      </c>
      <c r="F4777">
        <v>5.8500000000000003E-2</v>
      </c>
    </row>
    <row r="4778" spans="1:6" x14ac:dyDescent="0.3">
      <c r="A4778" t="s">
        <v>4813</v>
      </c>
      <c r="B4778" t="s">
        <v>41</v>
      </c>
      <c r="C4778">
        <v>928000</v>
      </c>
      <c r="D4778">
        <v>6046.3</v>
      </c>
      <c r="E4778">
        <v>7.0000000000000001E-3</v>
      </c>
      <c r="F4778">
        <v>7.2999999999999995E-2</v>
      </c>
    </row>
    <row r="4779" spans="1:6" x14ac:dyDescent="0.3">
      <c r="A4779" t="s">
        <v>4814</v>
      </c>
      <c r="B4779" t="s">
        <v>21</v>
      </c>
      <c r="C4779">
        <v>586000</v>
      </c>
      <c r="D4779">
        <v>3538</v>
      </c>
      <c r="E4779">
        <v>1.41E-2</v>
      </c>
      <c r="F4779">
        <v>5.7599999999999998E-2</v>
      </c>
    </row>
    <row r="4780" spans="1:6" x14ac:dyDescent="0.3">
      <c r="A4780" t="s">
        <v>4815</v>
      </c>
      <c r="B4780" t="s">
        <v>26</v>
      </c>
      <c r="C4780">
        <v>513000</v>
      </c>
      <c r="D4780">
        <v>251094.7</v>
      </c>
      <c r="E4780">
        <v>5.2200000000000003E-2</v>
      </c>
      <c r="F4780">
        <v>9.5100000000000004E-2</v>
      </c>
    </row>
    <row r="4781" spans="1:6" x14ac:dyDescent="0.3">
      <c r="A4781" t="s">
        <v>4816</v>
      </c>
      <c r="B4781" t="s">
        <v>26</v>
      </c>
      <c r="C4781">
        <v>592000</v>
      </c>
      <c r="D4781">
        <v>89702.399999999994</v>
      </c>
      <c r="E4781">
        <v>2.3E-2</v>
      </c>
      <c r="F4781">
        <v>0.1953</v>
      </c>
    </row>
    <row r="4782" spans="1:6" x14ac:dyDescent="0.3">
      <c r="A4782" t="s">
        <v>4817</v>
      </c>
      <c r="B4782" t="s">
        <v>71</v>
      </c>
      <c r="C4782">
        <v>510000</v>
      </c>
      <c r="D4782">
        <v>642.9</v>
      </c>
      <c r="E4782">
        <v>1.52E-2</v>
      </c>
      <c r="F4782">
        <v>0.1067</v>
      </c>
    </row>
    <row r="4783" spans="1:6" x14ac:dyDescent="0.3">
      <c r="A4783" t="s">
        <v>4818</v>
      </c>
      <c r="B4783" t="s">
        <v>24</v>
      </c>
      <c r="C4783">
        <v>569000</v>
      </c>
      <c r="D4783">
        <v>589653.69999999995</v>
      </c>
      <c r="E4783">
        <v>4.8500000000000001E-2</v>
      </c>
      <c r="F4783">
        <v>9.5100000000000004E-2</v>
      </c>
    </row>
    <row r="4784" spans="1:6" x14ac:dyDescent="0.3">
      <c r="A4784" t="s">
        <v>4819</v>
      </c>
      <c r="B4784" t="s">
        <v>50</v>
      </c>
      <c r="C4784">
        <v>517000</v>
      </c>
      <c r="D4784">
        <v>111941.2</v>
      </c>
      <c r="E4784">
        <v>5.1499999999999997E-2</v>
      </c>
      <c r="F4784">
        <v>7.5899999999999995E-2</v>
      </c>
    </row>
    <row r="4785" spans="1:6" x14ac:dyDescent="0.3">
      <c r="A4785" t="s">
        <v>4820</v>
      </c>
      <c r="B4785" t="s">
        <v>92</v>
      </c>
      <c r="C4785">
        <v>579000</v>
      </c>
      <c r="D4785">
        <v>682351.7</v>
      </c>
      <c r="E4785">
        <v>1.6199999999999999E-2</v>
      </c>
      <c r="F4785">
        <v>0.1119</v>
      </c>
    </row>
    <row r="4786" spans="1:6" x14ac:dyDescent="0.3">
      <c r="A4786" t="s">
        <v>4821</v>
      </c>
      <c r="B4786" t="s">
        <v>26</v>
      </c>
      <c r="C4786">
        <v>540000</v>
      </c>
      <c r="D4786">
        <v>126862.2</v>
      </c>
      <c r="E4786">
        <v>5.7000000000000002E-2</v>
      </c>
      <c r="F4786">
        <v>9.5100000000000004E-2</v>
      </c>
    </row>
    <row r="4787" spans="1:6" x14ac:dyDescent="0.3">
      <c r="A4787" t="s">
        <v>4822</v>
      </c>
      <c r="B4787" t="s">
        <v>214</v>
      </c>
      <c r="C4787">
        <v>498000</v>
      </c>
      <c r="D4787">
        <v>1243.7</v>
      </c>
      <c r="E4787">
        <v>3.4099999999999998E-2</v>
      </c>
      <c r="F4787">
        <v>9.5100000000000004E-2</v>
      </c>
    </row>
    <row r="4788" spans="1:6" x14ac:dyDescent="0.3">
      <c r="A4788" t="s">
        <v>4823</v>
      </c>
      <c r="B4788" t="s">
        <v>92</v>
      </c>
      <c r="C4788">
        <v>502000</v>
      </c>
      <c r="D4788">
        <v>792.2</v>
      </c>
      <c r="E4788">
        <v>1.7600000000000001E-2</v>
      </c>
      <c r="F4788">
        <v>0.22939999999999999</v>
      </c>
    </row>
    <row r="4789" spans="1:6" x14ac:dyDescent="0.3">
      <c r="A4789" t="s">
        <v>4824</v>
      </c>
      <c r="B4789" t="s">
        <v>62</v>
      </c>
      <c r="C4789">
        <v>504000</v>
      </c>
      <c r="D4789">
        <v>168.7</v>
      </c>
      <c r="E4789">
        <v>7.7999999999999996E-3</v>
      </c>
      <c r="F4789">
        <v>0.18099999999999999</v>
      </c>
    </row>
    <row r="4790" spans="1:6" x14ac:dyDescent="0.3">
      <c r="A4790" t="s">
        <v>4825</v>
      </c>
      <c r="B4790" t="s">
        <v>30</v>
      </c>
      <c r="C4790">
        <v>694000</v>
      </c>
      <c r="D4790">
        <v>516222</v>
      </c>
      <c r="E4790">
        <v>1.5900000000000001E-2</v>
      </c>
      <c r="F4790">
        <v>5.8500000000000003E-2</v>
      </c>
    </row>
    <row r="4791" spans="1:6" x14ac:dyDescent="0.3">
      <c r="A4791" t="s">
        <v>4826</v>
      </c>
      <c r="B4791" t="s">
        <v>24</v>
      </c>
      <c r="C4791">
        <v>897000</v>
      </c>
      <c r="D4791">
        <v>366398.7</v>
      </c>
      <c r="E4791">
        <v>2.9399999999999999E-2</v>
      </c>
      <c r="F4791">
        <v>7.5899999999999995E-2</v>
      </c>
    </row>
    <row r="4792" spans="1:6" x14ac:dyDescent="0.3">
      <c r="A4792" t="s">
        <v>4827</v>
      </c>
      <c r="B4792" t="s">
        <v>26</v>
      </c>
      <c r="C4792">
        <v>516000</v>
      </c>
      <c r="D4792">
        <v>53206.8</v>
      </c>
      <c r="E4792">
        <v>2.4E-2</v>
      </c>
      <c r="F4792">
        <v>5.8500000000000003E-2</v>
      </c>
    </row>
    <row r="4793" spans="1:6" x14ac:dyDescent="0.3">
      <c r="A4793" t="s">
        <v>4828</v>
      </c>
      <c r="B4793" t="s">
        <v>26</v>
      </c>
      <c r="C4793">
        <v>620000</v>
      </c>
      <c r="D4793">
        <v>76873.3</v>
      </c>
      <c r="E4793">
        <v>2.3400000000000001E-2</v>
      </c>
      <c r="F4793">
        <v>8.5400000000000004E-2</v>
      </c>
    </row>
    <row r="4794" spans="1:6" x14ac:dyDescent="0.3">
      <c r="A4794" t="s">
        <v>4829</v>
      </c>
      <c r="B4794" t="s">
        <v>24</v>
      </c>
      <c r="C4794">
        <v>916000</v>
      </c>
      <c r="D4794">
        <v>195188.3</v>
      </c>
      <c r="E4794">
        <v>1.52E-2</v>
      </c>
      <c r="F4794">
        <v>7.2599999999999998E-2</v>
      </c>
    </row>
    <row r="4795" spans="1:6" x14ac:dyDescent="0.3">
      <c r="A4795" t="s">
        <v>4830</v>
      </c>
      <c r="B4795" t="s">
        <v>490</v>
      </c>
      <c r="C4795">
        <v>601000</v>
      </c>
      <c r="D4795">
        <v>1695.2</v>
      </c>
      <c r="E4795">
        <v>1.35E-2</v>
      </c>
      <c r="F4795">
        <v>5.8400000000000001E-2</v>
      </c>
    </row>
    <row r="4796" spans="1:6" x14ac:dyDescent="0.3">
      <c r="A4796" t="s">
        <v>4831</v>
      </c>
      <c r="B4796" t="s">
        <v>214</v>
      </c>
      <c r="C4796">
        <v>647000</v>
      </c>
      <c r="D4796">
        <v>1338.1</v>
      </c>
      <c r="E4796">
        <v>1.6E-2</v>
      </c>
      <c r="F4796">
        <v>5.7599999999999998E-2</v>
      </c>
    </row>
    <row r="4797" spans="1:6" x14ac:dyDescent="0.3">
      <c r="A4797" t="s">
        <v>4832</v>
      </c>
      <c r="B4797" t="s">
        <v>41</v>
      </c>
      <c r="C4797">
        <v>1470000</v>
      </c>
      <c r="D4797">
        <v>3288</v>
      </c>
      <c r="E4797">
        <v>0.1333</v>
      </c>
      <c r="F4797">
        <v>0.15160000000000001</v>
      </c>
    </row>
    <row r="4798" spans="1:6" x14ac:dyDescent="0.3">
      <c r="A4798" t="s">
        <v>4833</v>
      </c>
      <c r="B4798" t="s">
        <v>287</v>
      </c>
      <c r="C4798">
        <v>706000</v>
      </c>
      <c r="D4798">
        <v>17710.400000000001</v>
      </c>
      <c r="E4798">
        <v>4.1799999999999997E-2</v>
      </c>
      <c r="F4798">
        <v>7.5899999999999995E-2</v>
      </c>
    </row>
    <row r="4799" spans="1:6" x14ac:dyDescent="0.3">
      <c r="A4799" t="s">
        <v>4834</v>
      </c>
      <c r="B4799" t="s">
        <v>490</v>
      </c>
      <c r="C4799">
        <v>609000</v>
      </c>
      <c r="D4799">
        <v>9502.5</v>
      </c>
      <c r="E4799">
        <v>1.26E-2</v>
      </c>
      <c r="F4799">
        <v>0.1168</v>
      </c>
    </row>
    <row r="4800" spans="1:6" x14ac:dyDescent="0.3">
      <c r="A4800" t="s">
        <v>4835</v>
      </c>
      <c r="B4800" t="s">
        <v>214</v>
      </c>
      <c r="C4800">
        <v>663000</v>
      </c>
      <c r="D4800">
        <v>2160.9</v>
      </c>
      <c r="E4800">
        <v>2.1600000000000001E-2</v>
      </c>
      <c r="F4800">
        <v>7.5899999999999995E-2</v>
      </c>
    </row>
    <row r="4801" spans="1:6" x14ac:dyDescent="0.3">
      <c r="A4801" t="s">
        <v>4836</v>
      </c>
      <c r="B4801" t="s">
        <v>53</v>
      </c>
      <c r="C4801">
        <v>585000</v>
      </c>
      <c r="D4801">
        <v>724.2</v>
      </c>
      <c r="F4801">
        <v>0.11700000000000001</v>
      </c>
    </row>
    <row r="4802" spans="1:6" x14ac:dyDescent="0.3">
      <c r="A4802" t="s">
        <v>4837</v>
      </c>
      <c r="B4802" t="s">
        <v>74</v>
      </c>
      <c r="C4802">
        <v>581000</v>
      </c>
      <c r="D4802">
        <v>70300.399999999994</v>
      </c>
      <c r="E4802">
        <v>3.5499999999999997E-2</v>
      </c>
      <c r="F4802">
        <v>4.0899999999999999E-2</v>
      </c>
    </row>
    <row r="4803" spans="1:6" x14ac:dyDescent="0.3">
      <c r="A4803" t="s">
        <v>4838</v>
      </c>
      <c r="B4803" t="s">
        <v>24</v>
      </c>
      <c r="C4803">
        <v>547000</v>
      </c>
      <c r="D4803">
        <v>1874.7</v>
      </c>
      <c r="E4803">
        <v>7.3700000000000002E-2</v>
      </c>
      <c r="F4803">
        <v>7.5899999999999995E-2</v>
      </c>
    </row>
    <row r="4804" spans="1:6" x14ac:dyDescent="0.3">
      <c r="A4804" t="s">
        <v>4839</v>
      </c>
      <c r="B4804" t="s">
        <v>26</v>
      </c>
      <c r="C4804">
        <v>486000</v>
      </c>
      <c r="D4804">
        <v>4948.2</v>
      </c>
      <c r="E4804">
        <v>6.8099999999999994E-2</v>
      </c>
      <c r="F4804">
        <v>9.5100000000000004E-2</v>
      </c>
    </row>
    <row r="4805" spans="1:6" x14ac:dyDescent="0.3">
      <c r="A4805" t="s">
        <v>4840</v>
      </c>
      <c r="B4805" t="s">
        <v>50</v>
      </c>
      <c r="C4805">
        <v>580000</v>
      </c>
      <c r="D4805">
        <v>77686.899999999994</v>
      </c>
      <c r="E4805">
        <v>3.2000000000000001E-2</v>
      </c>
      <c r="F4805">
        <v>9.5100000000000004E-2</v>
      </c>
    </row>
    <row r="4806" spans="1:6" x14ac:dyDescent="0.3">
      <c r="A4806" t="s">
        <v>4841</v>
      </c>
      <c r="B4806" t="s">
        <v>26</v>
      </c>
      <c r="C4806">
        <v>166000</v>
      </c>
      <c r="D4806">
        <v>5155.1000000000004</v>
      </c>
      <c r="E4806">
        <v>9.5000000000000001E-2</v>
      </c>
      <c r="F4806">
        <v>9.5100000000000004E-2</v>
      </c>
    </row>
    <row r="4807" spans="1:6" x14ac:dyDescent="0.3">
      <c r="A4807" t="s">
        <v>4842</v>
      </c>
      <c r="B4807" t="s">
        <v>24</v>
      </c>
      <c r="C4807">
        <v>756000</v>
      </c>
      <c r="D4807">
        <v>52051.8</v>
      </c>
      <c r="E4807">
        <v>2.8799999999999999E-2</v>
      </c>
      <c r="F4807">
        <v>4.0899999999999999E-2</v>
      </c>
    </row>
    <row r="4808" spans="1:6" x14ac:dyDescent="0.3">
      <c r="A4808" t="s">
        <v>4843</v>
      </c>
      <c r="B4808" t="s">
        <v>214</v>
      </c>
      <c r="C4808">
        <v>582000</v>
      </c>
      <c r="D4808">
        <v>3605.1</v>
      </c>
      <c r="E4808">
        <v>4.0300000000000002E-2</v>
      </c>
      <c r="F4808">
        <v>7.5899999999999995E-2</v>
      </c>
    </row>
    <row r="4809" spans="1:6" x14ac:dyDescent="0.3">
      <c r="A4809" t="s">
        <v>4844</v>
      </c>
      <c r="B4809" t="s">
        <v>214</v>
      </c>
      <c r="C4809">
        <v>546000</v>
      </c>
      <c r="D4809">
        <v>14147.2</v>
      </c>
      <c r="E4809">
        <v>1.67E-2</v>
      </c>
      <c r="F4809">
        <v>8.5400000000000004E-2</v>
      </c>
    </row>
    <row r="4810" spans="1:6" x14ac:dyDescent="0.3">
      <c r="A4810" t="s">
        <v>4845</v>
      </c>
      <c r="B4810" t="s">
        <v>26</v>
      </c>
      <c r="C4810">
        <v>530000</v>
      </c>
      <c r="D4810">
        <v>45579</v>
      </c>
      <c r="E4810">
        <v>0.02</v>
      </c>
      <c r="F4810">
        <v>9.3799999999999994E-2</v>
      </c>
    </row>
    <row r="4811" spans="1:6" x14ac:dyDescent="0.3">
      <c r="A4811" t="s">
        <v>4846</v>
      </c>
      <c r="B4811" t="s">
        <v>24</v>
      </c>
      <c r="C4811">
        <v>678000</v>
      </c>
      <c r="D4811">
        <v>47870.1</v>
      </c>
      <c r="E4811">
        <v>5.6899999999999999E-2</v>
      </c>
      <c r="F4811">
        <v>7.5899999999999995E-2</v>
      </c>
    </row>
    <row r="4812" spans="1:6" x14ac:dyDescent="0.3">
      <c r="A4812" t="s">
        <v>4847</v>
      </c>
      <c r="B4812" t="s">
        <v>41</v>
      </c>
      <c r="C4812">
        <v>578000</v>
      </c>
      <c r="D4812">
        <v>4668.1000000000004</v>
      </c>
      <c r="E4812">
        <v>4.2000000000000003E-2</v>
      </c>
      <c r="F4812">
        <v>9.3799999999999994E-2</v>
      </c>
    </row>
    <row r="4813" spans="1:6" x14ac:dyDescent="0.3">
      <c r="A4813" t="s">
        <v>4848</v>
      </c>
      <c r="B4813" t="s">
        <v>81</v>
      </c>
      <c r="C4813">
        <v>589000</v>
      </c>
      <c r="D4813">
        <v>17215.099999999999</v>
      </c>
      <c r="E4813">
        <v>5.4800000000000001E-2</v>
      </c>
      <c r="F4813">
        <v>7.5899999999999995E-2</v>
      </c>
    </row>
    <row r="4814" spans="1:6" x14ac:dyDescent="0.3">
      <c r="A4814" t="s">
        <v>4849</v>
      </c>
      <c r="B4814" t="s">
        <v>32</v>
      </c>
      <c r="C4814">
        <v>791000</v>
      </c>
      <c r="D4814">
        <v>15627.1</v>
      </c>
      <c r="E4814">
        <v>3.9300000000000002E-2</v>
      </c>
      <c r="F4814">
        <v>9.3799999999999994E-2</v>
      </c>
    </row>
    <row r="4815" spans="1:6" x14ac:dyDescent="0.3">
      <c r="A4815" t="s">
        <v>4850</v>
      </c>
      <c r="B4815" t="s">
        <v>26</v>
      </c>
      <c r="C4815">
        <v>493000</v>
      </c>
      <c r="D4815">
        <v>86430.2</v>
      </c>
      <c r="E4815">
        <v>5.3800000000000001E-2</v>
      </c>
      <c r="F4815">
        <v>9.5100000000000004E-2</v>
      </c>
    </row>
    <row r="4816" spans="1:6" x14ac:dyDescent="0.3">
      <c r="A4816" t="s">
        <v>4851</v>
      </c>
      <c r="B4816" t="s">
        <v>24</v>
      </c>
      <c r="C4816">
        <v>511000</v>
      </c>
      <c r="D4816">
        <v>1861</v>
      </c>
      <c r="E4816">
        <v>2.63E-2</v>
      </c>
      <c r="F4816">
        <v>7.5899999999999995E-2</v>
      </c>
    </row>
    <row r="4817" spans="1:6" x14ac:dyDescent="0.3">
      <c r="A4817" t="s">
        <v>4852</v>
      </c>
      <c r="B4817" t="s">
        <v>41</v>
      </c>
      <c r="C4817">
        <v>778000</v>
      </c>
      <c r="D4817">
        <v>776</v>
      </c>
      <c r="E4817">
        <v>1.37E-2</v>
      </c>
      <c r="F4817">
        <v>6.4699999999999994E-2</v>
      </c>
    </row>
    <row r="4818" spans="1:6" x14ac:dyDescent="0.3">
      <c r="A4818" t="s">
        <v>4853</v>
      </c>
      <c r="B4818" t="s">
        <v>26</v>
      </c>
      <c r="C4818">
        <v>860000</v>
      </c>
      <c r="D4818">
        <v>10587.5</v>
      </c>
      <c r="E4818">
        <v>0.05</v>
      </c>
      <c r="F4818">
        <v>7.5899999999999995E-2</v>
      </c>
    </row>
    <row r="4819" spans="1:6" x14ac:dyDescent="0.3">
      <c r="A4819" t="s">
        <v>4854</v>
      </c>
      <c r="B4819" t="s">
        <v>26</v>
      </c>
      <c r="C4819">
        <v>534000</v>
      </c>
      <c r="D4819">
        <v>3597</v>
      </c>
      <c r="E4819">
        <v>2.93E-2</v>
      </c>
      <c r="F4819">
        <v>7.5899999999999995E-2</v>
      </c>
    </row>
    <row r="4820" spans="1:6" x14ac:dyDescent="0.3">
      <c r="A4820" t="s">
        <v>4855</v>
      </c>
      <c r="B4820" t="s">
        <v>53</v>
      </c>
      <c r="C4820">
        <v>529000</v>
      </c>
      <c r="D4820">
        <v>20609.5</v>
      </c>
      <c r="E4820">
        <v>9.1999999999999998E-2</v>
      </c>
      <c r="F4820">
        <v>9.3799999999999994E-2</v>
      </c>
    </row>
    <row r="4821" spans="1:6" x14ac:dyDescent="0.3">
      <c r="A4821" t="s">
        <v>4856</v>
      </c>
      <c r="B4821" t="s">
        <v>88</v>
      </c>
      <c r="C4821">
        <v>549000</v>
      </c>
      <c r="D4821">
        <v>482.1</v>
      </c>
      <c r="E4821">
        <v>2.7799999999999998E-2</v>
      </c>
      <c r="F4821">
        <v>5.0999999999999997E-2</v>
      </c>
    </row>
    <row r="4822" spans="1:6" x14ac:dyDescent="0.3">
      <c r="A4822" t="s">
        <v>4857</v>
      </c>
      <c r="B4822" t="s">
        <v>88</v>
      </c>
      <c r="C4822">
        <v>547000</v>
      </c>
      <c r="D4822">
        <v>5671</v>
      </c>
      <c r="E4822">
        <v>2.01E-2</v>
      </c>
      <c r="F4822">
        <v>0.13100000000000001</v>
      </c>
    </row>
    <row r="4823" spans="1:6" x14ac:dyDescent="0.3">
      <c r="A4823" t="s">
        <v>4858</v>
      </c>
      <c r="B4823" t="s">
        <v>26</v>
      </c>
      <c r="C4823">
        <v>857000</v>
      </c>
      <c r="D4823">
        <v>83047</v>
      </c>
      <c r="E4823">
        <v>2.0400000000000001E-2</v>
      </c>
      <c r="F4823">
        <v>5.8400000000000001E-2</v>
      </c>
    </row>
    <row r="4824" spans="1:6" x14ac:dyDescent="0.3">
      <c r="A4824" t="s">
        <v>4859</v>
      </c>
      <c r="B4824" t="s">
        <v>26</v>
      </c>
      <c r="C4824">
        <v>664000</v>
      </c>
      <c r="D4824">
        <v>21031.1</v>
      </c>
      <c r="E4824">
        <v>5.6899999999999999E-2</v>
      </c>
      <c r="F4824">
        <v>9.3799999999999994E-2</v>
      </c>
    </row>
    <row r="4825" spans="1:6" x14ac:dyDescent="0.3">
      <c r="A4825" t="s">
        <v>4860</v>
      </c>
      <c r="B4825" t="s">
        <v>71</v>
      </c>
      <c r="C4825">
        <v>540000</v>
      </c>
      <c r="D4825">
        <v>1868.4</v>
      </c>
      <c r="E4825">
        <v>1.2699999999999999E-2</v>
      </c>
      <c r="F4825">
        <v>5.8400000000000001E-2</v>
      </c>
    </row>
    <row r="4826" spans="1:6" x14ac:dyDescent="0.3">
      <c r="A4826" t="s">
        <v>4861</v>
      </c>
      <c r="B4826" t="s">
        <v>88</v>
      </c>
      <c r="C4826">
        <v>1290000</v>
      </c>
      <c r="D4826">
        <v>10577.2</v>
      </c>
      <c r="E4826">
        <v>8.0399999999999999E-2</v>
      </c>
      <c r="F4826">
        <v>9.3799999999999994E-2</v>
      </c>
    </row>
    <row r="4827" spans="1:6" x14ac:dyDescent="0.3">
      <c r="A4827" t="s">
        <v>4862</v>
      </c>
      <c r="B4827" t="s">
        <v>88</v>
      </c>
      <c r="C4827">
        <v>648000</v>
      </c>
      <c r="D4827">
        <v>5847.3</v>
      </c>
      <c r="E4827">
        <v>2.0400000000000001E-2</v>
      </c>
      <c r="F4827">
        <v>0.1053</v>
      </c>
    </row>
    <row r="4828" spans="1:6" x14ac:dyDescent="0.3">
      <c r="A4828" t="s">
        <v>4863</v>
      </c>
      <c r="B4828" t="s">
        <v>88</v>
      </c>
      <c r="C4828">
        <v>546000</v>
      </c>
      <c r="D4828">
        <v>1617.6</v>
      </c>
      <c r="E4828">
        <v>7.3599999999999999E-2</v>
      </c>
      <c r="F4828">
        <v>0.11700000000000001</v>
      </c>
    </row>
    <row r="4829" spans="1:6" x14ac:dyDescent="0.3">
      <c r="A4829" t="s">
        <v>4864</v>
      </c>
      <c r="B4829" t="s">
        <v>53</v>
      </c>
      <c r="C4829">
        <v>606000</v>
      </c>
      <c r="D4829">
        <v>20159.2</v>
      </c>
      <c r="E4829">
        <v>5.6300000000000003E-2</v>
      </c>
      <c r="F4829">
        <v>9.3799999999999994E-2</v>
      </c>
    </row>
    <row r="4830" spans="1:6" x14ac:dyDescent="0.3">
      <c r="A4830" t="s">
        <v>4865</v>
      </c>
      <c r="B4830" t="s">
        <v>88</v>
      </c>
      <c r="C4830">
        <v>773000</v>
      </c>
      <c r="D4830">
        <v>6685.1</v>
      </c>
      <c r="E4830">
        <v>5.0500000000000003E-2</v>
      </c>
      <c r="F4830">
        <v>9.3799999999999994E-2</v>
      </c>
    </row>
    <row r="4831" spans="1:6" x14ac:dyDescent="0.3">
      <c r="A4831" t="s">
        <v>4866</v>
      </c>
      <c r="B4831" t="s">
        <v>214</v>
      </c>
      <c r="C4831">
        <v>593000</v>
      </c>
      <c r="D4831">
        <v>271.3</v>
      </c>
      <c r="E4831">
        <v>8.2000000000000007E-3</v>
      </c>
      <c r="F4831">
        <v>0.1013</v>
      </c>
    </row>
    <row r="4832" spans="1:6" x14ac:dyDescent="0.3">
      <c r="A4832" t="s">
        <v>4867</v>
      </c>
      <c r="B4832" t="s">
        <v>26</v>
      </c>
      <c r="C4832">
        <v>749000</v>
      </c>
      <c r="D4832">
        <v>7813.3</v>
      </c>
      <c r="E4832">
        <v>2.4E-2</v>
      </c>
      <c r="F4832">
        <v>9.3799999999999994E-2</v>
      </c>
    </row>
    <row r="4833" spans="1:6" x14ac:dyDescent="0.3">
      <c r="A4833" t="s">
        <v>4868</v>
      </c>
      <c r="B4833" t="s">
        <v>88</v>
      </c>
      <c r="C4833">
        <v>591000</v>
      </c>
      <c r="D4833">
        <v>462.8</v>
      </c>
      <c r="E4833">
        <v>2.9100000000000001E-2</v>
      </c>
      <c r="F4833">
        <v>9.3799999999999994E-2</v>
      </c>
    </row>
    <row r="4834" spans="1:6" x14ac:dyDescent="0.3">
      <c r="A4834" t="s">
        <v>4869</v>
      </c>
      <c r="B4834" t="s">
        <v>26</v>
      </c>
      <c r="C4834">
        <v>698000</v>
      </c>
      <c r="D4834">
        <v>125796.8</v>
      </c>
      <c r="E4834">
        <v>5.1200000000000002E-2</v>
      </c>
      <c r="F4834">
        <v>9.5100000000000004E-2</v>
      </c>
    </row>
    <row r="4835" spans="1:6" x14ac:dyDescent="0.3">
      <c r="A4835" t="s">
        <v>4870</v>
      </c>
      <c r="B4835" t="s">
        <v>214</v>
      </c>
      <c r="C4835">
        <v>662000</v>
      </c>
      <c r="D4835">
        <v>15479.9</v>
      </c>
      <c r="E4835">
        <v>3.9E-2</v>
      </c>
      <c r="F4835">
        <v>9.5100000000000004E-2</v>
      </c>
    </row>
    <row r="4836" spans="1:6" x14ac:dyDescent="0.3">
      <c r="A4836" t="s">
        <v>4871</v>
      </c>
      <c r="B4836" t="s">
        <v>26</v>
      </c>
      <c r="C4836">
        <v>700000</v>
      </c>
      <c r="D4836">
        <v>7513.7</v>
      </c>
      <c r="E4836">
        <v>2.3599999999999999E-2</v>
      </c>
      <c r="F4836">
        <v>8.3299999999999999E-2</v>
      </c>
    </row>
    <row r="4837" spans="1:6" x14ac:dyDescent="0.3">
      <c r="A4837" t="s">
        <v>4872</v>
      </c>
      <c r="B4837" t="s">
        <v>88</v>
      </c>
      <c r="C4837">
        <v>572000</v>
      </c>
      <c r="D4837">
        <v>5899.7</v>
      </c>
      <c r="E4837">
        <v>3.4799999999999998E-2</v>
      </c>
      <c r="F4837">
        <v>9.3799999999999994E-2</v>
      </c>
    </row>
    <row r="4838" spans="1:6" x14ac:dyDescent="0.3">
      <c r="A4838" t="s">
        <v>4873</v>
      </c>
      <c r="B4838" t="s">
        <v>74</v>
      </c>
      <c r="C4838">
        <v>916000</v>
      </c>
      <c r="D4838">
        <v>6144.2</v>
      </c>
      <c r="E4838">
        <v>2.4799999999999999E-2</v>
      </c>
      <c r="F4838">
        <v>0.13869999999999999</v>
      </c>
    </row>
    <row r="4839" spans="1:6" x14ac:dyDescent="0.3">
      <c r="A4839" t="s">
        <v>4874</v>
      </c>
      <c r="B4839" t="s">
        <v>26</v>
      </c>
      <c r="C4839">
        <v>549000</v>
      </c>
      <c r="D4839">
        <v>64695.9</v>
      </c>
      <c r="E4839">
        <v>5.0200000000000002E-2</v>
      </c>
      <c r="F4839">
        <v>4.0899999999999999E-2</v>
      </c>
    </row>
    <row r="4840" spans="1:6" x14ac:dyDescent="0.3">
      <c r="A4840" t="s">
        <v>4875</v>
      </c>
      <c r="B4840" t="s">
        <v>26</v>
      </c>
      <c r="C4840">
        <v>1160000</v>
      </c>
      <c r="D4840">
        <v>6463.9</v>
      </c>
      <c r="E4840">
        <v>2.53E-2</v>
      </c>
      <c r="F4840">
        <v>7.5899999999999995E-2</v>
      </c>
    </row>
    <row r="4841" spans="1:6" x14ac:dyDescent="0.3">
      <c r="A4841" t="s">
        <v>4876</v>
      </c>
      <c r="B4841" t="s">
        <v>62</v>
      </c>
      <c r="C4841">
        <v>651000</v>
      </c>
      <c r="D4841">
        <v>7796</v>
      </c>
      <c r="E4841">
        <v>1.95E-2</v>
      </c>
      <c r="F4841">
        <v>8.5400000000000004E-2</v>
      </c>
    </row>
    <row r="4842" spans="1:6" x14ac:dyDescent="0.3">
      <c r="A4842" t="s">
        <v>4877</v>
      </c>
      <c r="B4842" t="s">
        <v>26</v>
      </c>
      <c r="C4842">
        <v>943000</v>
      </c>
      <c r="D4842">
        <v>401979.9</v>
      </c>
      <c r="E4842">
        <v>1.89E-2</v>
      </c>
      <c r="F4842">
        <v>4.6199999999999998E-2</v>
      </c>
    </row>
    <row r="4843" spans="1:6" x14ac:dyDescent="0.3">
      <c r="A4843" t="s">
        <v>4878</v>
      </c>
      <c r="B4843" t="s">
        <v>92</v>
      </c>
      <c r="C4843">
        <v>580000</v>
      </c>
      <c r="D4843">
        <v>10951.6</v>
      </c>
      <c r="E4843">
        <v>2.69E-2</v>
      </c>
      <c r="F4843">
        <v>9.5100000000000004E-2</v>
      </c>
    </row>
    <row r="4844" spans="1:6" x14ac:dyDescent="0.3">
      <c r="A4844" t="s">
        <v>4879</v>
      </c>
      <c r="B4844" t="s">
        <v>26</v>
      </c>
      <c r="C4844">
        <v>1130000</v>
      </c>
      <c r="D4844">
        <v>18754.5</v>
      </c>
      <c r="E4844">
        <v>4.2099999999999999E-2</v>
      </c>
      <c r="F4844">
        <v>7.5899999999999995E-2</v>
      </c>
    </row>
    <row r="4845" spans="1:6" x14ac:dyDescent="0.3">
      <c r="A4845" t="s">
        <v>4880</v>
      </c>
      <c r="B4845" t="s">
        <v>26</v>
      </c>
      <c r="C4845">
        <v>571000</v>
      </c>
      <c r="D4845">
        <v>18353.900000000001</v>
      </c>
      <c r="E4845">
        <v>3.9699999999999999E-2</v>
      </c>
      <c r="F4845">
        <v>9.5100000000000004E-2</v>
      </c>
    </row>
    <row r="4846" spans="1:6" x14ac:dyDescent="0.3">
      <c r="A4846" t="s">
        <v>4881</v>
      </c>
      <c r="B4846" t="s">
        <v>50</v>
      </c>
      <c r="C4846">
        <v>624000</v>
      </c>
      <c r="D4846">
        <v>2010.1</v>
      </c>
      <c r="E4846">
        <v>4.5999999999999999E-2</v>
      </c>
      <c r="F4846">
        <v>7.5899999999999995E-2</v>
      </c>
    </row>
    <row r="4847" spans="1:6" x14ac:dyDescent="0.3">
      <c r="A4847" t="s">
        <v>4882</v>
      </c>
      <c r="B4847" t="s">
        <v>26</v>
      </c>
      <c r="C4847">
        <v>496000</v>
      </c>
      <c r="D4847">
        <v>710.9</v>
      </c>
      <c r="E4847">
        <v>2.7400000000000001E-2</v>
      </c>
      <c r="F4847">
        <v>9.5100000000000004E-2</v>
      </c>
    </row>
    <row r="4848" spans="1:6" x14ac:dyDescent="0.3">
      <c r="A4848" t="s">
        <v>4883</v>
      </c>
      <c r="B4848" t="s">
        <v>26</v>
      </c>
      <c r="C4848">
        <v>628000</v>
      </c>
      <c r="D4848">
        <v>46869.2</v>
      </c>
      <c r="E4848">
        <v>2.7699999999999999E-2</v>
      </c>
      <c r="F4848">
        <v>9.3799999999999994E-2</v>
      </c>
    </row>
    <row r="4849" spans="1:6" x14ac:dyDescent="0.3">
      <c r="A4849" t="s">
        <v>4884</v>
      </c>
      <c r="B4849" t="s">
        <v>62</v>
      </c>
      <c r="C4849">
        <v>1640000</v>
      </c>
      <c r="D4849">
        <v>6939.3</v>
      </c>
      <c r="E4849">
        <v>4.1099999999999998E-2</v>
      </c>
      <c r="F4849">
        <v>9.3799999999999994E-2</v>
      </c>
    </row>
    <row r="4850" spans="1:6" x14ac:dyDescent="0.3">
      <c r="A4850" t="s">
        <v>4885</v>
      </c>
      <c r="B4850" t="s">
        <v>26</v>
      </c>
      <c r="C4850">
        <v>1050000</v>
      </c>
      <c r="D4850">
        <v>29160</v>
      </c>
      <c r="E4850">
        <v>3.1E-2</v>
      </c>
      <c r="F4850">
        <v>7.5899999999999995E-2</v>
      </c>
    </row>
    <row r="4851" spans="1:6" x14ac:dyDescent="0.3">
      <c r="A4851" t="s">
        <v>4886</v>
      </c>
      <c r="B4851" t="s">
        <v>41</v>
      </c>
      <c r="C4851">
        <v>599000</v>
      </c>
      <c r="D4851">
        <v>622</v>
      </c>
      <c r="E4851">
        <v>1.24E-2</v>
      </c>
      <c r="F4851">
        <v>7.6499999999999999E-2</v>
      </c>
    </row>
    <row r="4852" spans="1:6" x14ac:dyDescent="0.3">
      <c r="A4852" t="s">
        <v>4887</v>
      </c>
      <c r="B4852" t="s">
        <v>26</v>
      </c>
      <c r="C4852">
        <v>1140000</v>
      </c>
      <c r="D4852">
        <v>129802.5</v>
      </c>
      <c r="E4852">
        <v>3.1E-2</v>
      </c>
      <c r="F4852">
        <v>4.0899999999999999E-2</v>
      </c>
    </row>
    <row r="4853" spans="1:6" x14ac:dyDescent="0.3">
      <c r="A4853" t="s">
        <v>4888</v>
      </c>
      <c r="B4853" t="s">
        <v>92</v>
      </c>
      <c r="C4853">
        <v>641000</v>
      </c>
      <c r="D4853">
        <v>31531.8</v>
      </c>
      <c r="E4853">
        <v>8.8999999999999999E-3</v>
      </c>
      <c r="F4853">
        <v>0.1452</v>
      </c>
    </row>
    <row r="4854" spans="1:6" x14ac:dyDescent="0.3">
      <c r="A4854" t="s">
        <v>4889</v>
      </c>
      <c r="B4854" t="s">
        <v>32</v>
      </c>
      <c r="C4854">
        <v>643000</v>
      </c>
      <c r="D4854">
        <v>3968.2</v>
      </c>
      <c r="E4854">
        <v>1.1299999999999999E-2</v>
      </c>
      <c r="F4854">
        <v>5.8400000000000001E-2</v>
      </c>
    </row>
    <row r="4855" spans="1:6" x14ac:dyDescent="0.3">
      <c r="A4855" t="s">
        <v>4890</v>
      </c>
      <c r="B4855" t="s">
        <v>26</v>
      </c>
      <c r="C4855">
        <v>545000</v>
      </c>
      <c r="D4855">
        <v>33181.199999999997</v>
      </c>
      <c r="E4855">
        <v>5.7599999999999998E-2</v>
      </c>
      <c r="F4855">
        <v>6.7199999999999996E-2</v>
      </c>
    </row>
    <row r="4856" spans="1:6" x14ac:dyDescent="0.3">
      <c r="A4856" t="s">
        <v>4891</v>
      </c>
      <c r="B4856" t="s">
        <v>50</v>
      </c>
      <c r="C4856">
        <v>523000</v>
      </c>
      <c r="D4856">
        <v>1985.3</v>
      </c>
      <c r="E4856">
        <v>6.7000000000000002E-3</v>
      </c>
      <c r="F4856">
        <v>0.10150000000000001</v>
      </c>
    </row>
    <row r="4857" spans="1:6" x14ac:dyDescent="0.3">
      <c r="A4857" t="s">
        <v>4892</v>
      </c>
      <c r="B4857" t="s">
        <v>26</v>
      </c>
      <c r="C4857">
        <v>613000</v>
      </c>
      <c r="D4857">
        <v>9828.4</v>
      </c>
      <c r="E4857">
        <v>4.8500000000000001E-2</v>
      </c>
      <c r="F4857">
        <v>9.5100000000000004E-2</v>
      </c>
    </row>
    <row r="4858" spans="1:6" x14ac:dyDescent="0.3">
      <c r="A4858" t="s">
        <v>4893</v>
      </c>
      <c r="B4858" t="s">
        <v>214</v>
      </c>
      <c r="C4858">
        <v>774000</v>
      </c>
      <c r="D4858">
        <v>34656.6</v>
      </c>
      <c r="E4858">
        <v>2.1000000000000001E-2</v>
      </c>
      <c r="F4858">
        <v>4.8800000000000003E-2</v>
      </c>
    </row>
    <row r="4859" spans="1:6" x14ac:dyDescent="0.3">
      <c r="A4859" t="s">
        <v>4894</v>
      </c>
      <c r="B4859" t="s">
        <v>41</v>
      </c>
      <c r="C4859">
        <v>501000</v>
      </c>
      <c r="D4859">
        <v>2945.4</v>
      </c>
      <c r="E4859">
        <v>0.04</v>
      </c>
      <c r="F4859">
        <v>0.11700000000000001</v>
      </c>
    </row>
    <row r="4860" spans="1:6" x14ac:dyDescent="0.3">
      <c r="A4860" t="s">
        <v>4895</v>
      </c>
      <c r="B4860" t="s">
        <v>287</v>
      </c>
      <c r="C4860">
        <v>520000</v>
      </c>
      <c r="D4860">
        <v>1232.2</v>
      </c>
      <c r="E4860">
        <v>4.5400000000000003E-2</v>
      </c>
      <c r="F4860">
        <v>0.1226</v>
      </c>
    </row>
    <row r="4861" spans="1:6" x14ac:dyDescent="0.3">
      <c r="A4861" t="s">
        <v>4896</v>
      </c>
      <c r="B4861" t="s">
        <v>62</v>
      </c>
      <c r="C4861">
        <v>496000</v>
      </c>
      <c r="D4861">
        <v>1540.7</v>
      </c>
      <c r="E4861">
        <v>2.64E-2</v>
      </c>
      <c r="F4861">
        <v>9.5100000000000004E-2</v>
      </c>
    </row>
    <row r="4862" spans="1:6" x14ac:dyDescent="0.3">
      <c r="A4862" t="s">
        <v>4897</v>
      </c>
      <c r="B4862" t="s">
        <v>26</v>
      </c>
      <c r="C4862">
        <v>533000</v>
      </c>
      <c r="D4862">
        <v>11189.8</v>
      </c>
      <c r="E4862">
        <v>2.6700000000000002E-2</v>
      </c>
      <c r="F4862">
        <v>7.5899999999999995E-2</v>
      </c>
    </row>
    <row r="4863" spans="1:6" x14ac:dyDescent="0.3">
      <c r="A4863" t="s">
        <v>4898</v>
      </c>
      <c r="B4863" t="s">
        <v>26</v>
      </c>
      <c r="C4863">
        <v>525000</v>
      </c>
      <c r="D4863">
        <v>1945.2</v>
      </c>
      <c r="E4863">
        <v>1.0500000000000001E-2</v>
      </c>
      <c r="F4863">
        <v>0.10150000000000001</v>
      </c>
    </row>
    <row r="4864" spans="1:6" x14ac:dyDescent="0.3">
      <c r="A4864" t="s">
        <v>4899</v>
      </c>
      <c r="B4864" t="s">
        <v>50</v>
      </c>
      <c r="C4864">
        <v>600000</v>
      </c>
      <c r="D4864">
        <v>6987.5</v>
      </c>
      <c r="E4864">
        <v>1.1000000000000001E-3</v>
      </c>
      <c r="F4864">
        <v>6.54E-2</v>
      </c>
    </row>
    <row r="4865" spans="1:6" x14ac:dyDescent="0.3">
      <c r="A4865" t="s">
        <v>4900</v>
      </c>
      <c r="B4865" t="s">
        <v>41</v>
      </c>
      <c r="C4865">
        <v>554000</v>
      </c>
      <c r="D4865">
        <v>1513.7</v>
      </c>
      <c r="E4865">
        <v>0.17319999999999999</v>
      </c>
      <c r="F4865">
        <v>7.5899999999999995E-2</v>
      </c>
    </row>
    <row r="4866" spans="1:6" x14ac:dyDescent="0.3">
      <c r="A4866" t="s">
        <v>4901</v>
      </c>
      <c r="B4866" t="s">
        <v>26</v>
      </c>
      <c r="C4866">
        <v>510000</v>
      </c>
      <c r="D4866">
        <v>3602.8</v>
      </c>
      <c r="E4866">
        <v>3.7900000000000003E-2</v>
      </c>
      <c r="F4866">
        <v>9.3799999999999994E-2</v>
      </c>
    </row>
    <row r="4867" spans="1:6" x14ac:dyDescent="0.3">
      <c r="A4867" t="s">
        <v>4902</v>
      </c>
      <c r="B4867" t="s">
        <v>92</v>
      </c>
      <c r="C4867">
        <v>499000</v>
      </c>
      <c r="D4867">
        <v>9468.5</v>
      </c>
      <c r="E4867">
        <v>1.2699999999999999E-2</v>
      </c>
      <c r="F4867">
        <v>0.1192</v>
      </c>
    </row>
    <row r="4868" spans="1:6" x14ac:dyDescent="0.3">
      <c r="A4868" t="s">
        <v>4903</v>
      </c>
      <c r="B4868" t="s">
        <v>41</v>
      </c>
      <c r="C4868">
        <v>567000</v>
      </c>
      <c r="F4868">
        <v>7.5899999999999995E-2</v>
      </c>
    </row>
    <row r="4869" spans="1:6" x14ac:dyDescent="0.3">
      <c r="A4869" t="s">
        <v>4904</v>
      </c>
      <c r="B4869" t="s">
        <v>214</v>
      </c>
      <c r="C4869">
        <v>542000</v>
      </c>
      <c r="D4869">
        <v>6897.2</v>
      </c>
      <c r="E4869">
        <v>1.9300000000000001E-2</v>
      </c>
      <c r="F4869">
        <v>0.1067</v>
      </c>
    </row>
    <row r="4870" spans="1:6" x14ac:dyDescent="0.3">
      <c r="A4870" t="s">
        <v>4905</v>
      </c>
      <c r="B4870" t="s">
        <v>88</v>
      </c>
      <c r="C4870">
        <v>497000</v>
      </c>
      <c r="D4870">
        <v>418.5</v>
      </c>
      <c r="E4870">
        <v>2.5499999999999998E-2</v>
      </c>
      <c r="F4870">
        <v>0.1042</v>
      </c>
    </row>
    <row r="4871" spans="1:6" x14ac:dyDescent="0.3">
      <c r="A4871" t="s">
        <v>4906</v>
      </c>
      <c r="B4871" t="s">
        <v>41</v>
      </c>
      <c r="C4871">
        <v>568000</v>
      </c>
      <c r="D4871">
        <v>346443.5</v>
      </c>
      <c r="E4871">
        <v>3.4200000000000001E-2</v>
      </c>
      <c r="F4871">
        <v>5.1799999999999999E-2</v>
      </c>
    </row>
    <row r="4872" spans="1:6" x14ac:dyDescent="0.3">
      <c r="A4872" t="s">
        <v>4907</v>
      </c>
      <c r="B4872" t="s">
        <v>71</v>
      </c>
      <c r="C4872">
        <v>499000</v>
      </c>
      <c r="D4872">
        <v>1494.3</v>
      </c>
      <c r="E4872">
        <v>2.4E-2</v>
      </c>
      <c r="F4872">
        <v>9.5100000000000004E-2</v>
      </c>
    </row>
    <row r="4873" spans="1:6" x14ac:dyDescent="0.3">
      <c r="A4873" t="s">
        <v>4908</v>
      </c>
      <c r="B4873" t="s">
        <v>88</v>
      </c>
      <c r="C4873">
        <v>683000</v>
      </c>
      <c r="D4873">
        <v>4480.3</v>
      </c>
      <c r="E4873">
        <v>3.4700000000000002E-2</v>
      </c>
      <c r="F4873">
        <v>7.5899999999999995E-2</v>
      </c>
    </row>
    <row r="4874" spans="1:6" x14ac:dyDescent="0.3">
      <c r="A4874" t="s">
        <v>4909</v>
      </c>
      <c r="B4874" t="s">
        <v>53</v>
      </c>
      <c r="C4874">
        <v>634000</v>
      </c>
      <c r="D4874">
        <v>41271.599999999999</v>
      </c>
      <c r="E4874">
        <v>4.36E-2</v>
      </c>
      <c r="F4874">
        <v>7.5899999999999995E-2</v>
      </c>
    </row>
    <row r="4875" spans="1:6" x14ac:dyDescent="0.3">
      <c r="A4875" t="s">
        <v>4910</v>
      </c>
      <c r="B4875" t="s">
        <v>24</v>
      </c>
      <c r="C4875">
        <v>732000</v>
      </c>
      <c r="D4875">
        <v>1352.1</v>
      </c>
      <c r="E4875">
        <v>1.9E-2</v>
      </c>
      <c r="F4875">
        <v>4.6199999999999998E-2</v>
      </c>
    </row>
    <row r="4876" spans="1:6" x14ac:dyDescent="0.3">
      <c r="A4876" t="s">
        <v>4911</v>
      </c>
      <c r="B4876" t="s">
        <v>88</v>
      </c>
      <c r="C4876">
        <v>537000</v>
      </c>
      <c r="D4876">
        <v>3984.9</v>
      </c>
      <c r="E4876">
        <v>1.5100000000000001E-2</v>
      </c>
      <c r="F4876">
        <v>5.1999999999999998E-2</v>
      </c>
    </row>
    <row r="4877" spans="1:6" x14ac:dyDescent="0.3">
      <c r="A4877" t="s">
        <v>4912</v>
      </c>
      <c r="B4877" t="s">
        <v>214</v>
      </c>
      <c r="C4877">
        <v>640000</v>
      </c>
      <c r="D4877">
        <v>450617.1</v>
      </c>
      <c r="E4877">
        <v>3.5499999999999997E-2</v>
      </c>
      <c r="F4877">
        <v>7.5899999999999995E-2</v>
      </c>
    </row>
    <row r="4878" spans="1:6" x14ac:dyDescent="0.3">
      <c r="A4878" t="s">
        <v>4913</v>
      </c>
      <c r="B4878" t="s">
        <v>53</v>
      </c>
      <c r="C4878">
        <v>515000</v>
      </c>
      <c r="D4878">
        <v>407.6</v>
      </c>
      <c r="E4878">
        <v>6.9900000000000004E-2</v>
      </c>
      <c r="F4878">
        <v>9.3799999999999994E-2</v>
      </c>
    </row>
    <row r="4879" spans="1:6" x14ac:dyDescent="0.3">
      <c r="A4879" t="s">
        <v>4914</v>
      </c>
      <c r="B4879" t="s">
        <v>214</v>
      </c>
      <c r="C4879">
        <v>585000</v>
      </c>
      <c r="D4879">
        <v>2213.4</v>
      </c>
      <c r="E4879">
        <v>2.8799999999999999E-2</v>
      </c>
      <c r="F4879">
        <v>7.5899999999999995E-2</v>
      </c>
    </row>
    <row r="4880" spans="1:6" x14ac:dyDescent="0.3">
      <c r="A4880" t="s">
        <v>4915</v>
      </c>
      <c r="B4880" t="s">
        <v>62</v>
      </c>
      <c r="C4880">
        <v>1270000</v>
      </c>
      <c r="D4880">
        <v>9746.4</v>
      </c>
      <c r="E4880">
        <v>2.58E-2</v>
      </c>
      <c r="F4880">
        <v>8.3299999999999999E-2</v>
      </c>
    </row>
    <row r="4881" spans="1:6" x14ac:dyDescent="0.3">
      <c r="A4881" t="s">
        <v>4916</v>
      </c>
      <c r="B4881" t="s">
        <v>88</v>
      </c>
      <c r="C4881">
        <v>654000</v>
      </c>
      <c r="D4881">
        <v>174.4</v>
      </c>
      <c r="E4881">
        <v>1.9E-2</v>
      </c>
      <c r="F4881">
        <v>9.3799999999999994E-2</v>
      </c>
    </row>
    <row r="4882" spans="1:6" x14ac:dyDescent="0.3">
      <c r="A4882" t="s">
        <v>4917</v>
      </c>
      <c r="B4882" t="s">
        <v>53</v>
      </c>
      <c r="C4882">
        <v>1100000</v>
      </c>
      <c r="D4882">
        <v>356.1</v>
      </c>
      <c r="E4882">
        <v>1.7399999999999999E-2</v>
      </c>
      <c r="F4882">
        <v>0.09</v>
      </c>
    </row>
    <row r="4883" spans="1:6" x14ac:dyDescent="0.3">
      <c r="A4883" t="s">
        <v>4918</v>
      </c>
      <c r="B4883" t="s">
        <v>88</v>
      </c>
      <c r="C4883">
        <v>666000</v>
      </c>
      <c r="D4883">
        <v>18489.7</v>
      </c>
      <c r="E4883">
        <v>9.9400000000000002E-2</v>
      </c>
      <c r="F4883">
        <v>9.3799999999999994E-2</v>
      </c>
    </row>
    <row r="4884" spans="1:6" x14ac:dyDescent="0.3">
      <c r="A4884" t="s">
        <v>4919</v>
      </c>
      <c r="B4884" t="s">
        <v>41</v>
      </c>
      <c r="C4884">
        <v>701000</v>
      </c>
      <c r="D4884">
        <v>375.7</v>
      </c>
      <c r="E4884">
        <v>2.1399999999999999E-2</v>
      </c>
      <c r="F4884">
        <v>0.13719999999999999</v>
      </c>
    </row>
    <row r="4885" spans="1:6" x14ac:dyDescent="0.3">
      <c r="A4885" t="s">
        <v>4920</v>
      </c>
      <c r="B4885" t="s">
        <v>71</v>
      </c>
      <c r="C4885">
        <v>775000</v>
      </c>
      <c r="D4885">
        <v>5.7</v>
      </c>
      <c r="E4885">
        <v>3.2500000000000001E-2</v>
      </c>
      <c r="F4885">
        <v>0.24099999999999999</v>
      </c>
    </row>
    <row r="4886" spans="1:6" x14ac:dyDescent="0.3">
      <c r="A4886" t="s">
        <v>4921</v>
      </c>
      <c r="B4886" t="s">
        <v>214</v>
      </c>
      <c r="C4886">
        <v>756000</v>
      </c>
      <c r="D4886">
        <v>153034.5</v>
      </c>
      <c r="E4886">
        <v>3.3500000000000002E-2</v>
      </c>
      <c r="F4886">
        <v>0.16880000000000001</v>
      </c>
    </row>
    <row r="4887" spans="1:6" x14ac:dyDescent="0.3">
      <c r="A4887" t="s">
        <v>4922</v>
      </c>
      <c r="B4887" t="s">
        <v>88</v>
      </c>
      <c r="C4887">
        <v>476000</v>
      </c>
      <c r="D4887">
        <v>948</v>
      </c>
      <c r="E4887">
        <v>1.7600000000000001E-2</v>
      </c>
      <c r="F4887">
        <v>0.13100000000000001</v>
      </c>
    </row>
    <row r="4888" spans="1:6" x14ac:dyDescent="0.3">
      <c r="A4888" t="s">
        <v>4923</v>
      </c>
      <c r="B4888" t="s">
        <v>74</v>
      </c>
      <c r="C4888">
        <v>488000</v>
      </c>
      <c r="D4888">
        <v>1895.8</v>
      </c>
      <c r="E4888">
        <v>2.9700000000000001E-2</v>
      </c>
      <c r="F4888">
        <v>9.5100000000000004E-2</v>
      </c>
    </row>
    <row r="4889" spans="1:6" x14ac:dyDescent="0.3">
      <c r="A4889" t="s">
        <v>4924</v>
      </c>
      <c r="B4889" t="s">
        <v>287</v>
      </c>
      <c r="C4889">
        <v>520000</v>
      </c>
      <c r="D4889">
        <v>21149.599999999999</v>
      </c>
      <c r="E4889">
        <v>6.2399999999999997E-2</v>
      </c>
      <c r="F4889">
        <v>9.3799999999999994E-2</v>
      </c>
    </row>
    <row r="4890" spans="1:6" x14ac:dyDescent="0.3">
      <c r="A4890" t="s">
        <v>4925</v>
      </c>
      <c r="B4890" t="s">
        <v>26</v>
      </c>
      <c r="C4890">
        <v>553000</v>
      </c>
      <c r="D4890">
        <v>50181.5</v>
      </c>
      <c r="E4890">
        <v>1.41E-2</v>
      </c>
      <c r="F4890">
        <v>6.08E-2</v>
      </c>
    </row>
    <row r="4891" spans="1:6" x14ac:dyDescent="0.3">
      <c r="A4891" t="s">
        <v>4926</v>
      </c>
      <c r="B4891" t="s">
        <v>62</v>
      </c>
      <c r="C4891">
        <v>613000</v>
      </c>
      <c r="D4891">
        <v>289322.59999999998</v>
      </c>
      <c r="E4891">
        <v>3.4000000000000002E-2</v>
      </c>
      <c r="F4891">
        <v>4.0899999999999999E-2</v>
      </c>
    </row>
    <row r="4892" spans="1:6" x14ac:dyDescent="0.3">
      <c r="A4892" t="s">
        <v>4927</v>
      </c>
      <c r="B4892" t="s">
        <v>50</v>
      </c>
      <c r="C4892">
        <v>599000</v>
      </c>
      <c r="D4892">
        <v>5013.8999999999996</v>
      </c>
      <c r="E4892">
        <v>2.7400000000000001E-2</v>
      </c>
      <c r="F4892">
        <v>7.5899999999999995E-2</v>
      </c>
    </row>
    <row r="4893" spans="1:6" x14ac:dyDescent="0.3">
      <c r="A4893" t="s">
        <v>4928</v>
      </c>
      <c r="B4893" t="s">
        <v>88</v>
      </c>
      <c r="C4893">
        <v>1290000</v>
      </c>
      <c r="D4893">
        <v>53544</v>
      </c>
      <c r="E4893">
        <v>4.9200000000000001E-2</v>
      </c>
      <c r="F4893">
        <v>0.11700000000000001</v>
      </c>
    </row>
    <row r="4894" spans="1:6" x14ac:dyDescent="0.3">
      <c r="A4894" t="s">
        <v>4929</v>
      </c>
      <c r="B4894" t="s">
        <v>62</v>
      </c>
      <c r="C4894">
        <v>752000</v>
      </c>
      <c r="D4894">
        <v>15983.1</v>
      </c>
      <c r="E4894">
        <v>2.2499999999999999E-2</v>
      </c>
      <c r="F4894">
        <v>4.0899999999999999E-2</v>
      </c>
    </row>
    <row r="4895" spans="1:6" x14ac:dyDescent="0.3">
      <c r="A4895" t="s">
        <v>4930</v>
      </c>
      <c r="B4895" t="s">
        <v>287</v>
      </c>
      <c r="C4895">
        <v>496000</v>
      </c>
      <c r="D4895">
        <v>981.9</v>
      </c>
      <c r="E4895">
        <v>2.52E-2</v>
      </c>
      <c r="F4895">
        <v>7.5899999999999995E-2</v>
      </c>
    </row>
    <row r="4896" spans="1:6" x14ac:dyDescent="0.3">
      <c r="A4896" t="s">
        <v>4931</v>
      </c>
      <c r="B4896" t="s">
        <v>81</v>
      </c>
      <c r="C4896">
        <v>514000</v>
      </c>
      <c r="D4896">
        <v>51953.2</v>
      </c>
      <c r="E4896">
        <v>2.3199999999999998E-2</v>
      </c>
      <c r="F4896">
        <v>0.1067</v>
      </c>
    </row>
    <row r="4897" spans="1:6" x14ac:dyDescent="0.3">
      <c r="A4897" t="s">
        <v>4932</v>
      </c>
      <c r="B4897" t="s">
        <v>41</v>
      </c>
      <c r="C4897">
        <v>507000</v>
      </c>
      <c r="D4897">
        <v>1070</v>
      </c>
      <c r="E4897">
        <v>8.3199999999999996E-2</v>
      </c>
      <c r="F4897">
        <v>9.5100000000000004E-2</v>
      </c>
    </row>
    <row r="4898" spans="1:6" x14ac:dyDescent="0.3">
      <c r="A4898" t="s">
        <v>4933</v>
      </c>
      <c r="B4898" t="s">
        <v>53</v>
      </c>
      <c r="C4898">
        <v>506000</v>
      </c>
      <c r="D4898">
        <v>43336.5</v>
      </c>
      <c r="E4898">
        <v>7.0499999999999993E-2</v>
      </c>
      <c r="F4898">
        <v>4.0899999999999999E-2</v>
      </c>
    </row>
    <row r="4899" spans="1:6" x14ac:dyDescent="0.3">
      <c r="A4899" t="s">
        <v>4934</v>
      </c>
      <c r="B4899" t="s">
        <v>21</v>
      </c>
      <c r="C4899">
        <v>625000</v>
      </c>
      <c r="D4899">
        <v>112682.9</v>
      </c>
      <c r="E4899">
        <v>7.9600000000000004E-2</v>
      </c>
      <c r="F4899">
        <v>9.3799999999999994E-2</v>
      </c>
    </row>
    <row r="4900" spans="1:6" x14ac:dyDescent="0.3">
      <c r="A4900" t="s">
        <v>4935</v>
      </c>
      <c r="B4900" t="s">
        <v>53</v>
      </c>
      <c r="C4900">
        <v>935000</v>
      </c>
      <c r="D4900">
        <v>2840.7</v>
      </c>
      <c r="E4900">
        <v>5.1999999999999998E-3</v>
      </c>
      <c r="F4900">
        <v>6.54E-2</v>
      </c>
    </row>
    <row r="4901" spans="1:6" x14ac:dyDescent="0.3">
      <c r="A4901" t="s">
        <v>4936</v>
      </c>
      <c r="B4901" t="s">
        <v>26</v>
      </c>
      <c r="C4901">
        <v>1780000</v>
      </c>
      <c r="D4901">
        <v>833797.6</v>
      </c>
      <c r="E4901">
        <v>2.7400000000000001E-2</v>
      </c>
      <c r="F4901">
        <v>7.5899999999999995E-2</v>
      </c>
    </row>
    <row r="4902" spans="1:6" x14ac:dyDescent="0.3">
      <c r="A4902" t="s">
        <v>4937</v>
      </c>
      <c r="B4902" t="s">
        <v>28</v>
      </c>
      <c r="C4902">
        <v>805000</v>
      </c>
      <c r="D4902">
        <v>47209.8</v>
      </c>
      <c r="E4902">
        <v>7.1999999999999998E-3</v>
      </c>
      <c r="F4902">
        <v>0.10150000000000001</v>
      </c>
    </row>
    <row r="4903" spans="1:6" x14ac:dyDescent="0.3">
      <c r="A4903" t="s">
        <v>4938</v>
      </c>
      <c r="B4903" t="s">
        <v>32</v>
      </c>
      <c r="C4903">
        <v>537000</v>
      </c>
      <c r="D4903">
        <v>13074.6</v>
      </c>
      <c r="E4903">
        <v>4.0899999999999999E-2</v>
      </c>
      <c r="F4903">
        <v>9.5100000000000004E-2</v>
      </c>
    </row>
    <row r="4904" spans="1:6" x14ac:dyDescent="0.3">
      <c r="A4904" t="s">
        <v>4939</v>
      </c>
      <c r="B4904" t="s">
        <v>74</v>
      </c>
      <c r="C4904">
        <v>512000</v>
      </c>
      <c r="D4904">
        <v>119.9</v>
      </c>
      <c r="E4904">
        <v>2.35E-2</v>
      </c>
      <c r="F4904">
        <v>4.0899999999999999E-2</v>
      </c>
    </row>
    <row r="4905" spans="1:6" x14ac:dyDescent="0.3">
      <c r="A4905" t="s">
        <v>4940</v>
      </c>
      <c r="B4905" t="s">
        <v>92</v>
      </c>
      <c r="C4905">
        <v>736000</v>
      </c>
      <c r="D4905">
        <v>49426.8</v>
      </c>
      <c r="E4905">
        <v>1.7600000000000001E-2</v>
      </c>
      <c r="F4905">
        <v>4.6199999999999998E-2</v>
      </c>
    </row>
    <row r="4906" spans="1:6" x14ac:dyDescent="0.3">
      <c r="A4906" t="s">
        <v>4941</v>
      </c>
      <c r="B4906" t="s">
        <v>195</v>
      </c>
      <c r="C4906">
        <v>581000</v>
      </c>
      <c r="D4906">
        <v>1649.1</v>
      </c>
      <c r="E4906">
        <v>9.4000000000000004E-3</v>
      </c>
      <c r="F4906">
        <v>8.2199999999999995E-2</v>
      </c>
    </row>
    <row r="4907" spans="1:6" x14ac:dyDescent="0.3">
      <c r="A4907" t="s">
        <v>4942</v>
      </c>
      <c r="B4907" t="s">
        <v>62</v>
      </c>
      <c r="C4907">
        <v>786000</v>
      </c>
      <c r="D4907">
        <v>11564.3</v>
      </c>
      <c r="E4907">
        <v>4.1000000000000002E-2</v>
      </c>
      <c r="F4907">
        <v>8.3299999999999999E-2</v>
      </c>
    </row>
    <row r="4908" spans="1:6" x14ac:dyDescent="0.3">
      <c r="A4908" t="s">
        <v>4943</v>
      </c>
      <c r="B4908" t="s">
        <v>88</v>
      </c>
      <c r="C4908">
        <v>517000</v>
      </c>
      <c r="D4908">
        <v>485</v>
      </c>
      <c r="E4908">
        <v>2.1999999999999999E-2</v>
      </c>
      <c r="F4908">
        <v>9.3799999999999994E-2</v>
      </c>
    </row>
    <row r="4909" spans="1:6" x14ac:dyDescent="0.3">
      <c r="A4909" t="s">
        <v>4944</v>
      </c>
      <c r="B4909" t="s">
        <v>287</v>
      </c>
      <c r="C4909">
        <v>525000</v>
      </c>
      <c r="D4909">
        <v>1959.6</v>
      </c>
      <c r="E4909">
        <v>6.4000000000000003E-3</v>
      </c>
      <c r="F4909">
        <v>0.10150000000000001</v>
      </c>
    </row>
    <row r="4910" spans="1:6" x14ac:dyDescent="0.3">
      <c r="A4910" t="s">
        <v>4945</v>
      </c>
      <c r="B4910" t="s">
        <v>214</v>
      </c>
      <c r="C4910">
        <v>1170000</v>
      </c>
      <c r="D4910">
        <v>7567.3</v>
      </c>
      <c r="E4910">
        <v>1.83E-2</v>
      </c>
      <c r="F4910">
        <v>4.6199999999999998E-2</v>
      </c>
    </row>
    <row r="4911" spans="1:6" x14ac:dyDescent="0.3">
      <c r="A4911" t="s">
        <v>4946</v>
      </c>
      <c r="B4911" t="s">
        <v>88</v>
      </c>
      <c r="C4911">
        <v>749000</v>
      </c>
      <c r="D4911">
        <v>12348.3</v>
      </c>
      <c r="E4911">
        <v>5.04E-2</v>
      </c>
      <c r="F4911">
        <v>7.5899999999999995E-2</v>
      </c>
    </row>
    <row r="4912" spans="1:6" x14ac:dyDescent="0.3">
      <c r="A4912" t="s">
        <v>4947</v>
      </c>
      <c r="B4912" t="s">
        <v>24</v>
      </c>
      <c r="C4912">
        <v>507000</v>
      </c>
      <c r="D4912">
        <v>341.6</v>
      </c>
      <c r="E4912">
        <v>1.89E-2</v>
      </c>
      <c r="F4912">
        <v>8.5400000000000004E-2</v>
      </c>
    </row>
    <row r="4913" spans="1:6" x14ac:dyDescent="0.3">
      <c r="A4913" t="s">
        <v>4948</v>
      </c>
      <c r="B4913" t="s">
        <v>26</v>
      </c>
      <c r="C4913">
        <v>722000</v>
      </c>
      <c r="D4913">
        <v>261690.6</v>
      </c>
      <c r="E4913">
        <v>2.0899999999999998E-2</v>
      </c>
      <c r="F4913">
        <v>4.6199999999999998E-2</v>
      </c>
    </row>
    <row r="4914" spans="1:6" x14ac:dyDescent="0.3">
      <c r="A4914" t="s">
        <v>4949</v>
      </c>
      <c r="B4914" t="s">
        <v>62</v>
      </c>
      <c r="C4914">
        <v>573000</v>
      </c>
      <c r="D4914">
        <v>766142.6</v>
      </c>
      <c r="E4914">
        <v>2.3800000000000002E-2</v>
      </c>
      <c r="F4914">
        <v>5.1799999999999999E-2</v>
      </c>
    </row>
    <row r="4915" spans="1:6" x14ac:dyDescent="0.3">
      <c r="A4915" t="s">
        <v>4950</v>
      </c>
      <c r="B4915" t="s">
        <v>26</v>
      </c>
      <c r="C4915">
        <v>714000</v>
      </c>
      <c r="D4915">
        <v>233191.3</v>
      </c>
      <c r="E4915">
        <v>2.47E-2</v>
      </c>
      <c r="F4915">
        <v>4.6199999999999998E-2</v>
      </c>
    </row>
    <row r="4916" spans="1:6" x14ac:dyDescent="0.3">
      <c r="A4916" t="s">
        <v>4951</v>
      </c>
      <c r="B4916" t="s">
        <v>26</v>
      </c>
      <c r="C4916">
        <v>611000</v>
      </c>
      <c r="D4916">
        <v>111549</v>
      </c>
      <c r="E4916">
        <v>2.6499999999999999E-2</v>
      </c>
      <c r="F4916">
        <v>4.0899999999999999E-2</v>
      </c>
    </row>
    <row r="4917" spans="1:6" x14ac:dyDescent="0.3">
      <c r="A4917" t="s">
        <v>4952</v>
      </c>
      <c r="B4917" t="s">
        <v>88</v>
      </c>
      <c r="C4917">
        <v>924000</v>
      </c>
      <c r="D4917">
        <v>722.9</v>
      </c>
      <c r="E4917">
        <v>3.1300000000000001E-2</v>
      </c>
      <c r="F4917">
        <v>7.5899999999999995E-2</v>
      </c>
    </row>
    <row r="4918" spans="1:6" x14ac:dyDescent="0.3">
      <c r="A4918" t="s">
        <v>4953</v>
      </c>
      <c r="B4918" t="s">
        <v>50</v>
      </c>
      <c r="C4918">
        <v>521000</v>
      </c>
      <c r="D4918">
        <v>33135.199999999997</v>
      </c>
      <c r="E4918">
        <v>6.9400000000000003E-2</v>
      </c>
      <c r="F4918">
        <v>6.4399999999999999E-2</v>
      </c>
    </row>
    <row r="4919" spans="1:6" x14ac:dyDescent="0.3">
      <c r="A4919" t="s">
        <v>4954</v>
      </c>
      <c r="B4919" t="s">
        <v>287</v>
      </c>
      <c r="C4919">
        <v>603000</v>
      </c>
      <c r="D4919">
        <v>163299.20000000001</v>
      </c>
      <c r="E4919">
        <v>3.3500000000000002E-2</v>
      </c>
      <c r="F4919">
        <v>4.0899999999999999E-2</v>
      </c>
    </row>
    <row r="4920" spans="1:6" x14ac:dyDescent="0.3">
      <c r="A4920" t="s">
        <v>4955</v>
      </c>
      <c r="B4920" t="s">
        <v>88</v>
      </c>
      <c r="C4920">
        <v>817000</v>
      </c>
      <c r="D4920">
        <v>9592.6</v>
      </c>
      <c r="E4920">
        <v>6.7000000000000002E-3</v>
      </c>
      <c r="F4920">
        <v>0.14710000000000001</v>
      </c>
    </row>
    <row r="4921" spans="1:6" x14ac:dyDescent="0.3">
      <c r="A4921" t="s">
        <v>4956</v>
      </c>
      <c r="B4921" t="s">
        <v>214</v>
      </c>
      <c r="C4921">
        <v>500000</v>
      </c>
      <c r="D4921">
        <v>1423.3</v>
      </c>
      <c r="E4921">
        <v>6.3500000000000001E-2</v>
      </c>
      <c r="F4921">
        <v>7.5899999999999995E-2</v>
      </c>
    </row>
    <row r="4922" spans="1:6" x14ac:dyDescent="0.3">
      <c r="A4922" t="s">
        <v>4957</v>
      </c>
      <c r="B4922" t="s">
        <v>88</v>
      </c>
      <c r="C4922">
        <v>609000</v>
      </c>
      <c r="D4922">
        <v>1704</v>
      </c>
      <c r="F4922">
        <v>9.3799999999999994E-2</v>
      </c>
    </row>
    <row r="4923" spans="1:6" x14ac:dyDescent="0.3">
      <c r="A4923" t="s">
        <v>4958</v>
      </c>
      <c r="B4923" t="s">
        <v>71</v>
      </c>
      <c r="C4923">
        <v>632000</v>
      </c>
      <c r="D4923">
        <v>2144.6999999999998</v>
      </c>
      <c r="E4923">
        <v>1.0500000000000001E-2</v>
      </c>
      <c r="F4923">
        <v>6.54E-2</v>
      </c>
    </row>
    <row r="4924" spans="1:6" x14ac:dyDescent="0.3">
      <c r="A4924" t="s">
        <v>4959</v>
      </c>
      <c r="B4924" t="s">
        <v>24</v>
      </c>
      <c r="C4924">
        <v>509000</v>
      </c>
      <c r="D4924">
        <v>3393.9</v>
      </c>
      <c r="E4924">
        <v>1.21E-2</v>
      </c>
      <c r="F4924">
        <v>6.54E-2</v>
      </c>
    </row>
    <row r="4925" spans="1:6" x14ac:dyDescent="0.3">
      <c r="A4925" t="s">
        <v>4960</v>
      </c>
      <c r="B4925" t="s">
        <v>53</v>
      </c>
      <c r="C4925">
        <v>819000</v>
      </c>
      <c r="D4925">
        <v>5241.2</v>
      </c>
      <c r="E4925">
        <v>8.8000000000000005E-3</v>
      </c>
      <c r="F4925">
        <v>6.54E-2</v>
      </c>
    </row>
    <row r="4926" spans="1:6" x14ac:dyDescent="0.3">
      <c r="A4926" t="s">
        <v>4961</v>
      </c>
      <c r="B4926" t="s">
        <v>62</v>
      </c>
      <c r="C4926">
        <v>620000</v>
      </c>
      <c r="D4926">
        <v>5403.2</v>
      </c>
      <c r="E4926">
        <v>4.2299999999999997E-2</v>
      </c>
      <c r="F4926">
        <v>7.5899999999999995E-2</v>
      </c>
    </row>
    <row r="4927" spans="1:6" x14ac:dyDescent="0.3">
      <c r="A4927" t="s">
        <v>4962</v>
      </c>
      <c r="B4927" t="s">
        <v>53</v>
      </c>
      <c r="C4927">
        <v>522000</v>
      </c>
      <c r="D4927">
        <v>4746.3</v>
      </c>
      <c r="F4927">
        <v>4.0899999999999999E-2</v>
      </c>
    </row>
    <row r="4928" spans="1:6" x14ac:dyDescent="0.3">
      <c r="A4928" t="s">
        <v>4963</v>
      </c>
      <c r="B4928" t="s">
        <v>490</v>
      </c>
      <c r="C4928">
        <v>768000</v>
      </c>
      <c r="D4928">
        <v>28844.799999999999</v>
      </c>
      <c r="E4928">
        <v>2.7900000000000001E-2</v>
      </c>
      <c r="F4928">
        <v>9.3799999999999994E-2</v>
      </c>
    </row>
    <row r="4929" spans="1:6" x14ac:dyDescent="0.3">
      <c r="A4929" t="s">
        <v>4964</v>
      </c>
      <c r="B4929" t="s">
        <v>81</v>
      </c>
      <c r="C4929">
        <v>653000</v>
      </c>
      <c r="D4929">
        <v>20379.8</v>
      </c>
      <c r="E4929">
        <v>2.3900000000000001E-2</v>
      </c>
      <c r="F4929">
        <v>9.3799999999999994E-2</v>
      </c>
    </row>
    <row r="4930" spans="1:6" x14ac:dyDescent="0.3">
      <c r="A4930" t="s">
        <v>4965</v>
      </c>
      <c r="B4930" t="s">
        <v>92</v>
      </c>
      <c r="C4930">
        <v>556000</v>
      </c>
      <c r="D4930">
        <v>22716.6</v>
      </c>
      <c r="E4930">
        <v>2.29E-2</v>
      </c>
      <c r="F4930">
        <v>4.0899999999999999E-2</v>
      </c>
    </row>
    <row r="4931" spans="1:6" x14ac:dyDescent="0.3">
      <c r="A4931" t="s">
        <v>4966</v>
      </c>
      <c r="B4931" t="s">
        <v>26</v>
      </c>
      <c r="C4931">
        <v>596000</v>
      </c>
      <c r="D4931">
        <v>106.8</v>
      </c>
      <c r="E4931">
        <v>2.63E-2</v>
      </c>
      <c r="F4931">
        <v>9.5100000000000004E-2</v>
      </c>
    </row>
    <row r="4932" spans="1:6" x14ac:dyDescent="0.3">
      <c r="A4932" t="s">
        <v>4967</v>
      </c>
      <c r="B4932" t="s">
        <v>35</v>
      </c>
      <c r="C4932">
        <v>688000</v>
      </c>
      <c r="D4932">
        <v>1085148.5</v>
      </c>
      <c r="E4932">
        <v>3.7000000000000002E-3</v>
      </c>
      <c r="F4932">
        <v>8.2199999999999995E-2</v>
      </c>
    </row>
    <row r="4933" spans="1:6" x14ac:dyDescent="0.3">
      <c r="A4933" t="s">
        <v>4968</v>
      </c>
      <c r="B4933" t="s">
        <v>88</v>
      </c>
      <c r="C4933">
        <v>806000</v>
      </c>
      <c r="D4933">
        <v>1705.4</v>
      </c>
      <c r="E4933">
        <v>6.13E-2</v>
      </c>
      <c r="F4933">
        <v>9.3799999999999994E-2</v>
      </c>
    </row>
    <row r="4934" spans="1:6" x14ac:dyDescent="0.3">
      <c r="A4934" t="s">
        <v>4969</v>
      </c>
      <c r="B4934" t="s">
        <v>214</v>
      </c>
      <c r="C4934">
        <v>680000</v>
      </c>
      <c r="D4934">
        <v>54804.800000000003</v>
      </c>
      <c r="E4934">
        <v>1.0699999999999999E-2</v>
      </c>
      <c r="F4934">
        <v>6.54E-2</v>
      </c>
    </row>
    <row r="4935" spans="1:6" x14ac:dyDescent="0.3">
      <c r="A4935" t="s">
        <v>4970</v>
      </c>
      <c r="B4935" t="s">
        <v>53</v>
      </c>
      <c r="C4935">
        <v>493000</v>
      </c>
      <c r="D4935">
        <v>7028.3</v>
      </c>
      <c r="E4935">
        <v>3.7199999999999997E-2</v>
      </c>
      <c r="F4935">
        <v>9.5100000000000004E-2</v>
      </c>
    </row>
    <row r="4936" spans="1:6" x14ac:dyDescent="0.3">
      <c r="A4936" t="s">
        <v>4971</v>
      </c>
      <c r="B4936" t="s">
        <v>26</v>
      </c>
      <c r="C4936">
        <v>1540000</v>
      </c>
      <c r="D4936">
        <v>3079235</v>
      </c>
      <c r="E4936">
        <v>8.8000000000000005E-3</v>
      </c>
      <c r="F4936">
        <v>6.54E-2</v>
      </c>
    </row>
    <row r="4937" spans="1:6" x14ac:dyDescent="0.3">
      <c r="A4937" t="s">
        <v>4972</v>
      </c>
      <c r="B4937" t="s">
        <v>287</v>
      </c>
      <c r="C4937">
        <v>507000</v>
      </c>
      <c r="D4937">
        <v>1878705.1</v>
      </c>
      <c r="E4937">
        <v>2.7099999999999999E-2</v>
      </c>
      <c r="F4937">
        <v>5.1799999999999999E-2</v>
      </c>
    </row>
    <row r="4938" spans="1:6" x14ac:dyDescent="0.3">
      <c r="A4938" t="s">
        <v>4973</v>
      </c>
      <c r="B4938" t="s">
        <v>490</v>
      </c>
      <c r="C4938">
        <v>564000</v>
      </c>
      <c r="D4938">
        <v>1116.0999999999999</v>
      </c>
      <c r="E4938">
        <v>3.4299999999999997E-2</v>
      </c>
      <c r="F4938">
        <v>9.3799999999999994E-2</v>
      </c>
    </row>
    <row r="4939" spans="1:6" x14ac:dyDescent="0.3">
      <c r="A4939" t="s">
        <v>4974</v>
      </c>
      <c r="B4939" t="s">
        <v>24</v>
      </c>
      <c r="C4939">
        <v>1800000</v>
      </c>
      <c r="D4939">
        <v>68226.8</v>
      </c>
      <c r="E4939">
        <v>2.29E-2</v>
      </c>
      <c r="F4939">
        <v>9.5100000000000004E-2</v>
      </c>
    </row>
    <row r="4940" spans="1:6" x14ac:dyDescent="0.3">
      <c r="A4940" t="s">
        <v>4975</v>
      </c>
      <c r="B4940" t="s">
        <v>41</v>
      </c>
      <c r="C4940">
        <v>1340000</v>
      </c>
      <c r="D4940">
        <v>1497.1</v>
      </c>
      <c r="E4940">
        <v>8.5000000000000006E-3</v>
      </c>
      <c r="F4940">
        <v>8.5400000000000004E-2</v>
      </c>
    </row>
    <row r="4941" spans="1:6" x14ac:dyDescent="0.3">
      <c r="A4941" t="s">
        <v>4976</v>
      </c>
      <c r="B4941" t="s">
        <v>26</v>
      </c>
      <c r="C4941">
        <v>1460000</v>
      </c>
      <c r="D4941">
        <v>420.6</v>
      </c>
      <c r="E4941">
        <v>1.0450999999999999</v>
      </c>
      <c r="F4941">
        <v>9.5100000000000004E-2</v>
      </c>
    </row>
    <row r="4942" spans="1:6" x14ac:dyDescent="0.3">
      <c r="A4942" t="s">
        <v>4977</v>
      </c>
      <c r="B4942" t="s">
        <v>53</v>
      </c>
      <c r="C4942">
        <v>480000</v>
      </c>
      <c r="D4942">
        <v>10164.4</v>
      </c>
      <c r="E4942">
        <v>7.46E-2</v>
      </c>
      <c r="F4942">
        <v>9.5100000000000004E-2</v>
      </c>
    </row>
    <row r="4943" spans="1:6" x14ac:dyDescent="0.3">
      <c r="A4943" t="s">
        <v>4978</v>
      </c>
      <c r="B4943" t="s">
        <v>92</v>
      </c>
      <c r="C4943">
        <v>500000</v>
      </c>
      <c r="D4943">
        <v>1775.1</v>
      </c>
      <c r="E4943">
        <v>4.2900000000000001E-2</v>
      </c>
      <c r="F4943">
        <v>0.1241</v>
      </c>
    </row>
    <row r="4944" spans="1:6" x14ac:dyDescent="0.3">
      <c r="A4944" t="s">
        <v>4979</v>
      </c>
      <c r="B4944" t="s">
        <v>32</v>
      </c>
      <c r="C4944">
        <v>530000</v>
      </c>
      <c r="D4944">
        <v>6369.3</v>
      </c>
      <c r="E4944">
        <v>4.4000000000000003E-3</v>
      </c>
      <c r="F4944">
        <v>0.10150000000000001</v>
      </c>
    </row>
    <row r="4945" spans="1:6" x14ac:dyDescent="0.3">
      <c r="A4945" t="s">
        <v>4980</v>
      </c>
      <c r="B4945" t="s">
        <v>88</v>
      </c>
      <c r="C4945">
        <v>618000</v>
      </c>
      <c r="D4945">
        <v>18248.5</v>
      </c>
      <c r="E4945">
        <v>4.5600000000000002E-2</v>
      </c>
      <c r="F4945">
        <v>0.11700000000000001</v>
      </c>
    </row>
    <row r="4946" spans="1:6" x14ac:dyDescent="0.3">
      <c r="A4946" t="s">
        <v>4981</v>
      </c>
      <c r="B4946" t="s">
        <v>92</v>
      </c>
      <c r="C4946">
        <v>3360000</v>
      </c>
      <c r="D4946">
        <v>381043.3</v>
      </c>
      <c r="E4946">
        <v>2.3599999999999999E-2</v>
      </c>
      <c r="F4946">
        <v>5.7599999999999998E-2</v>
      </c>
    </row>
    <row r="4947" spans="1:6" x14ac:dyDescent="0.3">
      <c r="A4947" t="s">
        <v>4982</v>
      </c>
      <c r="B4947" t="s">
        <v>92</v>
      </c>
      <c r="C4947">
        <v>495000</v>
      </c>
      <c r="D4947">
        <v>1330</v>
      </c>
      <c r="F4947">
        <v>5.4600000000000003E-2</v>
      </c>
    </row>
    <row r="4948" spans="1:6" x14ac:dyDescent="0.3">
      <c r="A4948" t="s">
        <v>4983</v>
      </c>
      <c r="B4948" t="s">
        <v>88</v>
      </c>
      <c r="C4948">
        <v>1340000</v>
      </c>
      <c r="D4948">
        <v>12044.7</v>
      </c>
      <c r="E4948">
        <v>4.4999999999999998E-2</v>
      </c>
      <c r="F4948">
        <v>9.3799999999999994E-2</v>
      </c>
    </row>
    <row r="4949" spans="1:6" x14ac:dyDescent="0.3">
      <c r="A4949" t="s">
        <v>4984</v>
      </c>
      <c r="B4949" t="s">
        <v>26</v>
      </c>
      <c r="C4949">
        <v>497000</v>
      </c>
      <c r="D4949">
        <v>5687.2</v>
      </c>
      <c r="E4949">
        <v>1.67E-2</v>
      </c>
      <c r="F4949">
        <v>0.1119</v>
      </c>
    </row>
    <row r="4950" spans="1:6" x14ac:dyDescent="0.3">
      <c r="A4950" t="s">
        <v>4985</v>
      </c>
      <c r="B4950" t="s">
        <v>26</v>
      </c>
      <c r="C4950">
        <v>561000</v>
      </c>
      <c r="D4950">
        <v>53107.4</v>
      </c>
      <c r="E4950">
        <v>8.6300000000000002E-2</v>
      </c>
      <c r="F4950">
        <v>5.0999999999999997E-2</v>
      </c>
    </row>
    <row r="4951" spans="1:6" x14ac:dyDescent="0.3">
      <c r="A4951" t="s">
        <v>4986</v>
      </c>
      <c r="B4951" t="s">
        <v>26</v>
      </c>
      <c r="C4951">
        <v>565000</v>
      </c>
      <c r="D4951">
        <v>769102.8</v>
      </c>
      <c r="E4951">
        <v>3.0099999999999998E-2</v>
      </c>
      <c r="F4951">
        <v>5.1799999999999999E-2</v>
      </c>
    </row>
    <row r="4952" spans="1:6" x14ac:dyDescent="0.3">
      <c r="A4952" t="s">
        <v>4987</v>
      </c>
      <c r="B4952" t="s">
        <v>26</v>
      </c>
      <c r="C4952">
        <v>862000</v>
      </c>
      <c r="D4952">
        <v>24325.7</v>
      </c>
      <c r="E4952">
        <v>6.1699999999999998E-2</v>
      </c>
      <c r="F4952">
        <v>9.3799999999999994E-2</v>
      </c>
    </row>
    <row r="4953" spans="1:6" x14ac:dyDescent="0.3">
      <c r="A4953" t="s">
        <v>4988</v>
      </c>
      <c r="B4953" t="s">
        <v>26</v>
      </c>
      <c r="C4953">
        <v>467000</v>
      </c>
      <c r="D4953">
        <v>39180.6</v>
      </c>
      <c r="E4953">
        <v>2.93E-2</v>
      </c>
      <c r="F4953">
        <v>8.4500000000000006E-2</v>
      </c>
    </row>
    <row r="4954" spans="1:6" x14ac:dyDescent="0.3">
      <c r="A4954" t="s">
        <v>4989</v>
      </c>
      <c r="B4954" t="s">
        <v>53</v>
      </c>
      <c r="C4954">
        <v>722000</v>
      </c>
      <c r="D4954">
        <v>49616.9</v>
      </c>
      <c r="E4954">
        <v>7.7999999999999996E-3</v>
      </c>
      <c r="F4954">
        <v>8.1100000000000005E-2</v>
      </c>
    </row>
    <row r="4955" spans="1:6" x14ac:dyDescent="0.3">
      <c r="A4955" t="s">
        <v>4990</v>
      </c>
      <c r="B4955" t="s">
        <v>92</v>
      </c>
      <c r="C4955">
        <v>545000</v>
      </c>
      <c r="D4955">
        <v>5182.7</v>
      </c>
      <c r="E4955">
        <v>2.3300000000000001E-2</v>
      </c>
      <c r="F4955">
        <v>9.5100000000000004E-2</v>
      </c>
    </row>
    <row r="4956" spans="1:6" x14ac:dyDescent="0.3">
      <c r="A4956" t="s">
        <v>4991</v>
      </c>
      <c r="B4956" t="s">
        <v>62</v>
      </c>
      <c r="C4956">
        <v>986000</v>
      </c>
      <c r="D4956">
        <v>11107.5</v>
      </c>
      <c r="E4956">
        <v>3.0599999999999999E-2</v>
      </c>
      <c r="F4956">
        <v>7.5899999999999995E-2</v>
      </c>
    </row>
    <row r="4957" spans="1:6" x14ac:dyDescent="0.3">
      <c r="A4957" t="s">
        <v>4992</v>
      </c>
      <c r="B4957" t="s">
        <v>26</v>
      </c>
      <c r="C4957">
        <v>639000</v>
      </c>
      <c r="D4957">
        <v>5208.5</v>
      </c>
      <c r="E4957">
        <v>0.1096</v>
      </c>
      <c r="F4957">
        <v>9.3799999999999994E-2</v>
      </c>
    </row>
    <row r="4958" spans="1:6" x14ac:dyDescent="0.3">
      <c r="A4958" t="s">
        <v>4993</v>
      </c>
      <c r="B4958" t="s">
        <v>24</v>
      </c>
      <c r="C4958">
        <v>659000</v>
      </c>
      <c r="D4958">
        <v>14835.5</v>
      </c>
      <c r="E4958">
        <v>3.27E-2</v>
      </c>
      <c r="F4958">
        <v>9.5100000000000004E-2</v>
      </c>
    </row>
    <row r="4959" spans="1:6" x14ac:dyDescent="0.3">
      <c r="A4959" t="s">
        <v>4994</v>
      </c>
      <c r="B4959" t="s">
        <v>88</v>
      </c>
      <c r="C4959">
        <v>687000</v>
      </c>
      <c r="D4959">
        <v>1139.0999999999999</v>
      </c>
      <c r="E4959">
        <v>2.0899999999999998E-2</v>
      </c>
      <c r="F4959">
        <v>7.5899999999999995E-2</v>
      </c>
    </row>
    <row r="4960" spans="1:6" x14ac:dyDescent="0.3">
      <c r="A4960" t="s">
        <v>4995</v>
      </c>
      <c r="B4960" t="s">
        <v>214</v>
      </c>
      <c r="C4960">
        <v>1950000</v>
      </c>
      <c r="D4960">
        <v>28065.5</v>
      </c>
      <c r="E4960">
        <v>1.21E-2</v>
      </c>
      <c r="F4960">
        <v>6.5699999999999995E-2</v>
      </c>
    </row>
    <row r="4961" spans="1:6" x14ac:dyDescent="0.3">
      <c r="A4961" t="s">
        <v>4996</v>
      </c>
      <c r="B4961" t="s">
        <v>92</v>
      </c>
      <c r="C4961">
        <v>496000</v>
      </c>
      <c r="D4961">
        <v>336.6</v>
      </c>
      <c r="E4961">
        <v>2.6200000000000001E-2</v>
      </c>
      <c r="F4961">
        <v>9.5100000000000004E-2</v>
      </c>
    </row>
    <row r="4962" spans="1:6" x14ac:dyDescent="0.3">
      <c r="A4962" t="s">
        <v>4997</v>
      </c>
      <c r="B4962" t="s">
        <v>92</v>
      </c>
      <c r="C4962">
        <v>827000</v>
      </c>
      <c r="D4962">
        <v>23352.6</v>
      </c>
      <c r="E4962">
        <v>2.2800000000000001E-2</v>
      </c>
      <c r="F4962">
        <v>4.0899999999999999E-2</v>
      </c>
    </row>
    <row r="4963" spans="1:6" x14ac:dyDescent="0.3">
      <c r="A4963" t="s">
        <v>4998</v>
      </c>
      <c r="B4963" t="s">
        <v>71</v>
      </c>
      <c r="C4963">
        <v>586000</v>
      </c>
      <c r="D4963">
        <v>84673.4</v>
      </c>
      <c r="E4963">
        <v>2.1000000000000001E-2</v>
      </c>
      <c r="F4963">
        <v>0.1067</v>
      </c>
    </row>
    <row r="4964" spans="1:6" x14ac:dyDescent="0.3">
      <c r="A4964" t="s">
        <v>4999</v>
      </c>
      <c r="B4964" t="s">
        <v>26</v>
      </c>
      <c r="C4964">
        <v>998000</v>
      </c>
      <c r="D4964">
        <v>978.8</v>
      </c>
      <c r="E4964">
        <v>2.8799999999999999E-2</v>
      </c>
      <c r="F4964">
        <v>5.0999999999999997E-2</v>
      </c>
    </row>
    <row r="4965" spans="1:6" x14ac:dyDescent="0.3">
      <c r="A4965" t="s">
        <v>5000</v>
      </c>
      <c r="B4965" t="s">
        <v>71</v>
      </c>
      <c r="C4965">
        <v>923000</v>
      </c>
      <c r="D4965">
        <v>192580.3</v>
      </c>
      <c r="E4965">
        <v>6.9000000000000006E-2</v>
      </c>
      <c r="F4965">
        <v>7.5899999999999995E-2</v>
      </c>
    </row>
    <row r="4966" spans="1:6" x14ac:dyDescent="0.3">
      <c r="A4966" t="s">
        <v>5001</v>
      </c>
      <c r="B4966" t="s">
        <v>88</v>
      </c>
      <c r="C4966">
        <v>524000</v>
      </c>
      <c r="D4966">
        <v>1387.8</v>
      </c>
      <c r="E4966">
        <v>4.7E-2</v>
      </c>
      <c r="F4966">
        <v>9.5100000000000004E-2</v>
      </c>
    </row>
    <row r="4967" spans="1:6" x14ac:dyDescent="0.3">
      <c r="A4967" t="s">
        <v>5002</v>
      </c>
      <c r="B4967" t="s">
        <v>74</v>
      </c>
      <c r="C4967">
        <v>1090000</v>
      </c>
      <c r="D4967">
        <v>3503.3</v>
      </c>
      <c r="E4967">
        <v>1.5800000000000002E-2</v>
      </c>
      <c r="F4967">
        <v>8.5400000000000004E-2</v>
      </c>
    </row>
    <row r="4968" spans="1:6" x14ac:dyDescent="0.3">
      <c r="A4968" t="s">
        <v>5003</v>
      </c>
      <c r="B4968" t="s">
        <v>214</v>
      </c>
      <c r="C4968">
        <v>698000</v>
      </c>
      <c r="D4968">
        <v>31786.400000000001</v>
      </c>
      <c r="E4968">
        <v>1.8800000000000001E-2</v>
      </c>
      <c r="F4968">
        <v>8.5400000000000004E-2</v>
      </c>
    </row>
    <row r="4969" spans="1:6" x14ac:dyDescent="0.3">
      <c r="A4969" t="s">
        <v>5004</v>
      </c>
      <c r="B4969" t="s">
        <v>92</v>
      </c>
      <c r="C4969">
        <v>734000</v>
      </c>
      <c r="D4969">
        <v>29813.3</v>
      </c>
      <c r="E4969">
        <v>7.7999999999999996E-3</v>
      </c>
      <c r="F4969">
        <v>6.54E-2</v>
      </c>
    </row>
    <row r="4970" spans="1:6" x14ac:dyDescent="0.3">
      <c r="A4970" t="s">
        <v>5005</v>
      </c>
      <c r="B4970" t="s">
        <v>26</v>
      </c>
      <c r="C4970">
        <v>710000</v>
      </c>
      <c r="D4970">
        <v>1592.8</v>
      </c>
      <c r="E4970">
        <v>5.0900000000000001E-2</v>
      </c>
      <c r="F4970">
        <v>7.5899999999999995E-2</v>
      </c>
    </row>
    <row r="4971" spans="1:6" x14ac:dyDescent="0.3">
      <c r="A4971" t="s">
        <v>5006</v>
      </c>
      <c r="B4971" t="s">
        <v>214</v>
      </c>
      <c r="C4971">
        <v>467000</v>
      </c>
      <c r="D4971">
        <v>19839.099999999999</v>
      </c>
      <c r="E4971">
        <v>4.48E-2</v>
      </c>
      <c r="F4971">
        <v>9.5100000000000004E-2</v>
      </c>
    </row>
    <row r="4972" spans="1:6" x14ac:dyDescent="0.3">
      <c r="A4972" t="s">
        <v>5007</v>
      </c>
      <c r="B4972" t="s">
        <v>24</v>
      </c>
      <c r="C4972">
        <v>731000</v>
      </c>
      <c r="D4972">
        <v>91203</v>
      </c>
      <c r="E4972">
        <v>5.8500000000000003E-2</v>
      </c>
      <c r="F4972">
        <v>9.5100000000000004E-2</v>
      </c>
    </row>
    <row r="4973" spans="1:6" x14ac:dyDescent="0.3">
      <c r="A4973" t="s">
        <v>5008</v>
      </c>
      <c r="B4973" t="s">
        <v>24</v>
      </c>
      <c r="C4973">
        <v>593000</v>
      </c>
      <c r="D4973">
        <v>16828.400000000001</v>
      </c>
      <c r="E4973">
        <v>1.41E-2</v>
      </c>
      <c r="F4973">
        <v>5.7599999999999998E-2</v>
      </c>
    </row>
    <row r="4974" spans="1:6" x14ac:dyDescent="0.3">
      <c r="A4974" t="s">
        <v>5009</v>
      </c>
      <c r="B4974" t="s">
        <v>26</v>
      </c>
      <c r="C4974">
        <v>613000</v>
      </c>
      <c r="D4974">
        <v>414919.2</v>
      </c>
      <c r="E4974">
        <v>3.5099999999999999E-2</v>
      </c>
      <c r="F4974">
        <v>6.7199999999999996E-2</v>
      </c>
    </row>
    <row r="4975" spans="1:6" x14ac:dyDescent="0.3">
      <c r="A4975" t="s">
        <v>5010</v>
      </c>
      <c r="B4975" t="s">
        <v>26</v>
      </c>
      <c r="C4975">
        <v>506000</v>
      </c>
      <c r="D4975">
        <v>22311.4</v>
      </c>
      <c r="E4975">
        <v>4.7100000000000003E-2</v>
      </c>
      <c r="F4975">
        <v>9.5100000000000004E-2</v>
      </c>
    </row>
    <row r="4976" spans="1:6" x14ac:dyDescent="0.3">
      <c r="A4976" t="s">
        <v>5011</v>
      </c>
      <c r="B4976" t="s">
        <v>26</v>
      </c>
      <c r="C4976">
        <v>490000</v>
      </c>
      <c r="D4976">
        <v>43644.7</v>
      </c>
      <c r="E4976">
        <v>3.4500000000000003E-2</v>
      </c>
      <c r="F4976">
        <v>9.3799999999999994E-2</v>
      </c>
    </row>
    <row r="4977" spans="1:6" x14ac:dyDescent="0.3">
      <c r="A4977" t="s">
        <v>5012</v>
      </c>
      <c r="B4977" t="s">
        <v>26</v>
      </c>
      <c r="C4977">
        <v>955000</v>
      </c>
      <c r="D4977">
        <v>36746.5</v>
      </c>
      <c r="E4977">
        <v>1.41E-2</v>
      </c>
      <c r="F4977">
        <v>7.2599999999999998E-2</v>
      </c>
    </row>
    <row r="4978" spans="1:6" x14ac:dyDescent="0.3">
      <c r="A4978" t="s">
        <v>5013</v>
      </c>
      <c r="B4978" t="s">
        <v>41</v>
      </c>
      <c r="C4978">
        <v>666000</v>
      </c>
      <c r="D4978">
        <v>32987.9</v>
      </c>
      <c r="E4978">
        <v>3.1800000000000002E-2</v>
      </c>
      <c r="F4978">
        <v>7.5899999999999995E-2</v>
      </c>
    </row>
    <row r="4979" spans="1:6" x14ac:dyDescent="0.3">
      <c r="A4979" t="s">
        <v>5014</v>
      </c>
      <c r="B4979" t="s">
        <v>21</v>
      </c>
      <c r="C4979">
        <v>594000</v>
      </c>
      <c r="D4979">
        <v>10755.4</v>
      </c>
      <c r="F4979">
        <v>5.0999999999999997E-2</v>
      </c>
    </row>
    <row r="4980" spans="1:6" x14ac:dyDescent="0.3">
      <c r="A4980" t="s">
        <v>5015</v>
      </c>
      <c r="B4980" t="s">
        <v>62</v>
      </c>
      <c r="C4980">
        <v>492000</v>
      </c>
      <c r="D4980">
        <v>12551.7</v>
      </c>
      <c r="E4980">
        <v>1.9800000000000002E-2</v>
      </c>
      <c r="F4980">
        <v>7.5899999999999995E-2</v>
      </c>
    </row>
    <row r="4981" spans="1:6" x14ac:dyDescent="0.3">
      <c r="A4981" t="s">
        <v>5016</v>
      </c>
      <c r="B4981" t="s">
        <v>26</v>
      </c>
      <c r="C4981">
        <v>616000</v>
      </c>
      <c r="D4981">
        <v>118647.8</v>
      </c>
      <c r="E4981">
        <v>2.5600000000000001E-2</v>
      </c>
      <c r="F4981">
        <v>9.5100000000000004E-2</v>
      </c>
    </row>
    <row r="4982" spans="1:6" x14ac:dyDescent="0.3">
      <c r="A4982" t="s">
        <v>5017</v>
      </c>
      <c r="B4982" t="s">
        <v>26</v>
      </c>
      <c r="C4982">
        <v>655000</v>
      </c>
      <c r="D4982">
        <v>4679.3999999999996</v>
      </c>
      <c r="E4982">
        <v>1.67E-2</v>
      </c>
      <c r="F4982">
        <v>0.1053</v>
      </c>
    </row>
    <row r="4983" spans="1:6" x14ac:dyDescent="0.3">
      <c r="A4983" t="s">
        <v>5018</v>
      </c>
      <c r="B4983" t="s">
        <v>26</v>
      </c>
      <c r="C4983">
        <v>705000</v>
      </c>
      <c r="D4983">
        <v>741245.8</v>
      </c>
      <c r="E4983">
        <v>1.49E-2</v>
      </c>
      <c r="F4983">
        <v>5.8500000000000003E-2</v>
      </c>
    </row>
    <row r="4984" spans="1:6" x14ac:dyDescent="0.3">
      <c r="A4984" t="s">
        <v>5019</v>
      </c>
      <c r="B4984" t="s">
        <v>74</v>
      </c>
      <c r="C4984">
        <v>525000</v>
      </c>
      <c r="D4984">
        <v>188.8</v>
      </c>
      <c r="E4984">
        <v>3.7199999999999997E-2</v>
      </c>
      <c r="F4984">
        <v>4.0899999999999999E-2</v>
      </c>
    </row>
    <row r="4985" spans="1:6" x14ac:dyDescent="0.3">
      <c r="A4985" t="s">
        <v>5020</v>
      </c>
      <c r="B4985" t="s">
        <v>92</v>
      </c>
      <c r="C4985">
        <v>771000</v>
      </c>
      <c r="D4985">
        <v>26889.1</v>
      </c>
      <c r="E4985">
        <v>1.5299999999999999E-2</v>
      </c>
      <c r="F4985">
        <v>4.6199999999999998E-2</v>
      </c>
    </row>
    <row r="4986" spans="1:6" x14ac:dyDescent="0.3">
      <c r="A4986" t="s">
        <v>5021</v>
      </c>
      <c r="B4986" t="s">
        <v>88</v>
      </c>
      <c r="C4986">
        <v>487000</v>
      </c>
      <c r="D4986">
        <v>7035.3</v>
      </c>
      <c r="E4986">
        <v>3.1199999999999999E-2</v>
      </c>
      <c r="F4986">
        <v>9.3799999999999994E-2</v>
      </c>
    </row>
    <row r="4987" spans="1:6" x14ac:dyDescent="0.3">
      <c r="A4987" t="s">
        <v>5022</v>
      </c>
      <c r="B4987" t="s">
        <v>88</v>
      </c>
      <c r="C4987">
        <v>637000</v>
      </c>
      <c r="D4987">
        <v>317.5</v>
      </c>
      <c r="E4987">
        <v>3.2500000000000001E-2</v>
      </c>
      <c r="F4987">
        <v>7.5899999999999995E-2</v>
      </c>
    </row>
    <row r="4988" spans="1:6" x14ac:dyDescent="0.3">
      <c r="A4988" t="s">
        <v>5023</v>
      </c>
      <c r="B4988" t="s">
        <v>32</v>
      </c>
      <c r="C4988">
        <v>490000</v>
      </c>
      <c r="D4988">
        <v>252670.8</v>
      </c>
      <c r="E4988">
        <v>1.6199999999999999E-2</v>
      </c>
      <c r="F4988">
        <v>7.3599999999999999E-2</v>
      </c>
    </row>
    <row r="4989" spans="1:6" x14ac:dyDescent="0.3">
      <c r="A4989" t="s">
        <v>5024</v>
      </c>
      <c r="B4989" t="s">
        <v>26</v>
      </c>
      <c r="C4989">
        <v>953000</v>
      </c>
      <c r="D4989">
        <v>103565.5</v>
      </c>
      <c r="E4989">
        <v>1.8700000000000001E-2</v>
      </c>
      <c r="F4989">
        <v>4.6199999999999998E-2</v>
      </c>
    </row>
    <row r="4990" spans="1:6" x14ac:dyDescent="0.3">
      <c r="A4990" t="s">
        <v>5025</v>
      </c>
      <c r="B4990" t="s">
        <v>62</v>
      </c>
      <c r="C4990">
        <v>723000</v>
      </c>
      <c r="D4990">
        <v>33027.199999999997</v>
      </c>
      <c r="E4990">
        <v>3.7400000000000003E-2</v>
      </c>
      <c r="F4990">
        <v>7.5899999999999995E-2</v>
      </c>
    </row>
    <row r="4991" spans="1:6" x14ac:dyDescent="0.3">
      <c r="A4991" t="s">
        <v>5026</v>
      </c>
      <c r="B4991" t="s">
        <v>41</v>
      </c>
      <c r="C4991">
        <v>503000</v>
      </c>
      <c r="D4991">
        <v>214.4</v>
      </c>
      <c r="E4991">
        <v>2.81E-2</v>
      </c>
      <c r="F4991">
        <v>0.30349999999999999</v>
      </c>
    </row>
    <row r="4992" spans="1:6" x14ac:dyDescent="0.3">
      <c r="A4992" t="s">
        <v>5027</v>
      </c>
      <c r="B4992" t="s">
        <v>74</v>
      </c>
      <c r="C4992">
        <v>515000</v>
      </c>
      <c r="D4992">
        <v>636.70000000000005</v>
      </c>
      <c r="E4992">
        <v>2.52E-2</v>
      </c>
      <c r="F4992">
        <v>9.5000000000000001E-2</v>
      </c>
    </row>
    <row r="4993" spans="1:6" x14ac:dyDescent="0.3">
      <c r="A4993" t="s">
        <v>5028</v>
      </c>
      <c r="B4993" t="s">
        <v>287</v>
      </c>
      <c r="C4993">
        <v>714000</v>
      </c>
      <c r="D4993">
        <v>8247.1</v>
      </c>
      <c r="E4993">
        <v>3.7699999999999997E-2</v>
      </c>
      <c r="F4993">
        <v>4.0899999999999999E-2</v>
      </c>
    </row>
    <row r="4994" spans="1:6" x14ac:dyDescent="0.3">
      <c r="A4994" t="s">
        <v>5029</v>
      </c>
      <c r="B4994" t="s">
        <v>28</v>
      </c>
      <c r="C4994">
        <v>2240000</v>
      </c>
      <c r="D4994">
        <v>973377.1</v>
      </c>
      <c r="E4994">
        <v>1.04E-2</v>
      </c>
      <c r="F4994">
        <v>6.54E-2</v>
      </c>
    </row>
    <row r="4995" spans="1:6" x14ac:dyDescent="0.3">
      <c r="A4995" t="s">
        <v>5030</v>
      </c>
      <c r="B4995" t="s">
        <v>50</v>
      </c>
      <c r="C4995">
        <v>961000</v>
      </c>
      <c r="D4995">
        <v>255900.79999999999</v>
      </c>
      <c r="E4995">
        <v>6.7000000000000004E-2</v>
      </c>
      <c r="F4995">
        <v>7.5899999999999995E-2</v>
      </c>
    </row>
    <row r="4996" spans="1:6" x14ac:dyDescent="0.3">
      <c r="A4996" t="s">
        <v>5031</v>
      </c>
      <c r="B4996" t="s">
        <v>88</v>
      </c>
      <c r="C4996">
        <v>573000</v>
      </c>
      <c r="D4996">
        <v>12204</v>
      </c>
      <c r="E4996">
        <v>4.6800000000000001E-2</v>
      </c>
      <c r="F4996">
        <v>5.0999999999999997E-2</v>
      </c>
    </row>
    <row r="4997" spans="1:6" x14ac:dyDescent="0.3">
      <c r="A4997" t="s">
        <v>5032</v>
      </c>
      <c r="B4997" t="s">
        <v>50</v>
      </c>
      <c r="C4997">
        <v>472000</v>
      </c>
      <c r="D4997">
        <v>176722.6</v>
      </c>
      <c r="E4997">
        <v>4.5100000000000001E-2</v>
      </c>
      <c r="F4997">
        <v>9.5100000000000004E-2</v>
      </c>
    </row>
    <row r="4998" spans="1:6" x14ac:dyDescent="0.3">
      <c r="A4998" t="s">
        <v>5033</v>
      </c>
      <c r="B4998" t="s">
        <v>88</v>
      </c>
      <c r="C4998">
        <v>498000</v>
      </c>
      <c r="D4998">
        <v>617.9</v>
      </c>
      <c r="E4998">
        <v>2.2700000000000001E-2</v>
      </c>
      <c r="F4998">
        <v>4.0899999999999999E-2</v>
      </c>
    </row>
    <row r="4999" spans="1:6" x14ac:dyDescent="0.3">
      <c r="A4999" t="s">
        <v>5034</v>
      </c>
      <c r="B4999" t="s">
        <v>26</v>
      </c>
      <c r="C4999">
        <v>525000</v>
      </c>
      <c r="D4999">
        <v>549.9</v>
      </c>
      <c r="E4999">
        <v>7.3000000000000001E-3</v>
      </c>
      <c r="F4999">
        <v>0.35399999999999998</v>
      </c>
    </row>
    <row r="5000" spans="1:6" x14ac:dyDescent="0.3">
      <c r="A5000" t="s">
        <v>5035</v>
      </c>
      <c r="B5000" t="s">
        <v>287</v>
      </c>
      <c r="C5000">
        <v>509000</v>
      </c>
      <c r="D5000">
        <v>1654.7</v>
      </c>
      <c r="E5000">
        <v>9.0499999999999997E-2</v>
      </c>
      <c r="F5000">
        <v>7.5899999999999995E-2</v>
      </c>
    </row>
    <row r="5001" spans="1:6" x14ac:dyDescent="0.3">
      <c r="A5001" t="s">
        <v>5036</v>
      </c>
      <c r="B5001" t="s">
        <v>88</v>
      </c>
      <c r="C5001">
        <v>546000</v>
      </c>
      <c r="D5001">
        <v>23482.6</v>
      </c>
      <c r="E5001">
        <v>3.7600000000000001E-2</v>
      </c>
      <c r="F5001">
        <v>9.3799999999999994E-2</v>
      </c>
    </row>
    <row r="5002" spans="1:6" x14ac:dyDescent="0.3">
      <c r="A5002" t="s">
        <v>5037</v>
      </c>
      <c r="B5002" t="s">
        <v>74</v>
      </c>
      <c r="C5002">
        <v>459000</v>
      </c>
      <c r="D5002">
        <v>1414.5</v>
      </c>
      <c r="E5002">
        <v>4.4200000000000003E-2</v>
      </c>
      <c r="F5002">
        <v>9.5100000000000004E-2</v>
      </c>
    </row>
    <row r="5003" spans="1:6" x14ac:dyDescent="0.3">
      <c r="A5003" t="s">
        <v>5038</v>
      </c>
      <c r="B5003" t="s">
        <v>50</v>
      </c>
      <c r="C5003">
        <v>495000</v>
      </c>
      <c r="D5003">
        <v>10225.5</v>
      </c>
      <c r="E5003">
        <v>9.2200000000000004E-2</v>
      </c>
      <c r="F5003">
        <v>9.3799999999999994E-2</v>
      </c>
    </row>
    <row r="5004" spans="1:6" x14ac:dyDescent="0.3">
      <c r="A5004" t="s">
        <v>5039</v>
      </c>
      <c r="B5004" t="s">
        <v>214</v>
      </c>
      <c r="C5004">
        <v>2530000</v>
      </c>
      <c r="D5004">
        <v>76004</v>
      </c>
      <c r="E5004">
        <v>1.43E-2</v>
      </c>
      <c r="F5004">
        <v>7.2599999999999998E-2</v>
      </c>
    </row>
    <row r="5005" spans="1:6" x14ac:dyDescent="0.3">
      <c r="A5005" t="s">
        <v>5040</v>
      </c>
      <c r="B5005" t="s">
        <v>24</v>
      </c>
      <c r="C5005">
        <v>330000</v>
      </c>
      <c r="D5005">
        <v>6829.9</v>
      </c>
      <c r="E5005">
        <v>1.3299999999999999E-2</v>
      </c>
      <c r="F5005">
        <v>4.6199999999999998E-2</v>
      </c>
    </row>
    <row r="5006" spans="1:6" x14ac:dyDescent="0.3">
      <c r="A5006" t="s">
        <v>5041</v>
      </c>
      <c r="B5006" t="s">
        <v>195</v>
      </c>
      <c r="C5006">
        <v>611000</v>
      </c>
      <c r="D5006">
        <v>5738.5</v>
      </c>
      <c r="E5006">
        <v>4.4999999999999998E-2</v>
      </c>
      <c r="F5006">
        <v>9.3799999999999994E-2</v>
      </c>
    </row>
    <row r="5007" spans="1:6" x14ac:dyDescent="0.3">
      <c r="A5007" t="s">
        <v>5042</v>
      </c>
      <c r="B5007" t="s">
        <v>88</v>
      </c>
      <c r="C5007">
        <v>678000</v>
      </c>
      <c r="D5007">
        <v>533.20000000000005</v>
      </c>
      <c r="E5007">
        <v>4.3799999999999999E-2</v>
      </c>
      <c r="F5007">
        <v>9.5000000000000001E-2</v>
      </c>
    </row>
    <row r="5008" spans="1:6" x14ac:dyDescent="0.3">
      <c r="A5008" t="s">
        <v>5043</v>
      </c>
      <c r="B5008" t="s">
        <v>74</v>
      </c>
      <c r="C5008">
        <v>579000</v>
      </c>
      <c r="D5008">
        <v>20618.099999999999</v>
      </c>
      <c r="E5008">
        <v>2.6499999999999999E-2</v>
      </c>
      <c r="F5008">
        <v>7.5899999999999995E-2</v>
      </c>
    </row>
    <row r="5009" spans="1:6" x14ac:dyDescent="0.3">
      <c r="A5009" t="s">
        <v>5044</v>
      </c>
      <c r="B5009" t="s">
        <v>26</v>
      </c>
      <c r="C5009">
        <v>783000</v>
      </c>
      <c r="D5009">
        <v>241331.5</v>
      </c>
      <c r="E5009">
        <v>2.9100000000000001E-2</v>
      </c>
      <c r="F5009">
        <v>9.5100000000000004E-2</v>
      </c>
    </row>
    <row r="5010" spans="1:6" x14ac:dyDescent="0.3">
      <c r="A5010" t="s">
        <v>5045</v>
      </c>
      <c r="B5010" t="s">
        <v>62</v>
      </c>
      <c r="C5010">
        <v>491000</v>
      </c>
      <c r="D5010">
        <v>1006.5</v>
      </c>
      <c r="E5010">
        <v>2.7300000000000001E-2</v>
      </c>
      <c r="F5010">
        <v>0.16880000000000001</v>
      </c>
    </row>
    <row r="5011" spans="1:6" x14ac:dyDescent="0.3">
      <c r="A5011" t="s">
        <v>5046</v>
      </c>
      <c r="B5011" t="s">
        <v>50</v>
      </c>
      <c r="C5011">
        <v>542000</v>
      </c>
      <c r="D5011">
        <v>501716.8</v>
      </c>
      <c r="E5011">
        <v>4.4600000000000001E-2</v>
      </c>
      <c r="F5011">
        <v>5.1799999999999999E-2</v>
      </c>
    </row>
    <row r="5012" spans="1:6" x14ac:dyDescent="0.3">
      <c r="A5012" t="s">
        <v>5047</v>
      </c>
      <c r="B5012" t="s">
        <v>214</v>
      </c>
      <c r="C5012">
        <v>481000</v>
      </c>
      <c r="D5012">
        <v>756.6</v>
      </c>
      <c r="E5012">
        <v>1.32E-2</v>
      </c>
      <c r="F5012">
        <v>0.1067</v>
      </c>
    </row>
    <row r="5013" spans="1:6" x14ac:dyDescent="0.3">
      <c r="A5013" t="s">
        <v>5048</v>
      </c>
      <c r="B5013" t="s">
        <v>92</v>
      </c>
      <c r="C5013">
        <v>485000</v>
      </c>
      <c r="D5013">
        <v>995.1</v>
      </c>
      <c r="F5013">
        <v>9.5100000000000004E-2</v>
      </c>
    </row>
    <row r="5014" spans="1:6" x14ac:dyDescent="0.3">
      <c r="A5014" t="s">
        <v>5049</v>
      </c>
      <c r="B5014" t="s">
        <v>24</v>
      </c>
      <c r="C5014">
        <v>652000</v>
      </c>
      <c r="D5014">
        <v>2258.8000000000002</v>
      </c>
      <c r="E5014">
        <v>3.7600000000000001E-2</v>
      </c>
      <c r="F5014">
        <v>9.3799999999999994E-2</v>
      </c>
    </row>
    <row r="5015" spans="1:6" x14ac:dyDescent="0.3">
      <c r="A5015" t="s">
        <v>5050</v>
      </c>
      <c r="B5015" t="s">
        <v>26</v>
      </c>
      <c r="C5015">
        <v>559000</v>
      </c>
      <c r="D5015">
        <v>12582</v>
      </c>
      <c r="E5015">
        <v>4.99E-2</v>
      </c>
      <c r="F5015">
        <v>7.5899999999999995E-2</v>
      </c>
    </row>
    <row r="5016" spans="1:6" x14ac:dyDescent="0.3">
      <c r="A5016" t="s">
        <v>5051</v>
      </c>
      <c r="B5016" t="s">
        <v>26</v>
      </c>
      <c r="C5016">
        <v>521000</v>
      </c>
      <c r="D5016">
        <v>11318.7</v>
      </c>
      <c r="E5016">
        <v>1.55E-2</v>
      </c>
      <c r="F5016">
        <v>4.6199999999999998E-2</v>
      </c>
    </row>
    <row r="5017" spans="1:6" x14ac:dyDescent="0.3">
      <c r="A5017" t="s">
        <v>5052</v>
      </c>
      <c r="B5017" t="s">
        <v>24</v>
      </c>
      <c r="C5017">
        <v>527000</v>
      </c>
      <c r="D5017">
        <v>28199.1</v>
      </c>
      <c r="E5017">
        <v>1.7899999999999999E-2</v>
      </c>
      <c r="F5017">
        <v>0.1067</v>
      </c>
    </row>
    <row r="5018" spans="1:6" x14ac:dyDescent="0.3">
      <c r="A5018" t="s">
        <v>5053</v>
      </c>
      <c r="B5018" t="s">
        <v>21</v>
      </c>
      <c r="C5018">
        <v>638000</v>
      </c>
      <c r="D5018">
        <v>11329.1</v>
      </c>
      <c r="E5018">
        <v>1.14E-2</v>
      </c>
      <c r="F5018">
        <v>5.8500000000000003E-2</v>
      </c>
    </row>
    <row r="5019" spans="1:6" x14ac:dyDescent="0.3">
      <c r="A5019" t="s">
        <v>5054</v>
      </c>
      <c r="B5019" t="s">
        <v>26</v>
      </c>
      <c r="C5019">
        <v>928000</v>
      </c>
      <c r="D5019">
        <v>465040.6</v>
      </c>
      <c r="E5019">
        <v>2.7799999999999998E-2</v>
      </c>
      <c r="F5019">
        <v>4.0899999999999999E-2</v>
      </c>
    </row>
    <row r="5020" spans="1:6" x14ac:dyDescent="0.3">
      <c r="A5020" t="s">
        <v>5055</v>
      </c>
      <c r="B5020" t="s">
        <v>53</v>
      </c>
      <c r="C5020">
        <v>464000</v>
      </c>
      <c r="D5020">
        <v>73747.600000000006</v>
      </c>
      <c r="E5020">
        <v>4.1099999999999998E-2</v>
      </c>
      <c r="F5020">
        <v>9.5100000000000004E-2</v>
      </c>
    </row>
    <row r="5021" spans="1:6" x14ac:dyDescent="0.3">
      <c r="A5021" t="s">
        <v>5056</v>
      </c>
      <c r="B5021" t="s">
        <v>81</v>
      </c>
      <c r="C5021">
        <v>743000</v>
      </c>
      <c r="D5021">
        <v>52092.5</v>
      </c>
      <c r="F5021">
        <v>4.3200000000000002E-2</v>
      </c>
    </row>
    <row r="5022" spans="1:6" x14ac:dyDescent="0.3">
      <c r="A5022" t="s">
        <v>5057</v>
      </c>
      <c r="B5022" t="s">
        <v>62</v>
      </c>
      <c r="C5022">
        <v>475000</v>
      </c>
      <c r="D5022">
        <v>499.4</v>
      </c>
      <c r="E5022">
        <v>3.8600000000000002E-2</v>
      </c>
      <c r="F5022">
        <v>4.0899999999999999E-2</v>
      </c>
    </row>
    <row r="5023" spans="1:6" x14ac:dyDescent="0.3">
      <c r="A5023" t="s">
        <v>5058</v>
      </c>
      <c r="B5023" t="s">
        <v>24</v>
      </c>
      <c r="C5023">
        <v>610000</v>
      </c>
      <c r="D5023">
        <v>1724215.8</v>
      </c>
      <c r="E5023">
        <v>2.1399999999999999E-2</v>
      </c>
      <c r="F5023">
        <v>5.1799999999999999E-2</v>
      </c>
    </row>
    <row r="5024" spans="1:6" x14ac:dyDescent="0.3">
      <c r="A5024" t="s">
        <v>5059</v>
      </c>
      <c r="B5024" t="s">
        <v>74</v>
      </c>
      <c r="C5024">
        <v>759000</v>
      </c>
      <c r="D5024">
        <v>23718.1</v>
      </c>
      <c r="E5024">
        <v>2.0400000000000001E-2</v>
      </c>
      <c r="F5024">
        <v>8.5400000000000004E-2</v>
      </c>
    </row>
    <row r="5025" spans="1:6" x14ac:dyDescent="0.3">
      <c r="A5025" t="s">
        <v>5060</v>
      </c>
      <c r="B5025" t="s">
        <v>26</v>
      </c>
      <c r="C5025">
        <v>480000</v>
      </c>
      <c r="D5025">
        <v>454.2</v>
      </c>
      <c r="E5025">
        <v>1.89E-2</v>
      </c>
      <c r="F5025">
        <v>0.2064</v>
      </c>
    </row>
    <row r="5026" spans="1:6" x14ac:dyDescent="0.3">
      <c r="A5026" t="s">
        <v>5061</v>
      </c>
      <c r="B5026" t="s">
        <v>81</v>
      </c>
      <c r="C5026">
        <v>592000</v>
      </c>
      <c r="D5026">
        <v>18202.2</v>
      </c>
      <c r="E5026">
        <v>2.1299999999999999E-2</v>
      </c>
      <c r="F5026">
        <v>0.2064</v>
      </c>
    </row>
    <row r="5027" spans="1:6" x14ac:dyDescent="0.3">
      <c r="A5027" t="s">
        <v>5062</v>
      </c>
      <c r="B5027" t="s">
        <v>62</v>
      </c>
      <c r="C5027">
        <v>487000</v>
      </c>
      <c r="D5027">
        <v>4816.5</v>
      </c>
      <c r="E5027">
        <v>1.26E-2</v>
      </c>
      <c r="F5027">
        <v>7.3599999999999999E-2</v>
      </c>
    </row>
    <row r="5028" spans="1:6" x14ac:dyDescent="0.3">
      <c r="A5028" t="s">
        <v>5063</v>
      </c>
      <c r="B5028" t="s">
        <v>214</v>
      </c>
      <c r="C5028">
        <v>461000</v>
      </c>
      <c r="D5028">
        <v>8774</v>
      </c>
      <c r="E5028">
        <v>4.6199999999999998E-2</v>
      </c>
      <c r="F5028">
        <v>9.5100000000000004E-2</v>
      </c>
    </row>
    <row r="5029" spans="1:6" x14ac:dyDescent="0.3">
      <c r="A5029" t="s">
        <v>5064</v>
      </c>
      <c r="B5029" t="s">
        <v>74</v>
      </c>
      <c r="C5029">
        <v>641000</v>
      </c>
      <c r="D5029">
        <v>265392.09999999998</v>
      </c>
      <c r="E5029">
        <v>1.0200000000000001E-2</v>
      </c>
      <c r="F5029">
        <v>0.14710000000000001</v>
      </c>
    </row>
    <row r="5030" spans="1:6" x14ac:dyDescent="0.3">
      <c r="A5030" t="s">
        <v>5065</v>
      </c>
      <c r="B5030" t="s">
        <v>74</v>
      </c>
      <c r="C5030">
        <v>1130000</v>
      </c>
      <c r="D5030">
        <v>241682.1</v>
      </c>
      <c r="E5030">
        <v>3.3300000000000003E-2</v>
      </c>
      <c r="F5030">
        <v>4.3200000000000002E-2</v>
      </c>
    </row>
    <row r="5031" spans="1:6" x14ac:dyDescent="0.3">
      <c r="A5031" t="s">
        <v>5066</v>
      </c>
      <c r="B5031" t="s">
        <v>88</v>
      </c>
      <c r="C5031">
        <v>540000</v>
      </c>
      <c r="D5031">
        <v>82819.199999999997</v>
      </c>
      <c r="E5031">
        <v>5.5199999999999999E-2</v>
      </c>
      <c r="F5031">
        <v>4.0899999999999999E-2</v>
      </c>
    </row>
    <row r="5032" spans="1:6" x14ac:dyDescent="0.3">
      <c r="A5032" t="s">
        <v>5067</v>
      </c>
      <c r="B5032" t="s">
        <v>88</v>
      </c>
      <c r="C5032">
        <v>537000</v>
      </c>
      <c r="D5032">
        <v>618.9</v>
      </c>
      <c r="E5032">
        <v>5.2699999999999997E-2</v>
      </c>
      <c r="F5032">
        <v>0.1168</v>
      </c>
    </row>
    <row r="5033" spans="1:6" x14ac:dyDescent="0.3">
      <c r="A5033" t="s">
        <v>5068</v>
      </c>
      <c r="B5033" t="s">
        <v>41</v>
      </c>
      <c r="C5033">
        <v>475000</v>
      </c>
      <c r="D5033">
        <v>1220.5</v>
      </c>
      <c r="E5033">
        <v>1.67E-2</v>
      </c>
      <c r="F5033">
        <v>0.24790000000000001</v>
      </c>
    </row>
    <row r="5034" spans="1:6" x14ac:dyDescent="0.3">
      <c r="A5034" t="s">
        <v>5069</v>
      </c>
      <c r="B5034" t="s">
        <v>26</v>
      </c>
      <c r="C5034">
        <v>1600000</v>
      </c>
      <c r="D5034">
        <v>2205612.5</v>
      </c>
      <c r="E5034">
        <v>3.4599999999999999E-2</v>
      </c>
      <c r="F5034">
        <v>4.0899999999999999E-2</v>
      </c>
    </row>
    <row r="5035" spans="1:6" x14ac:dyDescent="0.3">
      <c r="A5035" t="s">
        <v>5070</v>
      </c>
      <c r="B5035" t="s">
        <v>26</v>
      </c>
      <c r="C5035">
        <v>564000</v>
      </c>
      <c r="D5035">
        <v>43573.7</v>
      </c>
      <c r="E5035">
        <v>3.6600000000000001E-2</v>
      </c>
      <c r="F5035">
        <v>9.5100000000000004E-2</v>
      </c>
    </row>
    <row r="5036" spans="1:6" x14ac:dyDescent="0.3">
      <c r="A5036" t="s">
        <v>5071</v>
      </c>
      <c r="B5036" t="s">
        <v>214</v>
      </c>
      <c r="C5036">
        <v>667000</v>
      </c>
      <c r="D5036">
        <v>33538.9</v>
      </c>
      <c r="E5036">
        <v>1.7999999999999999E-2</v>
      </c>
      <c r="F5036">
        <v>5.7599999999999998E-2</v>
      </c>
    </row>
    <row r="5037" spans="1:6" x14ac:dyDescent="0.3">
      <c r="A5037" t="s">
        <v>5072</v>
      </c>
      <c r="B5037" t="s">
        <v>30</v>
      </c>
      <c r="C5037">
        <v>661000</v>
      </c>
      <c r="D5037">
        <v>8832.6</v>
      </c>
      <c r="E5037">
        <v>7.0000000000000001E-3</v>
      </c>
      <c r="F5037">
        <v>8.1100000000000005E-2</v>
      </c>
    </row>
    <row r="5038" spans="1:6" x14ac:dyDescent="0.3">
      <c r="A5038" t="s">
        <v>5073</v>
      </c>
      <c r="B5038" t="s">
        <v>53</v>
      </c>
      <c r="C5038">
        <v>529000</v>
      </c>
      <c r="D5038">
        <v>1875.4</v>
      </c>
      <c r="E5038">
        <v>7.4700000000000003E-2</v>
      </c>
      <c r="F5038">
        <v>9.5100000000000004E-2</v>
      </c>
    </row>
    <row r="5039" spans="1:6" x14ac:dyDescent="0.3">
      <c r="A5039" t="s">
        <v>5074</v>
      </c>
      <c r="B5039" t="s">
        <v>26</v>
      </c>
      <c r="C5039">
        <v>500000</v>
      </c>
      <c r="D5039">
        <v>9077.6</v>
      </c>
      <c r="E5039">
        <v>3.3500000000000002E-2</v>
      </c>
      <c r="F5039">
        <v>5.1400000000000001E-2</v>
      </c>
    </row>
    <row r="5040" spans="1:6" x14ac:dyDescent="0.3">
      <c r="A5040" t="s">
        <v>5075</v>
      </c>
      <c r="B5040" t="s">
        <v>74</v>
      </c>
      <c r="C5040">
        <v>468000</v>
      </c>
      <c r="D5040">
        <v>22004.2</v>
      </c>
      <c r="E5040">
        <v>3.9199999999999999E-2</v>
      </c>
      <c r="F5040">
        <v>9.5100000000000004E-2</v>
      </c>
    </row>
    <row r="5041" spans="1:6" x14ac:dyDescent="0.3">
      <c r="A5041" t="s">
        <v>5076</v>
      </c>
      <c r="B5041" t="s">
        <v>88</v>
      </c>
      <c r="C5041">
        <v>2600000</v>
      </c>
      <c r="D5041">
        <v>750261.9</v>
      </c>
      <c r="E5041">
        <v>6.59E-2</v>
      </c>
      <c r="F5041">
        <v>9.5100000000000004E-2</v>
      </c>
    </row>
    <row r="5042" spans="1:6" x14ac:dyDescent="0.3">
      <c r="A5042" t="s">
        <v>5077</v>
      </c>
      <c r="B5042" t="s">
        <v>26</v>
      </c>
      <c r="C5042">
        <v>547000</v>
      </c>
      <c r="D5042">
        <v>9402.5</v>
      </c>
      <c r="E5042">
        <v>1.6400000000000001E-2</v>
      </c>
      <c r="F5042">
        <v>4.6199999999999998E-2</v>
      </c>
    </row>
    <row r="5043" spans="1:6" x14ac:dyDescent="0.3">
      <c r="A5043" t="s">
        <v>5078</v>
      </c>
      <c r="B5043" t="s">
        <v>32</v>
      </c>
      <c r="C5043">
        <v>605000</v>
      </c>
      <c r="D5043">
        <v>814.1</v>
      </c>
      <c r="E5043">
        <v>1.4500000000000001E-2</v>
      </c>
      <c r="F5043">
        <v>8.5400000000000004E-2</v>
      </c>
    </row>
    <row r="5044" spans="1:6" x14ac:dyDescent="0.3">
      <c r="A5044" t="s">
        <v>5079</v>
      </c>
      <c r="B5044" t="s">
        <v>92</v>
      </c>
      <c r="C5044">
        <v>525000</v>
      </c>
      <c r="D5044">
        <v>197513</v>
      </c>
      <c r="E5044">
        <v>7.2800000000000004E-2</v>
      </c>
      <c r="F5044">
        <v>5.4600000000000003E-2</v>
      </c>
    </row>
    <row r="5045" spans="1:6" x14ac:dyDescent="0.3">
      <c r="A5045" t="s">
        <v>5080</v>
      </c>
      <c r="B5045" t="s">
        <v>26</v>
      </c>
      <c r="C5045">
        <v>498000</v>
      </c>
      <c r="D5045">
        <v>704.7</v>
      </c>
      <c r="E5045">
        <v>4.1000000000000002E-2</v>
      </c>
      <c r="F5045">
        <v>7.5899999999999995E-2</v>
      </c>
    </row>
    <row r="5046" spans="1:6" x14ac:dyDescent="0.3">
      <c r="A5046" t="s">
        <v>5081</v>
      </c>
      <c r="B5046" t="s">
        <v>26</v>
      </c>
      <c r="C5046">
        <v>471000</v>
      </c>
      <c r="D5046">
        <v>36981.699999999997</v>
      </c>
      <c r="E5046">
        <v>6.4100000000000004E-2</v>
      </c>
      <c r="F5046">
        <v>9.5100000000000004E-2</v>
      </c>
    </row>
    <row r="5047" spans="1:6" x14ac:dyDescent="0.3">
      <c r="A5047" t="s">
        <v>5082</v>
      </c>
      <c r="B5047" t="s">
        <v>41</v>
      </c>
      <c r="C5047">
        <v>778000</v>
      </c>
      <c r="D5047">
        <v>17384.900000000001</v>
      </c>
      <c r="E5047">
        <v>0.01</v>
      </c>
      <c r="F5047">
        <v>0.10150000000000001</v>
      </c>
    </row>
    <row r="5048" spans="1:6" x14ac:dyDescent="0.3">
      <c r="A5048" t="s">
        <v>5083</v>
      </c>
      <c r="B5048" t="s">
        <v>74</v>
      </c>
      <c r="C5048">
        <v>501000</v>
      </c>
      <c r="D5048">
        <v>889.3</v>
      </c>
      <c r="E5048">
        <v>2.93E-2</v>
      </c>
      <c r="F5048">
        <v>7.5899999999999995E-2</v>
      </c>
    </row>
    <row r="5049" spans="1:6" x14ac:dyDescent="0.3">
      <c r="A5049" t="s">
        <v>5084</v>
      </c>
      <c r="B5049" t="s">
        <v>26</v>
      </c>
      <c r="C5049">
        <v>467000</v>
      </c>
      <c r="D5049">
        <v>204.4</v>
      </c>
      <c r="E5049">
        <v>1.8499999999999999E-2</v>
      </c>
      <c r="F5049">
        <v>0.1067</v>
      </c>
    </row>
    <row r="5050" spans="1:6" x14ac:dyDescent="0.3">
      <c r="A5050" t="s">
        <v>5085</v>
      </c>
      <c r="B5050" t="s">
        <v>41</v>
      </c>
      <c r="C5050">
        <v>505000</v>
      </c>
      <c r="D5050">
        <v>2388.6999999999998</v>
      </c>
      <c r="E5050">
        <v>2.7099999999999999E-2</v>
      </c>
      <c r="F5050">
        <v>9.3799999999999994E-2</v>
      </c>
    </row>
    <row r="5051" spans="1:6" x14ac:dyDescent="0.3">
      <c r="A5051" t="s">
        <v>5086</v>
      </c>
      <c r="B5051" t="s">
        <v>24</v>
      </c>
      <c r="C5051">
        <v>525000</v>
      </c>
      <c r="D5051">
        <v>229.5</v>
      </c>
      <c r="E5051">
        <v>3.3799999999999997E-2</v>
      </c>
      <c r="F5051">
        <v>4.0899999999999999E-2</v>
      </c>
    </row>
    <row r="5052" spans="1:6" x14ac:dyDescent="0.3">
      <c r="A5052" t="s">
        <v>5087</v>
      </c>
      <c r="B5052" t="s">
        <v>26</v>
      </c>
      <c r="C5052">
        <v>704000</v>
      </c>
      <c r="D5052">
        <v>49282.5</v>
      </c>
      <c r="E5052">
        <v>5.8799999999999998E-2</v>
      </c>
      <c r="F5052">
        <v>7.5899999999999995E-2</v>
      </c>
    </row>
    <row r="5053" spans="1:6" x14ac:dyDescent="0.3">
      <c r="A5053" t="s">
        <v>5088</v>
      </c>
      <c r="B5053" t="s">
        <v>41</v>
      </c>
      <c r="C5053">
        <v>801000</v>
      </c>
      <c r="D5053">
        <v>66298.5</v>
      </c>
      <c r="E5053">
        <v>3.6700000000000003E-2</v>
      </c>
      <c r="F5053">
        <v>9.5100000000000004E-2</v>
      </c>
    </row>
    <row r="5054" spans="1:6" x14ac:dyDescent="0.3">
      <c r="A5054" t="s">
        <v>5089</v>
      </c>
      <c r="B5054" t="s">
        <v>195</v>
      </c>
      <c r="C5054">
        <v>541000</v>
      </c>
      <c r="D5054">
        <v>5144.6000000000004</v>
      </c>
      <c r="E5054">
        <v>2.0799999999999999E-2</v>
      </c>
      <c r="F5054">
        <v>0.1067</v>
      </c>
    </row>
    <row r="5055" spans="1:6" x14ac:dyDescent="0.3">
      <c r="A5055" t="s">
        <v>5090</v>
      </c>
      <c r="B5055" t="s">
        <v>41</v>
      </c>
      <c r="C5055">
        <v>598000</v>
      </c>
      <c r="D5055">
        <v>253.1</v>
      </c>
      <c r="F5055">
        <v>9.3799999999999994E-2</v>
      </c>
    </row>
    <row r="5056" spans="1:6" x14ac:dyDescent="0.3">
      <c r="A5056" t="s">
        <v>5091</v>
      </c>
      <c r="B5056" t="s">
        <v>26</v>
      </c>
      <c r="C5056">
        <v>799000</v>
      </c>
      <c r="D5056">
        <v>1015.9</v>
      </c>
      <c r="E5056">
        <v>2.6200000000000001E-2</v>
      </c>
      <c r="F5056">
        <v>7.2499999999999995E-2</v>
      </c>
    </row>
    <row r="5057" spans="1:6" x14ac:dyDescent="0.3">
      <c r="A5057" t="s">
        <v>5092</v>
      </c>
      <c r="B5057" t="s">
        <v>41</v>
      </c>
      <c r="C5057">
        <v>471000</v>
      </c>
      <c r="D5057">
        <v>51251.199999999997</v>
      </c>
      <c r="E5057">
        <v>3.5000000000000003E-2</v>
      </c>
      <c r="F5057">
        <v>9.5100000000000004E-2</v>
      </c>
    </row>
    <row r="5058" spans="1:6" x14ac:dyDescent="0.3">
      <c r="A5058" t="s">
        <v>5093</v>
      </c>
      <c r="B5058" t="s">
        <v>88</v>
      </c>
      <c r="C5058">
        <v>1360000</v>
      </c>
      <c r="D5058">
        <v>2113.1999999999998</v>
      </c>
      <c r="E5058">
        <v>0.1018</v>
      </c>
      <c r="F5058">
        <v>9.3799999999999994E-2</v>
      </c>
    </row>
    <row r="5059" spans="1:6" x14ac:dyDescent="0.3">
      <c r="A5059" t="s">
        <v>5094</v>
      </c>
      <c r="B5059" t="s">
        <v>53</v>
      </c>
      <c r="C5059">
        <v>564000</v>
      </c>
      <c r="D5059">
        <v>29759.3</v>
      </c>
      <c r="E5059">
        <v>9.69E-2</v>
      </c>
      <c r="F5059">
        <v>9.3799999999999994E-2</v>
      </c>
    </row>
    <row r="5060" spans="1:6" x14ac:dyDescent="0.3">
      <c r="A5060" t="s">
        <v>5095</v>
      </c>
      <c r="B5060" t="s">
        <v>32</v>
      </c>
      <c r="C5060">
        <v>498000</v>
      </c>
      <c r="D5060">
        <v>15203.4</v>
      </c>
      <c r="E5060">
        <v>3.8E-3</v>
      </c>
      <c r="F5060">
        <v>8.2199999999999995E-2</v>
      </c>
    </row>
    <row r="5061" spans="1:6" x14ac:dyDescent="0.3">
      <c r="A5061" t="s">
        <v>5096</v>
      </c>
      <c r="B5061" t="s">
        <v>26</v>
      </c>
      <c r="C5061">
        <v>471000</v>
      </c>
      <c r="D5061">
        <v>13758.5</v>
      </c>
      <c r="E5061">
        <v>7.2400000000000006E-2</v>
      </c>
      <c r="F5061">
        <v>9.5100000000000004E-2</v>
      </c>
    </row>
    <row r="5062" spans="1:6" x14ac:dyDescent="0.3">
      <c r="A5062" t="s">
        <v>5097</v>
      </c>
      <c r="B5062" t="s">
        <v>26</v>
      </c>
      <c r="C5062">
        <v>547000</v>
      </c>
      <c r="D5062">
        <v>13243.6</v>
      </c>
      <c r="E5062">
        <v>0.06</v>
      </c>
      <c r="F5062">
        <v>4.0899999999999999E-2</v>
      </c>
    </row>
    <row r="5063" spans="1:6" x14ac:dyDescent="0.3">
      <c r="A5063" t="s">
        <v>5098</v>
      </c>
      <c r="B5063" t="s">
        <v>26</v>
      </c>
      <c r="C5063">
        <v>571000</v>
      </c>
      <c r="D5063">
        <v>37503.4</v>
      </c>
      <c r="E5063">
        <v>1.7500000000000002E-2</v>
      </c>
      <c r="F5063">
        <v>5.8500000000000003E-2</v>
      </c>
    </row>
    <row r="5064" spans="1:6" x14ac:dyDescent="0.3">
      <c r="A5064" t="s">
        <v>5099</v>
      </c>
      <c r="B5064" t="s">
        <v>26</v>
      </c>
      <c r="C5064">
        <v>771000</v>
      </c>
      <c r="D5064">
        <v>11427.2</v>
      </c>
      <c r="E5064">
        <v>2.3199999999999998E-2</v>
      </c>
      <c r="F5064">
        <v>8.5400000000000004E-2</v>
      </c>
    </row>
    <row r="5065" spans="1:6" x14ac:dyDescent="0.3">
      <c r="A5065" t="s">
        <v>5100</v>
      </c>
      <c r="B5065" t="s">
        <v>74</v>
      </c>
      <c r="C5065">
        <v>662000</v>
      </c>
      <c r="D5065">
        <v>18107.099999999999</v>
      </c>
      <c r="F5065">
        <v>7.5899999999999995E-2</v>
      </c>
    </row>
    <row r="5066" spans="1:6" x14ac:dyDescent="0.3">
      <c r="A5066" t="s">
        <v>5101</v>
      </c>
      <c r="B5066" t="s">
        <v>26</v>
      </c>
      <c r="C5066">
        <v>455000</v>
      </c>
      <c r="D5066">
        <v>310.60000000000002</v>
      </c>
      <c r="E5066">
        <v>2.7199999999999998E-2</v>
      </c>
      <c r="F5066">
        <v>5.1799999999999999E-2</v>
      </c>
    </row>
    <row r="5067" spans="1:6" x14ac:dyDescent="0.3">
      <c r="A5067" t="s">
        <v>5102</v>
      </c>
      <c r="B5067" t="s">
        <v>26</v>
      </c>
      <c r="C5067">
        <v>449000</v>
      </c>
      <c r="D5067">
        <v>1713.2</v>
      </c>
      <c r="E5067">
        <v>3.95E-2</v>
      </c>
      <c r="F5067">
        <v>6.4399999999999999E-2</v>
      </c>
    </row>
    <row r="5068" spans="1:6" x14ac:dyDescent="0.3">
      <c r="A5068" t="s">
        <v>5103</v>
      </c>
      <c r="B5068" t="s">
        <v>88</v>
      </c>
      <c r="C5068">
        <v>552000</v>
      </c>
      <c r="D5068">
        <v>415.8</v>
      </c>
      <c r="E5068">
        <v>2.1899999999999999E-2</v>
      </c>
      <c r="F5068">
        <v>7.5700000000000003E-2</v>
      </c>
    </row>
    <row r="5069" spans="1:6" x14ac:dyDescent="0.3">
      <c r="A5069" t="s">
        <v>5104</v>
      </c>
      <c r="B5069" t="s">
        <v>214</v>
      </c>
      <c r="C5069">
        <v>521000</v>
      </c>
      <c r="D5069">
        <v>1450</v>
      </c>
      <c r="E5069">
        <v>6.9099999999999995E-2</v>
      </c>
      <c r="F5069">
        <v>7.5899999999999995E-2</v>
      </c>
    </row>
    <row r="5070" spans="1:6" x14ac:dyDescent="0.3">
      <c r="A5070" t="s">
        <v>5105</v>
      </c>
      <c r="B5070" t="s">
        <v>74</v>
      </c>
      <c r="C5070">
        <v>453000</v>
      </c>
      <c r="F5070">
        <v>7.5899999999999995E-2</v>
      </c>
    </row>
    <row r="5071" spans="1:6" x14ac:dyDescent="0.3">
      <c r="A5071" t="s">
        <v>5106</v>
      </c>
      <c r="B5071" t="s">
        <v>92</v>
      </c>
      <c r="C5071">
        <v>511000</v>
      </c>
      <c r="D5071">
        <v>793.6</v>
      </c>
      <c r="E5071">
        <v>4.9099999999999998E-2</v>
      </c>
      <c r="F5071">
        <v>7.5899999999999995E-2</v>
      </c>
    </row>
    <row r="5072" spans="1:6" x14ac:dyDescent="0.3">
      <c r="A5072" t="s">
        <v>5107</v>
      </c>
      <c r="B5072" t="s">
        <v>195</v>
      </c>
      <c r="C5072">
        <v>547000</v>
      </c>
      <c r="D5072">
        <v>143447.79999999999</v>
      </c>
      <c r="E5072">
        <v>1.0500000000000001E-2</v>
      </c>
      <c r="F5072">
        <v>0.1406</v>
      </c>
    </row>
    <row r="5073" spans="1:6" x14ac:dyDescent="0.3">
      <c r="A5073" t="s">
        <v>5108</v>
      </c>
      <c r="B5073" t="s">
        <v>26</v>
      </c>
      <c r="C5073">
        <v>536000</v>
      </c>
      <c r="D5073">
        <v>58390.5</v>
      </c>
      <c r="E5073">
        <v>5.7099999999999998E-2</v>
      </c>
      <c r="F5073">
        <v>7.5899999999999995E-2</v>
      </c>
    </row>
    <row r="5074" spans="1:6" x14ac:dyDescent="0.3">
      <c r="A5074" t="s">
        <v>5109</v>
      </c>
      <c r="B5074" t="s">
        <v>26</v>
      </c>
      <c r="C5074">
        <v>461000</v>
      </c>
      <c r="D5074">
        <v>4605.8</v>
      </c>
      <c r="E5074">
        <v>8.3000000000000001E-3</v>
      </c>
      <c r="F5074">
        <v>0.14710000000000001</v>
      </c>
    </row>
    <row r="5075" spans="1:6" x14ac:dyDescent="0.3">
      <c r="A5075" t="s">
        <v>5110</v>
      </c>
      <c r="B5075" t="s">
        <v>74</v>
      </c>
      <c r="C5075">
        <v>517000</v>
      </c>
      <c r="D5075">
        <v>10638</v>
      </c>
      <c r="E5075">
        <v>3.4099999999999998E-2</v>
      </c>
      <c r="F5075">
        <v>9.5100000000000004E-2</v>
      </c>
    </row>
    <row r="5076" spans="1:6" x14ac:dyDescent="0.3">
      <c r="A5076" t="s">
        <v>5111</v>
      </c>
      <c r="B5076" t="s">
        <v>30</v>
      </c>
      <c r="C5076">
        <v>572000</v>
      </c>
      <c r="D5076">
        <v>2436.5</v>
      </c>
      <c r="E5076">
        <v>0.01</v>
      </c>
      <c r="F5076">
        <v>8.1100000000000005E-2</v>
      </c>
    </row>
    <row r="5077" spans="1:6" x14ac:dyDescent="0.3">
      <c r="A5077" t="s">
        <v>5112</v>
      </c>
      <c r="B5077" t="s">
        <v>88</v>
      </c>
      <c r="C5077">
        <v>493000</v>
      </c>
      <c r="D5077">
        <v>4169</v>
      </c>
      <c r="E5077">
        <v>3.3300000000000003E-2</v>
      </c>
      <c r="F5077">
        <v>0.11700000000000001</v>
      </c>
    </row>
    <row r="5078" spans="1:6" x14ac:dyDescent="0.3">
      <c r="A5078" t="s">
        <v>5113</v>
      </c>
      <c r="B5078" t="s">
        <v>92</v>
      </c>
      <c r="C5078">
        <v>566000</v>
      </c>
      <c r="D5078">
        <v>12710.8</v>
      </c>
      <c r="E5078">
        <v>1.5900000000000001E-2</v>
      </c>
      <c r="F5078">
        <v>4.6199999999999998E-2</v>
      </c>
    </row>
    <row r="5079" spans="1:6" x14ac:dyDescent="0.3">
      <c r="A5079" t="s">
        <v>5114</v>
      </c>
      <c r="B5079" t="s">
        <v>88</v>
      </c>
      <c r="C5079">
        <v>1300000</v>
      </c>
      <c r="D5079">
        <v>2655.8</v>
      </c>
      <c r="E5079">
        <v>2.3199999999999998E-2</v>
      </c>
      <c r="F5079">
        <v>6.08E-2</v>
      </c>
    </row>
    <row r="5080" spans="1:6" x14ac:dyDescent="0.3">
      <c r="A5080" t="s">
        <v>5115</v>
      </c>
      <c r="B5080" t="s">
        <v>92</v>
      </c>
      <c r="C5080">
        <v>544000</v>
      </c>
      <c r="D5080">
        <v>21404.9</v>
      </c>
      <c r="E5080">
        <v>0.01</v>
      </c>
      <c r="F5080">
        <v>8.2199999999999995E-2</v>
      </c>
    </row>
    <row r="5081" spans="1:6" x14ac:dyDescent="0.3">
      <c r="A5081" t="s">
        <v>5116</v>
      </c>
      <c r="B5081" t="s">
        <v>26</v>
      </c>
      <c r="C5081">
        <v>698000</v>
      </c>
      <c r="D5081">
        <v>36213.800000000003</v>
      </c>
      <c r="E5081">
        <v>4.3200000000000002E-2</v>
      </c>
      <c r="F5081">
        <v>5.1799999999999999E-2</v>
      </c>
    </row>
    <row r="5082" spans="1:6" x14ac:dyDescent="0.3">
      <c r="A5082" t="s">
        <v>5117</v>
      </c>
      <c r="B5082" t="s">
        <v>26</v>
      </c>
      <c r="C5082">
        <v>478000</v>
      </c>
      <c r="D5082">
        <v>593.5</v>
      </c>
      <c r="E5082">
        <v>7.4300000000000005E-2</v>
      </c>
      <c r="F5082">
        <v>7.5899999999999995E-2</v>
      </c>
    </row>
    <row r="5083" spans="1:6" x14ac:dyDescent="0.3">
      <c r="A5083" t="s">
        <v>5118</v>
      </c>
      <c r="B5083" t="s">
        <v>92</v>
      </c>
      <c r="C5083">
        <v>474000</v>
      </c>
      <c r="D5083">
        <v>245.9</v>
      </c>
      <c r="E5083">
        <v>3.7499999999999999E-2</v>
      </c>
      <c r="F5083">
        <v>9.3799999999999994E-2</v>
      </c>
    </row>
    <row r="5084" spans="1:6" x14ac:dyDescent="0.3">
      <c r="A5084" t="s">
        <v>5119</v>
      </c>
      <c r="B5084" t="s">
        <v>24</v>
      </c>
      <c r="C5084">
        <v>687000</v>
      </c>
      <c r="D5084">
        <v>25106.2</v>
      </c>
      <c r="E5084">
        <v>1.2200000000000001E-2</v>
      </c>
      <c r="F5084">
        <v>6.4699999999999994E-2</v>
      </c>
    </row>
    <row r="5085" spans="1:6" x14ac:dyDescent="0.3">
      <c r="A5085" t="s">
        <v>5120</v>
      </c>
      <c r="B5085" t="s">
        <v>26</v>
      </c>
      <c r="C5085">
        <v>700000</v>
      </c>
      <c r="D5085">
        <v>2971070.7</v>
      </c>
      <c r="E5085">
        <v>2.9399999999999999E-2</v>
      </c>
      <c r="F5085">
        <v>5.1799999999999999E-2</v>
      </c>
    </row>
    <row r="5086" spans="1:6" x14ac:dyDescent="0.3">
      <c r="A5086" t="s">
        <v>5121</v>
      </c>
      <c r="B5086" t="s">
        <v>81</v>
      </c>
      <c r="C5086">
        <v>600000</v>
      </c>
      <c r="D5086">
        <v>4811.3</v>
      </c>
      <c r="E5086">
        <v>2.3599999999999999E-2</v>
      </c>
      <c r="F5086">
        <v>5.0999999999999997E-2</v>
      </c>
    </row>
    <row r="5087" spans="1:6" x14ac:dyDescent="0.3">
      <c r="A5087" t="s">
        <v>5122</v>
      </c>
      <c r="B5087" t="s">
        <v>24</v>
      </c>
      <c r="C5087">
        <v>718000</v>
      </c>
      <c r="D5087">
        <v>108110.2</v>
      </c>
      <c r="E5087">
        <v>2.0299999999999999E-2</v>
      </c>
      <c r="F5087">
        <v>4.6199999999999998E-2</v>
      </c>
    </row>
    <row r="5088" spans="1:6" x14ac:dyDescent="0.3">
      <c r="A5088" t="s">
        <v>5123</v>
      </c>
      <c r="B5088" t="s">
        <v>214</v>
      </c>
      <c r="C5088">
        <v>531000</v>
      </c>
      <c r="D5088">
        <v>35491.5</v>
      </c>
      <c r="E5088">
        <v>4.1700000000000001E-2</v>
      </c>
      <c r="F5088">
        <v>9.5100000000000004E-2</v>
      </c>
    </row>
    <row r="5089" spans="1:6" x14ac:dyDescent="0.3">
      <c r="A5089" t="s">
        <v>5124</v>
      </c>
      <c r="B5089" t="s">
        <v>32</v>
      </c>
      <c r="C5089">
        <v>632000</v>
      </c>
      <c r="D5089">
        <v>444265.1</v>
      </c>
      <c r="E5089">
        <v>3.9E-2</v>
      </c>
      <c r="F5089">
        <v>9.5100000000000004E-2</v>
      </c>
    </row>
    <row r="5090" spans="1:6" x14ac:dyDescent="0.3">
      <c r="A5090" t="s">
        <v>5125</v>
      </c>
      <c r="B5090" t="s">
        <v>26</v>
      </c>
      <c r="C5090">
        <v>533000</v>
      </c>
      <c r="D5090">
        <v>6689.9</v>
      </c>
      <c r="E5090">
        <v>1.55E-2</v>
      </c>
      <c r="F5090">
        <v>5.7599999999999998E-2</v>
      </c>
    </row>
    <row r="5091" spans="1:6" x14ac:dyDescent="0.3">
      <c r="A5091" t="s">
        <v>5126</v>
      </c>
      <c r="B5091" t="s">
        <v>74</v>
      </c>
      <c r="C5091">
        <v>506000</v>
      </c>
      <c r="D5091">
        <v>21693.1</v>
      </c>
      <c r="F5091">
        <v>9.5100000000000004E-2</v>
      </c>
    </row>
    <row r="5092" spans="1:6" x14ac:dyDescent="0.3">
      <c r="A5092" t="s">
        <v>5127</v>
      </c>
      <c r="B5092" t="s">
        <v>26</v>
      </c>
      <c r="C5092">
        <v>526000</v>
      </c>
      <c r="D5092">
        <v>321709.40000000002</v>
      </c>
      <c r="E5092">
        <v>5.7799999999999997E-2</v>
      </c>
      <c r="F5092">
        <v>9.5100000000000004E-2</v>
      </c>
    </row>
    <row r="5093" spans="1:6" x14ac:dyDescent="0.3">
      <c r="A5093" t="s">
        <v>5128</v>
      </c>
      <c r="B5093" t="s">
        <v>74</v>
      </c>
      <c r="C5093">
        <v>1160000</v>
      </c>
      <c r="D5093">
        <v>3376.6</v>
      </c>
      <c r="E5093">
        <v>4.58E-2</v>
      </c>
      <c r="F5093">
        <v>9.3799999999999994E-2</v>
      </c>
    </row>
    <row r="5094" spans="1:6" x14ac:dyDescent="0.3">
      <c r="A5094" t="s">
        <v>5129</v>
      </c>
      <c r="B5094" t="s">
        <v>71</v>
      </c>
      <c r="C5094">
        <v>576000</v>
      </c>
      <c r="D5094">
        <v>748</v>
      </c>
      <c r="E5094">
        <v>1.6400000000000001E-2</v>
      </c>
      <c r="F5094">
        <v>0.1053</v>
      </c>
    </row>
    <row r="5095" spans="1:6" x14ac:dyDescent="0.3">
      <c r="A5095" t="s">
        <v>5130</v>
      </c>
      <c r="B5095" t="s">
        <v>24</v>
      </c>
      <c r="C5095">
        <v>473000</v>
      </c>
      <c r="D5095">
        <v>2994012.6</v>
      </c>
      <c r="E5095">
        <v>1.9300000000000001E-2</v>
      </c>
      <c r="F5095">
        <v>5.8500000000000003E-2</v>
      </c>
    </row>
    <row r="5096" spans="1:6" x14ac:dyDescent="0.3">
      <c r="A5096" t="s">
        <v>5131</v>
      </c>
      <c r="B5096" t="s">
        <v>26</v>
      </c>
      <c r="C5096">
        <v>463000</v>
      </c>
      <c r="F5096">
        <v>7.5899999999999995E-2</v>
      </c>
    </row>
    <row r="5097" spans="1:6" x14ac:dyDescent="0.3">
      <c r="A5097" t="s">
        <v>5132</v>
      </c>
      <c r="B5097" t="s">
        <v>26</v>
      </c>
      <c r="C5097">
        <v>460000</v>
      </c>
      <c r="D5097">
        <v>27100.9</v>
      </c>
      <c r="E5097">
        <v>3.7600000000000001E-2</v>
      </c>
      <c r="F5097">
        <v>9.5100000000000004E-2</v>
      </c>
    </row>
    <row r="5098" spans="1:6" x14ac:dyDescent="0.3">
      <c r="A5098" t="s">
        <v>5133</v>
      </c>
      <c r="B5098" t="s">
        <v>26</v>
      </c>
      <c r="C5098">
        <v>469000</v>
      </c>
      <c r="D5098">
        <v>2492.6999999999998</v>
      </c>
      <c r="E5098">
        <v>2.0199999999999999E-2</v>
      </c>
      <c r="F5098">
        <v>0.193</v>
      </c>
    </row>
    <row r="5099" spans="1:6" x14ac:dyDescent="0.3">
      <c r="A5099" t="s">
        <v>5134</v>
      </c>
      <c r="B5099" t="s">
        <v>32</v>
      </c>
      <c r="C5099">
        <v>1070000</v>
      </c>
      <c r="D5099">
        <v>106469.2</v>
      </c>
      <c r="E5099">
        <v>4.7699999999999999E-2</v>
      </c>
      <c r="F5099">
        <v>7.5899999999999995E-2</v>
      </c>
    </row>
    <row r="5100" spans="1:6" x14ac:dyDescent="0.3">
      <c r="A5100" t="s">
        <v>5135</v>
      </c>
      <c r="B5100" t="s">
        <v>74</v>
      </c>
      <c r="C5100">
        <v>650000</v>
      </c>
      <c r="D5100">
        <v>18205.400000000001</v>
      </c>
      <c r="E5100">
        <v>6.3299999999999995E-2</v>
      </c>
      <c r="F5100">
        <v>4.0899999999999999E-2</v>
      </c>
    </row>
    <row r="5101" spans="1:6" x14ac:dyDescent="0.3">
      <c r="A5101" t="s">
        <v>5136</v>
      </c>
      <c r="B5101" t="s">
        <v>41</v>
      </c>
      <c r="C5101">
        <v>513000</v>
      </c>
      <c r="D5101">
        <v>6441.5</v>
      </c>
      <c r="E5101">
        <v>1.9599999999999999E-2</v>
      </c>
      <c r="F5101">
        <v>0.1053</v>
      </c>
    </row>
    <row r="5102" spans="1:6" x14ac:dyDescent="0.3">
      <c r="A5102" t="s">
        <v>5137</v>
      </c>
      <c r="B5102" t="s">
        <v>26</v>
      </c>
      <c r="C5102">
        <v>498000</v>
      </c>
      <c r="D5102">
        <v>638963.19999999995</v>
      </c>
      <c r="E5102">
        <v>1.3599999999999999E-2</v>
      </c>
      <c r="F5102">
        <v>0.1192</v>
      </c>
    </row>
    <row r="5103" spans="1:6" x14ac:dyDescent="0.3">
      <c r="A5103" t="s">
        <v>5138</v>
      </c>
      <c r="B5103" t="s">
        <v>26</v>
      </c>
      <c r="C5103">
        <v>503000</v>
      </c>
      <c r="D5103">
        <v>191781.9</v>
      </c>
      <c r="E5103">
        <v>3.0800000000000001E-2</v>
      </c>
      <c r="F5103">
        <v>9.5100000000000004E-2</v>
      </c>
    </row>
    <row r="5104" spans="1:6" x14ac:dyDescent="0.3">
      <c r="A5104" t="s">
        <v>5139</v>
      </c>
      <c r="B5104" t="s">
        <v>26</v>
      </c>
      <c r="C5104">
        <v>544000</v>
      </c>
      <c r="D5104">
        <v>6830.1</v>
      </c>
      <c r="E5104">
        <v>3.6600000000000001E-2</v>
      </c>
      <c r="F5104">
        <v>7.5899999999999995E-2</v>
      </c>
    </row>
    <row r="5105" spans="1:6" x14ac:dyDescent="0.3">
      <c r="A5105" t="s">
        <v>5140</v>
      </c>
      <c r="B5105" t="s">
        <v>88</v>
      </c>
      <c r="C5105">
        <v>795000</v>
      </c>
      <c r="D5105">
        <v>31580.1</v>
      </c>
      <c r="E5105">
        <v>8.7099999999999997E-2</v>
      </c>
      <c r="F5105">
        <v>7.5899999999999995E-2</v>
      </c>
    </row>
    <row r="5106" spans="1:6" x14ac:dyDescent="0.3">
      <c r="A5106" t="s">
        <v>5141</v>
      </c>
      <c r="B5106" t="s">
        <v>490</v>
      </c>
      <c r="C5106">
        <v>581000</v>
      </c>
      <c r="D5106">
        <v>3345</v>
      </c>
      <c r="E5106">
        <v>2.87E-2</v>
      </c>
      <c r="F5106">
        <v>7.5899999999999995E-2</v>
      </c>
    </row>
    <row r="5107" spans="1:6" x14ac:dyDescent="0.3">
      <c r="A5107" t="s">
        <v>5142</v>
      </c>
      <c r="B5107" t="s">
        <v>62</v>
      </c>
      <c r="C5107">
        <v>797000</v>
      </c>
      <c r="D5107">
        <v>30436.7</v>
      </c>
      <c r="E5107">
        <v>1.66E-2</v>
      </c>
      <c r="F5107">
        <v>8.4900000000000003E-2</v>
      </c>
    </row>
    <row r="5108" spans="1:6" x14ac:dyDescent="0.3">
      <c r="A5108" t="s">
        <v>5143</v>
      </c>
      <c r="B5108" t="s">
        <v>41</v>
      </c>
      <c r="C5108">
        <v>506000</v>
      </c>
      <c r="D5108">
        <v>326.89999999999998</v>
      </c>
      <c r="E5108">
        <v>1.21E-2</v>
      </c>
      <c r="F5108">
        <v>8.2100000000000006E-2</v>
      </c>
    </row>
    <row r="5109" spans="1:6" x14ac:dyDescent="0.3">
      <c r="A5109" t="s">
        <v>5144</v>
      </c>
      <c r="B5109" t="s">
        <v>24</v>
      </c>
      <c r="C5109">
        <v>451000</v>
      </c>
      <c r="D5109">
        <v>77.8</v>
      </c>
      <c r="E5109">
        <v>2.0899999999999998E-2</v>
      </c>
      <c r="F5109">
        <v>9.3799999999999994E-2</v>
      </c>
    </row>
    <row r="5110" spans="1:6" x14ac:dyDescent="0.3">
      <c r="A5110" t="s">
        <v>5145</v>
      </c>
      <c r="B5110" t="s">
        <v>26</v>
      </c>
      <c r="C5110">
        <v>527000</v>
      </c>
      <c r="D5110">
        <v>2052.5</v>
      </c>
      <c r="E5110">
        <v>1.52E-2</v>
      </c>
      <c r="F5110">
        <v>9.3700000000000006E-2</v>
      </c>
    </row>
    <row r="5111" spans="1:6" x14ac:dyDescent="0.3">
      <c r="A5111" t="s">
        <v>5146</v>
      </c>
      <c r="B5111" t="s">
        <v>88</v>
      </c>
      <c r="C5111">
        <v>585000</v>
      </c>
      <c r="D5111">
        <v>41095.9</v>
      </c>
      <c r="E5111">
        <v>2.9600000000000001E-2</v>
      </c>
      <c r="F5111">
        <v>7.5899999999999995E-2</v>
      </c>
    </row>
    <row r="5112" spans="1:6" x14ac:dyDescent="0.3">
      <c r="A5112" t="s">
        <v>5147</v>
      </c>
      <c r="B5112" t="s">
        <v>26</v>
      </c>
      <c r="C5112">
        <v>515000</v>
      </c>
      <c r="D5112">
        <v>195493.6</v>
      </c>
      <c r="E5112">
        <v>2.0400000000000001E-2</v>
      </c>
      <c r="F5112">
        <v>5.1799999999999999E-2</v>
      </c>
    </row>
    <row r="5113" spans="1:6" x14ac:dyDescent="0.3">
      <c r="A5113" t="s">
        <v>5148</v>
      </c>
      <c r="B5113" t="s">
        <v>92</v>
      </c>
      <c r="C5113">
        <v>590000</v>
      </c>
      <c r="D5113">
        <v>9807.1</v>
      </c>
      <c r="E5113">
        <v>5.28E-2</v>
      </c>
      <c r="F5113">
        <v>7.5899999999999995E-2</v>
      </c>
    </row>
    <row r="5114" spans="1:6" x14ac:dyDescent="0.3">
      <c r="A5114" t="s">
        <v>5149</v>
      </c>
      <c r="B5114" t="s">
        <v>26</v>
      </c>
      <c r="C5114">
        <v>1560000</v>
      </c>
      <c r="D5114">
        <v>1352513.7</v>
      </c>
      <c r="E5114">
        <v>2.53E-2</v>
      </c>
      <c r="F5114">
        <v>4.0899999999999999E-2</v>
      </c>
    </row>
    <row r="5115" spans="1:6" x14ac:dyDescent="0.3">
      <c r="A5115" t="s">
        <v>5150</v>
      </c>
      <c r="B5115" t="s">
        <v>26</v>
      </c>
      <c r="C5115">
        <v>531000</v>
      </c>
      <c r="D5115">
        <v>129319.7</v>
      </c>
      <c r="E5115">
        <v>3.3399999999999999E-2</v>
      </c>
      <c r="F5115">
        <v>4.0899999999999999E-2</v>
      </c>
    </row>
    <row r="5116" spans="1:6" x14ac:dyDescent="0.3">
      <c r="A5116" t="s">
        <v>5151</v>
      </c>
      <c r="B5116" t="s">
        <v>88</v>
      </c>
      <c r="C5116">
        <v>590000</v>
      </c>
      <c r="D5116">
        <v>5817</v>
      </c>
      <c r="E5116">
        <v>9.4700000000000006E-2</v>
      </c>
      <c r="F5116">
        <v>9.3799999999999994E-2</v>
      </c>
    </row>
    <row r="5117" spans="1:6" x14ac:dyDescent="0.3">
      <c r="A5117" t="s">
        <v>5152</v>
      </c>
      <c r="B5117" t="s">
        <v>74</v>
      </c>
      <c r="C5117">
        <v>517000</v>
      </c>
      <c r="D5117">
        <v>2331.3000000000002</v>
      </c>
      <c r="E5117">
        <v>2.2800000000000001E-2</v>
      </c>
      <c r="F5117">
        <v>4.6199999999999998E-2</v>
      </c>
    </row>
    <row r="5118" spans="1:6" x14ac:dyDescent="0.3">
      <c r="A5118" t="s">
        <v>5153</v>
      </c>
      <c r="B5118" t="s">
        <v>41</v>
      </c>
      <c r="C5118">
        <v>475000</v>
      </c>
      <c r="D5118">
        <v>175.7</v>
      </c>
      <c r="E5118">
        <v>1.2200000000000001E-2</v>
      </c>
      <c r="F5118">
        <v>0.57140000000000002</v>
      </c>
    </row>
    <row r="5119" spans="1:6" x14ac:dyDescent="0.3">
      <c r="A5119" t="s">
        <v>5154</v>
      </c>
      <c r="B5119" t="s">
        <v>88</v>
      </c>
      <c r="C5119">
        <v>666000</v>
      </c>
      <c r="D5119">
        <v>18720.8</v>
      </c>
      <c r="E5119">
        <v>7.1599999999999997E-2</v>
      </c>
      <c r="F5119">
        <v>9.3799999999999994E-2</v>
      </c>
    </row>
    <row r="5120" spans="1:6" x14ac:dyDescent="0.3">
      <c r="A5120" t="s">
        <v>5155</v>
      </c>
      <c r="B5120" t="s">
        <v>50</v>
      </c>
      <c r="C5120">
        <v>519000</v>
      </c>
      <c r="D5120">
        <v>6267.6</v>
      </c>
      <c r="E5120">
        <v>4.6399999999999997E-2</v>
      </c>
      <c r="F5120">
        <v>9.3799999999999994E-2</v>
      </c>
    </row>
    <row r="5121" spans="1:6" x14ac:dyDescent="0.3">
      <c r="A5121" t="s">
        <v>5156</v>
      </c>
      <c r="B5121" t="s">
        <v>32</v>
      </c>
      <c r="C5121">
        <v>549000</v>
      </c>
      <c r="D5121">
        <v>25018.1</v>
      </c>
      <c r="E5121">
        <v>1.35E-2</v>
      </c>
      <c r="F5121">
        <v>6.5699999999999995E-2</v>
      </c>
    </row>
    <row r="5122" spans="1:6" x14ac:dyDescent="0.3">
      <c r="A5122" t="s">
        <v>5157</v>
      </c>
      <c r="B5122" t="s">
        <v>88</v>
      </c>
      <c r="C5122">
        <v>820000</v>
      </c>
      <c r="D5122">
        <v>15083.4</v>
      </c>
      <c r="E5122">
        <v>4.3700000000000003E-2</v>
      </c>
      <c r="F5122">
        <v>5.0999999999999997E-2</v>
      </c>
    </row>
    <row r="5123" spans="1:6" x14ac:dyDescent="0.3">
      <c r="A5123" t="s">
        <v>5158</v>
      </c>
      <c r="B5123" t="s">
        <v>214</v>
      </c>
      <c r="C5123">
        <v>493000</v>
      </c>
      <c r="D5123">
        <v>2112.9</v>
      </c>
      <c r="E5123">
        <v>6.7999999999999996E-3</v>
      </c>
      <c r="F5123">
        <v>8.2199999999999995E-2</v>
      </c>
    </row>
    <row r="5124" spans="1:6" x14ac:dyDescent="0.3">
      <c r="A5124" t="s">
        <v>5159</v>
      </c>
      <c r="B5124" t="s">
        <v>21</v>
      </c>
      <c r="C5124">
        <v>564000</v>
      </c>
      <c r="D5124">
        <v>76686.5</v>
      </c>
      <c r="E5124">
        <v>1.2200000000000001E-2</v>
      </c>
      <c r="F5124">
        <v>8.2199999999999995E-2</v>
      </c>
    </row>
    <row r="5125" spans="1:6" x14ac:dyDescent="0.3">
      <c r="A5125" t="s">
        <v>5160</v>
      </c>
      <c r="B5125" t="s">
        <v>195</v>
      </c>
      <c r="C5125">
        <v>477000</v>
      </c>
      <c r="D5125">
        <v>549833.4</v>
      </c>
      <c r="E5125">
        <v>4.5999999999999999E-3</v>
      </c>
      <c r="F5125">
        <v>0.1013</v>
      </c>
    </row>
    <row r="5126" spans="1:6" x14ac:dyDescent="0.3">
      <c r="A5126" t="s">
        <v>5161</v>
      </c>
      <c r="B5126" t="s">
        <v>81</v>
      </c>
      <c r="C5126">
        <v>505000</v>
      </c>
      <c r="D5126">
        <v>42376.6</v>
      </c>
      <c r="E5126">
        <v>2.1100000000000001E-2</v>
      </c>
      <c r="F5126">
        <v>8.5400000000000004E-2</v>
      </c>
    </row>
    <row r="5127" spans="1:6" x14ac:dyDescent="0.3">
      <c r="A5127" t="s">
        <v>5162</v>
      </c>
      <c r="B5127" t="s">
        <v>88</v>
      </c>
      <c r="C5127">
        <v>469000</v>
      </c>
      <c r="D5127">
        <v>1899.9</v>
      </c>
      <c r="F5127">
        <v>6.4899999999999999E-2</v>
      </c>
    </row>
    <row r="5128" spans="1:6" x14ac:dyDescent="0.3">
      <c r="A5128" t="s">
        <v>5163</v>
      </c>
      <c r="B5128" t="s">
        <v>92</v>
      </c>
      <c r="C5128">
        <v>543000</v>
      </c>
      <c r="D5128">
        <v>107289.8</v>
      </c>
      <c r="E5128">
        <v>8.09E-2</v>
      </c>
      <c r="F5128">
        <v>4.0899999999999999E-2</v>
      </c>
    </row>
    <row r="5129" spans="1:6" x14ac:dyDescent="0.3">
      <c r="A5129" t="s">
        <v>5164</v>
      </c>
      <c r="B5129" t="s">
        <v>41</v>
      </c>
      <c r="C5129">
        <v>586000</v>
      </c>
      <c r="D5129">
        <v>65326.9</v>
      </c>
      <c r="E5129">
        <v>0.04</v>
      </c>
      <c r="F5129">
        <v>7.5899999999999995E-2</v>
      </c>
    </row>
    <row r="5130" spans="1:6" x14ac:dyDescent="0.3">
      <c r="A5130" t="s">
        <v>5165</v>
      </c>
      <c r="B5130" t="s">
        <v>26</v>
      </c>
      <c r="C5130">
        <v>463000</v>
      </c>
      <c r="D5130">
        <v>6711</v>
      </c>
      <c r="E5130">
        <v>3.39E-2</v>
      </c>
      <c r="F5130">
        <v>4.0899999999999999E-2</v>
      </c>
    </row>
    <row r="5131" spans="1:6" x14ac:dyDescent="0.3">
      <c r="A5131" t="s">
        <v>5166</v>
      </c>
      <c r="B5131" t="s">
        <v>26</v>
      </c>
      <c r="C5131">
        <v>759000</v>
      </c>
      <c r="D5131">
        <v>703419.2</v>
      </c>
      <c r="E5131">
        <v>3.0700000000000002E-2</v>
      </c>
      <c r="F5131">
        <v>4.0899999999999999E-2</v>
      </c>
    </row>
    <row r="5132" spans="1:6" x14ac:dyDescent="0.3">
      <c r="A5132" t="s">
        <v>5167</v>
      </c>
      <c r="B5132" t="s">
        <v>53</v>
      </c>
      <c r="C5132">
        <v>965000</v>
      </c>
      <c r="D5132">
        <v>30373.1</v>
      </c>
      <c r="E5132">
        <v>2.0400000000000001E-2</v>
      </c>
      <c r="F5132">
        <v>7.5899999999999995E-2</v>
      </c>
    </row>
    <row r="5133" spans="1:6" x14ac:dyDescent="0.3">
      <c r="A5133" t="s">
        <v>5168</v>
      </c>
      <c r="B5133" t="s">
        <v>41</v>
      </c>
      <c r="C5133">
        <v>476000</v>
      </c>
      <c r="D5133">
        <v>17059.8</v>
      </c>
      <c r="E5133">
        <v>6.4199999999999993E-2</v>
      </c>
      <c r="F5133">
        <v>9.3799999999999994E-2</v>
      </c>
    </row>
    <row r="5134" spans="1:6" x14ac:dyDescent="0.3">
      <c r="A5134" t="s">
        <v>5169</v>
      </c>
      <c r="B5134" t="s">
        <v>92</v>
      </c>
      <c r="C5134">
        <v>461000</v>
      </c>
      <c r="D5134">
        <v>12770.4</v>
      </c>
      <c r="E5134">
        <v>9.7999999999999997E-3</v>
      </c>
      <c r="F5134">
        <v>0.1187</v>
      </c>
    </row>
    <row r="5135" spans="1:6" x14ac:dyDescent="0.3">
      <c r="A5135" t="s">
        <v>5170</v>
      </c>
      <c r="B5135" t="s">
        <v>26</v>
      </c>
      <c r="C5135">
        <v>567000</v>
      </c>
      <c r="D5135">
        <v>4352</v>
      </c>
      <c r="E5135">
        <v>1.83E-2</v>
      </c>
      <c r="F5135">
        <v>8.5400000000000004E-2</v>
      </c>
    </row>
    <row r="5136" spans="1:6" x14ac:dyDescent="0.3">
      <c r="A5136" t="s">
        <v>5171</v>
      </c>
      <c r="B5136" t="s">
        <v>30</v>
      </c>
      <c r="C5136">
        <v>523000</v>
      </c>
      <c r="D5136">
        <v>57296.9</v>
      </c>
      <c r="E5136">
        <v>2.7900000000000001E-2</v>
      </c>
      <c r="F5136">
        <v>6.7199999999999996E-2</v>
      </c>
    </row>
    <row r="5137" spans="1:6" x14ac:dyDescent="0.3">
      <c r="A5137" t="s">
        <v>5172</v>
      </c>
      <c r="B5137" t="s">
        <v>53</v>
      </c>
      <c r="C5137">
        <v>586000</v>
      </c>
      <c r="D5137">
        <v>25743.1</v>
      </c>
      <c r="E5137">
        <v>9.9299999999999999E-2</v>
      </c>
      <c r="F5137">
        <v>9.3799999999999994E-2</v>
      </c>
    </row>
    <row r="5138" spans="1:6" x14ac:dyDescent="0.3">
      <c r="A5138" t="s">
        <v>5173</v>
      </c>
      <c r="B5138" t="s">
        <v>26</v>
      </c>
      <c r="C5138">
        <v>669000</v>
      </c>
      <c r="D5138">
        <v>237229.9</v>
      </c>
      <c r="E5138">
        <v>3.6999999999999998E-2</v>
      </c>
      <c r="F5138">
        <v>4.0899999999999999E-2</v>
      </c>
    </row>
    <row r="5139" spans="1:6" x14ac:dyDescent="0.3">
      <c r="A5139" t="s">
        <v>5174</v>
      </c>
      <c r="B5139" t="s">
        <v>26</v>
      </c>
      <c r="C5139">
        <v>571000</v>
      </c>
      <c r="D5139">
        <v>1175622.3999999999</v>
      </c>
      <c r="E5139">
        <v>2.0400000000000001E-2</v>
      </c>
      <c r="F5139">
        <v>5.8500000000000003E-2</v>
      </c>
    </row>
    <row r="5140" spans="1:6" x14ac:dyDescent="0.3">
      <c r="A5140" t="s">
        <v>5175</v>
      </c>
      <c r="B5140" t="s">
        <v>26</v>
      </c>
      <c r="C5140">
        <v>701000</v>
      </c>
      <c r="D5140">
        <v>80135.600000000006</v>
      </c>
      <c r="E5140">
        <v>4.5699999999999998E-2</v>
      </c>
      <c r="F5140">
        <v>7.5899999999999995E-2</v>
      </c>
    </row>
    <row r="5141" spans="1:6" x14ac:dyDescent="0.3">
      <c r="A5141" t="s">
        <v>5176</v>
      </c>
      <c r="B5141" t="s">
        <v>88</v>
      </c>
      <c r="C5141">
        <v>617000</v>
      </c>
      <c r="D5141">
        <v>18516</v>
      </c>
      <c r="E5141">
        <v>5.7500000000000002E-2</v>
      </c>
      <c r="F5141">
        <v>9.3799999999999994E-2</v>
      </c>
    </row>
    <row r="5142" spans="1:6" x14ac:dyDescent="0.3">
      <c r="A5142" t="s">
        <v>5177</v>
      </c>
      <c r="B5142" t="s">
        <v>24</v>
      </c>
      <c r="C5142">
        <v>1200000</v>
      </c>
      <c r="D5142">
        <v>22344108.899999999</v>
      </c>
      <c r="E5142">
        <v>8.5000000000000006E-3</v>
      </c>
      <c r="F5142">
        <v>8.2199999999999995E-2</v>
      </c>
    </row>
    <row r="5143" spans="1:6" x14ac:dyDescent="0.3">
      <c r="A5143" t="s">
        <v>5178</v>
      </c>
      <c r="B5143" t="s">
        <v>81</v>
      </c>
      <c r="C5143">
        <v>483000</v>
      </c>
      <c r="D5143">
        <v>5209.2</v>
      </c>
      <c r="E5143">
        <v>1.95E-2</v>
      </c>
      <c r="F5143">
        <v>0.1067</v>
      </c>
    </row>
    <row r="5144" spans="1:6" x14ac:dyDescent="0.3">
      <c r="A5144" t="s">
        <v>5179</v>
      </c>
      <c r="B5144" t="s">
        <v>92</v>
      </c>
      <c r="C5144">
        <v>515000</v>
      </c>
      <c r="D5144">
        <v>5385.1</v>
      </c>
      <c r="E5144">
        <v>9.7000000000000003E-3</v>
      </c>
      <c r="F5144">
        <v>6.54E-2</v>
      </c>
    </row>
    <row r="5145" spans="1:6" x14ac:dyDescent="0.3">
      <c r="A5145" t="s">
        <v>5180</v>
      </c>
      <c r="B5145" t="s">
        <v>50</v>
      </c>
      <c r="C5145">
        <v>611000</v>
      </c>
      <c r="D5145">
        <v>17682.400000000001</v>
      </c>
      <c r="E5145">
        <v>7.1999999999999998E-3</v>
      </c>
      <c r="F5145">
        <v>6.54E-2</v>
      </c>
    </row>
    <row r="5146" spans="1:6" x14ac:dyDescent="0.3">
      <c r="A5146" t="s">
        <v>5181</v>
      </c>
      <c r="B5146" t="s">
        <v>26</v>
      </c>
      <c r="C5146">
        <v>550000</v>
      </c>
      <c r="D5146">
        <v>20702.099999999999</v>
      </c>
      <c r="E5146">
        <v>3.5200000000000002E-2</v>
      </c>
      <c r="F5146">
        <v>9.3799999999999994E-2</v>
      </c>
    </row>
    <row r="5147" spans="1:6" x14ac:dyDescent="0.3">
      <c r="A5147" t="s">
        <v>5182</v>
      </c>
      <c r="B5147" t="s">
        <v>62</v>
      </c>
      <c r="C5147">
        <v>547000</v>
      </c>
      <c r="D5147">
        <v>2761.4</v>
      </c>
      <c r="E5147">
        <v>3.4500000000000003E-2</v>
      </c>
      <c r="F5147">
        <v>9.5100000000000004E-2</v>
      </c>
    </row>
    <row r="5148" spans="1:6" x14ac:dyDescent="0.3">
      <c r="A5148" t="s">
        <v>5183</v>
      </c>
      <c r="B5148" t="s">
        <v>26</v>
      </c>
      <c r="C5148">
        <v>482000</v>
      </c>
      <c r="D5148">
        <v>1891</v>
      </c>
      <c r="E5148">
        <v>6.8699999999999997E-2</v>
      </c>
      <c r="F5148">
        <v>7.5899999999999995E-2</v>
      </c>
    </row>
    <row r="5149" spans="1:6" x14ac:dyDescent="0.3">
      <c r="A5149" t="s">
        <v>5184</v>
      </c>
      <c r="B5149" t="s">
        <v>88</v>
      </c>
      <c r="C5149">
        <v>514000</v>
      </c>
      <c r="D5149">
        <v>3716.7</v>
      </c>
      <c r="E5149">
        <v>2.8299999999999999E-2</v>
      </c>
      <c r="F5149">
        <v>9.5100000000000004E-2</v>
      </c>
    </row>
    <row r="5150" spans="1:6" x14ac:dyDescent="0.3">
      <c r="A5150" t="s">
        <v>5185</v>
      </c>
      <c r="B5150" t="s">
        <v>26</v>
      </c>
      <c r="C5150">
        <v>596000</v>
      </c>
      <c r="D5150">
        <v>1104.3</v>
      </c>
      <c r="F5150">
        <v>5.1799999999999999E-2</v>
      </c>
    </row>
    <row r="5151" spans="1:6" x14ac:dyDescent="0.3">
      <c r="A5151" t="s">
        <v>5186</v>
      </c>
      <c r="B5151" t="s">
        <v>26</v>
      </c>
      <c r="C5151">
        <v>364000</v>
      </c>
      <c r="D5151">
        <v>7678.9</v>
      </c>
      <c r="E5151">
        <v>7.2800000000000004E-2</v>
      </c>
      <c r="F5151">
        <v>7.5899999999999995E-2</v>
      </c>
    </row>
    <row r="5152" spans="1:6" x14ac:dyDescent="0.3">
      <c r="A5152" t="s">
        <v>5187</v>
      </c>
      <c r="B5152" t="s">
        <v>81</v>
      </c>
      <c r="C5152">
        <v>632000</v>
      </c>
      <c r="D5152">
        <v>9473.4</v>
      </c>
      <c r="E5152">
        <v>2.46E-2</v>
      </c>
      <c r="F5152">
        <v>7.5899999999999995E-2</v>
      </c>
    </row>
    <row r="5153" spans="1:6" x14ac:dyDescent="0.3">
      <c r="A5153" t="s">
        <v>5188</v>
      </c>
      <c r="B5153" t="s">
        <v>50</v>
      </c>
      <c r="C5153">
        <v>504000</v>
      </c>
      <c r="D5153">
        <v>17234.3</v>
      </c>
      <c r="E5153">
        <v>4.5900000000000003E-2</v>
      </c>
      <c r="F5153">
        <v>9.5100000000000004E-2</v>
      </c>
    </row>
    <row r="5154" spans="1:6" x14ac:dyDescent="0.3">
      <c r="A5154" t="s">
        <v>5189</v>
      </c>
      <c r="B5154" t="s">
        <v>88</v>
      </c>
      <c r="C5154">
        <v>513000</v>
      </c>
      <c r="D5154">
        <v>7086.3</v>
      </c>
      <c r="E5154">
        <v>2.81E-2</v>
      </c>
      <c r="F5154">
        <v>7.5899999999999995E-2</v>
      </c>
    </row>
    <row r="5155" spans="1:6" x14ac:dyDescent="0.3">
      <c r="A5155" t="s">
        <v>5190</v>
      </c>
      <c r="B5155" t="s">
        <v>26</v>
      </c>
      <c r="C5155">
        <v>608000</v>
      </c>
      <c r="D5155">
        <v>592.1</v>
      </c>
      <c r="E5155">
        <v>3.04E-2</v>
      </c>
      <c r="F5155">
        <v>7.2499999999999995E-2</v>
      </c>
    </row>
    <row r="5156" spans="1:6" x14ac:dyDescent="0.3">
      <c r="A5156" t="s">
        <v>5191</v>
      </c>
      <c r="B5156" t="s">
        <v>62</v>
      </c>
      <c r="C5156">
        <v>997000</v>
      </c>
      <c r="D5156">
        <v>66684.2</v>
      </c>
      <c r="E5156">
        <v>4.6800000000000001E-2</v>
      </c>
      <c r="F5156">
        <v>0.2747</v>
      </c>
    </row>
    <row r="5157" spans="1:6" x14ac:dyDescent="0.3">
      <c r="A5157" t="s">
        <v>5192</v>
      </c>
      <c r="B5157" t="s">
        <v>41</v>
      </c>
      <c r="C5157">
        <v>555000</v>
      </c>
      <c r="D5157">
        <v>1757.9</v>
      </c>
      <c r="E5157">
        <v>2.98E-2</v>
      </c>
      <c r="F5157">
        <v>9.5100000000000004E-2</v>
      </c>
    </row>
    <row r="5158" spans="1:6" x14ac:dyDescent="0.3">
      <c r="A5158" t="s">
        <v>5193</v>
      </c>
      <c r="B5158" t="s">
        <v>81</v>
      </c>
      <c r="C5158">
        <v>479000</v>
      </c>
      <c r="D5158">
        <v>1846.2</v>
      </c>
      <c r="E5158">
        <v>2.87E-2</v>
      </c>
      <c r="F5158">
        <v>0.1226</v>
      </c>
    </row>
    <row r="5159" spans="1:6" x14ac:dyDescent="0.3">
      <c r="A5159" t="s">
        <v>5194</v>
      </c>
      <c r="B5159" t="s">
        <v>30</v>
      </c>
      <c r="C5159">
        <v>607000</v>
      </c>
      <c r="D5159">
        <v>33484.1</v>
      </c>
      <c r="E5159">
        <v>4.6800000000000001E-2</v>
      </c>
      <c r="F5159">
        <v>7.5899999999999995E-2</v>
      </c>
    </row>
    <row r="5160" spans="1:6" x14ac:dyDescent="0.3">
      <c r="A5160" t="s">
        <v>5195</v>
      </c>
      <c r="B5160" t="s">
        <v>26</v>
      </c>
      <c r="C5160">
        <v>531000</v>
      </c>
      <c r="D5160">
        <v>104580.1</v>
      </c>
      <c r="E5160">
        <v>1.2500000000000001E-2</v>
      </c>
      <c r="F5160">
        <v>5.1999999999999998E-2</v>
      </c>
    </row>
    <row r="5161" spans="1:6" x14ac:dyDescent="0.3">
      <c r="A5161" t="s">
        <v>5196</v>
      </c>
      <c r="B5161" t="s">
        <v>32</v>
      </c>
      <c r="C5161">
        <v>458000</v>
      </c>
      <c r="D5161">
        <v>196.6</v>
      </c>
      <c r="E5161">
        <v>3.7400000000000003E-2</v>
      </c>
      <c r="F5161">
        <v>9.5100000000000004E-2</v>
      </c>
    </row>
    <row r="5162" spans="1:6" x14ac:dyDescent="0.3">
      <c r="A5162" t="s">
        <v>5197</v>
      </c>
      <c r="B5162" t="s">
        <v>26</v>
      </c>
      <c r="C5162">
        <v>482000</v>
      </c>
      <c r="D5162">
        <v>3237.3</v>
      </c>
      <c r="E5162">
        <v>3.3300000000000003E-2</v>
      </c>
      <c r="F5162">
        <v>7.5899999999999995E-2</v>
      </c>
    </row>
    <row r="5163" spans="1:6" x14ac:dyDescent="0.3">
      <c r="A5163" t="s">
        <v>5198</v>
      </c>
      <c r="B5163" t="s">
        <v>26</v>
      </c>
      <c r="C5163">
        <v>707000</v>
      </c>
      <c r="D5163">
        <v>336687.2</v>
      </c>
      <c r="E5163">
        <v>2.6599999999999999E-2</v>
      </c>
      <c r="F5163">
        <v>7.5899999999999995E-2</v>
      </c>
    </row>
    <row r="5164" spans="1:6" x14ac:dyDescent="0.3">
      <c r="A5164" t="s">
        <v>5199</v>
      </c>
      <c r="B5164" t="s">
        <v>88</v>
      </c>
      <c r="C5164">
        <v>540000</v>
      </c>
      <c r="D5164">
        <v>3292.5</v>
      </c>
      <c r="E5164">
        <v>3.6299999999999999E-2</v>
      </c>
      <c r="F5164">
        <v>9.3799999999999994E-2</v>
      </c>
    </row>
    <row r="5165" spans="1:6" x14ac:dyDescent="0.3">
      <c r="A5165" t="s">
        <v>5200</v>
      </c>
      <c r="B5165" t="s">
        <v>92</v>
      </c>
      <c r="C5165">
        <v>554000</v>
      </c>
      <c r="D5165">
        <v>20119.3</v>
      </c>
      <c r="F5165">
        <v>6.4399999999999999E-2</v>
      </c>
    </row>
    <row r="5166" spans="1:6" x14ac:dyDescent="0.3">
      <c r="A5166" t="s">
        <v>5201</v>
      </c>
      <c r="B5166" t="s">
        <v>88</v>
      </c>
      <c r="C5166">
        <v>515000</v>
      </c>
      <c r="D5166">
        <v>133</v>
      </c>
      <c r="E5166">
        <v>1.7100000000000001E-2</v>
      </c>
      <c r="F5166">
        <v>0.1691</v>
      </c>
    </row>
    <row r="5167" spans="1:6" x14ac:dyDescent="0.3">
      <c r="A5167" t="s">
        <v>5202</v>
      </c>
      <c r="B5167" t="s">
        <v>53</v>
      </c>
      <c r="C5167">
        <v>1060000</v>
      </c>
      <c r="D5167">
        <v>49850.3</v>
      </c>
      <c r="E5167">
        <v>3.5999999999999999E-3</v>
      </c>
      <c r="F5167">
        <v>0.10150000000000001</v>
      </c>
    </row>
    <row r="5168" spans="1:6" x14ac:dyDescent="0.3">
      <c r="A5168" t="s">
        <v>5203</v>
      </c>
      <c r="B5168" t="s">
        <v>214</v>
      </c>
      <c r="C5168">
        <v>946000</v>
      </c>
      <c r="D5168">
        <v>60209.7</v>
      </c>
      <c r="E5168">
        <v>7.3000000000000001E-3</v>
      </c>
      <c r="F5168">
        <v>6.54E-2</v>
      </c>
    </row>
    <row r="5169" spans="1:6" x14ac:dyDescent="0.3">
      <c r="A5169" t="s">
        <v>5204</v>
      </c>
      <c r="B5169" t="s">
        <v>195</v>
      </c>
      <c r="C5169">
        <v>3210000</v>
      </c>
      <c r="D5169">
        <v>47745.4</v>
      </c>
      <c r="E5169">
        <v>2.7400000000000001E-2</v>
      </c>
      <c r="F5169">
        <v>7.5899999999999995E-2</v>
      </c>
    </row>
    <row r="5170" spans="1:6" x14ac:dyDescent="0.3">
      <c r="A5170" t="s">
        <v>5205</v>
      </c>
      <c r="B5170" t="s">
        <v>41</v>
      </c>
      <c r="C5170">
        <v>483000</v>
      </c>
      <c r="D5170">
        <v>33400.199999999997</v>
      </c>
      <c r="E5170">
        <v>1.7899999999999999E-2</v>
      </c>
      <c r="F5170">
        <v>5.8500000000000003E-2</v>
      </c>
    </row>
    <row r="5171" spans="1:6" x14ac:dyDescent="0.3">
      <c r="A5171" t="s">
        <v>5206</v>
      </c>
      <c r="B5171" t="s">
        <v>26</v>
      </c>
      <c r="C5171">
        <v>4280000</v>
      </c>
      <c r="D5171">
        <v>137330.70000000001</v>
      </c>
      <c r="E5171">
        <v>2.2599999999999999E-2</v>
      </c>
      <c r="F5171">
        <v>4.0899999999999999E-2</v>
      </c>
    </row>
    <row r="5172" spans="1:6" x14ac:dyDescent="0.3">
      <c r="A5172" t="s">
        <v>5207</v>
      </c>
      <c r="B5172" t="s">
        <v>41</v>
      </c>
      <c r="C5172">
        <v>509000</v>
      </c>
      <c r="D5172">
        <v>4588.5</v>
      </c>
      <c r="E5172">
        <v>1.41E-2</v>
      </c>
      <c r="F5172">
        <v>7.2599999999999998E-2</v>
      </c>
    </row>
    <row r="5173" spans="1:6" x14ac:dyDescent="0.3">
      <c r="A5173" t="s">
        <v>5208</v>
      </c>
      <c r="B5173" t="s">
        <v>41</v>
      </c>
      <c r="C5173">
        <v>528000</v>
      </c>
      <c r="D5173">
        <v>189.3</v>
      </c>
      <c r="E5173">
        <v>3.7600000000000001E-2</v>
      </c>
      <c r="F5173">
        <v>9.3799999999999994E-2</v>
      </c>
    </row>
    <row r="5174" spans="1:6" x14ac:dyDescent="0.3">
      <c r="A5174" t="s">
        <v>5209</v>
      </c>
      <c r="B5174" t="s">
        <v>24</v>
      </c>
      <c r="C5174">
        <v>492000</v>
      </c>
      <c r="D5174">
        <v>4229</v>
      </c>
      <c r="E5174">
        <v>9.7999999999999997E-3</v>
      </c>
      <c r="F5174">
        <v>6.54E-2</v>
      </c>
    </row>
    <row r="5175" spans="1:6" x14ac:dyDescent="0.3">
      <c r="A5175" t="s">
        <v>5210</v>
      </c>
      <c r="B5175" t="s">
        <v>26</v>
      </c>
      <c r="C5175">
        <v>653000</v>
      </c>
      <c r="D5175">
        <v>28656.799999999999</v>
      </c>
      <c r="E5175">
        <v>5.3600000000000002E-2</v>
      </c>
      <c r="F5175">
        <v>9.5100000000000004E-2</v>
      </c>
    </row>
    <row r="5176" spans="1:6" x14ac:dyDescent="0.3">
      <c r="A5176" t="s">
        <v>5211</v>
      </c>
      <c r="B5176" t="s">
        <v>26</v>
      </c>
      <c r="C5176">
        <v>732000</v>
      </c>
      <c r="D5176">
        <v>618467.5</v>
      </c>
      <c r="E5176">
        <v>3.6900000000000002E-2</v>
      </c>
      <c r="F5176">
        <v>4.0899999999999999E-2</v>
      </c>
    </row>
    <row r="5177" spans="1:6" x14ac:dyDescent="0.3">
      <c r="A5177" t="s">
        <v>5212</v>
      </c>
      <c r="B5177" t="s">
        <v>26</v>
      </c>
      <c r="C5177">
        <v>516000</v>
      </c>
      <c r="D5177">
        <v>49299.199999999997</v>
      </c>
      <c r="F5177">
        <v>9.3799999999999994E-2</v>
      </c>
    </row>
    <row r="5178" spans="1:6" x14ac:dyDescent="0.3">
      <c r="A5178" t="s">
        <v>5213</v>
      </c>
      <c r="B5178" t="s">
        <v>490</v>
      </c>
      <c r="C5178">
        <v>638000</v>
      </c>
      <c r="D5178">
        <v>14514.5</v>
      </c>
      <c r="F5178">
        <v>7.5899999999999995E-2</v>
      </c>
    </row>
    <row r="5179" spans="1:6" x14ac:dyDescent="0.3">
      <c r="A5179" t="s">
        <v>5214</v>
      </c>
      <c r="B5179" t="s">
        <v>26</v>
      </c>
      <c r="C5179">
        <v>146000</v>
      </c>
      <c r="D5179">
        <v>4509.3</v>
      </c>
      <c r="E5179">
        <v>8.8000000000000005E-3</v>
      </c>
      <c r="F5179">
        <v>6.54E-2</v>
      </c>
    </row>
    <row r="5180" spans="1:6" x14ac:dyDescent="0.3">
      <c r="A5180" t="s">
        <v>5215</v>
      </c>
      <c r="B5180" t="s">
        <v>88</v>
      </c>
      <c r="C5180">
        <v>575000</v>
      </c>
      <c r="D5180">
        <v>315.3</v>
      </c>
      <c r="E5180">
        <v>3.8800000000000001E-2</v>
      </c>
      <c r="F5180">
        <v>7.5899999999999995E-2</v>
      </c>
    </row>
    <row r="5181" spans="1:6" x14ac:dyDescent="0.3">
      <c r="A5181" t="s">
        <v>5216</v>
      </c>
      <c r="B5181" t="s">
        <v>26</v>
      </c>
      <c r="C5181">
        <v>561000</v>
      </c>
      <c r="D5181">
        <v>25258.799999999999</v>
      </c>
      <c r="F5181">
        <v>5.1799999999999999E-2</v>
      </c>
    </row>
    <row r="5182" spans="1:6" x14ac:dyDescent="0.3">
      <c r="A5182" t="s">
        <v>5217</v>
      </c>
      <c r="B5182" t="s">
        <v>26</v>
      </c>
      <c r="C5182">
        <v>584000</v>
      </c>
      <c r="D5182">
        <v>62074.3</v>
      </c>
      <c r="E5182">
        <v>4.3900000000000002E-2</v>
      </c>
      <c r="F5182">
        <v>7.5899999999999995E-2</v>
      </c>
    </row>
    <row r="5183" spans="1:6" x14ac:dyDescent="0.3">
      <c r="A5183" t="s">
        <v>5218</v>
      </c>
      <c r="B5183" t="s">
        <v>24</v>
      </c>
      <c r="C5183">
        <v>905000</v>
      </c>
      <c r="D5183">
        <v>6386.8</v>
      </c>
      <c r="E5183">
        <v>5.7799999999999997E-2</v>
      </c>
      <c r="F5183">
        <v>7.5899999999999995E-2</v>
      </c>
    </row>
    <row r="5184" spans="1:6" x14ac:dyDescent="0.3">
      <c r="A5184" t="s">
        <v>5219</v>
      </c>
      <c r="B5184" t="s">
        <v>490</v>
      </c>
      <c r="C5184">
        <v>887000</v>
      </c>
      <c r="D5184">
        <v>4219.3</v>
      </c>
      <c r="E5184">
        <v>5.1200000000000002E-2</v>
      </c>
      <c r="F5184">
        <v>9.3799999999999994E-2</v>
      </c>
    </row>
    <row r="5185" spans="1:6" x14ac:dyDescent="0.3">
      <c r="A5185" t="s">
        <v>5220</v>
      </c>
      <c r="B5185" t="s">
        <v>26</v>
      </c>
      <c r="C5185">
        <v>533000</v>
      </c>
      <c r="D5185">
        <v>11372.5</v>
      </c>
      <c r="E5185">
        <v>1.2800000000000001E-2</v>
      </c>
      <c r="F5185">
        <v>6.4699999999999994E-2</v>
      </c>
    </row>
    <row r="5186" spans="1:6" x14ac:dyDescent="0.3">
      <c r="A5186" t="s">
        <v>5221</v>
      </c>
      <c r="B5186" t="s">
        <v>26</v>
      </c>
      <c r="C5186">
        <v>581000</v>
      </c>
      <c r="D5186">
        <v>131775.1</v>
      </c>
      <c r="E5186">
        <v>2.23E-2</v>
      </c>
      <c r="F5186">
        <v>9.5100000000000004E-2</v>
      </c>
    </row>
    <row r="5187" spans="1:6" x14ac:dyDescent="0.3">
      <c r="A5187" t="s">
        <v>5222</v>
      </c>
      <c r="B5187" t="s">
        <v>81</v>
      </c>
      <c r="C5187">
        <v>533000</v>
      </c>
      <c r="D5187">
        <v>4348.1000000000004</v>
      </c>
      <c r="E5187">
        <v>2.47E-2</v>
      </c>
      <c r="F5187">
        <v>9.3799999999999994E-2</v>
      </c>
    </row>
    <row r="5188" spans="1:6" x14ac:dyDescent="0.3">
      <c r="A5188" t="s">
        <v>5223</v>
      </c>
      <c r="B5188" t="s">
        <v>41</v>
      </c>
      <c r="C5188">
        <v>565000</v>
      </c>
      <c r="D5188">
        <v>64002.1</v>
      </c>
      <c r="E5188">
        <v>4.9700000000000001E-2</v>
      </c>
      <c r="F5188">
        <v>9.3799999999999994E-2</v>
      </c>
    </row>
    <row r="5189" spans="1:6" x14ac:dyDescent="0.3">
      <c r="A5189" t="s">
        <v>5224</v>
      </c>
      <c r="B5189" t="s">
        <v>62</v>
      </c>
      <c r="C5189">
        <v>1230000</v>
      </c>
      <c r="D5189">
        <v>741060.8</v>
      </c>
      <c r="E5189">
        <v>3.8300000000000001E-2</v>
      </c>
      <c r="F5189">
        <v>4.0899999999999999E-2</v>
      </c>
    </row>
    <row r="5190" spans="1:6" x14ac:dyDescent="0.3">
      <c r="A5190" t="s">
        <v>5225</v>
      </c>
      <c r="B5190" t="s">
        <v>26</v>
      </c>
      <c r="C5190">
        <v>497000</v>
      </c>
      <c r="D5190">
        <v>5905.2</v>
      </c>
      <c r="E5190">
        <v>2.0199999999999999E-2</v>
      </c>
      <c r="F5190">
        <v>4.8800000000000003E-2</v>
      </c>
    </row>
    <row r="5191" spans="1:6" x14ac:dyDescent="0.3">
      <c r="A5191" t="s">
        <v>5226</v>
      </c>
      <c r="B5191" t="s">
        <v>41</v>
      </c>
      <c r="C5191">
        <v>808000</v>
      </c>
      <c r="D5191">
        <v>745.8</v>
      </c>
      <c r="E5191">
        <v>8.8200000000000001E-2</v>
      </c>
      <c r="F5191">
        <v>9.3799999999999994E-2</v>
      </c>
    </row>
    <row r="5192" spans="1:6" x14ac:dyDescent="0.3">
      <c r="A5192" t="s">
        <v>5227</v>
      </c>
      <c r="B5192" t="s">
        <v>88</v>
      </c>
      <c r="C5192">
        <v>646000</v>
      </c>
      <c r="D5192">
        <v>54402.1</v>
      </c>
      <c r="E5192">
        <v>9.69E-2</v>
      </c>
      <c r="F5192">
        <v>9.3799999999999994E-2</v>
      </c>
    </row>
    <row r="5193" spans="1:6" x14ac:dyDescent="0.3">
      <c r="A5193" t="s">
        <v>5228</v>
      </c>
      <c r="B5193" t="s">
        <v>88</v>
      </c>
      <c r="C5193">
        <v>462000</v>
      </c>
      <c r="D5193">
        <v>694.6</v>
      </c>
      <c r="F5193">
        <v>7.5899999999999995E-2</v>
      </c>
    </row>
    <row r="5194" spans="1:6" x14ac:dyDescent="0.3">
      <c r="A5194" t="s">
        <v>5229</v>
      </c>
      <c r="B5194" t="s">
        <v>92</v>
      </c>
      <c r="C5194">
        <v>454000</v>
      </c>
      <c r="D5194">
        <v>2515.8000000000002</v>
      </c>
      <c r="E5194">
        <v>1.6199999999999999E-2</v>
      </c>
      <c r="F5194">
        <v>0.1067</v>
      </c>
    </row>
    <row r="5195" spans="1:6" x14ac:dyDescent="0.3">
      <c r="A5195" t="s">
        <v>5230</v>
      </c>
      <c r="B5195" t="s">
        <v>24</v>
      </c>
      <c r="C5195">
        <v>1000000</v>
      </c>
      <c r="D5195">
        <v>2663.4</v>
      </c>
      <c r="E5195">
        <v>0.15</v>
      </c>
      <c r="F5195">
        <v>9.3799999999999994E-2</v>
      </c>
    </row>
    <row r="5196" spans="1:6" x14ac:dyDescent="0.3">
      <c r="A5196" t="s">
        <v>5231</v>
      </c>
      <c r="B5196" t="s">
        <v>41</v>
      </c>
      <c r="C5196">
        <v>1340000</v>
      </c>
      <c r="D5196">
        <v>1069.0999999999999</v>
      </c>
      <c r="E5196">
        <v>1.8700000000000001E-2</v>
      </c>
      <c r="F5196">
        <v>0.1053</v>
      </c>
    </row>
    <row r="5197" spans="1:6" x14ac:dyDescent="0.3">
      <c r="A5197" t="s">
        <v>5232</v>
      </c>
      <c r="B5197" t="s">
        <v>26</v>
      </c>
      <c r="C5197">
        <v>459000</v>
      </c>
      <c r="D5197">
        <v>12701.8</v>
      </c>
      <c r="E5197">
        <v>1.9800000000000002E-2</v>
      </c>
      <c r="F5197">
        <v>0.1067</v>
      </c>
    </row>
    <row r="5198" spans="1:6" x14ac:dyDescent="0.3">
      <c r="A5198" t="s">
        <v>5233</v>
      </c>
      <c r="B5198" t="s">
        <v>26</v>
      </c>
      <c r="C5198">
        <v>494000</v>
      </c>
      <c r="D5198">
        <v>3059.3</v>
      </c>
      <c r="E5198">
        <v>3.1199999999999999E-2</v>
      </c>
      <c r="F5198">
        <v>9.3799999999999994E-2</v>
      </c>
    </row>
    <row r="5199" spans="1:6" x14ac:dyDescent="0.3">
      <c r="A5199" t="s">
        <v>5234</v>
      </c>
      <c r="B5199" t="s">
        <v>88</v>
      </c>
      <c r="C5199">
        <v>854000</v>
      </c>
      <c r="D5199">
        <v>14933.7</v>
      </c>
      <c r="E5199">
        <v>4.4999999999999998E-2</v>
      </c>
      <c r="F5199">
        <v>7.5899999999999995E-2</v>
      </c>
    </row>
    <row r="5200" spans="1:6" x14ac:dyDescent="0.3">
      <c r="A5200" t="s">
        <v>5235</v>
      </c>
      <c r="B5200" t="s">
        <v>21</v>
      </c>
      <c r="C5200">
        <v>523000</v>
      </c>
      <c r="D5200">
        <v>19304.5</v>
      </c>
      <c r="E5200">
        <v>3.4000000000000002E-2</v>
      </c>
      <c r="F5200">
        <v>9.5100000000000004E-2</v>
      </c>
    </row>
    <row r="5201" spans="1:6" x14ac:dyDescent="0.3">
      <c r="A5201" t="s">
        <v>5236</v>
      </c>
      <c r="B5201" t="s">
        <v>88</v>
      </c>
      <c r="C5201">
        <v>1130000</v>
      </c>
      <c r="D5201">
        <v>10321.200000000001</v>
      </c>
      <c r="E5201">
        <v>4.1399999999999999E-2</v>
      </c>
      <c r="F5201">
        <v>9.3799999999999994E-2</v>
      </c>
    </row>
    <row r="5202" spans="1:6" x14ac:dyDescent="0.3">
      <c r="A5202" t="s">
        <v>5237</v>
      </c>
      <c r="B5202" t="s">
        <v>24</v>
      </c>
      <c r="C5202">
        <v>467000</v>
      </c>
      <c r="D5202">
        <v>841.2</v>
      </c>
      <c r="E5202">
        <v>1.06E-2</v>
      </c>
      <c r="F5202">
        <v>0.1062</v>
      </c>
    </row>
    <row r="5203" spans="1:6" x14ac:dyDescent="0.3">
      <c r="A5203" t="s">
        <v>5238</v>
      </c>
      <c r="B5203" t="s">
        <v>88</v>
      </c>
      <c r="C5203">
        <v>576000</v>
      </c>
      <c r="D5203">
        <v>4700.3999999999996</v>
      </c>
      <c r="E5203">
        <v>3.7699999999999997E-2</v>
      </c>
      <c r="F5203">
        <v>9.3799999999999994E-2</v>
      </c>
    </row>
    <row r="5204" spans="1:6" x14ac:dyDescent="0.3">
      <c r="A5204" t="s">
        <v>5239</v>
      </c>
      <c r="B5204" t="s">
        <v>92</v>
      </c>
      <c r="C5204">
        <v>490000</v>
      </c>
      <c r="D5204">
        <v>8071.4</v>
      </c>
      <c r="E5204">
        <v>6.0400000000000002E-2</v>
      </c>
      <c r="F5204">
        <v>7.5899999999999995E-2</v>
      </c>
    </row>
    <row r="5205" spans="1:6" x14ac:dyDescent="0.3">
      <c r="A5205" t="s">
        <v>5240</v>
      </c>
      <c r="B5205" t="s">
        <v>26</v>
      </c>
      <c r="C5205">
        <v>478000</v>
      </c>
      <c r="D5205">
        <v>15796.9</v>
      </c>
      <c r="E5205">
        <v>2.7300000000000001E-2</v>
      </c>
      <c r="F5205">
        <v>0.1242</v>
      </c>
    </row>
    <row r="5206" spans="1:6" x14ac:dyDescent="0.3">
      <c r="A5206" t="s">
        <v>5241</v>
      </c>
      <c r="B5206" t="s">
        <v>92</v>
      </c>
      <c r="C5206">
        <v>452000</v>
      </c>
      <c r="D5206">
        <v>1479.7</v>
      </c>
      <c r="E5206">
        <v>1.89E-2</v>
      </c>
      <c r="F5206">
        <v>7.5700000000000003E-2</v>
      </c>
    </row>
    <row r="5207" spans="1:6" x14ac:dyDescent="0.3">
      <c r="A5207" t="s">
        <v>5242</v>
      </c>
      <c r="B5207" t="s">
        <v>26</v>
      </c>
      <c r="C5207">
        <v>630000</v>
      </c>
      <c r="D5207">
        <v>216517.9</v>
      </c>
      <c r="E5207">
        <v>5.2900000000000003E-2</v>
      </c>
      <c r="F5207">
        <v>9.5100000000000004E-2</v>
      </c>
    </row>
    <row r="5208" spans="1:6" x14ac:dyDescent="0.3">
      <c r="A5208" t="s">
        <v>5243</v>
      </c>
      <c r="B5208" t="s">
        <v>88</v>
      </c>
      <c r="C5208">
        <v>655000</v>
      </c>
      <c r="D5208">
        <v>144.69999999999999</v>
      </c>
      <c r="E5208">
        <v>0.15429999999999999</v>
      </c>
      <c r="F5208">
        <v>9.3799999999999994E-2</v>
      </c>
    </row>
    <row r="5209" spans="1:6" x14ac:dyDescent="0.3">
      <c r="A5209" t="s">
        <v>5244</v>
      </c>
      <c r="B5209" t="s">
        <v>71</v>
      </c>
      <c r="C5209">
        <v>653000</v>
      </c>
      <c r="D5209">
        <v>146487</v>
      </c>
      <c r="E5209">
        <v>5.5300000000000002E-2</v>
      </c>
      <c r="F5209">
        <v>7.5899999999999995E-2</v>
      </c>
    </row>
    <row r="5210" spans="1:6" x14ac:dyDescent="0.3">
      <c r="A5210" t="s">
        <v>5245</v>
      </c>
      <c r="B5210" t="s">
        <v>71</v>
      </c>
      <c r="C5210">
        <v>574000</v>
      </c>
      <c r="D5210">
        <v>41001.199999999997</v>
      </c>
      <c r="E5210">
        <v>2.3900000000000001E-2</v>
      </c>
      <c r="F5210">
        <v>0.13100000000000001</v>
      </c>
    </row>
    <row r="5211" spans="1:6" x14ac:dyDescent="0.3">
      <c r="A5211" t="s">
        <v>5246</v>
      </c>
      <c r="B5211" t="s">
        <v>26</v>
      </c>
      <c r="C5211">
        <v>474000</v>
      </c>
      <c r="D5211">
        <v>2646.3</v>
      </c>
      <c r="E5211">
        <v>2.5399999999999999E-2</v>
      </c>
      <c r="F5211">
        <v>9.3799999999999994E-2</v>
      </c>
    </row>
    <row r="5212" spans="1:6" x14ac:dyDescent="0.3">
      <c r="A5212" t="s">
        <v>5247</v>
      </c>
      <c r="B5212" t="s">
        <v>26</v>
      </c>
      <c r="C5212">
        <v>747000</v>
      </c>
      <c r="D5212">
        <v>16740.2</v>
      </c>
      <c r="E5212">
        <v>1.3599999999999999E-2</v>
      </c>
      <c r="F5212">
        <v>6.54E-2</v>
      </c>
    </row>
    <row r="5213" spans="1:6" x14ac:dyDescent="0.3">
      <c r="A5213" t="s">
        <v>5248</v>
      </c>
      <c r="B5213" t="s">
        <v>26</v>
      </c>
      <c r="C5213">
        <v>443000</v>
      </c>
      <c r="D5213">
        <v>2602165.1</v>
      </c>
      <c r="E5213">
        <v>5.9400000000000001E-2</v>
      </c>
      <c r="F5213">
        <v>5.1799999999999999E-2</v>
      </c>
    </row>
    <row r="5214" spans="1:6" x14ac:dyDescent="0.3">
      <c r="A5214" t="s">
        <v>5249</v>
      </c>
      <c r="B5214" t="s">
        <v>41</v>
      </c>
      <c r="C5214">
        <v>451000</v>
      </c>
      <c r="D5214">
        <v>6473.1</v>
      </c>
      <c r="E5214">
        <v>1.01E-2</v>
      </c>
      <c r="F5214">
        <v>0.1187</v>
      </c>
    </row>
    <row r="5215" spans="1:6" x14ac:dyDescent="0.3">
      <c r="A5215" t="s">
        <v>5250</v>
      </c>
      <c r="B5215" t="s">
        <v>24</v>
      </c>
      <c r="C5215">
        <v>453000</v>
      </c>
      <c r="D5215">
        <v>4380.2</v>
      </c>
      <c r="E5215">
        <v>3.1399999999999997E-2</v>
      </c>
      <c r="F5215">
        <v>7.5899999999999995E-2</v>
      </c>
    </row>
    <row r="5216" spans="1:6" x14ac:dyDescent="0.3">
      <c r="A5216" t="s">
        <v>5251</v>
      </c>
      <c r="B5216" t="s">
        <v>88</v>
      </c>
      <c r="C5216">
        <v>567000</v>
      </c>
      <c r="D5216">
        <v>2572.6999999999998</v>
      </c>
      <c r="E5216">
        <v>1.26E-2</v>
      </c>
      <c r="F5216">
        <v>0.13089999999999999</v>
      </c>
    </row>
    <row r="5217" spans="1:6" x14ac:dyDescent="0.3">
      <c r="A5217" t="s">
        <v>5252</v>
      </c>
      <c r="B5217" t="s">
        <v>92</v>
      </c>
      <c r="C5217">
        <v>473000</v>
      </c>
      <c r="D5217">
        <v>23949.4</v>
      </c>
      <c r="E5217">
        <v>1.4E-2</v>
      </c>
      <c r="F5217">
        <v>5.8500000000000003E-2</v>
      </c>
    </row>
    <row r="5218" spans="1:6" x14ac:dyDescent="0.3">
      <c r="A5218" t="s">
        <v>5253</v>
      </c>
      <c r="B5218" t="s">
        <v>88</v>
      </c>
      <c r="C5218">
        <v>591000</v>
      </c>
      <c r="D5218">
        <v>5739.2</v>
      </c>
      <c r="E5218">
        <v>2.5399999999999999E-2</v>
      </c>
      <c r="F5218">
        <v>9.3799999999999994E-2</v>
      </c>
    </row>
    <row r="5219" spans="1:6" x14ac:dyDescent="0.3">
      <c r="A5219" t="s">
        <v>5254</v>
      </c>
      <c r="B5219" t="s">
        <v>92</v>
      </c>
      <c r="C5219">
        <v>943000</v>
      </c>
      <c r="D5219">
        <v>65119</v>
      </c>
      <c r="E5219">
        <v>1.0500000000000001E-2</v>
      </c>
      <c r="F5219">
        <v>6.8900000000000003E-2</v>
      </c>
    </row>
    <row r="5220" spans="1:6" x14ac:dyDescent="0.3">
      <c r="A5220" t="s">
        <v>5255</v>
      </c>
      <c r="B5220" t="s">
        <v>214</v>
      </c>
      <c r="C5220">
        <v>454000</v>
      </c>
      <c r="D5220">
        <v>2314.1</v>
      </c>
      <c r="E5220">
        <v>1.6899999999999998E-2</v>
      </c>
      <c r="F5220">
        <v>5.8500000000000003E-2</v>
      </c>
    </row>
    <row r="5221" spans="1:6" x14ac:dyDescent="0.3">
      <c r="A5221" t="s">
        <v>5256</v>
      </c>
      <c r="B5221" t="s">
        <v>92</v>
      </c>
      <c r="C5221">
        <v>527000</v>
      </c>
      <c r="D5221">
        <v>20745.599999999999</v>
      </c>
      <c r="E5221">
        <v>5.5100000000000003E-2</v>
      </c>
      <c r="F5221">
        <v>9.5100000000000004E-2</v>
      </c>
    </row>
    <row r="5222" spans="1:6" x14ac:dyDescent="0.3">
      <c r="A5222" t="s">
        <v>5257</v>
      </c>
      <c r="B5222" t="s">
        <v>41</v>
      </c>
      <c r="C5222">
        <v>932000</v>
      </c>
      <c r="D5222">
        <v>548170.19999999995</v>
      </c>
      <c r="E5222">
        <v>8.1600000000000006E-2</v>
      </c>
      <c r="F5222">
        <v>7.5899999999999995E-2</v>
      </c>
    </row>
    <row r="5223" spans="1:6" x14ac:dyDescent="0.3">
      <c r="A5223" t="s">
        <v>5258</v>
      </c>
      <c r="B5223" t="s">
        <v>28</v>
      </c>
      <c r="C5223">
        <v>753000</v>
      </c>
      <c r="D5223">
        <v>29866.400000000001</v>
      </c>
      <c r="E5223">
        <v>2.8899999999999999E-2</v>
      </c>
      <c r="F5223">
        <v>7.5899999999999995E-2</v>
      </c>
    </row>
    <row r="5224" spans="1:6" x14ac:dyDescent="0.3">
      <c r="A5224" t="s">
        <v>5259</v>
      </c>
      <c r="B5224" t="s">
        <v>26</v>
      </c>
      <c r="C5224">
        <v>747000</v>
      </c>
      <c r="D5224">
        <v>45503.9</v>
      </c>
      <c r="E5224">
        <v>3.04E-2</v>
      </c>
      <c r="F5224">
        <v>9.5100000000000004E-2</v>
      </c>
    </row>
    <row r="5225" spans="1:6" x14ac:dyDescent="0.3">
      <c r="A5225" t="s">
        <v>5260</v>
      </c>
      <c r="B5225" t="s">
        <v>26</v>
      </c>
      <c r="C5225">
        <v>559000</v>
      </c>
      <c r="D5225">
        <v>34597</v>
      </c>
      <c r="E5225">
        <v>2.5999999999999999E-2</v>
      </c>
      <c r="F5225">
        <v>7.5899999999999995E-2</v>
      </c>
    </row>
    <row r="5226" spans="1:6" x14ac:dyDescent="0.3">
      <c r="A5226" t="s">
        <v>5261</v>
      </c>
      <c r="B5226" t="s">
        <v>287</v>
      </c>
      <c r="C5226">
        <v>444000</v>
      </c>
      <c r="D5226">
        <v>1701.6</v>
      </c>
      <c r="E5226">
        <v>2.3199999999999998E-2</v>
      </c>
      <c r="F5226">
        <v>9.5100000000000004E-2</v>
      </c>
    </row>
    <row r="5227" spans="1:6" x14ac:dyDescent="0.3">
      <c r="A5227" t="s">
        <v>5262</v>
      </c>
      <c r="B5227" t="s">
        <v>74</v>
      </c>
      <c r="C5227">
        <v>1110000</v>
      </c>
      <c r="D5227">
        <v>728.6</v>
      </c>
      <c r="E5227">
        <v>1.2500000000000001E-2</v>
      </c>
      <c r="F5227">
        <v>5.8400000000000001E-2</v>
      </c>
    </row>
    <row r="5228" spans="1:6" x14ac:dyDescent="0.3">
      <c r="A5228" t="s">
        <v>5263</v>
      </c>
      <c r="B5228" t="s">
        <v>92</v>
      </c>
      <c r="C5228">
        <v>203000</v>
      </c>
      <c r="D5228">
        <v>3430.4</v>
      </c>
      <c r="E5228">
        <v>1.44E-2</v>
      </c>
      <c r="F5228">
        <v>5.8400000000000001E-2</v>
      </c>
    </row>
    <row r="5229" spans="1:6" x14ac:dyDescent="0.3">
      <c r="A5229" t="s">
        <v>5264</v>
      </c>
      <c r="B5229" t="s">
        <v>88</v>
      </c>
      <c r="C5229">
        <v>459000</v>
      </c>
      <c r="D5229">
        <v>1474.2</v>
      </c>
      <c r="E5229">
        <v>1.6799999999999999E-2</v>
      </c>
      <c r="F5229">
        <v>7.2599999999999998E-2</v>
      </c>
    </row>
    <row r="5230" spans="1:6" x14ac:dyDescent="0.3">
      <c r="A5230" t="s">
        <v>5265</v>
      </c>
      <c r="B5230" t="s">
        <v>71</v>
      </c>
      <c r="C5230">
        <v>450000</v>
      </c>
      <c r="D5230">
        <v>883.4</v>
      </c>
      <c r="E5230">
        <v>1.55E-2</v>
      </c>
      <c r="F5230">
        <v>0.13900000000000001</v>
      </c>
    </row>
    <row r="5231" spans="1:6" x14ac:dyDescent="0.3">
      <c r="A5231" t="s">
        <v>5266</v>
      </c>
      <c r="B5231" t="s">
        <v>26</v>
      </c>
      <c r="C5231">
        <v>430000</v>
      </c>
      <c r="D5231">
        <v>147201.60000000001</v>
      </c>
      <c r="E5231">
        <v>4.7800000000000002E-2</v>
      </c>
      <c r="F5231">
        <v>9.5100000000000004E-2</v>
      </c>
    </row>
    <row r="5232" spans="1:6" x14ac:dyDescent="0.3">
      <c r="A5232" t="s">
        <v>5267</v>
      </c>
      <c r="B5232" t="s">
        <v>24</v>
      </c>
      <c r="C5232">
        <v>521000</v>
      </c>
      <c r="D5232">
        <v>29735.7</v>
      </c>
      <c r="E5232">
        <v>6.4000000000000001E-2</v>
      </c>
      <c r="F5232">
        <v>9.5100000000000004E-2</v>
      </c>
    </row>
    <row r="5233" spans="1:6" x14ac:dyDescent="0.3">
      <c r="A5233" t="s">
        <v>5268</v>
      </c>
      <c r="B5233" t="s">
        <v>41</v>
      </c>
      <c r="C5233">
        <v>1500000</v>
      </c>
      <c r="D5233">
        <v>8244.1</v>
      </c>
      <c r="E5233">
        <v>6.6E-3</v>
      </c>
      <c r="F5233">
        <v>0.10150000000000001</v>
      </c>
    </row>
    <row r="5234" spans="1:6" x14ac:dyDescent="0.3">
      <c r="A5234" t="s">
        <v>5269</v>
      </c>
      <c r="B5234" t="s">
        <v>88</v>
      </c>
      <c r="C5234">
        <v>441000</v>
      </c>
      <c r="D5234">
        <v>158.6</v>
      </c>
      <c r="E5234">
        <v>1.49E-2</v>
      </c>
      <c r="F5234">
        <v>5.7599999999999998E-2</v>
      </c>
    </row>
    <row r="5235" spans="1:6" x14ac:dyDescent="0.3">
      <c r="A5235" t="s">
        <v>5270</v>
      </c>
      <c r="B5235" t="s">
        <v>88</v>
      </c>
      <c r="C5235">
        <v>445000</v>
      </c>
      <c r="D5235">
        <v>10306.6</v>
      </c>
      <c r="E5235">
        <v>3.0800000000000001E-2</v>
      </c>
      <c r="F5235">
        <v>0.35880000000000001</v>
      </c>
    </row>
    <row r="5236" spans="1:6" x14ac:dyDescent="0.3">
      <c r="A5236" t="s">
        <v>5271</v>
      </c>
      <c r="B5236" t="s">
        <v>81</v>
      </c>
      <c r="C5236">
        <v>472000</v>
      </c>
      <c r="D5236">
        <v>22663.599999999999</v>
      </c>
      <c r="E5236">
        <v>4.1099999999999998E-2</v>
      </c>
      <c r="F5236">
        <v>7.5899999999999995E-2</v>
      </c>
    </row>
    <row r="5237" spans="1:6" x14ac:dyDescent="0.3">
      <c r="A5237" t="s">
        <v>5272</v>
      </c>
      <c r="B5237" t="s">
        <v>26</v>
      </c>
      <c r="C5237">
        <v>497000</v>
      </c>
      <c r="D5237">
        <v>18587.2</v>
      </c>
      <c r="E5237">
        <v>4.2900000000000001E-2</v>
      </c>
      <c r="F5237">
        <v>7.5899999999999995E-2</v>
      </c>
    </row>
    <row r="5238" spans="1:6" x14ac:dyDescent="0.3">
      <c r="A5238" t="s">
        <v>5273</v>
      </c>
      <c r="B5238" t="s">
        <v>26</v>
      </c>
      <c r="C5238">
        <v>618000</v>
      </c>
      <c r="D5238">
        <v>319.5</v>
      </c>
      <c r="E5238">
        <v>4.5900000000000003E-2</v>
      </c>
      <c r="F5238">
        <v>0.15160000000000001</v>
      </c>
    </row>
    <row r="5239" spans="1:6" x14ac:dyDescent="0.3">
      <c r="A5239" t="s">
        <v>5274</v>
      </c>
      <c r="B5239" t="s">
        <v>26</v>
      </c>
      <c r="C5239">
        <v>769000</v>
      </c>
      <c r="D5239">
        <v>171305.60000000001</v>
      </c>
      <c r="E5239">
        <v>3.49E-2</v>
      </c>
      <c r="F5239">
        <v>4.0899999999999999E-2</v>
      </c>
    </row>
    <row r="5240" spans="1:6" x14ac:dyDescent="0.3">
      <c r="A5240" t="s">
        <v>5275</v>
      </c>
      <c r="B5240" t="s">
        <v>50</v>
      </c>
      <c r="C5240">
        <v>575000</v>
      </c>
      <c r="D5240">
        <v>2715.2</v>
      </c>
      <c r="E5240">
        <v>1.38E-2</v>
      </c>
      <c r="F5240">
        <v>0.1047</v>
      </c>
    </row>
    <row r="5241" spans="1:6" x14ac:dyDescent="0.3">
      <c r="A5241" t="s">
        <v>5276</v>
      </c>
      <c r="B5241" t="s">
        <v>26</v>
      </c>
      <c r="C5241">
        <v>791000</v>
      </c>
      <c r="D5241">
        <v>244578.9</v>
      </c>
      <c r="E5241">
        <v>8.2199999999999995E-2</v>
      </c>
      <c r="F5241">
        <v>4.0899999999999999E-2</v>
      </c>
    </row>
    <row r="5242" spans="1:6" x14ac:dyDescent="0.3">
      <c r="A5242" t="s">
        <v>5277</v>
      </c>
      <c r="B5242" t="s">
        <v>41</v>
      </c>
      <c r="C5242">
        <v>512000</v>
      </c>
      <c r="D5242">
        <v>147.69999999999999</v>
      </c>
      <c r="E5242">
        <v>1.9099999999999999E-2</v>
      </c>
      <c r="F5242">
        <v>8.5400000000000004E-2</v>
      </c>
    </row>
    <row r="5243" spans="1:6" x14ac:dyDescent="0.3">
      <c r="A5243" t="s">
        <v>5278</v>
      </c>
      <c r="B5243" t="s">
        <v>88</v>
      </c>
      <c r="C5243">
        <v>553000</v>
      </c>
      <c r="D5243">
        <v>483.7</v>
      </c>
      <c r="E5243">
        <v>4.02E-2</v>
      </c>
      <c r="F5243">
        <v>7.5899999999999995E-2</v>
      </c>
    </row>
    <row r="5244" spans="1:6" x14ac:dyDescent="0.3">
      <c r="A5244" t="s">
        <v>5279</v>
      </c>
      <c r="B5244" t="s">
        <v>26</v>
      </c>
      <c r="C5244">
        <v>604000</v>
      </c>
      <c r="D5244">
        <v>16210.5</v>
      </c>
      <c r="E5244">
        <v>1.6400000000000001E-2</v>
      </c>
      <c r="F5244">
        <v>5.8500000000000003E-2</v>
      </c>
    </row>
    <row r="5245" spans="1:6" x14ac:dyDescent="0.3">
      <c r="A5245" t="s">
        <v>5280</v>
      </c>
      <c r="B5245" t="s">
        <v>214</v>
      </c>
      <c r="C5245">
        <v>459000</v>
      </c>
      <c r="D5245">
        <v>14465</v>
      </c>
      <c r="E5245">
        <v>5.1700000000000003E-2</v>
      </c>
      <c r="F5245">
        <v>9.5100000000000004E-2</v>
      </c>
    </row>
    <row r="5246" spans="1:6" x14ac:dyDescent="0.3">
      <c r="A5246" t="s">
        <v>5281</v>
      </c>
      <c r="B5246" t="s">
        <v>53</v>
      </c>
      <c r="C5246">
        <v>637000</v>
      </c>
      <c r="D5246">
        <v>39728.5</v>
      </c>
      <c r="E5246">
        <v>1.3100000000000001E-2</v>
      </c>
      <c r="F5246">
        <v>8.5400000000000004E-2</v>
      </c>
    </row>
    <row r="5247" spans="1:6" x14ac:dyDescent="0.3">
      <c r="A5247" t="s">
        <v>5282</v>
      </c>
      <c r="B5247" t="s">
        <v>26</v>
      </c>
      <c r="C5247">
        <v>486000</v>
      </c>
      <c r="D5247">
        <v>71597.8</v>
      </c>
      <c r="E5247">
        <v>2.2599999999999999E-2</v>
      </c>
      <c r="F5247">
        <v>9.5000000000000001E-2</v>
      </c>
    </row>
    <row r="5248" spans="1:6" x14ac:dyDescent="0.3">
      <c r="A5248" t="s">
        <v>5283</v>
      </c>
      <c r="B5248" t="s">
        <v>26</v>
      </c>
      <c r="C5248">
        <v>563000</v>
      </c>
      <c r="D5248">
        <v>296530</v>
      </c>
      <c r="E5248">
        <v>3.1E-2</v>
      </c>
      <c r="F5248">
        <v>9.5100000000000004E-2</v>
      </c>
    </row>
    <row r="5249" spans="1:6" x14ac:dyDescent="0.3">
      <c r="A5249" t="s">
        <v>5284</v>
      </c>
      <c r="B5249" t="s">
        <v>88</v>
      </c>
      <c r="C5249">
        <v>537000</v>
      </c>
      <c r="D5249">
        <v>16998.099999999999</v>
      </c>
      <c r="E5249">
        <v>4.5100000000000001E-2</v>
      </c>
      <c r="F5249">
        <v>9.5100000000000004E-2</v>
      </c>
    </row>
    <row r="5250" spans="1:6" x14ac:dyDescent="0.3">
      <c r="A5250" t="s">
        <v>5285</v>
      </c>
      <c r="B5250" t="s">
        <v>26</v>
      </c>
      <c r="C5250">
        <v>537000</v>
      </c>
      <c r="D5250">
        <v>6076.3</v>
      </c>
      <c r="E5250">
        <v>2.1600000000000001E-2</v>
      </c>
      <c r="F5250">
        <v>7.5899999999999995E-2</v>
      </c>
    </row>
    <row r="5251" spans="1:6" x14ac:dyDescent="0.3">
      <c r="A5251" t="s">
        <v>5286</v>
      </c>
      <c r="B5251" t="s">
        <v>74</v>
      </c>
      <c r="C5251">
        <v>514000</v>
      </c>
      <c r="D5251">
        <v>5164</v>
      </c>
      <c r="E5251">
        <v>4.99E-2</v>
      </c>
      <c r="F5251">
        <v>4.0899999999999999E-2</v>
      </c>
    </row>
    <row r="5252" spans="1:6" x14ac:dyDescent="0.3">
      <c r="A5252" t="s">
        <v>5287</v>
      </c>
      <c r="B5252" t="s">
        <v>24</v>
      </c>
      <c r="C5252">
        <v>542000</v>
      </c>
      <c r="D5252">
        <v>19017.2</v>
      </c>
      <c r="E5252">
        <v>2.5600000000000001E-2</v>
      </c>
      <c r="F5252">
        <v>0.11700000000000001</v>
      </c>
    </row>
    <row r="5253" spans="1:6" x14ac:dyDescent="0.3">
      <c r="A5253" t="s">
        <v>5288</v>
      </c>
      <c r="B5253" t="s">
        <v>30</v>
      </c>
      <c r="C5253">
        <v>751000</v>
      </c>
      <c r="D5253">
        <v>35449.699999999997</v>
      </c>
      <c r="E5253">
        <v>4.8399999999999999E-2</v>
      </c>
      <c r="F5253">
        <v>4.0899999999999999E-2</v>
      </c>
    </row>
    <row r="5254" spans="1:6" x14ac:dyDescent="0.3">
      <c r="A5254" t="s">
        <v>5289</v>
      </c>
      <c r="B5254" t="s">
        <v>28</v>
      </c>
      <c r="C5254">
        <v>563000</v>
      </c>
      <c r="D5254">
        <v>14075.4</v>
      </c>
      <c r="E5254">
        <v>2.1899999999999999E-2</v>
      </c>
      <c r="F5254">
        <v>0.1053</v>
      </c>
    </row>
    <row r="5255" spans="1:6" x14ac:dyDescent="0.3">
      <c r="A5255" t="s">
        <v>5290</v>
      </c>
      <c r="B5255" t="s">
        <v>88</v>
      </c>
      <c r="C5255">
        <v>804000</v>
      </c>
      <c r="D5255">
        <v>2001.3</v>
      </c>
      <c r="F5255">
        <v>9.3799999999999994E-2</v>
      </c>
    </row>
    <row r="5256" spans="1:6" x14ac:dyDescent="0.3">
      <c r="A5256" t="s">
        <v>5291</v>
      </c>
      <c r="B5256" t="s">
        <v>26</v>
      </c>
      <c r="C5256">
        <v>548000</v>
      </c>
      <c r="D5256">
        <v>2674898.7999999998</v>
      </c>
      <c r="E5256">
        <v>1.4800000000000001E-2</v>
      </c>
      <c r="F5256">
        <v>5.8500000000000003E-2</v>
      </c>
    </row>
    <row r="5257" spans="1:6" x14ac:dyDescent="0.3">
      <c r="A5257" t="s">
        <v>5292</v>
      </c>
      <c r="B5257" t="s">
        <v>71</v>
      </c>
      <c r="C5257">
        <v>706000</v>
      </c>
      <c r="D5257">
        <v>61811.9</v>
      </c>
      <c r="E5257">
        <v>5.33E-2</v>
      </c>
      <c r="F5257">
        <v>7.5899999999999995E-2</v>
      </c>
    </row>
    <row r="5258" spans="1:6" x14ac:dyDescent="0.3">
      <c r="A5258" t="s">
        <v>5293</v>
      </c>
      <c r="B5258" t="s">
        <v>41</v>
      </c>
      <c r="C5258">
        <v>435000</v>
      </c>
      <c r="F5258">
        <v>7.5899999999999995E-2</v>
      </c>
    </row>
    <row r="5259" spans="1:6" x14ac:dyDescent="0.3">
      <c r="A5259" t="s">
        <v>5294</v>
      </c>
      <c r="B5259" t="s">
        <v>71</v>
      </c>
      <c r="C5259">
        <v>458000</v>
      </c>
      <c r="D5259">
        <v>24007.599999999999</v>
      </c>
      <c r="E5259">
        <v>3.5499999999999997E-2</v>
      </c>
      <c r="F5259">
        <v>9.3799999999999994E-2</v>
      </c>
    </row>
    <row r="5260" spans="1:6" x14ac:dyDescent="0.3">
      <c r="A5260" t="s">
        <v>5295</v>
      </c>
      <c r="B5260" t="s">
        <v>26</v>
      </c>
      <c r="C5260">
        <v>457000</v>
      </c>
      <c r="D5260">
        <v>38073.699999999997</v>
      </c>
      <c r="E5260">
        <v>3.9199999999999999E-2</v>
      </c>
      <c r="F5260">
        <v>7.5899999999999995E-2</v>
      </c>
    </row>
    <row r="5261" spans="1:6" x14ac:dyDescent="0.3">
      <c r="A5261" t="s">
        <v>5296</v>
      </c>
      <c r="B5261" t="s">
        <v>214</v>
      </c>
      <c r="C5261">
        <v>444000</v>
      </c>
      <c r="D5261">
        <v>1047.3</v>
      </c>
      <c r="E5261">
        <v>4.2799999999999998E-2</v>
      </c>
      <c r="F5261">
        <v>9.5100000000000004E-2</v>
      </c>
    </row>
    <row r="5262" spans="1:6" x14ac:dyDescent="0.3">
      <c r="A5262" t="s">
        <v>5297</v>
      </c>
      <c r="B5262" t="s">
        <v>88</v>
      </c>
      <c r="C5262">
        <v>472000</v>
      </c>
      <c r="D5262">
        <v>725.6</v>
      </c>
      <c r="E5262">
        <v>1.32E-2</v>
      </c>
      <c r="F5262">
        <v>6.54E-2</v>
      </c>
    </row>
    <row r="5263" spans="1:6" x14ac:dyDescent="0.3">
      <c r="A5263" t="s">
        <v>5298</v>
      </c>
      <c r="B5263" t="s">
        <v>26</v>
      </c>
      <c r="C5263">
        <v>440000</v>
      </c>
      <c r="D5263">
        <v>3772.4</v>
      </c>
      <c r="E5263">
        <v>3.9699999999999999E-2</v>
      </c>
      <c r="F5263">
        <v>9.5100000000000004E-2</v>
      </c>
    </row>
    <row r="5264" spans="1:6" x14ac:dyDescent="0.3">
      <c r="A5264" t="s">
        <v>5299</v>
      </c>
      <c r="B5264" t="s">
        <v>92</v>
      </c>
      <c r="C5264">
        <v>705000</v>
      </c>
      <c r="D5264">
        <v>186115.3</v>
      </c>
      <c r="E5264">
        <v>1.5299999999999999E-2</v>
      </c>
      <c r="F5264">
        <v>4.6199999999999998E-2</v>
      </c>
    </row>
    <row r="5265" spans="1:6" x14ac:dyDescent="0.3">
      <c r="A5265" t="s">
        <v>5300</v>
      </c>
      <c r="B5265" t="s">
        <v>62</v>
      </c>
      <c r="C5265">
        <v>581000</v>
      </c>
      <c r="D5265">
        <v>4577</v>
      </c>
      <c r="E5265">
        <v>2.07E-2</v>
      </c>
      <c r="F5265">
        <v>8.5400000000000004E-2</v>
      </c>
    </row>
    <row r="5266" spans="1:6" x14ac:dyDescent="0.3">
      <c r="A5266" t="s">
        <v>5301</v>
      </c>
      <c r="B5266" t="s">
        <v>50</v>
      </c>
      <c r="C5266">
        <v>469000</v>
      </c>
      <c r="D5266">
        <v>917</v>
      </c>
      <c r="E5266">
        <v>1.44E-2</v>
      </c>
      <c r="F5266">
        <v>5.7599999999999998E-2</v>
      </c>
    </row>
    <row r="5267" spans="1:6" x14ac:dyDescent="0.3">
      <c r="A5267" t="s">
        <v>5302</v>
      </c>
      <c r="B5267" t="s">
        <v>92</v>
      </c>
      <c r="C5267">
        <v>762000</v>
      </c>
      <c r="D5267">
        <v>72796.100000000006</v>
      </c>
      <c r="E5267">
        <v>1.1900000000000001E-2</v>
      </c>
      <c r="F5267">
        <v>0.13150000000000001</v>
      </c>
    </row>
    <row r="5268" spans="1:6" x14ac:dyDescent="0.3">
      <c r="A5268" t="s">
        <v>5303</v>
      </c>
      <c r="B5268" t="s">
        <v>26</v>
      </c>
      <c r="C5268">
        <v>553000</v>
      </c>
      <c r="D5268">
        <v>14592.9</v>
      </c>
      <c r="F5268">
        <v>6.7199999999999996E-2</v>
      </c>
    </row>
    <row r="5269" spans="1:6" x14ac:dyDescent="0.3">
      <c r="A5269" t="s">
        <v>5304</v>
      </c>
      <c r="B5269" t="s">
        <v>26</v>
      </c>
      <c r="C5269">
        <v>549000</v>
      </c>
      <c r="D5269">
        <v>8108.7</v>
      </c>
      <c r="E5269">
        <v>1.9E-2</v>
      </c>
      <c r="F5269">
        <v>5.8500000000000003E-2</v>
      </c>
    </row>
    <row r="5270" spans="1:6" x14ac:dyDescent="0.3">
      <c r="A5270" t="s">
        <v>5305</v>
      </c>
      <c r="B5270" t="s">
        <v>214</v>
      </c>
      <c r="C5270">
        <v>2110000</v>
      </c>
      <c r="D5270">
        <v>202003.6</v>
      </c>
      <c r="E5270">
        <v>3.9199999999999999E-2</v>
      </c>
      <c r="F5270">
        <v>7.5899999999999995E-2</v>
      </c>
    </row>
    <row r="5271" spans="1:6" x14ac:dyDescent="0.3">
      <c r="A5271" t="s">
        <v>5306</v>
      </c>
      <c r="B5271" t="s">
        <v>41</v>
      </c>
      <c r="C5271">
        <v>1060000</v>
      </c>
      <c r="D5271">
        <v>619.9</v>
      </c>
      <c r="E5271">
        <v>4.2099999999999999E-2</v>
      </c>
      <c r="F5271">
        <v>9.3799999999999994E-2</v>
      </c>
    </row>
    <row r="5272" spans="1:6" x14ac:dyDescent="0.3">
      <c r="A5272" t="s">
        <v>5307</v>
      </c>
      <c r="B5272" t="s">
        <v>88</v>
      </c>
      <c r="C5272">
        <v>482000</v>
      </c>
      <c r="D5272">
        <v>1839.2</v>
      </c>
      <c r="E5272">
        <v>1.11E-2</v>
      </c>
      <c r="F5272">
        <v>8.1100000000000005E-2</v>
      </c>
    </row>
    <row r="5273" spans="1:6" x14ac:dyDescent="0.3">
      <c r="A5273" t="s">
        <v>5308</v>
      </c>
      <c r="B5273" t="s">
        <v>24</v>
      </c>
      <c r="C5273">
        <v>694000</v>
      </c>
      <c r="D5273">
        <v>181653</v>
      </c>
      <c r="E5273">
        <v>2.3099999999999999E-2</v>
      </c>
      <c r="F5273">
        <v>7.5899999999999995E-2</v>
      </c>
    </row>
    <row r="5274" spans="1:6" x14ac:dyDescent="0.3">
      <c r="A5274" t="s">
        <v>5309</v>
      </c>
      <c r="B5274" t="s">
        <v>88</v>
      </c>
      <c r="C5274">
        <v>509000</v>
      </c>
      <c r="D5274">
        <v>295.8</v>
      </c>
      <c r="E5274">
        <v>0.1095</v>
      </c>
      <c r="F5274">
        <v>9.3799999999999994E-2</v>
      </c>
    </row>
    <row r="5275" spans="1:6" x14ac:dyDescent="0.3">
      <c r="A5275" t="s">
        <v>5310</v>
      </c>
      <c r="B5275" t="s">
        <v>71</v>
      </c>
      <c r="C5275">
        <v>1460000</v>
      </c>
      <c r="D5275">
        <v>604042.30000000005</v>
      </c>
      <c r="E5275">
        <v>5.0500000000000003E-2</v>
      </c>
      <c r="F5275">
        <v>4.0899999999999999E-2</v>
      </c>
    </row>
    <row r="5276" spans="1:6" x14ac:dyDescent="0.3">
      <c r="A5276" t="s">
        <v>5311</v>
      </c>
      <c r="B5276" t="s">
        <v>41</v>
      </c>
      <c r="C5276">
        <v>948000</v>
      </c>
      <c r="D5276">
        <v>2181.1</v>
      </c>
      <c r="E5276">
        <v>9.8400000000000001E-2</v>
      </c>
      <c r="F5276">
        <v>9.3799999999999994E-2</v>
      </c>
    </row>
    <row r="5277" spans="1:6" x14ac:dyDescent="0.3">
      <c r="A5277" t="s">
        <v>5312</v>
      </c>
      <c r="B5277" t="s">
        <v>30</v>
      </c>
      <c r="C5277">
        <v>480000</v>
      </c>
      <c r="D5277">
        <v>198642</v>
      </c>
      <c r="E5277">
        <v>5.28E-2</v>
      </c>
      <c r="F5277">
        <v>7.5899999999999995E-2</v>
      </c>
    </row>
    <row r="5278" spans="1:6" x14ac:dyDescent="0.3">
      <c r="A5278" t="s">
        <v>5313</v>
      </c>
      <c r="B5278" t="s">
        <v>24</v>
      </c>
      <c r="C5278">
        <v>519000</v>
      </c>
      <c r="D5278">
        <v>2349.3000000000002</v>
      </c>
      <c r="E5278">
        <v>1.7299999999999999E-2</v>
      </c>
      <c r="F5278">
        <v>0.1053</v>
      </c>
    </row>
    <row r="5279" spans="1:6" x14ac:dyDescent="0.3">
      <c r="A5279" t="s">
        <v>5314</v>
      </c>
      <c r="B5279" t="s">
        <v>26</v>
      </c>
      <c r="C5279">
        <v>938000</v>
      </c>
      <c r="D5279">
        <v>1975570.3</v>
      </c>
      <c r="E5279">
        <v>3.9300000000000002E-2</v>
      </c>
      <c r="F5279">
        <v>4.0899999999999999E-2</v>
      </c>
    </row>
    <row r="5280" spans="1:6" x14ac:dyDescent="0.3">
      <c r="A5280" t="s">
        <v>5315</v>
      </c>
      <c r="B5280" t="s">
        <v>88</v>
      </c>
      <c r="C5280">
        <v>580000</v>
      </c>
      <c r="D5280">
        <v>17434</v>
      </c>
      <c r="E5280">
        <v>5.0700000000000002E-2</v>
      </c>
      <c r="F5280">
        <v>9.5100000000000004E-2</v>
      </c>
    </row>
    <row r="5281" spans="1:6" x14ac:dyDescent="0.3">
      <c r="A5281" t="s">
        <v>5316</v>
      </c>
      <c r="B5281" t="s">
        <v>26</v>
      </c>
      <c r="C5281">
        <v>453000</v>
      </c>
      <c r="D5281">
        <v>6790.9</v>
      </c>
      <c r="E5281">
        <v>0.1179</v>
      </c>
      <c r="F5281">
        <v>9.3799999999999994E-2</v>
      </c>
    </row>
    <row r="5282" spans="1:6" x14ac:dyDescent="0.3">
      <c r="A5282" t="s">
        <v>5317</v>
      </c>
      <c r="B5282" t="s">
        <v>24</v>
      </c>
      <c r="C5282">
        <v>913000</v>
      </c>
      <c r="D5282">
        <v>2508.3000000000002</v>
      </c>
      <c r="E5282">
        <v>1.7299999999999999E-2</v>
      </c>
      <c r="F5282">
        <v>8.5400000000000004E-2</v>
      </c>
    </row>
    <row r="5283" spans="1:6" x14ac:dyDescent="0.3">
      <c r="A5283" t="s">
        <v>5318</v>
      </c>
      <c r="B5283" t="s">
        <v>88</v>
      </c>
      <c r="C5283">
        <v>526000</v>
      </c>
      <c r="D5283">
        <v>7284.7</v>
      </c>
      <c r="E5283">
        <v>4.9599999999999998E-2</v>
      </c>
      <c r="F5283">
        <v>9.3799999999999994E-2</v>
      </c>
    </row>
    <row r="5284" spans="1:6" x14ac:dyDescent="0.3">
      <c r="A5284" t="s">
        <v>5319</v>
      </c>
      <c r="B5284" t="s">
        <v>26</v>
      </c>
      <c r="C5284">
        <v>450000</v>
      </c>
      <c r="D5284">
        <v>32936.1</v>
      </c>
      <c r="E5284">
        <v>7.3400000000000007E-2</v>
      </c>
      <c r="F5284">
        <v>9.5100000000000004E-2</v>
      </c>
    </row>
    <row r="5285" spans="1:6" x14ac:dyDescent="0.3">
      <c r="A5285" t="s">
        <v>5320</v>
      </c>
      <c r="B5285" t="s">
        <v>88</v>
      </c>
      <c r="C5285">
        <v>524000</v>
      </c>
      <c r="D5285">
        <v>1040.9000000000001</v>
      </c>
      <c r="E5285">
        <v>2.1999999999999999E-2</v>
      </c>
      <c r="F5285">
        <v>6.4399999999999999E-2</v>
      </c>
    </row>
    <row r="5286" spans="1:6" x14ac:dyDescent="0.3">
      <c r="A5286" t="s">
        <v>5321</v>
      </c>
      <c r="B5286" t="s">
        <v>26</v>
      </c>
      <c r="C5286">
        <v>527000</v>
      </c>
      <c r="D5286">
        <v>17532.3</v>
      </c>
      <c r="E5286">
        <v>3.6200000000000003E-2</v>
      </c>
      <c r="F5286">
        <v>7.5899999999999995E-2</v>
      </c>
    </row>
    <row r="5287" spans="1:6" x14ac:dyDescent="0.3">
      <c r="A5287" t="s">
        <v>5322</v>
      </c>
      <c r="B5287" t="s">
        <v>26</v>
      </c>
      <c r="C5287">
        <v>839000</v>
      </c>
      <c r="D5287">
        <v>91504.6</v>
      </c>
      <c r="E5287">
        <v>6.9599999999999995E-2</v>
      </c>
      <c r="F5287">
        <v>7.5899999999999995E-2</v>
      </c>
    </row>
    <row r="5288" spans="1:6" x14ac:dyDescent="0.3">
      <c r="A5288" t="s">
        <v>5323</v>
      </c>
      <c r="B5288" t="s">
        <v>287</v>
      </c>
      <c r="C5288">
        <v>533000</v>
      </c>
      <c r="D5288">
        <v>2146.3000000000002</v>
      </c>
      <c r="E5288">
        <v>2.01E-2</v>
      </c>
      <c r="F5288">
        <v>8.5400000000000004E-2</v>
      </c>
    </row>
    <row r="5289" spans="1:6" x14ac:dyDescent="0.3">
      <c r="A5289" t="s">
        <v>5324</v>
      </c>
      <c r="B5289" t="s">
        <v>88</v>
      </c>
      <c r="C5289">
        <v>451000</v>
      </c>
      <c r="D5289">
        <v>1538.8</v>
      </c>
      <c r="E5289">
        <v>4.2999999999999997E-2</v>
      </c>
      <c r="F5289">
        <v>7.5899999999999995E-2</v>
      </c>
    </row>
    <row r="5290" spans="1:6" x14ac:dyDescent="0.3">
      <c r="A5290" t="s">
        <v>5325</v>
      </c>
      <c r="B5290" t="s">
        <v>88</v>
      </c>
      <c r="C5290">
        <v>962000</v>
      </c>
      <c r="D5290">
        <v>183</v>
      </c>
      <c r="E5290">
        <v>0.23369999999999999</v>
      </c>
      <c r="F5290">
        <v>9.3799999999999994E-2</v>
      </c>
    </row>
    <row r="5291" spans="1:6" x14ac:dyDescent="0.3">
      <c r="A5291" t="s">
        <v>5326</v>
      </c>
      <c r="B5291" t="s">
        <v>88</v>
      </c>
      <c r="C5291">
        <v>501000</v>
      </c>
      <c r="D5291">
        <v>367</v>
      </c>
      <c r="E5291">
        <v>5.1200000000000002E-2</v>
      </c>
      <c r="F5291">
        <v>9.3799999999999994E-2</v>
      </c>
    </row>
    <row r="5292" spans="1:6" x14ac:dyDescent="0.3">
      <c r="A5292" t="s">
        <v>5327</v>
      </c>
      <c r="B5292" t="s">
        <v>62</v>
      </c>
      <c r="C5292">
        <v>534000</v>
      </c>
      <c r="D5292">
        <v>31286</v>
      </c>
      <c r="E5292">
        <v>7.3000000000000001E-3</v>
      </c>
      <c r="F5292">
        <v>6.54E-2</v>
      </c>
    </row>
    <row r="5293" spans="1:6" x14ac:dyDescent="0.3">
      <c r="A5293" t="s">
        <v>5328</v>
      </c>
      <c r="B5293" t="s">
        <v>71</v>
      </c>
      <c r="C5293">
        <v>453000</v>
      </c>
      <c r="D5293">
        <v>187.7</v>
      </c>
      <c r="E5293">
        <v>4.7300000000000002E-2</v>
      </c>
      <c r="F5293">
        <v>7.5899999999999995E-2</v>
      </c>
    </row>
    <row r="5294" spans="1:6" x14ac:dyDescent="0.3">
      <c r="A5294" t="s">
        <v>5329</v>
      </c>
      <c r="B5294" t="s">
        <v>74</v>
      </c>
      <c r="C5294">
        <v>454000</v>
      </c>
      <c r="D5294">
        <v>547.4</v>
      </c>
      <c r="E5294">
        <v>1.0200000000000001E-2</v>
      </c>
      <c r="F5294">
        <v>0.13150000000000001</v>
      </c>
    </row>
    <row r="5295" spans="1:6" x14ac:dyDescent="0.3">
      <c r="A5295" t="s">
        <v>5330</v>
      </c>
      <c r="B5295" t="s">
        <v>92</v>
      </c>
      <c r="C5295">
        <v>465000</v>
      </c>
      <c r="D5295">
        <v>15280.6</v>
      </c>
      <c r="F5295">
        <v>5.1799999999999999E-2</v>
      </c>
    </row>
    <row r="5296" spans="1:6" x14ac:dyDescent="0.3">
      <c r="A5296" t="s">
        <v>5331</v>
      </c>
      <c r="B5296" t="s">
        <v>287</v>
      </c>
      <c r="C5296">
        <v>531000</v>
      </c>
      <c r="D5296">
        <v>2194.1999999999998</v>
      </c>
      <c r="E5296">
        <v>1.32E-2</v>
      </c>
      <c r="F5296">
        <v>0.1067</v>
      </c>
    </row>
    <row r="5297" spans="1:6" x14ac:dyDescent="0.3">
      <c r="A5297" t="s">
        <v>5332</v>
      </c>
      <c r="B5297" t="s">
        <v>62</v>
      </c>
      <c r="C5297">
        <v>570000</v>
      </c>
      <c r="D5297">
        <v>37196</v>
      </c>
      <c r="E5297">
        <v>2.2800000000000001E-2</v>
      </c>
      <c r="F5297">
        <v>9.5000000000000001E-2</v>
      </c>
    </row>
    <row r="5298" spans="1:6" x14ac:dyDescent="0.3">
      <c r="A5298" t="s">
        <v>5333</v>
      </c>
      <c r="B5298" t="s">
        <v>26</v>
      </c>
      <c r="C5298">
        <v>702000</v>
      </c>
      <c r="D5298">
        <v>407110.5</v>
      </c>
      <c r="E5298">
        <v>3.9899999999999998E-2</v>
      </c>
      <c r="F5298">
        <v>4.0899999999999999E-2</v>
      </c>
    </row>
    <row r="5299" spans="1:6" x14ac:dyDescent="0.3">
      <c r="A5299" t="s">
        <v>5334</v>
      </c>
      <c r="B5299" t="s">
        <v>214</v>
      </c>
      <c r="C5299">
        <v>479000</v>
      </c>
      <c r="D5299">
        <v>228397.2</v>
      </c>
      <c r="E5299">
        <v>1.6899999999999998E-2</v>
      </c>
      <c r="F5299">
        <v>5.8500000000000003E-2</v>
      </c>
    </row>
    <row r="5300" spans="1:6" x14ac:dyDescent="0.3">
      <c r="A5300" t="s">
        <v>5335</v>
      </c>
      <c r="B5300" t="s">
        <v>41</v>
      </c>
      <c r="C5300">
        <v>486000</v>
      </c>
      <c r="D5300">
        <v>4716.8999999999996</v>
      </c>
      <c r="E5300">
        <v>0.06</v>
      </c>
      <c r="F5300">
        <v>9.3799999999999994E-2</v>
      </c>
    </row>
    <row r="5301" spans="1:6" x14ac:dyDescent="0.3">
      <c r="A5301" t="s">
        <v>5336</v>
      </c>
      <c r="B5301" t="s">
        <v>41</v>
      </c>
      <c r="C5301">
        <v>773000</v>
      </c>
      <c r="D5301">
        <v>371.1</v>
      </c>
      <c r="E5301">
        <v>9.5999999999999992E-3</v>
      </c>
      <c r="F5301">
        <v>8.1100000000000005E-2</v>
      </c>
    </row>
    <row r="5302" spans="1:6" x14ac:dyDescent="0.3">
      <c r="A5302" t="s">
        <v>5337</v>
      </c>
      <c r="B5302" t="s">
        <v>26</v>
      </c>
      <c r="C5302">
        <v>617000</v>
      </c>
      <c r="D5302">
        <v>115226.2</v>
      </c>
      <c r="E5302">
        <v>2.9600000000000001E-2</v>
      </c>
      <c r="F5302">
        <v>9.3799999999999994E-2</v>
      </c>
    </row>
    <row r="5303" spans="1:6" x14ac:dyDescent="0.3">
      <c r="A5303" t="s">
        <v>5338</v>
      </c>
      <c r="B5303" t="s">
        <v>88</v>
      </c>
      <c r="C5303">
        <v>598000</v>
      </c>
      <c r="D5303">
        <v>5517.1</v>
      </c>
      <c r="E5303">
        <v>4.2599999999999999E-2</v>
      </c>
      <c r="F5303">
        <v>7.5899999999999995E-2</v>
      </c>
    </row>
    <row r="5304" spans="1:6" x14ac:dyDescent="0.3">
      <c r="A5304" t="s">
        <v>5339</v>
      </c>
      <c r="B5304" t="s">
        <v>53</v>
      </c>
      <c r="C5304">
        <v>986000</v>
      </c>
      <c r="D5304">
        <v>389109</v>
      </c>
      <c r="E5304">
        <v>4.8999999999999998E-3</v>
      </c>
      <c r="F5304">
        <v>6.54E-2</v>
      </c>
    </row>
    <row r="5305" spans="1:6" x14ac:dyDescent="0.3">
      <c r="A5305" t="s">
        <v>5340</v>
      </c>
      <c r="B5305" t="s">
        <v>214</v>
      </c>
      <c r="C5305">
        <v>445000</v>
      </c>
      <c r="D5305">
        <v>16192.7</v>
      </c>
      <c r="E5305">
        <v>1.78E-2</v>
      </c>
      <c r="F5305">
        <v>0.1067</v>
      </c>
    </row>
    <row r="5306" spans="1:6" x14ac:dyDescent="0.3">
      <c r="A5306" t="s">
        <v>5341</v>
      </c>
      <c r="B5306" t="s">
        <v>41</v>
      </c>
      <c r="C5306">
        <v>473000</v>
      </c>
      <c r="D5306">
        <v>468355.3</v>
      </c>
      <c r="E5306">
        <v>6.0199999999999997E-2</v>
      </c>
      <c r="F5306">
        <v>5.1799999999999999E-2</v>
      </c>
    </row>
    <row r="5307" spans="1:6" x14ac:dyDescent="0.3">
      <c r="A5307" t="s">
        <v>5342</v>
      </c>
      <c r="B5307" t="s">
        <v>26</v>
      </c>
      <c r="C5307">
        <v>478000</v>
      </c>
      <c r="D5307">
        <v>1020.2</v>
      </c>
      <c r="E5307">
        <v>5.6099999999999997E-2</v>
      </c>
      <c r="F5307">
        <v>9.3799999999999994E-2</v>
      </c>
    </row>
    <row r="5308" spans="1:6" x14ac:dyDescent="0.3">
      <c r="A5308" t="s">
        <v>5343</v>
      </c>
      <c r="B5308" t="s">
        <v>214</v>
      </c>
      <c r="C5308">
        <v>434000</v>
      </c>
      <c r="D5308">
        <v>2189.6999999999998</v>
      </c>
      <c r="E5308">
        <v>1.5100000000000001E-2</v>
      </c>
      <c r="F5308">
        <v>0.1067</v>
      </c>
    </row>
    <row r="5309" spans="1:6" x14ac:dyDescent="0.3">
      <c r="A5309" t="s">
        <v>5344</v>
      </c>
      <c r="B5309" t="s">
        <v>62</v>
      </c>
      <c r="C5309">
        <v>459000</v>
      </c>
      <c r="D5309">
        <v>13538.7</v>
      </c>
      <c r="E5309">
        <v>1.72E-2</v>
      </c>
      <c r="F5309">
        <v>4.6199999999999998E-2</v>
      </c>
    </row>
    <row r="5310" spans="1:6" x14ac:dyDescent="0.3">
      <c r="A5310" t="s">
        <v>5345</v>
      </c>
      <c r="B5310" t="s">
        <v>26</v>
      </c>
      <c r="C5310">
        <v>519000</v>
      </c>
      <c r="D5310">
        <v>5444.3</v>
      </c>
      <c r="E5310">
        <v>4.5999999999999999E-2</v>
      </c>
      <c r="F5310">
        <v>8.3299999999999999E-2</v>
      </c>
    </row>
    <row r="5311" spans="1:6" x14ac:dyDescent="0.3">
      <c r="A5311" t="s">
        <v>5346</v>
      </c>
      <c r="B5311" t="s">
        <v>62</v>
      </c>
      <c r="C5311">
        <v>434000</v>
      </c>
      <c r="D5311">
        <v>80.5</v>
      </c>
      <c r="E5311">
        <v>1.9900000000000001E-2</v>
      </c>
      <c r="F5311">
        <v>5.1700000000000003E-2</v>
      </c>
    </row>
    <row r="5312" spans="1:6" x14ac:dyDescent="0.3">
      <c r="A5312" t="s">
        <v>5347</v>
      </c>
      <c r="B5312" t="s">
        <v>30</v>
      </c>
      <c r="C5312">
        <v>435000</v>
      </c>
      <c r="D5312">
        <v>279666.3</v>
      </c>
      <c r="E5312">
        <v>9.7999999999999997E-3</v>
      </c>
      <c r="F5312">
        <v>0.14710000000000001</v>
      </c>
    </row>
    <row r="5313" spans="1:6" x14ac:dyDescent="0.3">
      <c r="A5313" t="s">
        <v>5348</v>
      </c>
      <c r="B5313" t="s">
        <v>35</v>
      </c>
      <c r="C5313">
        <v>469000</v>
      </c>
      <c r="D5313">
        <v>123348.5</v>
      </c>
      <c r="E5313">
        <v>2.2100000000000002E-2</v>
      </c>
      <c r="F5313">
        <v>0.1067</v>
      </c>
    </row>
    <row r="5314" spans="1:6" x14ac:dyDescent="0.3">
      <c r="A5314" t="s">
        <v>5349</v>
      </c>
      <c r="B5314" t="s">
        <v>26</v>
      </c>
      <c r="C5314">
        <v>543000</v>
      </c>
      <c r="D5314">
        <v>273152.3</v>
      </c>
      <c r="E5314">
        <v>3.3599999999999998E-2</v>
      </c>
      <c r="F5314">
        <v>9.5100000000000004E-2</v>
      </c>
    </row>
    <row r="5315" spans="1:6" x14ac:dyDescent="0.3">
      <c r="A5315" t="s">
        <v>5350</v>
      </c>
      <c r="B5315" t="s">
        <v>92</v>
      </c>
      <c r="C5315">
        <v>470000</v>
      </c>
      <c r="D5315">
        <v>39679.300000000003</v>
      </c>
      <c r="E5315">
        <v>5.0500000000000003E-2</v>
      </c>
      <c r="F5315">
        <v>4.0899999999999999E-2</v>
      </c>
    </row>
    <row r="5316" spans="1:6" x14ac:dyDescent="0.3">
      <c r="A5316" t="s">
        <v>5351</v>
      </c>
      <c r="B5316" t="s">
        <v>24</v>
      </c>
      <c r="C5316">
        <v>672000</v>
      </c>
      <c r="D5316">
        <v>15289.2</v>
      </c>
      <c r="E5316">
        <v>2.1899999999999999E-2</v>
      </c>
      <c r="F5316">
        <v>8.5400000000000004E-2</v>
      </c>
    </row>
    <row r="5317" spans="1:6" x14ac:dyDescent="0.3">
      <c r="A5317" t="s">
        <v>5352</v>
      </c>
      <c r="B5317" t="s">
        <v>32</v>
      </c>
      <c r="C5317">
        <v>489000</v>
      </c>
      <c r="D5317">
        <v>48202.9</v>
      </c>
      <c r="E5317">
        <v>2.8299999999999999E-2</v>
      </c>
      <c r="F5317">
        <v>9.5100000000000004E-2</v>
      </c>
    </row>
    <row r="5318" spans="1:6" x14ac:dyDescent="0.3">
      <c r="A5318" t="s">
        <v>5353</v>
      </c>
      <c r="B5318" t="s">
        <v>30</v>
      </c>
      <c r="C5318">
        <v>502000</v>
      </c>
      <c r="D5318">
        <v>1968.9</v>
      </c>
      <c r="E5318">
        <v>5.3699999999999998E-2</v>
      </c>
      <c r="F5318">
        <v>9.3799999999999994E-2</v>
      </c>
    </row>
    <row r="5319" spans="1:6" x14ac:dyDescent="0.3">
      <c r="A5319" t="s">
        <v>5354</v>
      </c>
      <c r="B5319" t="s">
        <v>50</v>
      </c>
      <c r="C5319">
        <v>481000</v>
      </c>
      <c r="D5319">
        <v>74990.100000000006</v>
      </c>
      <c r="E5319">
        <v>2.63E-2</v>
      </c>
      <c r="F5319">
        <v>5.8500000000000003E-2</v>
      </c>
    </row>
    <row r="5320" spans="1:6" x14ac:dyDescent="0.3">
      <c r="A5320" t="s">
        <v>5355</v>
      </c>
      <c r="B5320" t="s">
        <v>26</v>
      </c>
      <c r="C5320">
        <v>810000</v>
      </c>
      <c r="D5320">
        <v>600464.5</v>
      </c>
      <c r="E5320">
        <v>2.5600000000000001E-2</v>
      </c>
      <c r="F5320">
        <v>4.0899999999999999E-2</v>
      </c>
    </row>
    <row r="5321" spans="1:6" x14ac:dyDescent="0.3">
      <c r="A5321" t="s">
        <v>5356</v>
      </c>
      <c r="B5321" t="s">
        <v>24</v>
      </c>
      <c r="C5321">
        <v>1020000</v>
      </c>
      <c r="D5321">
        <v>690.5</v>
      </c>
      <c r="E5321">
        <v>3.9899999999999998E-2</v>
      </c>
      <c r="F5321">
        <v>0.1226</v>
      </c>
    </row>
    <row r="5322" spans="1:6" x14ac:dyDescent="0.3">
      <c r="A5322" t="s">
        <v>5357</v>
      </c>
      <c r="B5322" t="s">
        <v>24</v>
      </c>
      <c r="C5322">
        <v>556000</v>
      </c>
      <c r="D5322">
        <v>32958.1</v>
      </c>
      <c r="E5322">
        <v>2.58E-2</v>
      </c>
      <c r="F5322">
        <v>9.5100000000000004E-2</v>
      </c>
    </row>
    <row r="5323" spans="1:6" x14ac:dyDescent="0.3">
      <c r="A5323" t="s">
        <v>5358</v>
      </c>
      <c r="B5323" t="s">
        <v>88</v>
      </c>
      <c r="C5323">
        <v>725000</v>
      </c>
      <c r="D5323">
        <v>11959.2</v>
      </c>
      <c r="E5323">
        <v>6.1699999999999998E-2</v>
      </c>
      <c r="F5323">
        <v>7.5899999999999995E-2</v>
      </c>
    </row>
    <row r="5324" spans="1:6" x14ac:dyDescent="0.3">
      <c r="A5324" t="s">
        <v>5359</v>
      </c>
      <c r="B5324" t="s">
        <v>26</v>
      </c>
      <c r="C5324">
        <v>783000</v>
      </c>
      <c r="D5324">
        <v>1042106.8</v>
      </c>
      <c r="E5324">
        <v>1.5900000000000001E-2</v>
      </c>
      <c r="F5324">
        <v>4.6199999999999998E-2</v>
      </c>
    </row>
    <row r="5325" spans="1:6" x14ac:dyDescent="0.3">
      <c r="A5325" t="s">
        <v>5360</v>
      </c>
      <c r="B5325" t="s">
        <v>74</v>
      </c>
      <c r="C5325">
        <v>567000</v>
      </c>
      <c r="D5325">
        <v>99234.2</v>
      </c>
      <c r="E5325">
        <v>2.1700000000000001E-2</v>
      </c>
      <c r="F5325">
        <v>9.5100000000000004E-2</v>
      </c>
    </row>
    <row r="5326" spans="1:6" x14ac:dyDescent="0.3">
      <c r="A5326" t="s">
        <v>5361</v>
      </c>
      <c r="B5326" t="s">
        <v>26</v>
      </c>
      <c r="C5326">
        <v>545000</v>
      </c>
      <c r="D5326">
        <v>22355.200000000001</v>
      </c>
      <c r="E5326">
        <v>9.4999999999999998E-3</v>
      </c>
      <c r="F5326">
        <v>0.18859999999999999</v>
      </c>
    </row>
    <row r="5327" spans="1:6" x14ac:dyDescent="0.3">
      <c r="A5327" t="s">
        <v>5362</v>
      </c>
      <c r="B5327" t="s">
        <v>26</v>
      </c>
      <c r="C5327">
        <v>582000</v>
      </c>
      <c r="D5327">
        <v>2777.3</v>
      </c>
      <c r="E5327">
        <v>1.5800000000000002E-2</v>
      </c>
      <c r="F5327">
        <v>6.4699999999999994E-2</v>
      </c>
    </row>
    <row r="5328" spans="1:6" x14ac:dyDescent="0.3">
      <c r="A5328" t="s">
        <v>5363</v>
      </c>
      <c r="B5328" t="s">
        <v>92</v>
      </c>
      <c r="C5328">
        <v>494000</v>
      </c>
      <c r="D5328">
        <v>5424.8</v>
      </c>
      <c r="E5328">
        <v>2.7199999999999998E-2</v>
      </c>
      <c r="F5328">
        <v>7.5899999999999995E-2</v>
      </c>
    </row>
    <row r="5329" spans="1:6" x14ac:dyDescent="0.3">
      <c r="A5329" t="s">
        <v>5364</v>
      </c>
      <c r="B5329" t="s">
        <v>24</v>
      </c>
      <c r="C5329">
        <v>489000</v>
      </c>
      <c r="D5329">
        <v>2343.1999999999998</v>
      </c>
      <c r="E5329">
        <v>4.7300000000000002E-2</v>
      </c>
      <c r="F5329">
        <v>7.5899999999999995E-2</v>
      </c>
    </row>
    <row r="5330" spans="1:6" x14ac:dyDescent="0.3">
      <c r="A5330" t="s">
        <v>5365</v>
      </c>
      <c r="B5330" t="s">
        <v>74</v>
      </c>
      <c r="C5330">
        <v>435000</v>
      </c>
      <c r="D5330">
        <v>2018.4</v>
      </c>
      <c r="E5330">
        <v>4.2299999999999997E-2</v>
      </c>
      <c r="F5330">
        <v>7.5899999999999995E-2</v>
      </c>
    </row>
    <row r="5331" spans="1:6" x14ac:dyDescent="0.3">
      <c r="A5331" t="s">
        <v>5366</v>
      </c>
      <c r="B5331" t="s">
        <v>92</v>
      </c>
      <c r="C5331">
        <v>595000</v>
      </c>
      <c r="D5331">
        <v>22176.7</v>
      </c>
      <c r="E5331">
        <v>2.1600000000000001E-2</v>
      </c>
      <c r="F5331">
        <v>7.5899999999999995E-2</v>
      </c>
    </row>
    <row r="5332" spans="1:6" x14ac:dyDescent="0.3">
      <c r="A5332" t="s">
        <v>5367</v>
      </c>
      <c r="B5332" t="s">
        <v>53</v>
      </c>
      <c r="C5332">
        <v>520000</v>
      </c>
      <c r="D5332">
        <v>39892.9</v>
      </c>
      <c r="E5332">
        <v>2.3800000000000002E-2</v>
      </c>
      <c r="F5332">
        <v>0.13869999999999999</v>
      </c>
    </row>
    <row r="5333" spans="1:6" x14ac:dyDescent="0.3">
      <c r="A5333" t="s">
        <v>5368</v>
      </c>
      <c r="B5333" t="s">
        <v>195</v>
      </c>
      <c r="C5333">
        <v>509000</v>
      </c>
      <c r="D5333">
        <v>972.3</v>
      </c>
      <c r="E5333">
        <v>1.18E-2</v>
      </c>
      <c r="F5333">
        <v>0.10680000000000001</v>
      </c>
    </row>
    <row r="5334" spans="1:6" x14ac:dyDescent="0.3">
      <c r="A5334" t="s">
        <v>5369</v>
      </c>
      <c r="B5334" t="s">
        <v>26</v>
      </c>
      <c r="C5334">
        <v>422000</v>
      </c>
      <c r="D5334">
        <v>8035</v>
      </c>
      <c r="E5334">
        <v>1.8100000000000002E-2</v>
      </c>
      <c r="F5334">
        <v>5.8500000000000003E-2</v>
      </c>
    </row>
    <row r="5335" spans="1:6" x14ac:dyDescent="0.3">
      <c r="A5335" t="s">
        <v>5370</v>
      </c>
      <c r="B5335" t="s">
        <v>26</v>
      </c>
      <c r="C5335">
        <v>430000</v>
      </c>
      <c r="D5335">
        <v>3995.5</v>
      </c>
      <c r="E5335">
        <v>2.0500000000000001E-2</v>
      </c>
      <c r="F5335">
        <v>0.1067</v>
      </c>
    </row>
    <row r="5336" spans="1:6" x14ac:dyDescent="0.3">
      <c r="A5336" t="s">
        <v>5371</v>
      </c>
      <c r="B5336" t="s">
        <v>88</v>
      </c>
      <c r="C5336">
        <v>564000</v>
      </c>
      <c r="D5336">
        <v>2744.5</v>
      </c>
      <c r="E5336">
        <v>6.3200000000000006E-2</v>
      </c>
      <c r="F5336">
        <v>9.3799999999999994E-2</v>
      </c>
    </row>
    <row r="5337" spans="1:6" x14ac:dyDescent="0.3">
      <c r="A5337" t="s">
        <v>5372</v>
      </c>
      <c r="B5337" t="s">
        <v>74</v>
      </c>
      <c r="C5337">
        <v>524000</v>
      </c>
      <c r="D5337">
        <v>1732.4</v>
      </c>
      <c r="E5337">
        <v>4.2900000000000001E-2</v>
      </c>
      <c r="F5337">
        <v>7.5899999999999995E-2</v>
      </c>
    </row>
    <row r="5338" spans="1:6" x14ac:dyDescent="0.3">
      <c r="A5338" t="s">
        <v>5373</v>
      </c>
      <c r="B5338" t="s">
        <v>214</v>
      </c>
      <c r="C5338">
        <v>2160000</v>
      </c>
      <c r="D5338">
        <v>246357.6</v>
      </c>
      <c r="F5338">
        <v>4.0899999999999999E-2</v>
      </c>
    </row>
    <row r="5339" spans="1:6" x14ac:dyDescent="0.3">
      <c r="A5339" t="s">
        <v>5374</v>
      </c>
      <c r="B5339" t="s">
        <v>26</v>
      </c>
      <c r="C5339">
        <v>135000</v>
      </c>
      <c r="D5339">
        <v>14175.9</v>
      </c>
      <c r="E5339">
        <v>4.02E-2</v>
      </c>
      <c r="F5339">
        <v>7.5899999999999995E-2</v>
      </c>
    </row>
    <row r="5340" spans="1:6" x14ac:dyDescent="0.3">
      <c r="A5340" t="s">
        <v>5375</v>
      </c>
      <c r="B5340" t="s">
        <v>88</v>
      </c>
      <c r="C5340">
        <v>556000</v>
      </c>
      <c r="D5340">
        <v>8086.5</v>
      </c>
      <c r="E5340">
        <v>4.9599999999999998E-2</v>
      </c>
      <c r="F5340">
        <v>7.5899999999999995E-2</v>
      </c>
    </row>
    <row r="5341" spans="1:6" x14ac:dyDescent="0.3">
      <c r="A5341" t="s">
        <v>5376</v>
      </c>
      <c r="B5341" t="s">
        <v>195</v>
      </c>
      <c r="C5341">
        <v>771000</v>
      </c>
      <c r="D5341">
        <v>4308.8</v>
      </c>
      <c r="E5341">
        <v>3.2099999999999997E-2</v>
      </c>
      <c r="F5341">
        <v>9.3799999999999994E-2</v>
      </c>
    </row>
    <row r="5342" spans="1:6" x14ac:dyDescent="0.3">
      <c r="A5342" t="s">
        <v>5377</v>
      </c>
      <c r="B5342" t="s">
        <v>26</v>
      </c>
      <c r="C5342">
        <v>486000</v>
      </c>
      <c r="D5342">
        <v>32658.799999999999</v>
      </c>
      <c r="E5342">
        <v>2.46E-2</v>
      </c>
      <c r="F5342">
        <v>0.1067</v>
      </c>
    </row>
    <row r="5343" spans="1:6" x14ac:dyDescent="0.3">
      <c r="A5343" t="s">
        <v>5378</v>
      </c>
      <c r="B5343" t="s">
        <v>81</v>
      </c>
      <c r="C5343">
        <v>535000</v>
      </c>
      <c r="D5343">
        <v>1440.5</v>
      </c>
      <c r="E5343">
        <v>4.3700000000000003E-2</v>
      </c>
      <c r="F5343">
        <v>9.3799999999999994E-2</v>
      </c>
    </row>
    <row r="5344" spans="1:6" x14ac:dyDescent="0.3">
      <c r="A5344" t="s">
        <v>5379</v>
      </c>
      <c r="B5344" t="s">
        <v>26</v>
      </c>
      <c r="C5344">
        <v>656000</v>
      </c>
      <c r="D5344">
        <v>48020.9</v>
      </c>
      <c r="E5344">
        <v>9.1999999999999998E-3</v>
      </c>
      <c r="F5344">
        <v>8.1100000000000005E-2</v>
      </c>
    </row>
    <row r="5345" spans="1:6" x14ac:dyDescent="0.3">
      <c r="A5345" t="s">
        <v>5380</v>
      </c>
      <c r="B5345" t="s">
        <v>490</v>
      </c>
      <c r="C5345">
        <v>472000</v>
      </c>
      <c r="D5345">
        <v>1310393.1000000001</v>
      </c>
      <c r="E5345">
        <v>3.3799999999999997E-2</v>
      </c>
      <c r="F5345">
        <v>7.5899999999999995E-2</v>
      </c>
    </row>
    <row r="5346" spans="1:6" x14ac:dyDescent="0.3">
      <c r="A5346" t="s">
        <v>5381</v>
      </c>
      <c r="B5346" t="s">
        <v>24</v>
      </c>
      <c r="C5346">
        <v>677000</v>
      </c>
      <c r="D5346">
        <v>596.4</v>
      </c>
      <c r="E5346">
        <v>9.1999999999999998E-3</v>
      </c>
      <c r="F5346">
        <v>0.10150000000000001</v>
      </c>
    </row>
    <row r="5347" spans="1:6" x14ac:dyDescent="0.3">
      <c r="A5347" t="s">
        <v>5382</v>
      </c>
      <c r="B5347" t="s">
        <v>24</v>
      </c>
      <c r="C5347">
        <v>542000</v>
      </c>
      <c r="D5347">
        <v>284402.40000000002</v>
      </c>
      <c r="E5347">
        <v>2.4899999999999999E-2</v>
      </c>
      <c r="F5347">
        <v>9.5100000000000004E-2</v>
      </c>
    </row>
    <row r="5348" spans="1:6" x14ac:dyDescent="0.3">
      <c r="A5348" t="s">
        <v>5383</v>
      </c>
      <c r="B5348" t="s">
        <v>24</v>
      </c>
      <c r="C5348">
        <v>508000</v>
      </c>
      <c r="D5348">
        <v>296972.5</v>
      </c>
      <c r="E5348">
        <v>1.7100000000000001E-2</v>
      </c>
      <c r="F5348">
        <v>5.8500000000000003E-2</v>
      </c>
    </row>
    <row r="5349" spans="1:6" x14ac:dyDescent="0.3">
      <c r="A5349" t="s">
        <v>5384</v>
      </c>
      <c r="B5349" t="s">
        <v>41</v>
      </c>
      <c r="C5349">
        <v>462000</v>
      </c>
      <c r="D5349">
        <v>2527.1</v>
      </c>
      <c r="E5349">
        <v>0.1933</v>
      </c>
      <c r="F5349">
        <v>0.40970000000000001</v>
      </c>
    </row>
    <row r="5350" spans="1:6" x14ac:dyDescent="0.3">
      <c r="A5350" t="s">
        <v>5385</v>
      </c>
      <c r="B5350" t="s">
        <v>92</v>
      </c>
      <c r="C5350">
        <v>665000</v>
      </c>
      <c r="D5350">
        <v>198124.5</v>
      </c>
      <c r="E5350">
        <v>1.9699999999999999E-2</v>
      </c>
      <c r="F5350">
        <v>9.3799999999999994E-2</v>
      </c>
    </row>
    <row r="5351" spans="1:6" x14ac:dyDescent="0.3">
      <c r="A5351" t="s">
        <v>5386</v>
      </c>
      <c r="B5351" t="s">
        <v>41</v>
      </c>
      <c r="C5351">
        <v>596000</v>
      </c>
      <c r="D5351">
        <v>25692.1</v>
      </c>
      <c r="E5351">
        <v>2.87E-2</v>
      </c>
      <c r="F5351">
        <v>9.3799999999999994E-2</v>
      </c>
    </row>
    <row r="5352" spans="1:6" x14ac:dyDescent="0.3">
      <c r="A5352" t="s">
        <v>5387</v>
      </c>
      <c r="B5352" t="s">
        <v>53</v>
      </c>
      <c r="C5352">
        <v>873000</v>
      </c>
      <c r="D5352">
        <v>134713.4</v>
      </c>
      <c r="E5352">
        <v>6.4699999999999994E-2</v>
      </c>
      <c r="F5352">
        <v>9.5100000000000004E-2</v>
      </c>
    </row>
    <row r="5353" spans="1:6" x14ac:dyDescent="0.3">
      <c r="A5353" t="s">
        <v>5388</v>
      </c>
      <c r="B5353" t="s">
        <v>74</v>
      </c>
      <c r="C5353">
        <v>1200000</v>
      </c>
      <c r="D5353">
        <v>1135711.8999999999</v>
      </c>
      <c r="E5353">
        <v>4.9700000000000001E-2</v>
      </c>
      <c r="F5353">
        <v>7.5899999999999995E-2</v>
      </c>
    </row>
    <row r="5354" spans="1:6" x14ac:dyDescent="0.3">
      <c r="A5354" t="s">
        <v>5389</v>
      </c>
      <c r="B5354" t="s">
        <v>26</v>
      </c>
      <c r="C5354">
        <v>407000</v>
      </c>
      <c r="D5354">
        <v>276.60000000000002</v>
      </c>
      <c r="E5354">
        <v>4.9200000000000001E-2</v>
      </c>
      <c r="F5354">
        <v>9.5100000000000004E-2</v>
      </c>
    </row>
    <row r="5355" spans="1:6" x14ac:dyDescent="0.3">
      <c r="A5355" t="s">
        <v>5390</v>
      </c>
      <c r="B5355" t="s">
        <v>26</v>
      </c>
      <c r="C5355">
        <v>450000</v>
      </c>
      <c r="D5355">
        <v>2645.3</v>
      </c>
      <c r="E5355">
        <v>1.5699999999999999E-2</v>
      </c>
      <c r="F5355">
        <v>0.1067</v>
      </c>
    </row>
    <row r="5356" spans="1:6" x14ac:dyDescent="0.3">
      <c r="A5356" t="s">
        <v>5391</v>
      </c>
      <c r="B5356" t="s">
        <v>53</v>
      </c>
      <c r="C5356">
        <v>435000</v>
      </c>
      <c r="D5356">
        <v>24301.200000000001</v>
      </c>
      <c r="E5356">
        <v>6.7500000000000004E-2</v>
      </c>
      <c r="F5356">
        <v>7.5899999999999995E-2</v>
      </c>
    </row>
    <row r="5357" spans="1:6" x14ac:dyDescent="0.3">
      <c r="A5357" t="s">
        <v>5392</v>
      </c>
      <c r="B5357" t="s">
        <v>88</v>
      </c>
      <c r="C5357">
        <v>496000</v>
      </c>
      <c r="D5357">
        <v>948.5</v>
      </c>
      <c r="E5357">
        <v>3.4500000000000003E-2</v>
      </c>
      <c r="F5357">
        <v>7.5899999999999995E-2</v>
      </c>
    </row>
    <row r="5358" spans="1:6" x14ac:dyDescent="0.3">
      <c r="A5358" t="s">
        <v>5393</v>
      </c>
      <c r="B5358" t="s">
        <v>24</v>
      </c>
      <c r="C5358">
        <v>655000</v>
      </c>
      <c r="D5358">
        <v>349036.5</v>
      </c>
      <c r="E5358">
        <v>1.84E-2</v>
      </c>
      <c r="F5358">
        <v>5.8500000000000003E-2</v>
      </c>
    </row>
    <row r="5359" spans="1:6" x14ac:dyDescent="0.3">
      <c r="A5359" t="s">
        <v>5394</v>
      </c>
      <c r="B5359" t="s">
        <v>88</v>
      </c>
      <c r="C5359">
        <v>570000</v>
      </c>
      <c r="D5359">
        <v>3243.4</v>
      </c>
      <c r="E5359">
        <v>1.5100000000000001E-2</v>
      </c>
      <c r="F5359">
        <v>5.1999999999999998E-2</v>
      </c>
    </row>
    <row r="5360" spans="1:6" x14ac:dyDescent="0.3">
      <c r="A5360" t="s">
        <v>5395</v>
      </c>
      <c r="B5360" t="s">
        <v>32</v>
      </c>
      <c r="C5360">
        <v>814000</v>
      </c>
      <c r="D5360">
        <v>1048935.3</v>
      </c>
      <c r="E5360">
        <v>1.7000000000000001E-2</v>
      </c>
      <c r="F5360">
        <v>5.8500000000000003E-2</v>
      </c>
    </row>
    <row r="5361" spans="1:6" x14ac:dyDescent="0.3">
      <c r="A5361" t="s">
        <v>5396</v>
      </c>
      <c r="B5361" t="s">
        <v>24</v>
      </c>
      <c r="C5361">
        <v>450000</v>
      </c>
      <c r="D5361">
        <v>63407.9</v>
      </c>
      <c r="E5361">
        <v>1.9300000000000001E-2</v>
      </c>
      <c r="F5361">
        <v>4.6199999999999998E-2</v>
      </c>
    </row>
    <row r="5362" spans="1:6" x14ac:dyDescent="0.3">
      <c r="A5362" t="s">
        <v>5397</v>
      </c>
      <c r="B5362" t="s">
        <v>41</v>
      </c>
      <c r="C5362">
        <v>479000</v>
      </c>
      <c r="D5362">
        <v>280.39999999999998</v>
      </c>
      <c r="E5362">
        <v>2.64E-2</v>
      </c>
      <c r="F5362">
        <v>0.42030000000000001</v>
      </c>
    </row>
    <row r="5363" spans="1:6" x14ac:dyDescent="0.3">
      <c r="A5363" t="s">
        <v>5398</v>
      </c>
      <c r="B5363" t="s">
        <v>62</v>
      </c>
      <c r="C5363">
        <v>730000</v>
      </c>
      <c r="D5363">
        <v>221290.5</v>
      </c>
      <c r="E5363">
        <v>2.9899999999999999E-2</v>
      </c>
      <c r="F5363">
        <v>5.1799999999999999E-2</v>
      </c>
    </row>
    <row r="5364" spans="1:6" x14ac:dyDescent="0.3">
      <c r="A5364" t="s">
        <v>5399</v>
      </c>
      <c r="B5364" t="s">
        <v>24</v>
      </c>
      <c r="C5364">
        <v>1000000</v>
      </c>
      <c r="D5364">
        <v>8982.9</v>
      </c>
      <c r="E5364">
        <v>2.01E-2</v>
      </c>
      <c r="F5364">
        <v>9.3799999999999994E-2</v>
      </c>
    </row>
    <row r="5365" spans="1:6" x14ac:dyDescent="0.3">
      <c r="A5365" t="s">
        <v>5400</v>
      </c>
      <c r="B5365" t="s">
        <v>26</v>
      </c>
      <c r="C5365">
        <v>433000</v>
      </c>
      <c r="D5365">
        <v>1145.9000000000001</v>
      </c>
      <c r="E5365">
        <v>1.12E-2</v>
      </c>
      <c r="F5365">
        <v>0.14710000000000001</v>
      </c>
    </row>
    <row r="5366" spans="1:6" x14ac:dyDescent="0.3">
      <c r="A5366" t="s">
        <v>5401</v>
      </c>
      <c r="B5366" t="s">
        <v>92</v>
      </c>
      <c r="C5366">
        <v>1090000</v>
      </c>
      <c r="D5366">
        <v>515329.6</v>
      </c>
      <c r="E5366">
        <v>5.4199999999999998E-2</v>
      </c>
      <c r="F5366">
        <v>4.0899999999999999E-2</v>
      </c>
    </row>
    <row r="5367" spans="1:6" x14ac:dyDescent="0.3">
      <c r="A5367" t="s">
        <v>5402</v>
      </c>
      <c r="B5367" t="s">
        <v>92</v>
      </c>
      <c r="C5367">
        <v>429000</v>
      </c>
      <c r="D5367">
        <v>10951.4</v>
      </c>
      <c r="E5367">
        <v>6.0900000000000003E-2</v>
      </c>
      <c r="F5367">
        <v>6.5199999999999994E-2</v>
      </c>
    </row>
    <row r="5368" spans="1:6" x14ac:dyDescent="0.3">
      <c r="A5368" t="s">
        <v>5403</v>
      </c>
      <c r="B5368" t="s">
        <v>81</v>
      </c>
      <c r="C5368">
        <v>466000</v>
      </c>
      <c r="D5368">
        <v>3786.2</v>
      </c>
      <c r="E5368">
        <v>3.5400000000000001E-2</v>
      </c>
      <c r="F5368">
        <v>9.3799999999999994E-2</v>
      </c>
    </row>
    <row r="5369" spans="1:6" x14ac:dyDescent="0.3">
      <c r="A5369" t="s">
        <v>5404</v>
      </c>
      <c r="B5369" t="s">
        <v>26</v>
      </c>
      <c r="C5369">
        <v>445000</v>
      </c>
      <c r="D5369">
        <v>5806.2</v>
      </c>
      <c r="E5369">
        <v>1.9599999999999999E-2</v>
      </c>
      <c r="F5369">
        <v>0.1053</v>
      </c>
    </row>
    <row r="5370" spans="1:6" x14ac:dyDescent="0.3">
      <c r="A5370" t="s">
        <v>5405</v>
      </c>
      <c r="B5370" t="s">
        <v>287</v>
      </c>
      <c r="C5370">
        <v>518000</v>
      </c>
      <c r="D5370">
        <v>128103.7</v>
      </c>
      <c r="E5370">
        <v>1.8200000000000001E-2</v>
      </c>
      <c r="F5370">
        <v>4.6199999999999998E-2</v>
      </c>
    </row>
    <row r="5371" spans="1:6" x14ac:dyDescent="0.3">
      <c r="A5371" t="s">
        <v>5406</v>
      </c>
      <c r="B5371" t="s">
        <v>26</v>
      </c>
      <c r="C5371">
        <v>598000</v>
      </c>
      <c r="D5371">
        <v>20472.900000000001</v>
      </c>
      <c r="E5371">
        <v>2.3300000000000001E-2</v>
      </c>
      <c r="F5371">
        <v>7.5899999999999995E-2</v>
      </c>
    </row>
    <row r="5372" spans="1:6" x14ac:dyDescent="0.3">
      <c r="A5372" t="s">
        <v>5407</v>
      </c>
      <c r="B5372" t="s">
        <v>88</v>
      </c>
      <c r="C5372">
        <v>772000</v>
      </c>
      <c r="D5372">
        <v>2081.6</v>
      </c>
      <c r="E5372">
        <v>0.23219999999999999</v>
      </c>
      <c r="F5372">
        <v>9.3799999999999994E-2</v>
      </c>
    </row>
    <row r="5373" spans="1:6" x14ac:dyDescent="0.3">
      <c r="A5373" t="s">
        <v>5408</v>
      </c>
      <c r="B5373" t="s">
        <v>26</v>
      </c>
      <c r="C5373">
        <v>417000</v>
      </c>
      <c r="D5373">
        <v>27209.9</v>
      </c>
      <c r="E5373">
        <v>4.9200000000000001E-2</v>
      </c>
      <c r="F5373">
        <v>5.1799999999999999E-2</v>
      </c>
    </row>
    <row r="5374" spans="1:6" x14ac:dyDescent="0.3">
      <c r="A5374" t="s">
        <v>5409</v>
      </c>
      <c r="B5374" t="s">
        <v>88</v>
      </c>
      <c r="C5374">
        <v>472000</v>
      </c>
      <c r="D5374">
        <v>14363.7</v>
      </c>
      <c r="E5374">
        <v>9.1000000000000004E-3</v>
      </c>
      <c r="F5374">
        <v>0.1187</v>
      </c>
    </row>
    <row r="5375" spans="1:6" x14ac:dyDescent="0.3">
      <c r="A5375" t="s">
        <v>5410</v>
      </c>
      <c r="B5375" t="s">
        <v>92</v>
      </c>
      <c r="C5375">
        <v>446000</v>
      </c>
      <c r="D5375">
        <v>5439.8</v>
      </c>
      <c r="E5375">
        <v>2.2800000000000001E-2</v>
      </c>
      <c r="F5375">
        <v>9.5100000000000004E-2</v>
      </c>
    </row>
    <row r="5376" spans="1:6" x14ac:dyDescent="0.3">
      <c r="A5376" t="s">
        <v>5411</v>
      </c>
      <c r="B5376" t="s">
        <v>88</v>
      </c>
      <c r="C5376">
        <v>424000</v>
      </c>
      <c r="D5376">
        <v>6477.4</v>
      </c>
      <c r="E5376">
        <v>2.24E-2</v>
      </c>
      <c r="F5376">
        <v>0.1169</v>
      </c>
    </row>
    <row r="5377" spans="1:6" x14ac:dyDescent="0.3">
      <c r="A5377" t="s">
        <v>5412</v>
      </c>
      <c r="B5377" t="s">
        <v>26</v>
      </c>
      <c r="C5377">
        <v>532000</v>
      </c>
      <c r="D5377">
        <v>36091.300000000003</v>
      </c>
      <c r="E5377">
        <v>5.2200000000000003E-2</v>
      </c>
      <c r="F5377">
        <v>9.5100000000000004E-2</v>
      </c>
    </row>
    <row r="5378" spans="1:6" x14ac:dyDescent="0.3">
      <c r="A5378" t="s">
        <v>5413</v>
      </c>
      <c r="B5378" t="s">
        <v>26</v>
      </c>
      <c r="C5378">
        <v>411000</v>
      </c>
      <c r="D5378">
        <v>6843.6</v>
      </c>
      <c r="E5378">
        <v>7.6E-3</v>
      </c>
      <c r="F5378">
        <v>8.2199999999999995E-2</v>
      </c>
    </row>
    <row r="5379" spans="1:6" x14ac:dyDescent="0.3">
      <c r="A5379" t="s">
        <v>5414</v>
      </c>
      <c r="B5379" t="s">
        <v>92</v>
      </c>
      <c r="C5379">
        <v>558000</v>
      </c>
      <c r="D5379">
        <v>68411.600000000006</v>
      </c>
      <c r="E5379">
        <v>5.4800000000000001E-2</v>
      </c>
      <c r="F5379">
        <v>9.5100000000000004E-2</v>
      </c>
    </row>
    <row r="5380" spans="1:6" x14ac:dyDescent="0.3">
      <c r="A5380" t="s">
        <v>5415</v>
      </c>
      <c r="B5380" t="s">
        <v>88</v>
      </c>
      <c r="C5380">
        <v>639000</v>
      </c>
      <c r="D5380">
        <v>284.3</v>
      </c>
      <c r="E5380">
        <v>1.9099999999999999E-2</v>
      </c>
      <c r="F5380">
        <v>0.1053</v>
      </c>
    </row>
    <row r="5381" spans="1:6" x14ac:dyDescent="0.3">
      <c r="A5381" t="s">
        <v>5416</v>
      </c>
      <c r="B5381" t="s">
        <v>26</v>
      </c>
      <c r="C5381">
        <v>550000</v>
      </c>
      <c r="D5381">
        <v>7360.4</v>
      </c>
      <c r="E5381">
        <v>5.3999999999999999E-2</v>
      </c>
      <c r="F5381">
        <v>7.5899999999999995E-2</v>
      </c>
    </row>
    <row r="5382" spans="1:6" x14ac:dyDescent="0.3">
      <c r="A5382" t="s">
        <v>5417</v>
      </c>
      <c r="B5382" t="s">
        <v>62</v>
      </c>
      <c r="C5382">
        <v>1320000</v>
      </c>
      <c r="D5382">
        <v>63199.3</v>
      </c>
      <c r="E5382">
        <v>3.5799999999999998E-2</v>
      </c>
      <c r="F5382">
        <v>9.3799999999999994E-2</v>
      </c>
    </row>
    <row r="5383" spans="1:6" x14ac:dyDescent="0.3">
      <c r="A5383" t="s">
        <v>5418</v>
      </c>
      <c r="B5383" t="s">
        <v>74</v>
      </c>
      <c r="C5383">
        <v>476000</v>
      </c>
      <c r="D5383">
        <v>3407.3</v>
      </c>
      <c r="E5383">
        <v>8.0299999999999996E-2</v>
      </c>
      <c r="F5383">
        <v>9.5000000000000001E-2</v>
      </c>
    </row>
    <row r="5384" spans="1:6" x14ac:dyDescent="0.3">
      <c r="A5384" t="s">
        <v>5419</v>
      </c>
      <c r="B5384" t="s">
        <v>71</v>
      </c>
      <c r="C5384">
        <v>466000</v>
      </c>
      <c r="D5384">
        <v>42548.3</v>
      </c>
      <c r="E5384">
        <v>3.7100000000000001E-2</v>
      </c>
      <c r="F5384">
        <v>4.0899999999999999E-2</v>
      </c>
    </row>
    <row r="5385" spans="1:6" x14ac:dyDescent="0.3">
      <c r="A5385" t="s">
        <v>5420</v>
      </c>
      <c r="B5385" t="s">
        <v>41</v>
      </c>
      <c r="C5385">
        <v>440000</v>
      </c>
      <c r="D5385">
        <v>491.5</v>
      </c>
      <c r="E5385">
        <v>2.7E-2</v>
      </c>
      <c r="F5385">
        <v>4.0899999999999999E-2</v>
      </c>
    </row>
    <row r="5386" spans="1:6" x14ac:dyDescent="0.3">
      <c r="A5386" t="s">
        <v>5421</v>
      </c>
      <c r="B5386" t="s">
        <v>26</v>
      </c>
      <c r="C5386">
        <v>1520000</v>
      </c>
      <c r="D5386">
        <v>26102.400000000001</v>
      </c>
      <c r="F5386">
        <v>4.0899999999999999E-2</v>
      </c>
    </row>
    <row r="5387" spans="1:6" x14ac:dyDescent="0.3">
      <c r="A5387" t="s">
        <v>5422</v>
      </c>
      <c r="B5387" t="s">
        <v>74</v>
      </c>
      <c r="C5387">
        <v>409000</v>
      </c>
      <c r="D5387">
        <v>4248.8999999999996</v>
      </c>
      <c r="E5387">
        <v>7.22E-2</v>
      </c>
      <c r="F5387">
        <v>9.5100000000000004E-2</v>
      </c>
    </row>
    <row r="5388" spans="1:6" x14ac:dyDescent="0.3">
      <c r="A5388" t="s">
        <v>5423</v>
      </c>
      <c r="B5388" t="s">
        <v>26</v>
      </c>
      <c r="C5388">
        <v>517000</v>
      </c>
      <c r="D5388">
        <v>304698.2</v>
      </c>
      <c r="E5388">
        <v>5.9799999999999999E-2</v>
      </c>
      <c r="F5388">
        <v>7.5899999999999995E-2</v>
      </c>
    </row>
    <row r="5389" spans="1:6" x14ac:dyDescent="0.3">
      <c r="A5389" t="s">
        <v>5424</v>
      </c>
      <c r="B5389" t="s">
        <v>24</v>
      </c>
      <c r="C5389">
        <v>482000</v>
      </c>
      <c r="D5389">
        <v>761782.8</v>
      </c>
      <c r="E5389">
        <v>2.1700000000000001E-2</v>
      </c>
      <c r="F5389">
        <v>0.1067</v>
      </c>
    </row>
    <row r="5390" spans="1:6" x14ac:dyDescent="0.3">
      <c r="A5390" t="s">
        <v>5425</v>
      </c>
      <c r="B5390" t="s">
        <v>26</v>
      </c>
      <c r="C5390">
        <v>933000</v>
      </c>
      <c r="D5390">
        <v>15222.6</v>
      </c>
      <c r="E5390">
        <v>4.4400000000000002E-2</v>
      </c>
      <c r="F5390">
        <v>7.5899999999999995E-2</v>
      </c>
    </row>
    <row r="5391" spans="1:6" x14ac:dyDescent="0.3">
      <c r="A5391" t="s">
        <v>5426</v>
      </c>
      <c r="B5391" t="s">
        <v>41</v>
      </c>
      <c r="C5391">
        <v>465000</v>
      </c>
      <c r="D5391">
        <v>4471.3999999999996</v>
      </c>
      <c r="E5391">
        <v>4.0399999999999998E-2</v>
      </c>
      <c r="F5391">
        <v>9.5100000000000004E-2</v>
      </c>
    </row>
    <row r="5392" spans="1:6" x14ac:dyDescent="0.3">
      <c r="A5392" t="s">
        <v>5427</v>
      </c>
      <c r="B5392" t="s">
        <v>26</v>
      </c>
      <c r="C5392">
        <v>431000</v>
      </c>
      <c r="D5392">
        <v>69705.7</v>
      </c>
      <c r="E5392">
        <v>5.1299999999999998E-2</v>
      </c>
      <c r="F5392">
        <v>9.5100000000000004E-2</v>
      </c>
    </row>
    <row r="5393" spans="1:6" x14ac:dyDescent="0.3">
      <c r="A5393" t="s">
        <v>5428</v>
      </c>
      <c r="B5393" t="s">
        <v>74</v>
      </c>
      <c r="C5393">
        <v>925000</v>
      </c>
      <c r="D5393">
        <v>4617.8999999999996</v>
      </c>
      <c r="E5393">
        <v>3.1800000000000002E-2</v>
      </c>
      <c r="F5393">
        <v>9.3799999999999994E-2</v>
      </c>
    </row>
    <row r="5394" spans="1:6" x14ac:dyDescent="0.3">
      <c r="A5394" t="s">
        <v>5429</v>
      </c>
      <c r="B5394" t="s">
        <v>74</v>
      </c>
      <c r="C5394">
        <v>527000</v>
      </c>
      <c r="D5394">
        <v>165805.20000000001</v>
      </c>
      <c r="E5394">
        <v>6.8699999999999997E-2</v>
      </c>
      <c r="F5394">
        <v>9.5100000000000004E-2</v>
      </c>
    </row>
    <row r="5395" spans="1:6" x14ac:dyDescent="0.3">
      <c r="A5395" t="s">
        <v>5430</v>
      </c>
      <c r="B5395" t="s">
        <v>26</v>
      </c>
      <c r="C5395">
        <v>468000</v>
      </c>
      <c r="D5395">
        <v>8152.5</v>
      </c>
      <c r="E5395">
        <v>3.4700000000000002E-2</v>
      </c>
      <c r="F5395">
        <v>9.3799999999999994E-2</v>
      </c>
    </row>
    <row r="5396" spans="1:6" x14ac:dyDescent="0.3">
      <c r="A5396" t="s">
        <v>5431</v>
      </c>
      <c r="B5396" t="s">
        <v>26</v>
      </c>
      <c r="C5396">
        <v>676000</v>
      </c>
      <c r="D5396">
        <v>1854.4</v>
      </c>
      <c r="E5396">
        <v>0.1012</v>
      </c>
      <c r="F5396">
        <v>7.5899999999999995E-2</v>
      </c>
    </row>
    <row r="5397" spans="1:6" x14ac:dyDescent="0.3">
      <c r="A5397" t="s">
        <v>5432</v>
      </c>
      <c r="B5397" t="s">
        <v>24</v>
      </c>
      <c r="C5397">
        <v>443000</v>
      </c>
      <c r="D5397">
        <v>36521.800000000003</v>
      </c>
      <c r="E5397">
        <v>3.0200000000000001E-2</v>
      </c>
      <c r="F5397">
        <v>8.4500000000000006E-2</v>
      </c>
    </row>
    <row r="5398" spans="1:6" x14ac:dyDescent="0.3">
      <c r="A5398" t="s">
        <v>5433</v>
      </c>
      <c r="B5398" t="s">
        <v>92</v>
      </c>
      <c r="C5398">
        <v>499000</v>
      </c>
      <c r="D5398">
        <v>53160.5</v>
      </c>
      <c r="E5398">
        <v>2.5100000000000001E-2</v>
      </c>
      <c r="F5398">
        <v>9.5100000000000004E-2</v>
      </c>
    </row>
    <row r="5399" spans="1:6" x14ac:dyDescent="0.3">
      <c r="A5399" t="s">
        <v>5434</v>
      </c>
      <c r="B5399" t="s">
        <v>26</v>
      </c>
      <c r="C5399">
        <v>450000</v>
      </c>
      <c r="D5399">
        <v>3777.7</v>
      </c>
      <c r="E5399">
        <v>6.4600000000000005E-2</v>
      </c>
      <c r="F5399">
        <v>9.5100000000000004E-2</v>
      </c>
    </row>
    <row r="5400" spans="1:6" x14ac:dyDescent="0.3">
      <c r="A5400" t="s">
        <v>5435</v>
      </c>
      <c r="B5400" t="s">
        <v>21</v>
      </c>
      <c r="C5400">
        <v>436000</v>
      </c>
      <c r="D5400">
        <v>396.4</v>
      </c>
      <c r="E5400">
        <v>3.9699999999999999E-2</v>
      </c>
      <c r="F5400">
        <v>6.4399999999999999E-2</v>
      </c>
    </row>
    <row r="5401" spans="1:6" x14ac:dyDescent="0.3">
      <c r="A5401" t="s">
        <v>5436</v>
      </c>
      <c r="B5401" t="s">
        <v>26</v>
      </c>
      <c r="C5401">
        <v>604000</v>
      </c>
      <c r="D5401">
        <v>16832.099999999999</v>
      </c>
      <c r="E5401">
        <v>8.3000000000000001E-3</v>
      </c>
      <c r="F5401">
        <v>0.14710000000000001</v>
      </c>
    </row>
    <row r="5402" spans="1:6" x14ac:dyDescent="0.3">
      <c r="A5402" t="s">
        <v>5437</v>
      </c>
      <c r="B5402" t="s">
        <v>26</v>
      </c>
      <c r="C5402">
        <v>1380000</v>
      </c>
      <c r="D5402">
        <v>380411</v>
      </c>
      <c r="E5402">
        <v>4.2299999999999997E-2</v>
      </c>
      <c r="F5402">
        <v>4.0899999999999999E-2</v>
      </c>
    </row>
    <row r="5403" spans="1:6" x14ac:dyDescent="0.3">
      <c r="A5403" t="s">
        <v>5438</v>
      </c>
      <c r="B5403" t="s">
        <v>21</v>
      </c>
      <c r="C5403">
        <v>540000</v>
      </c>
      <c r="D5403">
        <v>27336.799999999999</v>
      </c>
      <c r="E5403">
        <v>1.61E-2</v>
      </c>
      <c r="F5403">
        <v>0.33910000000000001</v>
      </c>
    </row>
    <row r="5404" spans="1:6" x14ac:dyDescent="0.3">
      <c r="A5404" t="s">
        <v>5439</v>
      </c>
      <c r="B5404" t="s">
        <v>26</v>
      </c>
      <c r="C5404">
        <v>426000</v>
      </c>
      <c r="D5404">
        <v>2733.9</v>
      </c>
      <c r="E5404">
        <v>7.4300000000000005E-2</v>
      </c>
      <c r="F5404">
        <v>9.5100000000000004E-2</v>
      </c>
    </row>
    <row r="5405" spans="1:6" x14ac:dyDescent="0.3">
      <c r="A5405" t="s">
        <v>5440</v>
      </c>
      <c r="B5405" t="s">
        <v>287</v>
      </c>
      <c r="C5405">
        <v>470000</v>
      </c>
      <c r="D5405">
        <v>18510.2</v>
      </c>
      <c r="E5405">
        <v>3.2300000000000002E-2</v>
      </c>
      <c r="F5405">
        <v>9.5100000000000004E-2</v>
      </c>
    </row>
    <row r="5406" spans="1:6" x14ac:dyDescent="0.3">
      <c r="A5406" t="s">
        <v>5441</v>
      </c>
      <c r="B5406" t="s">
        <v>26</v>
      </c>
      <c r="C5406">
        <v>470000</v>
      </c>
      <c r="D5406">
        <v>3417.6</v>
      </c>
      <c r="F5406">
        <v>9.3799999999999994E-2</v>
      </c>
    </row>
    <row r="5407" spans="1:6" x14ac:dyDescent="0.3">
      <c r="A5407" t="s">
        <v>5442</v>
      </c>
      <c r="B5407" t="s">
        <v>26</v>
      </c>
      <c r="C5407">
        <v>430000</v>
      </c>
      <c r="D5407">
        <v>5072.3999999999996</v>
      </c>
      <c r="E5407">
        <v>0.13400000000000001</v>
      </c>
      <c r="F5407">
        <v>9.3799999999999994E-2</v>
      </c>
    </row>
    <row r="5408" spans="1:6" x14ac:dyDescent="0.3">
      <c r="A5408" t="s">
        <v>5443</v>
      </c>
      <c r="B5408" t="s">
        <v>35</v>
      </c>
      <c r="C5408">
        <v>536000</v>
      </c>
      <c r="D5408">
        <v>320618.5</v>
      </c>
      <c r="E5408">
        <v>3.2399999999999998E-2</v>
      </c>
      <c r="F5408">
        <v>9.5100000000000004E-2</v>
      </c>
    </row>
    <row r="5409" spans="1:6" x14ac:dyDescent="0.3">
      <c r="A5409" t="s">
        <v>5444</v>
      </c>
      <c r="B5409" t="s">
        <v>26</v>
      </c>
      <c r="C5409">
        <v>482000</v>
      </c>
      <c r="D5409">
        <v>52285.8</v>
      </c>
      <c r="E5409">
        <v>2.8500000000000001E-2</v>
      </c>
      <c r="F5409">
        <v>4.3200000000000002E-2</v>
      </c>
    </row>
    <row r="5410" spans="1:6" x14ac:dyDescent="0.3">
      <c r="A5410" t="s">
        <v>5445</v>
      </c>
      <c r="B5410" t="s">
        <v>32</v>
      </c>
      <c r="C5410">
        <v>538000</v>
      </c>
      <c r="D5410">
        <v>1069.8</v>
      </c>
      <c r="E5410">
        <v>1.4E-2</v>
      </c>
      <c r="F5410">
        <v>0.22939999999999999</v>
      </c>
    </row>
    <row r="5411" spans="1:6" x14ac:dyDescent="0.3">
      <c r="A5411" t="s">
        <v>5446</v>
      </c>
      <c r="B5411" t="s">
        <v>41</v>
      </c>
      <c r="C5411">
        <v>429000</v>
      </c>
      <c r="D5411">
        <v>773.6</v>
      </c>
      <c r="E5411">
        <v>0.1022</v>
      </c>
      <c r="F5411">
        <v>9.3799999999999994E-2</v>
      </c>
    </row>
    <row r="5412" spans="1:6" x14ac:dyDescent="0.3">
      <c r="A5412" t="s">
        <v>5447</v>
      </c>
      <c r="B5412" t="s">
        <v>92</v>
      </c>
      <c r="C5412">
        <v>457000</v>
      </c>
      <c r="D5412">
        <v>2248.4</v>
      </c>
      <c r="E5412">
        <v>5.8999999999999999E-3</v>
      </c>
      <c r="F5412">
        <v>8.1100000000000005E-2</v>
      </c>
    </row>
    <row r="5413" spans="1:6" x14ac:dyDescent="0.3">
      <c r="A5413" t="s">
        <v>5448</v>
      </c>
      <c r="B5413" t="s">
        <v>88</v>
      </c>
      <c r="C5413">
        <v>522000</v>
      </c>
      <c r="D5413">
        <v>9938.7000000000007</v>
      </c>
      <c r="E5413">
        <v>2.92E-2</v>
      </c>
      <c r="F5413">
        <v>7.5899999999999995E-2</v>
      </c>
    </row>
    <row r="5414" spans="1:6" x14ac:dyDescent="0.3">
      <c r="A5414" t="s">
        <v>5449</v>
      </c>
      <c r="B5414" t="s">
        <v>32</v>
      </c>
      <c r="C5414">
        <v>749000</v>
      </c>
      <c r="D5414">
        <v>9392.6</v>
      </c>
      <c r="E5414">
        <v>1.46E-2</v>
      </c>
      <c r="F5414">
        <v>0.1027</v>
      </c>
    </row>
    <row r="5415" spans="1:6" x14ac:dyDescent="0.3">
      <c r="A5415" t="s">
        <v>5450</v>
      </c>
      <c r="B5415" t="s">
        <v>88</v>
      </c>
      <c r="C5415">
        <v>631000</v>
      </c>
      <c r="D5415">
        <v>5583.4</v>
      </c>
      <c r="E5415">
        <v>5.5199999999999999E-2</v>
      </c>
      <c r="F5415">
        <v>7.5899999999999995E-2</v>
      </c>
    </row>
    <row r="5416" spans="1:6" x14ac:dyDescent="0.3">
      <c r="A5416" t="s">
        <v>5451</v>
      </c>
      <c r="B5416" t="s">
        <v>24</v>
      </c>
      <c r="C5416">
        <v>608000</v>
      </c>
      <c r="D5416">
        <v>5981.6</v>
      </c>
      <c r="E5416">
        <v>5.96E-2</v>
      </c>
      <c r="F5416">
        <v>0.1241</v>
      </c>
    </row>
    <row r="5417" spans="1:6" x14ac:dyDescent="0.3">
      <c r="A5417" t="s">
        <v>5452</v>
      </c>
      <c r="B5417" t="s">
        <v>287</v>
      </c>
      <c r="C5417">
        <v>558000</v>
      </c>
      <c r="D5417">
        <v>259209.9</v>
      </c>
      <c r="E5417">
        <v>4.0599999999999997E-2</v>
      </c>
      <c r="F5417">
        <v>9.5100000000000004E-2</v>
      </c>
    </row>
    <row r="5418" spans="1:6" x14ac:dyDescent="0.3">
      <c r="A5418" t="s">
        <v>5453</v>
      </c>
      <c r="B5418" t="s">
        <v>24</v>
      </c>
      <c r="C5418">
        <v>433000</v>
      </c>
      <c r="D5418">
        <v>2286.6</v>
      </c>
      <c r="E5418">
        <v>6.6900000000000001E-2</v>
      </c>
      <c r="F5418">
        <v>7.5899999999999995E-2</v>
      </c>
    </row>
    <row r="5419" spans="1:6" x14ac:dyDescent="0.3">
      <c r="A5419" t="s">
        <v>5454</v>
      </c>
      <c r="B5419" t="s">
        <v>24</v>
      </c>
      <c r="C5419">
        <v>425000</v>
      </c>
      <c r="D5419">
        <v>1507.5</v>
      </c>
      <c r="E5419">
        <v>1.9099999999999999E-2</v>
      </c>
      <c r="F5419">
        <v>5.8500000000000003E-2</v>
      </c>
    </row>
    <row r="5420" spans="1:6" x14ac:dyDescent="0.3">
      <c r="A5420" t="s">
        <v>5455</v>
      </c>
      <c r="B5420" t="s">
        <v>26</v>
      </c>
      <c r="C5420">
        <v>474000</v>
      </c>
      <c r="D5420">
        <v>177023.6</v>
      </c>
      <c r="E5420">
        <v>2.24E-2</v>
      </c>
      <c r="F5420">
        <v>5.1799999999999999E-2</v>
      </c>
    </row>
    <row r="5421" spans="1:6" x14ac:dyDescent="0.3">
      <c r="A5421" t="s">
        <v>5456</v>
      </c>
      <c r="B5421" t="s">
        <v>81</v>
      </c>
      <c r="C5421">
        <v>468000</v>
      </c>
      <c r="D5421">
        <v>87261.4</v>
      </c>
      <c r="E5421">
        <v>5.7000000000000002E-2</v>
      </c>
      <c r="F5421">
        <v>6.5199999999999994E-2</v>
      </c>
    </row>
    <row r="5422" spans="1:6" x14ac:dyDescent="0.3">
      <c r="A5422" t="s">
        <v>5457</v>
      </c>
      <c r="B5422" t="s">
        <v>32</v>
      </c>
      <c r="C5422">
        <v>549000</v>
      </c>
      <c r="D5422">
        <v>5398.8</v>
      </c>
      <c r="E5422">
        <v>2.75E-2</v>
      </c>
      <c r="F5422">
        <v>7.5899999999999995E-2</v>
      </c>
    </row>
    <row r="5423" spans="1:6" x14ac:dyDescent="0.3">
      <c r="A5423" t="s">
        <v>5458</v>
      </c>
      <c r="B5423" t="s">
        <v>41</v>
      </c>
      <c r="C5423">
        <v>407000</v>
      </c>
      <c r="D5423">
        <v>1356</v>
      </c>
      <c r="E5423">
        <v>5.8999999999999999E-3</v>
      </c>
      <c r="F5423">
        <v>0.10150000000000001</v>
      </c>
    </row>
    <row r="5424" spans="1:6" x14ac:dyDescent="0.3">
      <c r="A5424" t="s">
        <v>5459</v>
      </c>
      <c r="B5424" t="s">
        <v>53</v>
      </c>
      <c r="C5424">
        <v>510000</v>
      </c>
      <c r="D5424">
        <v>24821.4</v>
      </c>
      <c r="E5424">
        <v>2.6599999999999999E-2</v>
      </c>
      <c r="F5424">
        <v>9.5100000000000004E-2</v>
      </c>
    </row>
    <row r="5425" spans="1:6" x14ac:dyDescent="0.3">
      <c r="A5425" t="s">
        <v>5460</v>
      </c>
      <c r="B5425" t="s">
        <v>214</v>
      </c>
      <c r="C5425">
        <v>498000</v>
      </c>
      <c r="D5425">
        <v>15525.9</v>
      </c>
      <c r="E5425">
        <v>1.2500000000000001E-2</v>
      </c>
      <c r="F5425">
        <v>4.6199999999999998E-2</v>
      </c>
    </row>
    <row r="5426" spans="1:6" x14ac:dyDescent="0.3">
      <c r="A5426" t="s">
        <v>5461</v>
      </c>
      <c r="B5426" t="s">
        <v>26</v>
      </c>
      <c r="C5426">
        <v>545000</v>
      </c>
      <c r="D5426">
        <v>104260.1</v>
      </c>
      <c r="E5426">
        <v>5.5800000000000002E-2</v>
      </c>
      <c r="F5426">
        <v>9.5100000000000004E-2</v>
      </c>
    </row>
    <row r="5427" spans="1:6" x14ac:dyDescent="0.3">
      <c r="A5427" t="s">
        <v>5462</v>
      </c>
      <c r="B5427" t="s">
        <v>21</v>
      </c>
      <c r="C5427">
        <v>2220000</v>
      </c>
      <c r="D5427">
        <v>198109.1</v>
      </c>
      <c r="E5427">
        <v>1.6799999999999999E-2</v>
      </c>
      <c r="F5427">
        <v>4.6199999999999998E-2</v>
      </c>
    </row>
    <row r="5428" spans="1:6" x14ac:dyDescent="0.3">
      <c r="A5428" t="s">
        <v>5463</v>
      </c>
      <c r="B5428" t="s">
        <v>287</v>
      </c>
      <c r="C5428">
        <v>492000</v>
      </c>
      <c r="D5428">
        <v>71250.899999999994</v>
      </c>
      <c r="E5428">
        <v>4.87E-2</v>
      </c>
      <c r="F5428">
        <v>7.5899999999999995E-2</v>
      </c>
    </row>
    <row r="5429" spans="1:6" x14ac:dyDescent="0.3">
      <c r="A5429" t="s">
        <v>5464</v>
      </c>
      <c r="B5429" t="s">
        <v>53</v>
      </c>
      <c r="C5429">
        <v>876000</v>
      </c>
      <c r="D5429">
        <v>21295</v>
      </c>
      <c r="E5429">
        <v>5.2299999999999999E-2</v>
      </c>
      <c r="F5429">
        <v>7.5899999999999995E-2</v>
      </c>
    </row>
    <row r="5430" spans="1:6" x14ac:dyDescent="0.3">
      <c r="A5430" t="s">
        <v>5465</v>
      </c>
      <c r="B5430" t="s">
        <v>26</v>
      </c>
      <c r="C5430">
        <v>412000</v>
      </c>
      <c r="D5430">
        <v>16397.599999999999</v>
      </c>
      <c r="E5430">
        <v>5.8099999999999999E-2</v>
      </c>
      <c r="F5430">
        <v>9.5100000000000004E-2</v>
      </c>
    </row>
    <row r="5431" spans="1:6" x14ac:dyDescent="0.3">
      <c r="A5431" t="s">
        <v>5466</v>
      </c>
      <c r="B5431" t="s">
        <v>74</v>
      </c>
      <c r="C5431">
        <v>473000</v>
      </c>
      <c r="D5431">
        <v>1851.2</v>
      </c>
      <c r="E5431">
        <v>5.0999999999999997E-2</v>
      </c>
      <c r="F5431">
        <v>9.3799999999999994E-2</v>
      </c>
    </row>
    <row r="5432" spans="1:6" x14ac:dyDescent="0.3">
      <c r="A5432" t="s">
        <v>5467</v>
      </c>
      <c r="B5432" t="s">
        <v>88</v>
      </c>
      <c r="C5432">
        <v>414000</v>
      </c>
      <c r="D5432">
        <v>1194</v>
      </c>
      <c r="E5432">
        <v>4.3499999999999997E-2</v>
      </c>
      <c r="F5432">
        <v>0.15179999999999999</v>
      </c>
    </row>
    <row r="5433" spans="1:6" x14ac:dyDescent="0.3">
      <c r="A5433" t="s">
        <v>5468</v>
      </c>
      <c r="B5433" t="s">
        <v>41</v>
      </c>
      <c r="C5433">
        <v>474000</v>
      </c>
      <c r="D5433">
        <v>31322.799999999999</v>
      </c>
      <c r="E5433">
        <v>2.92E-2</v>
      </c>
      <c r="F5433">
        <v>7.5899999999999995E-2</v>
      </c>
    </row>
    <row r="5434" spans="1:6" x14ac:dyDescent="0.3">
      <c r="A5434" t="s">
        <v>5469</v>
      </c>
      <c r="B5434" t="s">
        <v>26</v>
      </c>
      <c r="C5434">
        <v>717000</v>
      </c>
      <c r="D5434">
        <v>602164.80000000005</v>
      </c>
      <c r="E5434">
        <v>3.4000000000000002E-2</v>
      </c>
      <c r="F5434">
        <v>4.0899999999999999E-2</v>
      </c>
    </row>
    <row r="5435" spans="1:6" x14ac:dyDescent="0.3">
      <c r="A5435" t="s">
        <v>5470</v>
      </c>
      <c r="B5435" t="s">
        <v>81</v>
      </c>
      <c r="C5435">
        <v>428000</v>
      </c>
      <c r="D5435">
        <v>241676.6</v>
      </c>
      <c r="E5435">
        <v>2.1999999999999999E-2</v>
      </c>
      <c r="F5435">
        <v>9.5100000000000004E-2</v>
      </c>
    </row>
    <row r="5436" spans="1:6" x14ac:dyDescent="0.3">
      <c r="A5436" t="s">
        <v>5471</v>
      </c>
      <c r="B5436" t="s">
        <v>81</v>
      </c>
      <c r="C5436">
        <v>578000</v>
      </c>
      <c r="D5436">
        <v>2166.6</v>
      </c>
      <c r="E5436">
        <v>7.2300000000000003E-2</v>
      </c>
      <c r="F5436">
        <v>9.3799999999999994E-2</v>
      </c>
    </row>
    <row r="5437" spans="1:6" x14ac:dyDescent="0.3">
      <c r="A5437" t="s">
        <v>5472</v>
      </c>
      <c r="B5437" t="s">
        <v>26</v>
      </c>
      <c r="C5437">
        <v>547000</v>
      </c>
      <c r="D5437">
        <v>49301.599999999999</v>
      </c>
      <c r="E5437">
        <v>2.0199999999999999E-2</v>
      </c>
      <c r="F5437">
        <v>8.5400000000000004E-2</v>
      </c>
    </row>
    <row r="5438" spans="1:6" x14ac:dyDescent="0.3">
      <c r="A5438" t="s">
        <v>5473</v>
      </c>
      <c r="B5438" t="s">
        <v>53</v>
      </c>
      <c r="C5438">
        <v>690000</v>
      </c>
      <c r="D5438">
        <v>57654.5</v>
      </c>
      <c r="E5438">
        <v>0.10929999999999999</v>
      </c>
      <c r="F5438">
        <v>7.5899999999999995E-2</v>
      </c>
    </row>
    <row r="5439" spans="1:6" x14ac:dyDescent="0.3">
      <c r="A5439" t="s">
        <v>5474</v>
      </c>
      <c r="B5439" t="s">
        <v>92</v>
      </c>
      <c r="C5439">
        <v>437000</v>
      </c>
      <c r="D5439">
        <v>3780.2</v>
      </c>
      <c r="E5439">
        <v>4.1200000000000001E-2</v>
      </c>
      <c r="F5439">
        <v>9.5100000000000004E-2</v>
      </c>
    </row>
    <row r="5440" spans="1:6" x14ac:dyDescent="0.3">
      <c r="A5440" t="s">
        <v>5475</v>
      </c>
      <c r="B5440" t="s">
        <v>26</v>
      </c>
      <c r="C5440">
        <v>454000</v>
      </c>
      <c r="D5440">
        <v>19453.8</v>
      </c>
      <c r="E5440">
        <v>0.47289999999999999</v>
      </c>
      <c r="F5440">
        <v>7.5899999999999995E-2</v>
      </c>
    </row>
    <row r="5441" spans="1:6" x14ac:dyDescent="0.3">
      <c r="A5441" t="s">
        <v>5476</v>
      </c>
      <c r="B5441" t="s">
        <v>41</v>
      </c>
      <c r="C5441">
        <v>603000</v>
      </c>
      <c r="D5441">
        <v>15871.3</v>
      </c>
      <c r="E5441">
        <v>0.12939999999999999</v>
      </c>
      <c r="F5441">
        <v>0.1043</v>
      </c>
    </row>
    <row r="5442" spans="1:6" x14ac:dyDescent="0.3">
      <c r="A5442" t="s">
        <v>5477</v>
      </c>
      <c r="B5442" t="s">
        <v>214</v>
      </c>
      <c r="C5442">
        <v>446000</v>
      </c>
      <c r="D5442">
        <v>2881.1</v>
      </c>
      <c r="E5442">
        <v>1.54E-2</v>
      </c>
      <c r="F5442">
        <v>7.4099999999999999E-2</v>
      </c>
    </row>
    <row r="5443" spans="1:6" x14ac:dyDescent="0.3">
      <c r="A5443" t="s">
        <v>5478</v>
      </c>
      <c r="B5443" t="s">
        <v>21</v>
      </c>
      <c r="C5443">
        <v>547000</v>
      </c>
      <c r="D5443">
        <v>1339.2</v>
      </c>
      <c r="E5443">
        <v>1.1599999999999999E-2</v>
      </c>
      <c r="F5443">
        <v>0.13089999999999999</v>
      </c>
    </row>
    <row r="5444" spans="1:6" x14ac:dyDescent="0.3">
      <c r="A5444" t="s">
        <v>5479</v>
      </c>
      <c r="B5444" t="s">
        <v>26</v>
      </c>
      <c r="C5444">
        <v>430000</v>
      </c>
      <c r="D5444">
        <v>4244.3</v>
      </c>
      <c r="E5444">
        <v>2.5399999999999999E-2</v>
      </c>
      <c r="F5444">
        <v>0.11700000000000001</v>
      </c>
    </row>
    <row r="5445" spans="1:6" x14ac:dyDescent="0.3">
      <c r="A5445" t="s">
        <v>5480</v>
      </c>
      <c r="B5445" t="s">
        <v>28</v>
      </c>
      <c r="C5445">
        <v>540000</v>
      </c>
      <c r="D5445">
        <v>5931.4</v>
      </c>
      <c r="E5445">
        <v>1.01E-2</v>
      </c>
      <c r="F5445">
        <v>6.54E-2</v>
      </c>
    </row>
    <row r="5446" spans="1:6" x14ac:dyDescent="0.3">
      <c r="A5446" t="s">
        <v>5481</v>
      </c>
      <c r="B5446" t="s">
        <v>490</v>
      </c>
      <c r="C5446">
        <v>496000</v>
      </c>
      <c r="D5446">
        <v>1674.4</v>
      </c>
      <c r="E5446">
        <v>1.8200000000000001E-2</v>
      </c>
      <c r="F5446">
        <v>9.3700000000000006E-2</v>
      </c>
    </row>
    <row r="5447" spans="1:6" x14ac:dyDescent="0.3">
      <c r="A5447" t="s">
        <v>5482</v>
      </c>
      <c r="B5447" t="s">
        <v>88</v>
      </c>
      <c r="C5447">
        <v>490000</v>
      </c>
      <c r="D5447">
        <v>8817</v>
      </c>
      <c r="E5447">
        <v>5.5800000000000002E-2</v>
      </c>
      <c r="F5447">
        <v>7.5899999999999995E-2</v>
      </c>
    </row>
    <row r="5448" spans="1:6" x14ac:dyDescent="0.3">
      <c r="A5448" t="s">
        <v>5483</v>
      </c>
      <c r="B5448" t="s">
        <v>26</v>
      </c>
      <c r="C5448">
        <v>538000</v>
      </c>
      <c r="D5448">
        <v>12084</v>
      </c>
      <c r="E5448">
        <v>2.6200000000000001E-2</v>
      </c>
      <c r="F5448">
        <v>5.0999999999999997E-2</v>
      </c>
    </row>
    <row r="5449" spans="1:6" x14ac:dyDescent="0.3">
      <c r="A5449" t="s">
        <v>5484</v>
      </c>
      <c r="B5449" t="s">
        <v>214</v>
      </c>
      <c r="C5449">
        <v>637000</v>
      </c>
      <c r="D5449">
        <v>2359.6</v>
      </c>
      <c r="E5449">
        <v>1.6E-2</v>
      </c>
      <c r="F5449">
        <v>0.16900000000000001</v>
      </c>
    </row>
    <row r="5450" spans="1:6" x14ac:dyDescent="0.3">
      <c r="A5450" t="s">
        <v>5485</v>
      </c>
      <c r="B5450" t="s">
        <v>214</v>
      </c>
      <c r="C5450">
        <v>480000</v>
      </c>
      <c r="D5450">
        <v>3155</v>
      </c>
      <c r="F5450">
        <v>4.0899999999999999E-2</v>
      </c>
    </row>
    <row r="5451" spans="1:6" x14ac:dyDescent="0.3">
      <c r="A5451" t="s">
        <v>5486</v>
      </c>
      <c r="B5451" t="s">
        <v>35</v>
      </c>
      <c r="C5451">
        <v>542000</v>
      </c>
      <c r="D5451">
        <v>124857.1</v>
      </c>
      <c r="E5451">
        <v>2.52E-2</v>
      </c>
      <c r="F5451">
        <v>7.5899999999999995E-2</v>
      </c>
    </row>
    <row r="5452" spans="1:6" x14ac:dyDescent="0.3">
      <c r="A5452" t="s">
        <v>5487</v>
      </c>
      <c r="B5452" t="s">
        <v>62</v>
      </c>
      <c r="C5452">
        <v>434000</v>
      </c>
      <c r="D5452">
        <v>1669.4</v>
      </c>
      <c r="E5452">
        <v>2.6800000000000001E-2</v>
      </c>
      <c r="F5452">
        <v>9.5100000000000004E-2</v>
      </c>
    </row>
    <row r="5453" spans="1:6" x14ac:dyDescent="0.3">
      <c r="A5453" t="s">
        <v>5488</v>
      </c>
      <c r="B5453" t="s">
        <v>21</v>
      </c>
      <c r="C5453">
        <v>2500000</v>
      </c>
      <c r="D5453">
        <v>450884.8</v>
      </c>
      <c r="E5453">
        <v>9.1999999999999998E-3</v>
      </c>
      <c r="F5453">
        <v>6.54E-2</v>
      </c>
    </row>
    <row r="5454" spans="1:6" x14ac:dyDescent="0.3">
      <c r="A5454" t="s">
        <v>5489</v>
      </c>
      <c r="B5454" t="s">
        <v>41</v>
      </c>
      <c r="C5454">
        <v>600000</v>
      </c>
      <c r="D5454">
        <v>10736.7</v>
      </c>
      <c r="E5454">
        <v>0.1153</v>
      </c>
      <c r="F5454">
        <v>9.3799999999999994E-2</v>
      </c>
    </row>
    <row r="5455" spans="1:6" x14ac:dyDescent="0.3">
      <c r="A5455" t="s">
        <v>5490</v>
      </c>
      <c r="B5455" t="s">
        <v>62</v>
      </c>
      <c r="C5455">
        <v>519000</v>
      </c>
      <c r="D5455">
        <v>75112.800000000003</v>
      </c>
      <c r="E5455">
        <v>3.4200000000000001E-2</v>
      </c>
      <c r="F5455">
        <v>7.5899999999999995E-2</v>
      </c>
    </row>
    <row r="5456" spans="1:6" x14ac:dyDescent="0.3">
      <c r="A5456" t="s">
        <v>5491</v>
      </c>
      <c r="B5456" t="s">
        <v>50</v>
      </c>
      <c r="C5456">
        <v>2000000</v>
      </c>
      <c r="D5456">
        <v>71828.800000000003</v>
      </c>
      <c r="E5456">
        <v>9.7999999999999997E-3</v>
      </c>
      <c r="F5456">
        <v>6.54E-2</v>
      </c>
    </row>
    <row r="5457" spans="1:6" x14ac:dyDescent="0.3">
      <c r="A5457" t="s">
        <v>5492</v>
      </c>
      <c r="B5457" t="s">
        <v>92</v>
      </c>
      <c r="C5457">
        <v>1710000</v>
      </c>
      <c r="D5457">
        <v>1176945.6000000001</v>
      </c>
      <c r="E5457">
        <v>3.6999999999999998E-2</v>
      </c>
      <c r="F5457">
        <v>4.0899999999999999E-2</v>
      </c>
    </row>
    <row r="5458" spans="1:6" x14ac:dyDescent="0.3">
      <c r="A5458" t="s">
        <v>5493</v>
      </c>
      <c r="B5458" t="s">
        <v>88</v>
      </c>
      <c r="C5458">
        <v>420000</v>
      </c>
      <c r="D5458">
        <v>1004.4</v>
      </c>
      <c r="E5458">
        <v>5.91E-2</v>
      </c>
      <c r="F5458">
        <v>7.5899999999999995E-2</v>
      </c>
    </row>
    <row r="5459" spans="1:6" x14ac:dyDescent="0.3">
      <c r="A5459" t="s">
        <v>5494</v>
      </c>
      <c r="B5459" t="s">
        <v>195</v>
      </c>
      <c r="C5459">
        <v>417000</v>
      </c>
      <c r="D5459">
        <v>5095.6000000000004</v>
      </c>
      <c r="E5459">
        <v>6.8999999999999999E-3</v>
      </c>
      <c r="F5459">
        <v>6.54E-2</v>
      </c>
    </row>
    <row r="5460" spans="1:6" x14ac:dyDescent="0.3">
      <c r="A5460" t="s">
        <v>5495</v>
      </c>
      <c r="B5460" t="s">
        <v>53</v>
      </c>
      <c r="C5460">
        <v>494000</v>
      </c>
      <c r="D5460">
        <v>1925.4</v>
      </c>
      <c r="F5460">
        <v>7.5899999999999995E-2</v>
      </c>
    </row>
    <row r="5461" spans="1:6" x14ac:dyDescent="0.3">
      <c r="A5461" t="s">
        <v>5496</v>
      </c>
      <c r="B5461" t="s">
        <v>28</v>
      </c>
      <c r="C5461">
        <v>536000</v>
      </c>
      <c r="D5461">
        <v>1149.7</v>
      </c>
      <c r="E5461">
        <v>1.38E-2</v>
      </c>
      <c r="F5461">
        <v>8.2100000000000006E-2</v>
      </c>
    </row>
    <row r="5462" spans="1:6" x14ac:dyDescent="0.3">
      <c r="A5462" t="s">
        <v>5497</v>
      </c>
      <c r="B5462" t="s">
        <v>26</v>
      </c>
      <c r="C5462">
        <v>563000</v>
      </c>
      <c r="D5462">
        <v>25880.5</v>
      </c>
      <c r="E5462">
        <v>4.0899999999999999E-2</v>
      </c>
      <c r="F5462">
        <v>7.5899999999999995E-2</v>
      </c>
    </row>
    <row r="5463" spans="1:6" x14ac:dyDescent="0.3">
      <c r="A5463" t="s">
        <v>5498</v>
      </c>
      <c r="B5463" t="s">
        <v>214</v>
      </c>
      <c r="C5463">
        <v>397000</v>
      </c>
      <c r="D5463">
        <v>174.8</v>
      </c>
      <c r="E5463">
        <v>2.7099999999999999E-2</v>
      </c>
      <c r="F5463">
        <v>7.5899999999999995E-2</v>
      </c>
    </row>
    <row r="5464" spans="1:6" x14ac:dyDescent="0.3">
      <c r="A5464" t="s">
        <v>5499</v>
      </c>
      <c r="B5464" t="s">
        <v>53</v>
      </c>
      <c r="C5464">
        <v>704000</v>
      </c>
      <c r="D5464">
        <v>53124.7</v>
      </c>
      <c r="E5464">
        <v>4.1099999999999998E-2</v>
      </c>
      <c r="F5464">
        <v>9.3799999999999994E-2</v>
      </c>
    </row>
    <row r="5465" spans="1:6" x14ac:dyDescent="0.3">
      <c r="A5465" t="s">
        <v>5500</v>
      </c>
      <c r="B5465" t="s">
        <v>88</v>
      </c>
      <c r="C5465">
        <v>1100000</v>
      </c>
      <c r="D5465">
        <v>601.79999999999995</v>
      </c>
      <c r="E5465">
        <v>0.1023</v>
      </c>
      <c r="F5465">
        <v>9.3799999999999994E-2</v>
      </c>
    </row>
    <row r="5466" spans="1:6" x14ac:dyDescent="0.3">
      <c r="A5466" t="s">
        <v>5501</v>
      </c>
      <c r="B5466" t="s">
        <v>30</v>
      </c>
      <c r="C5466">
        <v>422000</v>
      </c>
      <c r="D5466">
        <v>3701</v>
      </c>
      <c r="E5466">
        <v>0.04</v>
      </c>
      <c r="F5466">
        <v>9.5100000000000004E-2</v>
      </c>
    </row>
    <row r="5467" spans="1:6" x14ac:dyDescent="0.3">
      <c r="A5467" t="s">
        <v>5502</v>
      </c>
      <c r="B5467" t="s">
        <v>214</v>
      </c>
      <c r="C5467">
        <v>412000</v>
      </c>
      <c r="D5467">
        <v>6401.1</v>
      </c>
      <c r="E5467">
        <v>3.5099999999999999E-2</v>
      </c>
      <c r="F5467">
        <v>9.5100000000000004E-2</v>
      </c>
    </row>
    <row r="5468" spans="1:6" x14ac:dyDescent="0.3">
      <c r="A5468" t="s">
        <v>5503</v>
      </c>
      <c r="B5468" t="s">
        <v>53</v>
      </c>
      <c r="C5468">
        <v>497000</v>
      </c>
      <c r="D5468">
        <v>12218.7</v>
      </c>
      <c r="E5468">
        <v>4.0599999999999997E-2</v>
      </c>
      <c r="F5468">
        <v>0.11700000000000001</v>
      </c>
    </row>
    <row r="5469" spans="1:6" x14ac:dyDescent="0.3">
      <c r="A5469" t="s">
        <v>5504</v>
      </c>
      <c r="B5469" t="s">
        <v>32</v>
      </c>
      <c r="C5469">
        <v>430000</v>
      </c>
      <c r="D5469">
        <v>775125.1</v>
      </c>
      <c r="E5469">
        <v>2.58E-2</v>
      </c>
      <c r="F5469">
        <v>9.5100000000000004E-2</v>
      </c>
    </row>
    <row r="5470" spans="1:6" x14ac:dyDescent="0.3">
      <c r="A5470" t="s">
        <v>5505</v>
      </c>
      <c r="B5470" t="s">
        <v>50</v>
      </c>
      <c r="C5470">
        <v>337000</v>
      </c>
      <c r="D5470">
        <v>28227.1</v>
      </c>
      <c r="E5470">
        <v>4.9099999999999998E-2</v>
      </c>
      <c r="F5470">
        <v>7.5899999999999995E-2</v>
      </c>
    </row>
    <row r="5471" spans="1:6" x14ac:dyDescent="0.3">
      <c r="A5471" t="s">
        <v>5506</v>
      </c>
      <c r="B5471" t="s">
        <v>26</v>
      </c>
      <c r="C5471">
        <v>596000</v>
      </c>
      <c r="D5471">
        <v>4215.5</v>
      </c>
      <c r="E5471">
        <v>5.4999999999999997E-3</v>
      </c>
      <c r="F5471">
        <v>6.54E-2</v>
      </c>
    </row>
    <row r="5472" spans="1:6" x14ac:dyDescent="0.3">
      <c r="A5472" t="s">
        <v>5507</v>
      </c>
      <c r="B5472" t="s">
        <v>26</v>
      </c>
      <c r="C5472">
        <v>420000</v>
      </c>
      <c r="D5472">
        <v>7203.5</v>
      </c>
      <c r="E5472">
        <v>4.5400000000000003E-2</v>
      </c>
      <c r="F5472">
        <v>7.5899999999999995E-2</v>
      </c>
    </row>
    <row r="5473" spans="1:6" x14ac:dyDescent="0.3">
      <c r="A5473" t="s">
        <v>5508</v>
      </c>
      <c r="B5473" t="s">
        <v>53</v>
      </c>
      <c r="C5473">
        <v>459000</v>
      </c>
      <c r="D5473">
        <v>11071.3</v>
      </c>
      <c r="E5473">
        <v>2.9399999999999999E-2</v>
      </c>
      <c r="F5473">
        <v>7.5899999999999995E-2</v>
      </c>
    </row>
    <row r="5474" spans="1:6" x14ac:dyDescent="0.3">
      <c r="A5474" t="s">
        <v>5509</v>
      </c>
      <c r="B5474" t="s">
        <v>214</v>
      </c>
      <c r="C5474">
        <v>420000</v>
      </c>
      <c r="D5474">
        <v>1828.8</v>
      </c>
      <c r="E5474">
        <v>1.0999999999999999E-2</v>
      </c>
      <c r="F5474">
        <v>8.2199999999999995E-2</v>
      </c>
    </row>
    <row r="5475" spans="1:6" x14ac:dyDescent="0.3">
      <c r="A5475" t="s">
        <v>5510</v>
      </c>
      <c r="B5475" t="s">
        <v>41</v>
      </c>
      <c r="C5475">
        <v>719000</v>
      </c>
      <c r="D5475">
        <v>3187.7</v>
      </c>
      <c r="E5475">
        <v>9.9000000000000008E-3</v>
      </c>
      <c r="F5475">
        <v>0.18659999999999999</v>
      </c>
    </row>
    <row r="5476" spans="1:6" x14ac:dyDescent="0.3">
      <c r="A5476" t="s">
        <v>5511</v>
      </c>
      <c r="B5476" t="s">
        <v>26</v>
      </c>
      <c r="C5476">
        <v>498000</v>
      </c>
      <c r="D5476">
        <v>7981.2</v>
      </c>
      <c r="E5476">
        <v>4.6100000000000002E-2</v>
      </c>
      <c r="F5476">
        <v>9.5100000000000004E-2</v>
      </c>
    </row>
    <row r="5477" spans="1:6" x14ac:dyDescent="0.3">
      <c r="A5477" t="s">
        <v>5512</v>
      </c>
      <c r="B5477" t="s">
        <v>92</v>
      </c>
      <c r="C5477">
        <v>571000</v>
      </c>
      <c r="D5477">
        <v>11451.1</v>
      </c>
      <c r="E5477">
        <v>2.6200000000000001E-2</v>
      </c>
      <c r="F5477">
        <v>9.3799999999999994E-2</v>
      </c>
    </row>
    <row r="5478" spans="1:6" x14ac:dyDescent="0.3">
      <c r="A5478" t="s">
        <v>5513</v>
      </c>
      <c r="B5478" t="s">
        <v>26</v>
      </c>
      <c r="C5478">
        <v>503000</v>
      </c>
      <c r="D5478">
        <v>7527.2</v>
      </c>
      <c r="E5478">
        <v>2.98E-2</v>
      </c>
      <c r="F5478">
        <v>0.13869999999999999</v>
      </c>
    </row>
    <row r="5479" spans="1:6" x14ac:dyDescent="0.3">
      <c r="A5479" t="s">
        <v>5514</v>
      </c>
      <c r="B5479" t="s">
        <v>26</v>
      </c>
      <c r="C5479">
        <v>417000</v>
      </c>
      <c r="D5479">
        <v>9741.5</v>
      </c>
      <c r="E5479">
        <v>5.4100000000000002E-2</v>
      </c>
      <c r="F5479">
        <v>7.5899999999999995E-2</v>
      </c>
    </row>
    <row r="5480" spans="1:6" x14ac:dyDescent="0.3">
      <c r="A5480" t="s">
        <v>5515</v>
      </c>
      <c r="B5480" t="s">
        <v>26</v>
      </c>
      <c r="C5480">
        <v>432000</v>
      </c>
      <c r="D5480">
        <v>2127.3000000000002</v>
      </c>
      <c r="F5480">
        <v>9.5100000000000004E-2</v>
      </c>
    </row>
    <row r="5481" spans="1:6" x14ac:dyDescent="0.3">
      <c r="A5481" t="s">
        <v>5516</v>
      </c>
      <c r="B5481" t="s">
        <v>26</v>
      </c>
      <c r="C5481">
        <v>128000</v>
      </c>
      <c r="D5481">
        <v>1893.8</v>
      </c>
      <c r="E5481">
        <v>1.6299999999999999E-2</v>
      </c>
      <c r="F5481">
        <v>5.8500000000000003E-2</v>
      </c>
    </row>
    <row r="5482" spans="1:6" x14ac:dyDescent="0.3">
      <c r="A5482" t="s">
        <v>5517</v>
      </c>
      <c r="B5482" t="s">
        <v>81</v>
      </c>
      <c r="C5482">
        <v>489000</v>
      </c>
      <c r="D5482">
        <v>15168.2</v>
      </c>
      <c r="E5482">
        <v>1.77E-2</v>
      </c>
      <c r="F5482">
        <v>4.8800000000000003E-2</v>
      </c>
    </row>
    <row r="5483" spans="1:6" x14ac:dyDescent="0.3">
      <c r="A5483" t="s">
        <v>5518</v>
      </c>
      <c r="B5483" t="s">
        <v>88</v>
      </c>
      <c r="C5483">
        <v>453000</v>
      </c>
      <c r="D5483">
        <v>921.5</v>
      </c>
      <c r="E5483">
        <v>1.5699999999999999E-2</v>
      </c>
      <c r="F5483">
        <v>0.1067</v>
      </c>
    </row>
    <row r="5484" spans="1:6" x14ac:dyDescent="0.3">
      <c r="A5484" t="s">
        <v>5519</v>
      </c>
      <c r="B5484" t="s">
        <v>195</v>
      </c>
      <c r="C5484">
        <v>441000</v>
      </c>
      <c r="D5484">
        <v>2629.5</v>
      </c>
      <c r="E5484">
        <v>3.7999999999999999E-2</v>
      </c>
      <c r="F5484">
        <v>7.5899999999999995E-2</v>
      </c>
    </row>
    <row r="5485" spans="1:6" x14ac:dyDescent="0.3">
      <c r="A5485" t="s">
        <v>5520</v>
      </c>
      <c r="B5485" t="s">
        <v>35</v>
      </c>
      <c r="C5485">
        <v>595000</v>
      </c>
      <c r="D5485">
        <v>101508.1</v>
      </c>
      <c r="E5485">
        <v>2.7099999999999999E-2</v>
      </c>
      <c r="F5485">
        <v>7.5899999999999995E-2</v>
      </c>
    </row>
    <row r="5486" spans="1:6" x14ac:dyDescent="0.3">
      <c r="A5486" t="s">
        <v>5521</v>
      </c>
      <c r="B5486" t="s">
        <v>88</v>
      </c>
      <c r="C5486">
        <v>579000</v>
      </c>
      <c r="D5486">
        <v>2071.1</v>
      </c>
      <c r="E5486">
        <v>2.3699999999999999E-2</v>
      </c>
      <c r="F5486">
        <v>0.15429999999999999</v>
      </c>
    </row>
    <row r="5487" spans="1:6" x14ac:dyDescent="0.3">
      <c r="A5487" t="s">
        <v>5522</v>
      </c>
      <c r="B5487" t="s">
        <v>74</v>
      </c>
      <c r="C5487">
        <v>433000</v>
      </c>
      <c r="D5487">
        <v>2114.6999999999998</v>
      </c>
      <c r="E5487">
        <v>5.11E-2</v>
      </c>
      <c r="F5487">
        <v>7.5899999999999995E-2</v>
      </c>
    </row>
    <row r="5488" spans="1:6" x14ac:dyDescent="0.3">
      <c r="A5488" t="s">
        <v>5523</v>
      </c>
      <c r="B5488" t="s">
        <v>26</v>
      </c>
      <c r="C5488">
        <v>470000</v>
      </c>
      <c r="D5488">
        <v>20990.6</v>
      </c>
      <c r="E5488">
        <v>5.6500000000000002E-2</v>
      </c>
      <c r="F5488">
        <v>7.5899999999999995E-2</v>
      </c>
    </row>
    <row r="5489" spans="1:6" x14ac:dyDescent="0.3">
      <c r="A5489" t="s">
        <v>5524</v>
      </c>
      <c r="B5489" t="s">
        <v>26</v>
      </c>
      <c r="C5489">
        <v>445000</v>
      </c>
      <c r="D5489">
        <v>30231</v>
      </c>
      <c r="E5489">
        <v>2.0400000000000001E-2</v>
      </c>
      <c r="F5489">
        <v>4.0899999999999999E-2</v>
      </c>
    </row>
    <row r="5490" spans="1:6" x14ac:dyDescent="0.3">
      <c r="A5490" t="s">
        <v>5525</v>
      </c>
      <c r="B5490" t="s">
        <v>50</v>
      </c>
      <c r="C5490">
        <v>590000</v>
      </c>
      <c r="D5490">
        <v>3687.9</v>
      </c>
      <c r="E5490">
        <v>2.8400000000000002E-2</v>
      </c>
      <c r="F5490">
        <v>9.3799999999999994E-2</v>
      </c>
    </row>
    <row r="5491" spans="1:6" x14ac:dyDescent="0.3">
      <c r="A5491" t="s">
        <v>5526</v>
      </c>
      <c r="B5491" t="s">
        <v>32</v>
      </c>
      <c r="C5491">
        <v>430000</v>
      </c>
      <c r="D5491">
        <v>4262.2</v>
      </c>
      <c r="E5491">
        <v>1.3599999999999999E-2</v>
      </c>
      <c r="F5491">
        <v>0.1067</v>
      </c>
    </row>
    <row r="5492" spans="1:6" x14ac:dyDescent="0.3">
      <c r="A5492" t="s">
        <v>5527</v>
      </c>
      <c r="B5492" t="s">
        <v>41</v>
      </c>
      <c r="C5492">
        <v>418000</v>
      </c>
      <c r="D5492">
        <v>2538.6999999999998</v>
      </c>
      <c r="E5492">
        <v>1.83E-2</v>
      </c>
      <c r="F5492">
        <v>0.1053</v>
      </c>
    </row>
    <row r="5493" spans="1:6" x14ac:dyDescent="0.3">
      <c r="A5493" t="s">
        <v>5528</v>
      </c>
      <c r="B5493" t="s">
        <v>26</v>
      </c>
      <c r="C5493">
        <v>617000</v>
      </c>
      <c r="D5493">
        <v>48040.9</v>
      </c>
      <c r="E5493">
        <v>5.0900000000000001E-2</v>
      </c>
      <c r="F5493">
        <v>7.5899999999999995E-2</v>
      </c>
    </row>
    <row r="5494" spans="1:6" x14ac:dyDescent="0.3">
      <c r="A5494" t="s">
        <v>5529</v>
      </c>
      <c r="B5494" t="s">
        <v>41</v>
      </c>
      <c r="C5494">
        <v>1040000</v>
      </c>
      <c r="D5494">
        <v>75.099999999999994</v>
      </c>
      <c r="E5494">
        <v>2.7699999999999999E-2</v>
      </c>
      <c r="F5494">
        <v>0.16880000000000001</v>
      </c>
    </row>
    <row r="5495" spans="1:6" x14ac:dyDescent="0.3">
      <c r="A5495" t="s">
        <v>5530</v>
      </c>
      <c r="B5495" t="s">
        <v>92</v>
      </c>
      <c r="C5495">
        <v>439000</v>
      </c>
      <c r="D5495">
        <v>8079000.4000000004</v>
      </c>
      <c r="E5495">
        <v>3.8E-3</v>
      </c>
      <c r="F5495">
        <v>8.2199999999999995E-2</v>
      </c>
    </row>
    <row r="5496" spans="1:6" x14ac:dyDescent="0.3">
      <c r="A5496" t="s">
        <v>5531</v>
      </c>
      <c r="B5496" t="s">
        <v>26</v>
      </c>
      <c r="C5496">
        <v>544000</v>
      </c>
      <c r="D5496">
        <v>82577.8</v>
      </c>
      <c r="E5496">
        <v>5.8700000000000002E-2</v>
      </c>
      <c r="F5496">
        <v>9.5100000000000004E-2</v>
      </c>
    </row>
    <row r="5497" spans="1:6" x14ac:dyDescent="0.3">
      <c r="A5497" t="s">
        <v>5532</v>
      </c>
      <c r="B5497" t="s">
        <v>26</v>
      </c>
      <c r="C5497">
        <v>424000</v>
      </c>
      <c r="D5497">
        <v>96911.3</v>
      </c>
      <c r="E5497">
        <v>1.18E-2</v>
      </c>
      <c r="F5497">
        <v>7.3599999999999999E-2</v>
      </c>
    </row>
    <row r="5498" spans="1:6" x14ac:dyDescent="0.3">
      <c r="A5498" t="s">
        <v>5533</v>
      </c>
      <c r="B5498" t="s">
        <v>74</v>
      </c>
      <c r="C5498">
        <v>416000</v>
      </c>
      <c r="D5498">
        <v>289.89999999999998</v>
      </c>
      <c r="E5498">
        <v>4.6399999999999997E-2</v>
      </c>
      <c r="F5498">
        <v>7.5899999999999995E-2</v>
      </c>
    </row>
    <row r="5499" spans="1:6" x14ac:dyDescent="0.3">
      <c r="A5499" t="s">
        <v>5534</v>
      </c>
      <c r="B5499" t="s">
        <v>88</v>
      </c>
      <c r="C5499">
        <v>478000</v>
      </c>
      <c r="D5499">
        <v>3670.8</v>
      </c>
      <c r="E5499">
        <v>1.83E-2</v>
      </c>
      <c r="F5499">
        <v>0.1053</v>
      </c>
    </row>
    <row r="5500" spans="1:6" x14ac:dyDescent="0.3">
      <c r="A5500" t="s">
        <v>5535</v>
      </c>
      <c r="B5500" t="s">
        <v>287</v>
      </c>
      <c r="C5500">
        <v>407000</v>
      </c>
      <c r="D5500">
        <v>1434.1</v>
      </c>
      <c r="F5500">
        <v>7.5899999999999995E-2</v>
      </c>
    </row>
    <row r="5501" spans="1:6" x14ac:dyDescent="0.3">
      <c r="A5501" t="s">
        <v>5536</v>
      </c>
      <c r="B5501" t="s">
        <v>88</v>
      </c>
      <c r="C5501">
        <v>498000</v>
      </c>
      <c r="D5501">
        <v>4552.1000000000004</v>
      </c>
      <c r="E5501">
        <v>1.1900000000000001E-2</v>
      </c>
      <c r="F5501">
        <v>8.1100000000000005E-2</v>
      </c>
    </row>
    <row r="5502" spans="1:6" x14ac:dyDescent="0.3">
      <c r="A5502" t="s">
        <v>5537</v>
      </c>
      <c r="B5502" t="s">
        <v>30</v>
      </c>
      <c r="C5502">
        <v>477000</v>
      </c>
      <c r="D5502">
        <v>117330.2</v>
      </c>
      <c r="F5502">
        <v>4.0899999999999999E-2</v>
      </c>
    </row>
    <row r="5503" spans="1:6" x14ac:dyDescent="0.3">
      <c r="A5503" t="s">
        <v>5538</v>
      </c>
      <c r="B5503" t="s">
        <v>88</v>
      </c>
      <c r="C5503">
        <v>426000</v>
      </c>
      <c r="D5503">
        <v>12968.4</v>
      </c>
      <c r="E5503">
        <v>1.49E-2</v>
      </c>
      <c r="F5503">
        <v>7.6499999999999999E-2</v>
      </c>
    </row>
    <row r="5504" spans="1:6" x14ac:dyDescent="0.3">
      <c r="A5504" t="s">
        <v>5539</v>
      </c>
      <c r="B5504" t="s">
        <v>214</v>
      </c>
      <c r="C5504">
        <v>805000</v>
      </c>
      <c r="D5504">
        <v>28841.200000000001</v>
      </c>
      <c r="E5504">
        <v>2.3699999999999999E-2</v>
      </c>
      <c r="F5504">
        <v>8.5400000000000004E-2</v>
      </c>
    </row>
    <row r="5505" spans="1:6" x14ac:dyDescent="0.3">
      <c r="A5505" t="s">
        <v>5540</v>
      </c>
      <c r="B5505" t="s">
        <v>41</v>
      </c>
      <c r="C5505">
        <v>403000</v>
      </c>
      <c r="D5505">
        <v>10993.1</v>
      </c>
      <c r="E5505">
        <v>3.4099999999999998E-2</v>
      </c>
      <c r="F5505">
        <v>0.33110000000000001</v>
      </c>
    </row>
    <row r="5506" spans="1:6" x14ac:dyDescent="0.3">
      <c r="A5506" t="s">
        <v>5541</v>
      </c>
      <c r="B5506" t="s">
        <v>214</v>
      </c>
      <c r="C5506">
        <v>629000</v>
      </c>
      <c r="D5506">
        <v>26069.4</v>
      </c>
      <c r="E5506">
        <v>2.8899999999999999E-2</v>
      </c>
      <c r="F5506">
        <v>7.5899999999999995E-2</v>
      </c>
    </row>
    <row r="5507" spans="1:6" x14ac:dyDescent="0.3">
      <c r="A5507" t="s">
        <v>5542</v>
      </c>
      <c r="B5507" t="s">
        <v>32</v>
      </c>
      <c r="C5507">
        <v>591000</v>
      </c>
      <c r="D5507">
        <v>269660.7</v>
      </c>
      <c r="E5507">
        <v>1.17E-2</v>
      </c>
      <c r="F5507">
        <v>5.1999999999999998E-2</v>
      </c>
    </row>
    <row r="5508" spans="1:6" x14ac:dyDescent="0.3">
      <c r="A5508" t="s">
        <v>5543</v>
      </c>
      <c r="B5508" t="s">
        <v>71</v>
      </c>
      <c r="C5508">
        <v>426000</v>
      </c>
      <c r="D5508">
        <v>2618.8000000000002</v>
      </c>
      <c r="E5508">
        <v>2.6700000000000002E-2</v>
      </c>
      <c r="F5508">
        <v>9.3799999999999994E-2</v>
      </c>
    </row>
    <row r="5509" spans="1:6" x14ac:dyDescent="0.3">
      <c r="A5509" t="s">
        <v>5544</v>
      </c>
      <c r="B5509" t="s">
        <v>26</v>
      </c>
      <c r="C5509">
        <v>392000</v>
      </c>
      <c r="D5509">
        <v>287913.3</v>
      </c>
      <c r="E5509">
        <v>8.8099999999999998E-2</v>
      </c>
      <c r="F5509">
        <v>5.1799999999999999E-2</v>
      </c>
    </row>
    <row r="5510" spans="1:6" x14ac:dyDescent="0.3">
      <c r="A5510" t="s">
        <v>5545</v>
      </c>
      <c r="B5510" t="s">
        <v>88</v>
      </c>
      <c r="C5510">
        <v>402000</v>
      </c>
      <c r="D5510">
        <v>1206.9000000000001</v>
      </c>
      <c r="E5510">
        <v>5.5800000000000002E-2</v>
      </c>
      <c r="F5510">
        <v>0.11700000000000001</v>
      </c>
    </row>
    <row r="5511" spans="1:6" x14ac:dyDescent="0.3">
      <c r="A5511" t="s">
        <v>5546</v>
      </c>
      <c r="B5511" t="s">
        <v>50</v>
      </c>
      <c r="C5511">
        <v>409000</v>
      </c>
      <c r="D5511">
        <v>614.5</v>
      </c>
      <c r="E5511">
        <v>1.5800000000000002E-2</v>
      </c>
      <c r="F5511">
        <v>4.6199999999999998E-2</v>
      </c>
    </row>
    <row r="5512" spans="1:6" x14ac:dyDescent="0.3">
      <c r="A5512" t="s">
        <v>5547</v>
      </c>
      <c r="B5512" t="s">
        <v>71</v>
      </c>
      <c r="C5512">
        <v>630000</v>
      </c>
      <c r="D5512">
        <v>30768.799999999999</v>
      </c>
      <c r="E5512">
        <v>2.8500000000000001E-2</v>
      </c>
      <c r="F5512">
        <v>7.5899999999999995E-2</v>
      </c>
    </row>
    <row r="5513" spans="1:6" x14ac:dyDescent="0.3">
      <c r="A5513" t="s">
        <v>5548</v>
      </c>
      <c r="B5513" t="s">
        <v>26</v>
      </c>
      <c r="C5513">
        <v>460000</v>
      </c>
      <c r="D5513">
        <v>179392.7</v>
      </c>
      <c r="E5513">
        <v>2.1899999999999999E-2</v>
      </c>
      <c r="F5513">
        <v>5.1799999999999999E-2</v>
      </c>
    </row>
    <row r="5514" spans="1:6" x14ac:dyDescent="0.3">
      <c r="A5514" t="s">
        <v>5549</v>
      </c>
      <c r="B5514" t="s">
        <v>88</v>
      </c>
      <c r="C5514">
        <v>477000</v>
      </c>
      <c r="D5514">
        <v>193.1</v>
      </c>
      <c r="E5514">
        <v>2.92E-2</v>
      </c>
      <c r="F5514">
        <v>9.3799999999999994E-2</v>
      </c>
    </row>
    <row r="5515" spans="1:6" x14ac:dyDescent="0.3">
      <c r="A5515" t="s">
        <v>5550</v>
      </c>
      <c r="B5515" t="s">
        <v>26</v>
      </c>
      <c r="C5515">
        <v>514000</v>
      </c>
      <c r="D5515">
        <v>1120.0999999999999</v>
      </c>
      <c r="E5515">
        <v>1.4500000000000001E-2</v>
      </c>
      <c r="F5515">
        <v>5.8500000000000003E-2</v>
      </c>
    </row>
    <row r="5516" spans="1:6" x14ac:dyDescent="0.3">
      <c r="A5516" t="s">
        <v>5551</v>
      </c>
      <c r="B5516" t="s">
        <v>214</v>
      </c>
      <c r="C5516">
        <v>416000</v>
      </c>
      <c r="D5516">
        <v>4380.1000000000004</v>
      </c>
      <c r="E5516">
        <v>1.9199999999999998E-2</v>
      </c>
      <c r="F5516">
        <v>0.1067</v>
      </c>
    </row>
    <row r="5517" spans="1:6" x14ac:dyDescent="0.3">
      <c r="A5517" t="s">
        <v>5552</v>
      </c>
      <c r="B5517" t="s">
        <v>26</v>
      </c>
      <c r="C5517">
        <v>504000</v>
      </c>
      <c r="D5517">
        <v>420905.8</v>
      </c>
      <c r="E5517">
        <v>2.29E-2</v>
      </c>
      <c r="F5517">
        <v>4.0899999999999999E-2</v>
      </c>
    </row>
    <row r="5518" spans="1:6" x14ac:dyDescent="0.3">
      <c r="A5518" t="s">
        <v>5553</v>
      </c>
      <c r="B5518" t="s">
        <v>92</v>
      </c>
      <c r="C5518">
        <v>503000</v>
      </c>
      <c r="D5518">
        <v>1943.4</v>
      </c>
      <c r="E5518">
        <v>1.04E-2</v>
      </c>
      <c r="F5518">
        <v>8.1100000000000005E-2</v>
      </c>
    </row>
    <row r="5519" spans="1:6" x14ac:dyDescent="0.3">
      <c r="A5519" t="s">
        <v>5554</v>
      </c>
      <c r="B5519" t="s">
        <v>88</v>
      </c>
      <c r="C5519">
        <v>556000</v>
      </c>
      <c r="D5519">
        <v>5405.1</v>
      </c>
      <c r="E5519">
        <v>6.9400000000000003E-2</v>
      </c>
      <c r="F5519">
        <v>7.5899999999999995E-2</v>
      </c>
    </row>
    <row r="5520" spans="1:6" x14ac:dyDescent="0.3">
      <c r="A5520" t="s">
        <v>5555</v>
      </c>
      <c r="B5520" t="s">
        <v>71</v>
      </c>
      <c r="C5520">
        <v>436000</v>
      </c>
      <c r="D5520">
        <v>6149.8</v>
      </c>
      <c r="E5520">
        <v>3.9600000000000003E-2</v>
      </c>
      <c r="F5520">
        <v>9.3799999999999994E-2</v>
      </c>
    </row>
    <row r="5521" spans="1:6" x14ac:dyDescent="0.3">
      <c r="A5521" t="s">
        <v>5556</v>
      </c>
      <c r="B5521" t="s">
        <v>26</v>
      </c>
      <c r="C5521">
        <v>435000</v>
      </c>
      <c r="D5521">
        <v>5515.4</v>
      </c>
      <c r="E5521">
        <v>2.2599999999999999E-2</v>
      </c>
      <c r="F5521">
        <v>0.1067</v>
      </c>
    </row>
    <row r="5522" spans="1:6" x14ac:dyDescent="0.3">
      <c r="A5522" t="s">
        <v>5557</v>
      </c>
      <c r="B5522" t="s">
        <v>88</v>
      </c>
      <c r="C5522">
        <v>403000</v>
      </c>
      <c r="D5522">
        <v>1492.8</v>
      </c>
      <c r="E5522">
        <v>5.9799999999999999E-2</v>
      </c>
      <c r="F5522">
        <v>9.3799999999999994E-2</v>
      </c>
    </row>
    <row r="5523" spans="1:6" x14ac:dyDescent="0.3">
      <c r="A5523" t="s">
        <v>5558</v>
      </c>
      <c r="B5523" t="s">
        <v>26</v>
      </c>
      <c r="C5523">
        <v>408000</v>
      </c>
      <c r="D5523">
        <v>60134.5</v>
      </c>
      <c r="F5523">
        <v>9.5100000000000004E-2</v>
      </c>
    </row>
    <row r="5524" spans="1:6" x14ac:dyDescent="0.3">
      <c r="A5524" t="s">
        <v>5559</v>
      </c>
      <c r="B5524" t="s">
        <v>214</v>
      </c>
      <c r="C5524">
        <v>410000</v>
      </c>
      <c r="D5524">
        <v>1283.5</v>
      </c>
      <c r="E5524">
        <v>3.2899999999999999E-2</v>
      </c>
      <c r="F5524">
        <v>9.5100000000000004E-2</v>
      </c>
    </row>
    <row r="5525" spans="1:6" x14ac:dyDescent="0.3">
      <c r="A5525" t="s">
        <v>5560</v>
      </c>
      <c r="B5525" t="s">
        <v>53</v>
      </c>
      <c r="C5525">
        <v>530000</v>
      </c>
      <c r="D5525">
        <v>61163.8</v>
      </c>
      <c r="E5525">
        <v>4.24E-2</v>
      </c>
      <c r="F5525">
        <v>7.5899999999999995E-2</v>
      </c>
    </row>
    <row r="5526" spans="1:6" x14ac:dyDescent="0.3">
      <c r="A5526" t="s">
        <v>5561</v>
      </c>
      <c r="B5526" t="s">
        <v>26</v>
      </c>
      <c r="C5526">
        <v>655000</v>
      </c>
      <c r="D5526">
        <v>83049.7</v>
      </c>
      <c r="E5526">
        <v>1.8499999999999999E-2</v>
      </c>
      <c r="F5526">
        <v>4.6199999999999998E-2</v>
      </c>
    </row>
    <row r="5527" spans="1:6" x14ac:dyDescent="0.3">
      <c r="A5527" t="s">
        <v>5562</v>
      </c>
      <c r="B5527" t="s">
        <v>62</v>
      </c>
      <c r="C5527">
        <v>491000</v>
      </c>
      <c r="D5527">
        <v>8114.2</v>
      </c>
      <c r="F5527">
        <v>4.0899999999999999E-2</v>
      </c>
    </row>
    <row r="5528" spans="1:6" x14ac:dyDescent="0.3">
      <c r="A5528" t="s">
        <v>5563</v>
      </c>
      <c r="B5528" t="s">
        <v>92</v>
      </c>
      <c r="C5528">
        <v>468000</v>
      </c>
      <c r="D5528">
        <v>74653.3</v>
      </c>
      <c r="E5528">
        <v>2.12E-2</v>
      </c>
      <c r="F5528">
        <v>4.6199999999999998E-2</v>
      </c>
    </row>
    <row r="5529" spans="1:6" x14ac:dyDescent="0.3">
      <c r="A5529" t="s">
        <v>5564</v>
      </c>
      <c r="B5529" t="s">
        <v>41</v>
      </c>
      <c r="C5529">
        <v>788000</v>
      </c>
      <c r="D5529">
        <v>684.3</v>
      </c>
      <c r="F5529">
        <v>5.0999999999999997E-2</v>
      </c>
    </row>
    <row r="5530" spans="1:6" x14ac:dyDescent="0.3">
      <c r="A5530" t="s">
        <v>5565</v>
      </c>
      <c r="B5530" t="s">
        <v>62</v>
      </c>
      <c r="C5530">
        <v>769000</v>
      </c>
      <c r="D5530">
        <v>6185.9</v>
      </c>
      <c r="E5530">
        <v>3.2099999999999997E-2</v>
      </c>
      <c r="F5530">
        <v>7.5899999999999995E-2</v>
      </c>
    </row>
    <row r="5531" spans="1:6" x14ac:dyDescent="0.3">
      <c r="A5531" t="s">
        <v>5566</v>
      </c>
      <c r="B5531" t="s">
        <v>35</v>
      </c>
      <c r="C5531">
        <v>413000</v>
      </c>
      <c r="D5531">
        <v>617.79999999999995</v>
      </c>
      <c r="E5531">
        <v>1.2500000000000001E-2</v>
      </c>
      <c r="F5531">
        <v>7.3599999999999999E-2</v>
      </c>
    </row>
    <row r="5532" spans="1:6" x14ac:dyDescent="0.3">
      <c r="A5532" t="s">
        <v>5567</v>
      </c>
      <c r="B5532" t="s">
        <v>88</v>
      </c>
      <c r="C5532">
        <v>923000</v>
      </c>
      <c r="D5532">
        <v>4986.3</v>
      </c>
      <c r="E5532">
        <v>2.8899999999999999E-2</v>
      </c>
      <c r="F5532">
        <v>8.3299999999999999E-2</v>
      </c>
    </row>
    <row r="5533" spans="1:6" x14ac:dyDescent="0.3">
      <c r="A5533" t="s">
        <v>5568</v>
      </c>
      <c r="B5533" t="s">
        <v>92</v>
      </c>
      <c r="C5533">
        <v>520000</v>
      </c>
      <c r="D5533">
        <v>121515.6</v>
      </c>
      <c r="E5533">
        <v>3.7199999999999997E-2</v>
      </c>
      <c r="F5533">
        <v>9.5100000000000004E-2</v>
      </c>
    </row>
    <row r="5534" spans="1:6" x14ac:dyDescent="0.3">
      <c r="A5534" t="s">
        <v>5569</v>
      </c>
      <c r="B5534" t="s">
        <v>26</v>
      </c>
      <c r="C5534">
        <v>740000</v>
      </c>
      <c r="D5534">
        <v>61615.6</v>
      </c>
      <c r="E5534">
        <v>2.0899999999999998E-2</v>
      </c>
      <c r="F5534">
        <v>9.3799999999999994E-2</v>
      </c>
    </row>
    <row r="5535" spans="1:6" x14ac:dyDescent="0.3">
      <c r="A5535" t="s">
        <v>5570</v>
      </c>
      <c r="B5535" t="s">
        <v>74</v>
      </c>
      <c r="C5535">
        <v>451000</v>
      </c>
      <c r="D5535">
        <v>4643.3</v>
      </c>
      <c r="E5535">
        <v>4.5999999999999999E-2</v>
      </c>
      <c r="F5535">
        <v>7.5899999999999995E-2</v>
      </c>
    </row>
    <row r="5536" spans="1:6" x14ac:dyDescent="0.3">
      <c r="A5536" t="s">
        <v>5571</v>
      </c>
      <c r="B5536" t="s">
        <v>41</v>
      </c>
      <c r="C5536">
        <v>418000</v>
      </c>
      <c r="D5536">
        <v>84.7</v>
      </c>
      <c r="E5536">
        <v>4.1000000000000003E-3</v>
      </c>
      <c r="F5536">
        <v>0.36</v>
      </c>
    </row>
    <row r="5537" spans="1:6" x14ac:dyDescent="0.3">
      <c r="A5537" t="s">
        <v>5572</v>
      </c>
      <c r="B5537" t="s">
        <v>88</v>
      </c>
      <c r="C5537">
        <v>422000</v>
      </c>
      <c r="D5537">
        <v>12015.1</v>
      </c>
      <c r="E5537">
        <v>3.2399999999999998E-2</v>
      </c>
      <c r="F5537">
        <v>9.5100000000000004E-2</v>
      </c>
    </row>
    <row r="5538" spans="1:6" x14ac:dyDescent="0.3">
      <c r="A5538" t="s">
        <v>5573</v>
      </c>
      <c r="B5538" t="s">
        <v>214</v>
      </c>
      <c r="C5538">
        <v>393000</v>
      </c>
      <c r="D5538">
        <v>252.6</v>
      </c>
      <c r="E5538">
        <v>6.7799999999999999E-2</v>
      </c>
      <c r="F5538">
        <v>9.5100000000000004E-2</v>
      </c>
    </row>
    <row r="5539" spans="1:6" x14ac:dyDescent="0.3">
      <c r="A5539" t="s">
        <v>5574</v>
      </c>
      <c r="B5539" t="s">
        <v>50</v>
      </c>
      <c r="C5539">
        <v>914000</v>
      </c>
      <c r="D5539">
        <v>68731.5</v>
      </c>
      <c r="E5539">
        <v>3.5999999999999999E-3</v>
      </c>
      <c r="F5539">
        <v>6.54E-2</v>
      </c>
    </row>
    <row r="5540" spans="1:6" x14ac:dyDescent="0.3">
      <c r="A5540" t="s">
        <v>5575</v>
      </c>
      <c r="B5540" t="s">
        <v>26</v>
      </c>
      <c r="C5540">
        <v>415000</v>
      </c>
      <c r="D5540">
        <v>2473.3000000000002</v>
      </c>
      <c r="E5540">
        <v>1.0800000000000001E-2</v>
      </c>
      <c r="F5540">
        <v>6.54E-2</v>
      </c>
    </row>
    <row r="5541" spans="1:6" x14ac:dyDescent="0.3">
      <c r="A5541" t="s">
        <v>5576</v>
      </c>
      <c r="B5541" t="s">
        <v>26</v>
      </c>
      <c r="C5541">
        <v>615000</v>
      </c>
      <c r="D5541">
        <v>74349.899999999994</v>
      </c>
      <c r="E5541">
        <v>1.15E-2</v>
      </c>
      <c r="F5541">
        <v>7.3599999999999999E-2</v>
      </c>
    </row>
    <row r="5542" spans="1:6" x14ac:dyDescent="0.3">
      <c r="A5542" t="s">
        <v>5577</v>
      </c>
      <c r="B5542" t="s">
        <v>74</v>
      </c>
      <c r="C5542">
        <v>854000</v>
      </c>
      <c r="D5542">
        <v>910.5</v>
      </c>
      <c r="E5542">
        <v>4.2799999999999998E-2</v>
      </c>
      <c r="F5542">
        <v>0.15160000000000001</v>
      </c>
    </row>
    <row r="5543" spans="1:6" x14ac:dyDescent="0.3">
      <c r="A5543" t="s">
        <v>5578</v>
      </c>
      <c r="B5543" t="s">
        <v>41</v>
      </c>
      <c r="C5543">
        <v>836000</v>
      </c>
      <c r="D5543">
        <v>549.5</v>
      </c>
      <c r="E5543">
        <v>1.6E-2</v>
      </c>
      <c r="F5543">
        <v>0.1013</v>
      </c>
    </row>
    <row r="5544" spans="1:6" x14ac:dyDescent="0.3">
      <c r="A5544" t="s">
        <v>5579</v>
      </c>
      <c r="B5544" t="s">
        <v>88</v>
      </c>
      <c r="C5544">
        <v>548000</v>
      </c>
      <c r="D5544">
        <v>8613.9</v>
      </c>
      <c r="E5544">
        <v>4.1500000000000002E-2</v>
      </c>
      <c r="F5544">
        <v>9.3799999999999994E-2</v>
      </c>
    </row>
    <row r="5545" spans="1:6" x14ac:dyDescent="0.3">
      <c r="A5545" t="s">
        <v>5580</v>
      </c>
      <c r="B5545" t="s">
        <v>74</v>
      </c>
      <c r="C5545">
        <v>401000</v>
      </c>
      <c r="D5545">
        <v>2632.5</v>
      </c>
      <c r="E5545">
        <v>3.56E-2</v>
      </c>
      <c r="F5545">
        <v>9.5100000000000004E-2</v>
      </c>
    </row>
    <row r="5546" spans="1:6" x14ac:dyDescent="0.3">
      <c r="A5546" t="s">
        <v>5581</v>
      </c>
      <c r="B5546" t="s">
        <v>195</v>
      </c>
      <c r="C5546">
        <v>411000</v>
      </c>
      <c r="D5546">
        <v>1597.1</v>
      </c>
      <c r="F5546">
        <v>7.5899999999999995E-2</v>
      </c>
    </row>
    <row r="5547" spans="1:6" x14ac:dyDescent="0.3">
      <c r="A5547" t="s">
        <v>5582</v>
      </c>
      <c r="B5547" t="s">
        <v>24</v>
      </c>
      <c r="C5547">
        <v>449000</v>
      </c>
      <c r="D5547">
        <v>20359.8</v>
      </c>
      <c r="E5547">
        <v>0.14460000000000001</v>
      </c>
      <c r="F5547">
        <v>9.5100000000000004E-2</v>
      </c>
    </row>
    <row r="5548" spans="1:6" x14ac:dyDescent="0.3">
      <c r="A5548" t="s">
        <v>5583</v>
      </c>
      <c r="B5548" t="s">
        <v>214</v>
      </c>
      <c r="C5548">
        <v>399000</v>
      </c>
      <c r="D5548">
        <v>41110.400000000001</v>
      </c>
      <c r="E5548">
        <v>5.3900000000000003E-2</v>
      </c>
      <c r="F5548">
        <v>9.5100000000000004E-2</v>
      </c>
    </row>
    <row r="5549" spans="1:6" x14ac:dyDescent="0.3">
      <c r="A5549" t="s">
        <v>5584</v>
      </c>
      <c r="B5549" t="s">
        <v>74</v>
      </c>
      <c r="C5549">
        <v>466000</v>
      </c>
      <c r="D5549">
        <v>961.2</v>
      </c>
      <c r="E5549">
        <v>3.95E-2</v>
      </c>
      <c r="F5549">
        <v>7.5899999999999995E-2</v>
      </c>
    </row>
    <row r="5550" spans="1:6" x14ac:dyDescent="0.3">
      <c r="A5550" t="s">
        <v>5585</v>
      </c>
      <c r="B5550" t="s">
        <v>41</v>
      </c>
      <c r="C5550">
        <v>578000</v>
      </c>
      <c r="D5550">
        <v>9215.9</v>
      </c>
      <c r="E5550">
        <v>7.7000000000000002E-3</v>
      </c>
      <c r="F5550">
        <v>0.10150000000000001</v>
      </c>
    </row>
    <row r="5551" spans="1:6" x14ac:dyDescent="0.3">
      <c r="A5551" t="s">
        <v>5586</v>
      </c>
      <c r="B5551" t="s">
        <v>88</v>
      </c>
      <c r="C5551">
        <v>439000</v>
      </c>
      <c r="D5551">
        <v>139.30000000000001</v>
      </c>
      <c r="E5551">
        <v>4.6300000000000001E-2</v>
      </c>
      <c r="F5551">
        <v>9.3799999999999994E-2</v>
      </c>
    </row>
    <row r="5552" spans="1:6" x14ac:dyDescent="0.3">
      <c r="A5552" t="s">
        <v>5587</v>
      </c>
      <c r="B5552" t="s">
        <v>24</v>
      </c>
      <c r="C5552">
        <v>435000</v>
      </c>
      <c r="D5552">
        <v>10369.1</v>
      </c>
      <c r="E5552">
        <v>2.9899999999999999E-2</v>
      </c>
      <c r="F5552">
        <v>9.5100000000000004E-2</v>
      </c>
    </row>
    <row r="5553" spans="1:6" x14ac:dyDescent="0.3">
      <c r="A5553" t="s">
        <v>5588</v>
      </c>
      <c r="B5553" t="s">
        <v>26</v>
      </c>
      <c r="C5553">
        <v>513000</v>
      </c>
      <c r="D5553">
        <v>240586.7</v>
      </c>
      <c r="E5553">
        <v>1.6500000000000001E-2</v>
      </c>
      <c r="F5553">
        <v>5.8500000000000003E-2</v>
      </c>
    </row>
    <row r="5554" spans="1:6" x14ac:dyDescent="0.3">
      <c r="A5554" t="s">
        <v>5589</v>
      </c>
      <c r="B5554" t="s">
        <v>88</v>
      </c>
      <c r="C5554">
        <v>431000</v>
      </c>
      <c r="D5554">
        <v>4052.1</v>
      </c>
      <c r="E5554">
        <v>3.2800000000000003E-2</v>
      </c>
      <c r="F5554">
        <v>9.3799999999999994E-2</v>
      </c>
    </row>
    <row r="5555" spans="1:6" x14ac:dyDescent="0.3">
      <c r="A5555" t="s">
        <v>5590</v>
      </c>
      <c r="B5555" t="s">
        <v>81</v>
      </c>
      <c r="C5555">
        <v>432000</v>
      </c>
      <c r="D5555">
        <v>32976.300000000003</v>
      </c>
      <c r="E5555">
        <v>5.0799999999999998E-2</v>
      </c>
      <c r="F5555">
        <v>9.5100000000000004E-2</v>
      </c>
    </row>
    <row r="5556" spans="1:6" x14ac:dyDescent="0.3">
      <c r="A5556" t="s">
        <v>5591</v>
      </c>
      <c r="B5556" t="s">
        <v>26</v>
      </c>
      <c r="C5556">
        <v>405000</v>
      </c>
      <c r="D5556">
        <v>500.3</v>
      </c>
      <c r="E5556">
        <v>6.7000000000000004E-2</v>
      </c>
      <c r="F5556">
        <v>0.1226</v>
      </c>
    </row>
    <row r="5557" spans="1:6" x14ac:dyDescent="0.3">
      <c r="A5557" t="s">
        <v>5592</v>
      </c>
      <c r="B5557" t="s">
        <v>53</v>
      </c>
      <c r="C5557">
        <v>719000</v>
      </c>
      <c r="D5557">
        <v>13582.9</v>
      </c>
      <c r="E5557">
        <v>2.5899999999999999E-2</v>
      </c>
      <c r="F5557">
        <v>5.0999999999999997E-2</v>
      </c>
    </row>
    <row r="5558" spans="1:6" x14ac:dyDescent="0.3">
      <c r="A5558" t="s">
        <v>5593</v>
      </c>
      <c r="B5558" t="s">
        <v>26</v>
      </c>
      <c r="C5558">
        <v>467000</v>
      </c>
      <c r="D5558">
        <v>152272.9</v>
      </c>
      <c r="E5558">
        <v>3.9E-2</v>
      </c>
      <c r="F5558">
        <v>4.0899999999999999E-2</v>
      </c>
    </row>
    <row r="5559" spans="1:6" x14ac:dyDescent="0.3">
      <c r="A5559" t="s">
        <v>5594</v>
      </c>
      <c r="B5559" t="s">
        <v>88</v>
      </c>
      <c r="C5559">
        <v>714000</v>
      </c>
      <c r="D5559">
        <v>113577.5</v>
      </c>
      <c r="E5559">
        <v>2.2100000000000002E-2</v>
      </c>
      <c r="F5559">
        <v>4.0899999999999999E-2</v>
      </c>
    </row>
    <row r="5560" spans="1:6" x14ac:dyDescent="0.3">
      <c r="A5560" t="s">
        <v>5595</v>
      </c>
      <c r="B5560" t="s">
        <v>53</v>
      </c>
      <c r="C5560">
        <v>523000</v>
      </c>
      <c r="D5560">
        <v>4546.6000000000004</v>
      </c>
      <c r="F5560">
        <v>9.3799999999999994E-2</v>
      </c>
    </row>
    <row r="5561" spans="1:6" x14ac:dyDescent="0.3">
      <c r="A5561" t="s">
        <v>5596</v>
      </c>
      <c r="B5561" t="s">
        <v>88</v>
      </c>
      <c r="C5561">
        <v>513000</v>
      </c>
      <c r="D5561">
        <v>71174.600000000006</v>
      </c>
      <c r="E5561">
        <v>1.89E-2</v>
      </c>
      <c r="F5561">
        <v>9.5100000000000004E-2</v>
      </c>
    </row>
    <row r="5562" spans="1:6" x14ac:dyDescent="0.3">
      <c r="A5562" t="s">
        <v>5597</v>
      </c>
      <c r="B5562" t="s">
        <v>26</v>
      </c>
      <c r="C5562">
        <v>565000</v>
      </c>
      <c r="D5562">
        <v>19897.7</v>
      </c>
      <c r="E5562">
        <v>2.53E-2</v>
      </c>
      <c r="F5562">
        <v>5.1799999999999999E-2</v>
      </c>
    </row>
    <row r="5563" spans="1:6" x14ac:dyDescent="0.3">
      <c r="A5563" t="s">
        <v>5598</v>
      </c>
      <c r="B5563" t="s">
        <v>26</v>
      </c>
      <c r="C5563">
        <v>452000</v>
      </c>
      <c r="D5563">
        <v>2043.6</v>
      </c>
      <c r="E5563">
        <v>2.93E-2</v>
      </c>
      <c r="F5563">
        <v>7.5899999999999995E-2</v>
      </c>
    </row>
    <row r="5564" spans="1:6" x14ac:dyDescent="0.3">
      <c r="A5564" t="s">
        <v>5599</v>
      </c>
      <c r="B5564" t="s">
        <v>26</v>
      </c>
      <c r="C5564">
        <v>410000</v>
      </c>
      <c r="D5564">
        <v>3406.7</v>
      </c>
      <c r="E5564">
        <v>4.3099999999999999E-2</v>
      </c>
      <c r="F5564">
        <v>9.5100000000000004E-2</v>
      </c>
    </row>
    <row r="5565" spans="1:6" x14ac:dyDescent="0.3">
      <c r="A5565" t="s">
        <v>5600</v>
      </c>
      <c r="B5565" t="s">
        <v>26</v>
      </c>
      <c r="C5565">
        <v>465000</v>
      </c>
      <c r="D5565">
        <v>4841.1000000000004</v>
      </c>
      <c r="E5565">
        <v>4.1200000000000001E-2</v>
      </c>
      <c r="F5565">
        <v>7.5899999999999995E-2</v>
      </c>
    </row>
    <row r="5566" spans="1:6" x14ac:dyDescent="0.3">
      <c r="A5566" t="s">
        <v>5601</v>
      </c>
      <c r="B5566" t="s">
        <v>26</v>
      </c>
      <c r="C5566">
        <v>441000</v>
      </c>
      <c r="D5566">
        <v>5002.1000000000004</v>
      </c>
      <c r="E5566">
        <v>2.7099999999999999E-2</v>
      </c>
      <c r="F5566">
        <v>9.5100000000000004E-2</v>
      </c>
    </row>
    <row r="5567" spans="1:6" x14ac:dyDescent="0.3">
      <c r="A5567" t="s">
        <v>5602</v>
      </c>
      <c r="B5567" t="s">
        <v>26</v>
      </c>
      <c r="C5567">
        <v>460000</v>
      </c>
      <c r="D5567">
        <v>19969.7</v>
      </c>
      <c r="E5567">
        <v>2.6800000000000001E-2</v>
      </c>
      <c r="F5567">
        <v>6.7199999999999996E-2</v>
      </c>
    </row>
    <row r="5568" spans="1:6" x14ac:dyDescent="0.3">
      <c r="A5568" t="s">
        <v>5603</v>
      </c>
      <c r="B5568" t="s">
        <v>26</v>
      </c>
      <c r="C5568">
        <v>498000</v>
      </c>
      <c r="D5568">
        <v>1667.4</v>
      </c>
      <c r="E5568">
        <v>2.9399999999999999E-2</v>
      </c>
      <c r="F5568">
        <v>9.98E-2</v>
      </c>
    </row>
    <row r="5569" spans="1:6" x14ac:dyDescent="0.3">
      <c r="A5569" t="s">
        <v>5604</v>
      </c>
      <c r="B5569" t="s">
        <v>26</v>
      </c>
      <c r="C5569">
        <v>432000</v>
      </c>
      <c r="D5569">
        <v>151028.1</v>
      </c>
      <c r="E5569">
        <v>3.3300000000000003E-2</v>
      </c>
      <c r="F5569">
        <v>9.5100000000000004E-2</v>
      </c>
    </row>
    <row r="5570" spans="1:6" x14ac:dyDescent="0.3">
      <c r="A5570" t="s">
        <v>5605</v>
      </c>
      <c r="B5570" t="s">
        <v>26</v>
      </c>
      <c r="C5570">
        <v>1000000</v>
      </c>
      <c r="D5570">
        <v>46642</v>
      </c>
      <c r="E5570">
        <v>0.1177</v>
      </c>
      <c r="F5570">
        <v>7.5899999999999995E-2</v>
      </c>
    </row>
    <row r="5571" spans="1:6" x14ac:dyDescent="0.3">
      <c r="A5571" t="s">
        <v>5606</v>
      </c>
      <c r="B5571" t="s">
        <v>214</v>
      </c>
      <c r="C5571">
        <v>1040000</v>
      </c>
      <c r="D5571">
        <v>4323.5</v>
      </c>
      <c r="E5571">
        <v>8.8000000000000005E-3</v>
      </c>
      <c r="F5571">
        <v>8.1100000000000005E-2</v>
      </c>
    </row>
    <row r="5572" spans="1:6" x14ac:dyDescent="0.3">
      <c r="A5572" t="s">
        <v>5607</v>
      </c>
      <c r="B5572" t="s">
        <v>74</v>
      </c>
      <c r="C5572">
        <v>565000</v>
      </c>
      <c r="D5572">
        <v>18649</v>
      </c>
      <c r="E5572">
        <v>2.1700000000000001E-2</v>
      </c>
      <c r="F5572">
        <v>7.5899999999999995E-2</v>
      </c>
    </row>
    <row r="5573" spans="1:6" x14ac:dyDescent="0.3">
      <c r="A5573" t="s">
        <v>5608</v>
      </c>
      <c r="B5573" t="s">
        <v>26</v>
      </c>
      <c r="C5573">
        <v>418000</v>
      </c>
      <c r="D5573">
        <v>155.9</v>
      </c>
      <c r="E5573">
        <v>3.5999999999999997E-2</v>
      </c>
      <c r="F5573">
        <v>0.1676</v>
      </c>
    </row>
    <row r="5574" spans="1:6" x14ac:dyDescent="0.3">
      <c r="A5574" t="s">
        <v>5609</v>
      </c>
      <c r="B5574" t="s">
        <v>32</v>
      </c>
      <c r="C5574">
        <v>631000</v>
      </c>
      <c r="D5574">
        <v>14660.4</v>
      </c>
      <c r="E5574">
        <v>7.7999999999999996E-3</v>
      </c>
      <c r="F5574">
        <v>8.2199999999999995E-2</v>
      </c>
    </row>
    <row r="5575" spans="1:6" x14ac:dyDescent="0.3">
      <c r="A5575" t="s">
        <v>5610</v>
      </c>
      <c r="B5575" t="s">
        <v>50</v>
      </c>
      <c r="C5575">
        <v>437000</v>
      </c>
      <c r="D5575">
        <v>1189825.3</v>
      </c>
      <c r="E5575">
        <v>1.1900000000000001E-2</v>
      </c>
      <c r="F5575">
        <v>7.7499999999999999E-2</v>
      </c>
    </row>
    <row r="5576" spans="1:6" x14ac:dyDescent="0.3">
      <c r="A5576" t="s">
        <v>5611</v>
      </c>
      <c r="B5576" t="s">
        <v>26</v>
      </c>
      <c r="C5576">
        <v>620000</v>
      </c>
      <c r="D5576">
        <v>32061.3</v>
      </c>
      <c r="E5576">
        <v>4.1300000000000003E-2</v>
      </c>
      <c r="F5576">
        <v>7.5899999999999995E-2</v>
      </c>
    </row>
    <row r="5577" spans="1:6" x14ac:dyDescent="0.3">
      <c r="A5577" t="s">
        <v>5612</v>
      </c>
      <c r="B5577" t="s">
        <v>41</v>
      </c>
      <c r="C5577">
        <v>392000</v>
      </c>
      <c r="D5577">
        <v>1077.7</v>
      </c>
      <c r="E5577">
        <v>2.6700000000000002E-2</v>
      </c>
      <c r="F5577">
        <v>7.5899999999999995E-2</v>
      </c>
    </row>
    <row r="5578" spans="1:6" x14ac:dyDescent="0.3">
      <c r="A5578" t="s">
        <v>5613</v>
      </c>
      <c r="B5578" t="s">
        <v>62</v>
      </c>
      <c r="C5578">
        <v>445000</v>
      </c>
      <c r="D5578">
        <v>4466</v>
      </c>
      <c r="E5578">
        <v>4.1000000000000002E-2</v>
      </c>
      <c r="F5578">
        <v>9.3799999999999994E-2</v>
      </c>
    </row>
    <row r="5579" spans="1:6" x14ac:dyDescent="0.3">
      <c r="A5579" t="s">
        <v>5614</v>
      </c>
      <c r="B5579" t="s">
        <v>41</v>
      </c>
      <c r="C5579">
        <v>399000</v>
      </c>
      <c r="D5579">
        <v>3616.1</v>
      </c>
      <c r="E5579">
        <v>5.5199999999999999E-2</v>
      </c>
      <c r="F5579">
        <v>9.3799999999999994E-2</v>
      </c>
    </row>
    <row r="5580" spans="1:6" x14ac:dyDescent="0.3">
      <c r="A5580" t="s">
        <v>5615</v>
      </c>
      <c r="B5580" t="s">
        <v>41</v>
      </c>
      <c r="C5580">
        <v>968000</v>
      </c>
      <c r="D5580">
        <v>730107.1</v>
      </c>
      <c r="E5580">
        <v>2.6599999999999999E-2</v>
      </c>
      <c r="F5580">
        <v>4.0899999999999999E-2</v>
      </c>
    </row>
    <row r="5581" spans="1:6" x14ac:dyDescent="0.3">
      <c r="A5581" t="s">
        <v>5616</v>
      </c>
      <c r="B5581" t="s">
        <v>92</v>
      </c>
      <c r="C5581">
        <v>577000</v>
      </c>
      <c r="D5581">
        <v>41163.699999999997</v>
      </c>
      <c r="E5581">
        <v>2.3900000000000001E-2</v>
      </c>
      <c r="F5581">
        <v>9.3799999999999994E-2</v>
      </c>
    </row>
    <row r="5582" spans="1:6" x14ac:dyDescent="0.3">
      <c r="A5582" t="s">
        <v>5617</v>
      </c>
      <c r="B5582" t="s">
        <v>41</v>
      </c>
      <c r="C5582">
        <v>471000</v>
      </c>
      <c r="D5582">
        <v>1900.6</v>
      </c>
      <c r="E5582">
        <v>2.0400000000000001E-2</v>
      </c>
      <c r="F5582">
        <v>0.1067</v>
      </c>
    </row>
    <row r="5583" spans="1:6" x14ac:dyDescent="0.3">
      <c r="A5583" t="s">
        <v>5618</v>
      </c>
      <c r="B5583" t="s">
        <v>71</v>
      </c>
      <c r="C5583">
        <v>464000</v>
      </c>
      <c r="D5583">
        <v>126.6</v>
      </c>
      <c r="E5583">
        <v>4.4900000000000002E-2</v>
      </c>
      <c r="F5583">
        <v>9.3799999999999994E-2</v>
      </c>
    </row>
    <row r="5584" spans="1:6" x14ac:dyDescent="0.3">
      <c r="A5584" t="s">
        <v>5619</v>
      </c>
      <c r="B5584" t="s">
        <v>26</v>
      </c>
      <c r="C5584">
        <v>618000</v>
      </c>
      <c r="D5584">
        <v>2636.5</v>
      </c>
      <c r="E5584">
        <v>2.23E-2</v>
      </c>
      <c r="F5584">
        <v>5.7599999999999998E-2</v>
      </c>
    </row>
    <row r="5585" spans="1:6" x14ac:dyDescent="0.3">
      <c r="A5585" t="s">
        <v>5620</v>
      </c>
      <c r="B5585" t="s">
        <v>41</v>
      </c>
      <c r="C5585">
        <v>405000</v>
      </c>
      <c r="D5585">
        <v>2520.5</v>
      </c>
      <c r="E5585">
        <v>1.18E-2</v>
      </c>
      <c r="F5585">
        <v>8.2199999999999995E-2</v>
      </c>
    </row>
    <row r="5586" spans="1:6" x14ac:dyDescent="0.3">
      <c r="A5586" t="s">
        <v>5621</v>
      </c>
      <c r="B5586" t="s">
        <v>21</v>
      </c>
      <c r="C5586">
        <v>548000</v>
      </c>
      <c r="D5586">
        <v>10341</v>
      </c>
      <c r="E5586">
        <v>5.8299999999999998E-2</v>
      </c>
      <c r="F5586">
        <v>9.3799999999999994E-2</v>
      </c>
    </row>
    <row r="5587" spans="1:6" x14ac:dyDescent="0.3">
      <c r="A5587" t="s">
        <v>5622</v>
      </c>
      <c r="B5587" t="s">
        <v>92</v>
      </c>
      <c r="C5587">
        <v>656000</v>
      </c>
      <c r="D5587">
        <v>63551</v>
      </c>
      <c r="E5587">
        <v>2.0500000000000001E-2</v>
      </c>
      <c r="F5587">
        <v>4.8800000000000003E-2</v>
      </c>
    </row>
    <row r="5588" spans="1:6" x14ac:dyDescent="0.3">
      <c r="A5588" t="s">
        <v>5623</v>
      </c>
      <c r="B5588" t="s">
        <v>26</v>
      </c>
      <c r="C5588">
        <v>388000</v>
      </c>
      <c r="D5588">
        <v>7757.8</v>
      </c>
      <c r="F5588">
        <v>5.1799999999999999E-2</v>
      </c>
    </row>
    <row r="5589" spans="1:6" x14ac:dyDescent="0.3">
      <c r="A5589" t="s">
        <v>5624</v>
      </c>
      <c r="B5589" t="s">
        <v>88</v>
      </c>
      <c r="C5589">
        <v>402000</v>
      </c>
      <c r="D5589">
        <v>256.3</v>
      </c>
      <c r="E5589">
        <v>3.2599999999999997E-2</v>
      </c>
      <c r="F5589">
        <v>0.13769999999999999</v>
      </c>
    </row>
    <row r="5590" spans="1:6" x14ac:dyDescent="0.3">
      <c r="A5590" t="s">
        <v>5625</v>
      </c>
      <c r="B5590" t="s">
        <v>74</v>
      </c>
      <c r="C5590">
        <v>603000</v>
      </c>
      <c r="D5590">
        <v>32315.200000000001</v>
      </c>
      <c r="E5590">
        <v>3.1099999999999999E-2</v>
      </c>
      <c r="F5590">
        <v>7.5899999999999995E-2</v>
      </c>
    </row>
    <row r="5591" spans="1:6" x14ac:dyDescent="0.3">
      <c r="A5591" t="s">
        <v>5626</v>
      </c>
      <c r="B5591" t="s">
        <v>287</v>
      </c>
      <c r="C5591">
        <v>403000</v>
      </c>
      <c r="D5591">
        <v>2801</v>
      </c>
      <c r="E5591">
        <v>2.7300000000000001E-2</v>
      </c>
      <c r="F5591">
        <v>7.5899999999999995E-2</v>
      </c>
    </row>
    <row r="5592" spans="1:6" x14ac:dyDescent="0.3">
      <c r="A5592" t="s">
        <v>5627</v>
      </c>
      <c r="B5592" t="s">
        <v>92</v>
      </c>
      <c r="C5592">
        <v>2290000</v>
      </c>
      <c r="D5592">
        <v>64367.5</v>
      </c>
      <c r="E5592">
        <v>2.0199999999999999E-2</v>
      </c>
      <c r="F5592">
        <v>5.7599999999999998E-2</v>
      </c>
    </row>
    <row r="5593" spans="1:6" x14ac:dyDescent="0.3">
      <c r="A5593" t="s">
        <v>5628</v>
      </c>
      <c r="B5593" t="s">
        <v>50</v>
      </c>
      <c r="C5593">
        <v>471000</v>
      </c>
      <c r="D5593">
        <v>4729.6000000000004</v>
      </c>
      <c r="E5593">
        <v>1.5900000000000001E-2</v>
      </c>
      <c r="F5593">
        <v>0.1067</v>
      </c>
    </row>
    <row r="5594" spans="1:6" x14ac:dyDescent="0.3">
      <c r="A5594" t="s">
        <v>5629</v>
      </c>
      <c r="B5594" t="s">
        <v>92</v>
      </c>
      <c r="C5594">
        <v>473000</v>
      </c>
      <c r="D5594">
        <v>193034</v>
      </c>
      <c r="E5594">
        <v>3.0499999999999999E-2</v>
      </c>
      <c r="F5594">
        <v>5.1799999999999999E-2</v>
      </c>
    </row>
    <row r="5595" spans="1:6" x14ac:dyDescent="0.3">
      <c r="A5595" t="s">
        <v>5630</v>
      </c>
      <c r="B5595" t="s">
        <v>26</v>
      </c>
      <c r="C5595">
        <v>383000</v>
      </c>
      <c r="D5595">
        <v>3770.8</v>
      </c>
      <c r="E5595">
        <v>8.3000000000000001E-3</v>
      </c>
      <c r="F5595">
        <v>8.2199999999999995E-2</v>
      </c>
    </row>
    <row r="5596" spans="1:6" x14ac:dyDescent="0.3">
      <c r="A5596" t="s">
        <v>5631</v>
      </c>
      <c r="B5596" t="s">
        <v>88</v>
      </c>
      <c r="C5596">
        <v>445000</v>
      </c>
      <c r="D5596">
        <v>587.4</v>
      </c>
      <c r="E5596">
        <v>5.62E-2</v>
      </c>
      <c r="F5596">
        <v>0.11700000000000001</v>
      </c>
    </row>
    <row r="5597" spans="1:6" x14ac:dyDescent="0.3">
      <c r="A5597" t="s">
        <v>5632</v>
      </c>
      <c r="B5597" t="s">
        <v>92</v>
      </c>
      <c r="C5597">
        <v>440000</v>
      </c>
      <c r="D5597">
        <v>13282.7</v>
      </c>
      <c r="E5597">
        <v>1.9E-2</v>
      </c>
      <c r="F5597">
        <v>8.5400000000000004E-2</v>
      </c>
    </row>
    <row r="5598" spans="1:6" x14ac:dyDescent="0.3">
      <c r="A5598" t="s">
        <v>5633</v>
      </c>
      <c r="B5598" t="s">
        <v>26</v>
      </c>
      <c r="C5598">
        <v>576000</v>
      </c>
      <c r="D5598">
        <v>676.9</v>
      </c>
      <c r="F5598">
        <v>4.0899999999999999E-2</v>
      </c>
    </row>
    <row r="5599" spans="1:6" x14ac:dyDescent="0.3">
      <c r="A5599" t="s">
        <v>5634</v>
      </c>
      <c r="B5599" t="s">
        <v>53</v>
      </c>
      <c r="C5599">
        <v>520000</v>
      </c>
      <c r="D5599">
        <v>49466.5</v>
      </c>
      <c r="E5599">
        <v>7.8600000000000003E-2</v>
      </c>
      <c r="F5599">
        <v>9.3799999999999994E-2</v>
      </c>
    </row>
    <row r="5600" spans="1:6" x14ac:dyDescent="0.3">
      <c r="A5600" t="s">
        <v>5635</v>
      </c>
      <c r="B5600" t="s">
        <v>62</v>
      </c>
      <c r="C5600">
        <v>555000</v>
      </c>
      <c r="D5600">
        <v>60015.8</v>
      </c>
      <c r="E5600">
        <v>1.7500000000000002E-2</v>
      </c>
      <c r="F5600">
        <v>4.6199999999999998E-2</v>
      </c>
    </row>
    <row r="5601" spans="1:6" x14ac:dyDescent="0.3">
      <c r="A5601" t="s">
        <v>5636</v>
      </c>
      <c r="B5601" t="s">
        <v>50</v>
      </c>
      <c r="C5601">
        <v>531000</v>
      </c>
      <c r="D5601">
        <v>512873.8</v>
      </c>
      <c r="E5601">
        <v>1.24E-2</v>
      </c>
      <c r="F5601">
        <v>8.2199999999999995E-2</v>
      </c>
    </row>
    <row r="5602" spans="1:6" x14ac:dyDescent="0.3">
      <c r="A5602" t="s">
        <v>5637</v>
      </c>
      <c r="B5602" t="s">
        <v>81</v>
      </c>
      <c r="C5602">
        <v>413000</v>
      </c>
      <c r="D5602">
        <v>8823.7000000000007</v>
      </c>
      <c r="E5602">
        <v>0.02</v>
      </c>
      <c r="F5602">
        <v>5.8500000000000003E-2</v>
      </c>
    </row>
    <row r="5603" spans="1:6" x14ac:dyDescent="0.3">
      <c r="A5603" t="s">
        <v>5638</v>
      </c>
      <c r="B5603" t="s">
        <v>92</v>
      </c>
      <c r="C5603">
        <v>401000</v>
      </c>
      <c r="D5603">
        <v>1742</v>
      </c>
      <c r="E5603">
        <v>2.9600000000000001E-2</v>
      </c>
      <c r="F5603">
        <v>0.17100000000000001</v>
      </c>
    </row>
    <row r="5604" spans="1:6" x14ac:dyDescent="0.3">
      <c r="A5604" t="s">
        <v>5639</v>
      </c>
      <c r="B5604" t="s">
        <v>88</v>
      </c>
      <c r="C5604">
        <v>389000</v>
      </c>
      <c r="D5604">
        <v>938.9</v>
      </c>
      <c r="E5604">
        <v>1.0200000000000001E-2</v>
      </c>
      <c r="F5604">
        <v>8.2199999999999995E-2</v>
      </c>
    </row>
    <row r="5605" spans="1:6" x14ac:dyDescent="0.3">
      <c r="A5605" t="s">
        <v>5640</v>
      </c>
      <c r="B5605" t="s">
        <v>214</v>
      </c>
      <c r="C5605">
        <v>1010000</v>
      </c>
      <c r="D5605">
        <v>18283.8</v>
      </c>
      <c r="E5605">
        <v>4.9299999999999997E-2</v>
      </c>
      <c r="F5605">
        <v>7.5899999999999995E-2</v>
      </c>
    </row>
    <row r="5606" spans="1:6" x14ac:dyDescent="0.3">
      <c r="A5606" t="s">
        <v>5641</v>
      </c>
      <c r="B5606" t="s">
        <v>214</v>
      </c>
      <c r="C5606">
        <v>459000</v>
      </c>
      <c r="D5606">
        <v>1596.7</v>
      </c>
      <c r="E5606">
        <v>1.38E-2</v>
      </c>
      <c r="F5606">
        <v>4.6199999999999998E-2</v>
      </c>
    </row>
    <row r="5607" spans="1:6" x14ac:dyDescent="0.3">
      <c r="A5607" t="s">
        <v>5642</v>
      </c>
      <c r="B5607" t="s">
        <v>50</v>
      </c>
      <c r="C5607">
        <v>447000</v>
      </c>
      <c r="D5607">
        <v>74237.5</v>
      </c>
      <c r="E5607">
        <v>4.41E-2</v>
      </c>
      <c r="F5607">
        <v>7.5899999999999995E-2</v>
      </c>
    </row>
    <row r="5608" spans="1:6" x14ac:dyDescent="0.3">
      <c r="A5608" t="s">
        <v>5643</v>
      </c>
      <c r="B5608" t="s">
        <v>71</v>
      </c>
      <c r="C5608">
        <v>476000</v>
      </c>
      <c r="D5608">
        <v>1254</v>
      </c>
      <c r="E5608">
        <v>2.2800000000000001E-2</v>
      </c>
      <c r="F5608">
        <v>9.3799999999999994E-2</v>
      </c>
    </row>
    <row r="5609" spans="1:6" x14ac:dyDescent="0.3">
      <c r="A5609" t="s">
        <v>5644</v>
      </c>
      <c r="B5609" t="s">
        <v>24</v>
      </c>
      <c r="C5609">
        <v>500000</v>
      </c>
      <c r="D5609">
        <v>34640.699999999997</v>
      </c>
      <c r="E5609">
        <v>4.7500000000000001E-2</v>
      </c>
      <c r="F5609">
        <v>9.3799999999999994E-2</v>
      </c>
    </row>
    <row r="5610" spans="1:6" x14ac:dyDescent="0.3">
      <c r="A5610" t="s">
        <v>5645</v>
      </c>
      <c r="B5610" t="s">
        <v>26</v>
      </c>
      <c r="C5610">
        <v>516000</v>
      </c>
      <c r="D5610">
        <v>447066</v>
      </c>
      <c r="E5610">
        <v>2.1499999999999998E-2</v>
      </c>
      <c r="F5610">
        <v>4.6199999999999998E-2</v>
      </c>
    </row>
    <row r="5611" spans="1:6" x14ac:dyDescent="0.3">
      <c r="A5611" t="s">
        <v>5646</v>
      </c>
      <c r="B5611" t="s">
        <v>24</v>
      </c>
      <c r="C5611">
        <v>686000</v>
      </c>
      <c r="D5611">
        <v>33278.300000000003</v>
      </c>
      <c r="E5611">
        <v>6.7100000000000007E-2</v>
      </c>
      <c r="F5611">
        <v>9.3799999999999994E-2</v>
      </c>
    </row>
    <row r="5612" spans="1:6" x14ac:dyDescent="0.3">
      <c r="A5612" t="s">
        <v>5647</v>
      </c>
      <c r="B5612" t="s">
        <v>21</v>
      </c>
      <c r="C5612">
        <v>514000</v>
      </c>
      <c r="D5612">
        <v>159978</v>
      </c>
      <c r="E5612">
        <v>2.3199999999999998E-2</v>
      </c>
      <c r="F5612">
        <v>0.1067</v>
      </c>
    </row>
    <row r="5613" spans="1:6" x14ac:dyDescent="0.3">
      <c r="A5613" t="s">
        <v>5648</v>
      </c>
      <c r="B5613" t="s">
        <v>92</v>
      </c>
      <c r="C5613">
        <v>412000</v>
      </c>
      <c r="D5613">
        <v>1436.7</v>
      </c>
      <c r="E5613">
        <v>2.24E-2</v>
      </c>
      <c r="F5613">
        <v>9.5000000000000001E-2</v>
      </c>
    </row>
    <row r="5614" spans="1:6" x14ac:dyDescent="0.3">
      <c r="A5614" t="s">
        <v>5649</v>
      </c>
      <c r="B5614" t="s">
        <v>26</v>
      </c>
      <c r="C5614">
        <v>897000</v>
      </c>
      <c r="D5614">
        <v>1434.3</v>
      </c>
      <c r="E5614">
        <v>3.2399999999999998E-2</v>
      </c>
      <c r="F5614">
        <v>0.1226</v>
      </c>
    </row>
    <row r="5615" spans="1:6" x14ac:dyDescent="0.3">
      <c r="A5615" t="s">
        <v>5650</v>
      </c>
      <c r="B5615" t="s">
        <v>26</v>
      </c>
      <c r="C5615">
        <v>412000</v>
      </c>
      <c r="D5615">
        <v>11287.4</v>
      </c>
      <c r="E5615">
        <v>3.6499999999999998E-2</v>
      </c>
      <c r="F5615">
        <v>9.5100000000000004E-2</v>
      </c>
    </row>
    <row r="5616" spans="1:6" x14ac:dyDescent="0.3">
      <c r="A5616" t="s">
        <v>5651</v>
      </c>
      <c r="B5616" t="s">
        <v>26</v>
      </c>
      <c r="C5616">
        <v>406000</v>
      </c>
      <c r="D5616">
        <v>4809.1000000000004</v>
      </c>
      <c r="E5616">
        <v>3.7900000000000003E-2</v>
      </c>
      <c r="F5616">
        <v>5.1799999999999999E-2</v>
      </c>
    </row>
    <row r="5617" spans="1:6" x14ac:dyDescent="0.3">
      <c r="A5617" t="s">
        <v>5652</v>
      </c>
      <c r="B5617" t="s">
        <v>41</v>
      </c>
      <c r="C5617">
        <v>479000</v>
      </c>
      <c r="D5617">
        <v>10</v>
      </c>
      <c r="E5617">
        <v>2.07E-2</v>
      </c>
      <c r="F5617">
        <v>0.3024</v>
      </c>
    </row>
    <row r="5618" spans="1:6" x14ac:dyDescent="0.3">
      <c r="A5618" t="s">
        <v>5653</v>
      </c>
      <c r="B5618" t="s">
        <v>41</v>
      </c>
      <c r="C5618">
        <v>557000</v>
      </c>
      <c r="D5618">
        <v>4120.3999999999996</v>
      </c>
      <c r="E5618">
        <v>5.7500000000000002E-2</v>
      </c>
      <c r="F5618">
        <v>7.5899999999999995E-2</v>
      </c>
    </row>
    <row r="5619" spans="1:6" x14ac:dyDescent="0.3">
      <c r="A5619" t="s">
        <v>5654</v>
      </c>
      <c r="B5619" t="s">
        <v>74</v>
      </c>
      <c r="C5619">
        <v>453000</v>
      </c>
      <c r="D5619">
        <v>349.4</v>
      </c>
      <c r="E5619">
        <v>4.02E-2</v>
      </c>
      <c r="F5619">
        <v>5.1400000000000001E-2</v>
      </c>
    </row>
    <row r="5620" spans="1:6" x14ac:dyDescent="0.3">
      <c r="A5620" t="s">
        <v>5655</v>
      </c>
      <c r="B5620" t="s">
        <v>26</v>
      </c>
      <c r="C5620">
        <v>404000</v>
      </c>
      <c r="D5620">
        <v>407.8</v>
      </c>
      <c r="E5620">
        <v>1.9699999999999999E-2</v>
      </c>
      <c r="F5620">
        <v>0.2089</v>
      </c>
    </row>
    <row r="5621" spans="1:6" x14ac:dyDescent="0.3">
      <c r="A5621" t="s">
        <v>5656</v>
      </c>
      <c r="B5621" t="s">
        <v>41</v>
      </c>
      <c r="C5621">
        <v>465000</v>
      </c>
      <c r="D5621">
        <v>7650.3</v>
      </c>
      <c r="E5621">
        <v>1.9400000000000001E-2</v>
      </c>
      <c r="F5621">
        <v>9.5000000000000001E-2</v>
      </c>
    </row>
    <row r="5622" spans="1:6" x14ac:dyDescent="0.3">
      <c r="A5622" t="s">
        <v>5657</v>
      </c>
      <c r="B5622" t="s">
        <v>88</v>
      </c>
      <c r="C5622">
        <v>542000</v>
      </c>
      <c r="D5622">
        <v>35562.699999999997</v>
      </c>
      <c r="E5622">
        <v>3.3500000000000002E-2</v>
      </c>
      <c r="F5622">
        <v>9.5100000000000004E-2</v>
      </c>
    </row>
    <row r="5623" spans="1:6" x14ac:dyDescent="0.3">
      <c r="A5623" t="s">
        <v>5658</v>
      </c>
      <c r="B5623" t="s">
        <v>41</v>
      </c>
      <c r="C5623">
        <v>419000</v>
      </c>
      <c r="D5623">
        <v>2969.6</v>
      </c>
      <c r="E5623">
        <v>2.5399999999999999E-2</v>
      </c>
      <c r="F5623">
        <v>6.7900000000000002E-2</v>
      </c>
    </row>
    <row r="5624" spans="1:6" x14ac:dyDescent="0.3">
      <c r="A5624" t="s">
        <v>5659</v>
      </c>
      <c r="B5624" t="s">
        <v>53</v>
      </c>
      <c r="C5624">
        <v>142000</v>
      </c>
      <c r="D5624">
        <v>6927.9</v>
      </c>
      <c r="E5624">
        <v>3.2899999999999999E-2</v>
      </c>
      <c r="F5624">
        <v>8.4500000000000006E-2</v>
      </c>
    </row>
    <row r="5625" spans="1:6" x14ac:dyDescent="0.3">
      <c r="A5625" t="s">
        <v>5660</v>
      </c>
      <c r="B5625" t="s">
        <v>24</v>
      </c>
      <c r="C5625">
        <v>512000</v>
      </c>
      <c r="D5625">
        <v>2714.8</v>
      </c>
      <c r="E5625">
        <v>5.9799999999999999E-2</v>
      </c>
      <c r="F5625">
        <v>9.3799999999999994E-2</v>
      </c>
    </row>
    <row r="5626" spans="1:6" x14ac:dyDescent="0.3">
      <c r="A5626" t="s">
        <v>5661</v>
      </c>
      <c r="B5626" t="s">
        <v>32</v>
      </c>
      <c r="C5626">
        <v>573000</v>
      </c>
      <c r="D5626">
        <v>283892.40000000002</v>
      </c>
      <c r="E5626">
        <v>2.1499999999999998E-2</v>
      </c>
      <c r="F5626">
        <v>0.1067</v>
      </c>
    </row>
    <row r="5627" spans="1:6" x14ac:dyDescent="0.3">
      <c r="A5627" t="s">
        <v>5662</v>
      </c>
      <c r="B5627" t="s">
        <v>24</v>
      </c>
      <c r="C5627">
        <v>492000</v>
      </c>
      <c r="D5627">
        <v>15410.5</v>
      </c>
      <c r="E5627">
        <v>3.1699999999999999E-2</v>
      </c>
      <c r="F5627">
        <v>9.5100000000000004E-2</v>
      </c>
    </row>
    <row r="5628" spans="1:6" x14ac:dyDescent="0.3">
      <c r="A5628" t="s">
        <v>5663</v>
      </c>
      <c r="B5628" t="s">
        <v>92</v>
      </c>
      <c r="C5628">
        <v>792000</v>
      </c>
      <c r="D5628">
        <v>852021.4</v>
      </c>
      <c r="E5628">
        <v>3.5499999999999997E-2</v>
      </c>
      <c r="F5628">
        <v>5.1799999999999999E-2</v>
      </c>
    </row>
    <row r="5629" spans="1:6" x14ac:dyDescent="0.3">
      <c r="A5629" t="s">
        <v>5664</v>
      </c>
      <c r="B5629" t="s">
        <v>24</v>
      </c>
      <c r="C5629">
        <v>545000</v>
      </c>
      <c r="D5629">
        <v>23347.9</v>
      </c>
      <c r="E5629">
        <v>3.0200000000000001E-2</v>
      </c>
      <c r="F5629">
        <v>9.3799999999999994E-2</v>
      </c>
    </row>
    <row r="5630" spans="1:6" x14ac:dyDescent="0.3">
      <c r="A5630" t="s">
        <v>5665</v>
      </c>
      <c r="B5630" t="s">
        <v>88</v>
      </c>
      <c r="C5630">
        <v>569000</v>
      </c>
      <c r="D5630">
        <v>4871.3999999999996</v>
      </c>
      <c r="E5630">
        <v>2.8799999999999999E-2</v>
      </c>
      <c r="F5630">
        <v>9.3799999999999994E-2</v>
      </c>
    </row>
    <row r="5631" spans="1:6" x14ac:dyDescent="0.3">
      <c r="A5631" t="s">
        <v>5666</v>
      </c>
      <c r="B5631" t="s">
        <v>195</v>
      </c>
      <c r="C5631">
        <v>915000</v>
      </c>
      <c r="D5631">
        <v>37664.699999999997</v>
      </c>
      <c r="E5631">
        <v>1.0500000000000001E-2</v>
      </c>
      <c r="F5631">
        <v>6.54E-2</v>
      </c>
    </row>
    <row r="5632" spans="1:6" x14ac:dyDescent="0.3">
      <c r="A5632" t="s">
        <v>5667</v>
      </c>
      <c r="B5632" t="s">
        <v>26</v>
      </c>
      <c r="C5632">
        <v>564000</v>
      </c>
      <c r="D5632">
        <v>229316.2</v>
      </c>
      <c r="E5632">
        <v>1.7000000000000001E-2</v>
      </c>
      <c r="F5632">
        <v>4.6199999999999998E-2</v>
      </c>
    </row>
    <row r="5633" spans="1:6" x14ac:dyDescent="0.3">
      <c r="A5633" t="s">
        <v>5668</v>
      </c>
      <c r="B5633" t="s">
        <v>88</v>
      </c>
      <c r="C5633">
        <v>415000</v>
      </c>
      <c r="D5633">
        <v>4092.2</v>
      </c>
      <c r="E5633">
        <v>8.0000000000000002E-3</v>
      </c>
      <c r="F5633">
        <v>8.2199999999999995E-2</v>
      </c>
    </row>
    <row r="5634" spans="1:6" x14ac:dyDescent="0.3">
      <c r="A5634" t="s">
        <v>5669</v>
      </c>
      <c r="B5634" t="s">
        <v>26</v>
      </c>
      <c r="C5634">
        <v>506000</v>
      </c>
      <c r="D5634">
        <v>224343.8</v>
      </c>
      <c r="E5634">
        <v>1.5800000000000002E-2</v>
      </c>
      <c r="F5634">
        <v>8.5400000000000004E-2</v>
      </c>
    </row>
    <row r="5635" spans="1:6" x14ac:dyDescent="0.3">
      <c r="A5635" t="s">
        <v>5670</v>
      </c>
      <c r="B5635" t="s">
        <v>214</v>
      </c>
      <c r="C5635">
        <v>449000</v>
      </c>
      <c r="D5635">
        <v>2502.6</v>
      </c>
      <c r="E5635">
        <v>3.5400000000000001E-2</v>
      </c>
      <c r="F5635">
        <v>5.3800000000000001E-2</v>
      </c>
    </row>
    <row r="5636" spans="1:6" x14ac:dyDescent="0.3">
      <c r="A5636" t="s">
        <v>5671</v>
      </c>
      <c r="B5636" t="s">
        <v>26</v>
      </c>
      <c r="C5636">
        <v>476000</v>
      </c>
      <c r="D5636">
        <v>27641.1</v>
      </c>
      <c r="E5636">
        <v>8.0000000000000002E-3</v>
      </c>
      <c r="F5636">
        <v>8.2199999999999995E-2</v>
      </c>
    </row>
    <row r="5637" spans="1:6" x14ac:dyDescent="0.3">
      <c r="A5637" t="s">
        <v>5672</v>
      </c>
      <c r="B5637" t="s">
        <v>26</v>
      </c>
      <c r="C5637">
        <v>521000</v>
      </c>
      <c r="D5637">
        <v>17233.2</v>
      </c>
      <c r="E5637">
        <v>3.1399999999999997E-2</v>
      </c>
      <c r="F5637">
        <v>7.5899999999999995E-2</v>
      </c>
    </row>
    <row r="5638" spans="1:6" x14ac:dyDescent="0.3">
      <c r="A5638" t="s">
        <v>5673</v>
      </c>
      <c r="B5638" t="s">
        <v>26</v>
      </c>
      <c r="C5638">
        <v>997000</v>
      </c>
      <c r="D5638">
        <v>3739.2</v>
      </c>
      <c r="E5638">
        <v>1.18E-2</v>
      </c>
      <c r="F5638">
        <v>7.2599999999999998E-2</v>
      </c>
    </row>
    <row r="5639" spans="1:6" x14ac:dyDescent="0.3">
      <c r="A5639" t="s">
        <v>5674</v>
      </c>
      <c r="B5639" t="s">
        <v>50</v>
      </c>
      <c r="C5639">
        <v>534000</v>
      </c>
      <c r="D5639">
        <v>5992.1</v>
      </c>
      <c r="E5639">
        <v>3.6900000000000002E-2</v>
      </c>
      <c r="F5639">
        <v>9.5100000000000004E-2</v>
      </c>
    </row>
    <row r="5640" spans="1:6" x14ac:dyDescent="0.3">
      <c r="A5640" t="s">
        <v>5675</v>
      </c>
      <c r="B5640" t="s">
        <v>35</v>
      </c>
      <c r="C5640">
        <v>1140000</v>
      </c>
      <c r="D5640">
        <v>3968.9</v>
      </c>
      <c r="E5640">
        <v>2.06E-2</v>
      </c>
      <c r="F5640">
        <v>5.7599999999999998E-2</v>
      </c>
    </row>
    <row r="5641" spans="1:6" x14ac:dyDescent="0.3">
      <c r="A5641" t="s">
        <v>5676</v>
      </c>
      <c r="B5641" t="s">
        <v>32</v>
      </c>
      <c r="C5641">
        <v>400000</v>
      </c>
      <c r="D5641">
        <v>2215.5</v>
      </c>
      <c r="E5641">
        <v>8.0999999999999996E-3</v>
      </c>
      <c r="F5641">
        <v>6.54E-2</v>
      </c>
    </row>
    <row r="5642" spans="1:6" x14ac:dyDescent="0.3">
      <c r="A5642" t="s">
        <v>5677</v>
      </c>
      <c r="B5642" t="s">
        <v>26</v>
      </c>
      <c r="C5642">
        <v>173000</v>
      </c>
      <c r="D5642">
        <v>10643.3</v>
      </c>
      <c r="E5642">
        <v>3.6799999999999999E-2</v>
      </c>
      <c r="F5642">
        <v>0.1535</v>
      </c>
    </row>
    <row r="5643" spans="1:6" x14ac:dyDescent="0.3">
      <c r="A5643" t="s">
        <v>5678</v>
      </c>
      <c r="B5643" t="s">
        <v>214</v>
      </c>
      <c r="C5643">
        <v>619000</v>
      </c>
      <c r="D5643">
        <v>3800.2</v>
      </c>
      <c r="E5643">
        <v>1.52E-2</v>
      </c>
      <c r="F5643">
        <v>4.8800000000000003E-2</v>
      </c>
    </row>
    <row r="5644" spans="1:6" x14ac:dyDescent="0.3">
      <c r="A5644" t="s">
        <v>5679</v>
      </c>
      <c r="B5644" t="s">
        <v>26</v>
      </c>
      <c r="C5644">
        <v>615000</v>
      </c>
      <c r="D5644">
        <v>336159.1</v>
      </c>
      <c r="E5644">
        <v>3.8399999999999997E-2</v>
      </c>
      <c r="F5644">
        <v>9.5100000000000004E-2</v>
      </c>
    </row>
    <row r="5645" spans="1:6" x14ac:dyDescent="0.3">
      <c r="A5645" t="s">
        <v>5680</v>
      </c>
      <c r="B5645" t="s">
        <v>26</v>
      </c>
      <c r="C5645">
        <v>412000</v>
      </c>
      <c r="D5645">
        <v>111956.7</v>
      </c>
      <c r="E5645">
        <v>3.0099999999999998E-2</v>
      </c>
      <c r="F5645">
        <v>9.5100000000000004E-2</v>
      </c>
    </row>
    <row r="5646" spans="1:6" x14ac:dyDescent="0.3">
      <c r="A5646" t="s">
        <v>5681</v>
      </c>
      <c r="B5646" t="s">
        <v>26</v>
      </c>
      <c r="C5646">
        <v>624000</v>
      </c>
      <c r="D5646">
        <v>41305</v>
      </c>
      <c r="E5646">
        <v>8.6199999999999999E-2</v>
      </c>
      <c r="F5646">
        <v>9.3799999999999994E-2</v>
      </c>
    </row>
    <row r="5647" spans="1:6" x14ac:dyDescent="0.3">
      <c r="A5647" t="s">
        <v>5682</v>
      </c>
      <c r="B5647" t="s">
        <v>287</v>
      </c>
      <c r="C5647">
        <v>426000</v>
      </c>
      <c r="D5647">
        <v>4247.3</v>
      </c>
      <c r="E5647">
        <v>5.8900000000000001E-2</v>
      </c>
      <c r="F5647">
        <v>9.3799999999999994E-2</v>
      </c>
    </row>
    <row r="5648" spans="1:6" x14ac:dyDescent="0.3">
      <c r="A5648" t="s">
        <v>5683</v>
      </c>
      <c r="B5648" t="s">
        <v>88</v>
      </c>
      <c r="C5648">
        <v>722000</v>
      </c>
      <c r="D5648">
        <v>13568.9</v>
      </c>
      <c r="E5648">
        <v>4.0000000000000001E-3</v>
      </c>
      <c r="F5648">
        <v>6.54E-2</v>
      </c>
    </row>
    <row r="5649" spans="1:6" x14ac:dyDescent="0.3">
      <c r="A5649" t="s">
        <v>5684</v>
      </c>
      <c r="B5649" t="s">
        <v>88</v>
      </c>
      <c r="C5649">
        <v>534000</v>
      </c>
      <c r="D5649">
        <v>14259.6</v>
      </c>
      <c r="E5649">
        <v>4.5100000000000001E-2</v>
      </c>
      <c r="F5649">
        <v>7.5899999999999995E-2</v>
      </c>
    </row>
    <row r="5650" spans="1:6" x14ac:dyDescent="0.3">
      <c r="A5650" t="s">
        <v>5685</v>
      </c>
      <c r="B5650" t="s">
        <v>53</v>
      </c>
      <c r="C5650">
        <v>537000</v>
      </c>
      <c r="D5650">
        <v>42357.4</v>
      </c>
      <c r="E5650">
        <v>6.0900000000000003E-2</v>
      </c>
      <c r="F5650">
        <v>7.5899999999999995E-2</v>
      </c>
    </row>
    <row r="5651" spans="1:6" x14ac:dyDescent="0.3">
      <c r="A5651" t="s">
        <v>5686</v>
      </c>
      <c r="B5651" t="s">
        <v>88</v>
      </c>
      <c r="C5651">
        <v>881000</v>
      </c>
      <c r="D5651">
        <v>25567.4</v>
      </c>
      <c r="E5651">
        <v>5.5E-2</v>
      </c>
      <c r="F5651">
        <v>9.3799999999999994E-2</v>
      </c>
    </row>
    <row r="5652" spans="1:6" x14ac:dyDescent="0.3">
      <c r="A5652" t="s">
        <v>5687</v>
      </c>
      <c r="B5652" t="s">
        <v>26</v>
      </c>
      <c r="C5652">
        <v>654000</v>
      </c>
      <c r="D5652">
        <v>7179.1</v>
      </c>
      <c r="E5652">
        <v>1.9099999999999999E-2</v>
      </c>
      <c r="F5652">
        <v>4.6199999999999998E-2</v>
      </c>
    </row>
    <row r="5653" spans="1:6" x14ac:dyDescent="0.3">
      <c r="A5653" t="s">
        <v>5688</v>
      </c>
      <c r="B5653" t="s">
        <v>26</v>
      </c>
      <c r="C5653">
        <v>554000</v>
      </c>
      <c r="D5653">
        <v>20505</v>
      </c>
      <c r="E5653">
        <v>1.4500000000000001E-2</v>
      </c>
      <c r="F5653">
        <v>0.1053</v>
      </c>
    </row>
    <row r="5654" spans="1:6" x14ac:dyDescent="0.3">
      <c r="A5654" t="s">
        <v>5689</v>
      </c>
      <c r="B5654" t="s">
        <v>41</v>
      </c>
      <c r="C5654">
        <v>421000</v>
      </c>
      <c r="D5654">
        <v>2454.6999999999998</v>
      </c>
      <c r="E5654">
        <v>1.4999999999999999E-2</v>
      </c>
      <c r="F5654">
        <v>7.2599999999999998E-2</v>
      </c>
    </row>
    <row r="5655" spans="1:6" x14ac:dyDescent="0.3">
      <c r="A5655" t="s">
        <v>5690</v>
      </c>
      <c r="B5655" t="s">
        <v>26</v>
      </c>
      <c r="C5655">
        <v>701000</v>
      </c>
      <c r="D5655">
        <v>108069</v>
      </c>
      <c r="E5655">
        <v>2.1999999999999999E-2</v>
      </c>
      <c r="F5655">
        <v>4.3200000000000002E-2</v>
      </c>
    </row>
    <row r="5656" spans="1:6" x14ac:dyDescent="0.3">
      <c r="A5656" t="s">
        <v>5691</v>
      </c>
      <c r="B5656" t="s">
        <v>26</v>
      </c>
      <c r="C5656">
        <v>1690000</v>
      </c>
      <c r="D5656">
        <v>1516480</v>
      </c>
      <c r="E5656">
        <v>5.0500000000000003E-2</v>
      </c>
      <c r="F5656">
        <v>4.0899999999999999E-2</v>
      </c>
    </row>
    <row r="5657" spans="1:6" x14ac:dyDescent="0.3">
      <c r="A5657" t="s">
        <v>5692</v>
      </c>
      <c r="B5657" t="s">
        <v>26</v>
      </c>
      <c r="C5657">
        <v>802000</v>
      </c>
      <c r="D5657">
        <v>412503.7</v>
      </c>
      <c r="E5657">
        <v>3.8600000000000002E-2</v>
      </c>
      <c r="F5657">
        <v>7.5899999999999995E-2</v>
      </c>
    </row>
    <row r="5658" spans="1:6" x14ac:dyDescent="0.3">
      <c r="A5658" t="s">
        <v>5693</v>
      </c>
      <c r="B5658" t="s">
        <v>88</v>
      </c>
      <c r="C5658">
        <v>409000</v>
      </c>
      <c r="D5658">
        <v>6176.1</v>
      </c>
      <c r="E5658">
        <v>1.7399999999999999E-2</v>
      </c>
      <c r="F5658">
        <v>0.13719999999999999</v>
      </c>
    </row>
    <row r="5659" spans="1:6" x14ac:dyDescent="0.3">
      <c r="A5659" t="s">
        <v>5694</v>
      </c>
      <c r="B5659" t="s">
        <v>92</v>
      </c>
      <c r="C5659">
        <v>619000</v>
      </c>
      <c r="D5659">
        <v>97154.5</v>
      </c>
      <c r="E5659">
        <v>1.11E-2</v>
      </c>
      <c r="F5659">
        <v>0.1067</v>
      </c>
    </row>
    <row r="5660" spans="1:6" x14ac:dyDescent="0.3">
      <c r="A5660" t="s">
        <v>5695</v>
      </c>
      <c r="B5660" t="s">
        <v>26</v>
      </c>
      <c r="C5660">
        <v>373000</v>
      </c>
      <c r="D5660">
        <v>6257.4</v>
      </c>
      <c r="F5660">
        <v>5.1799999999999999E-2</v>
      </c>
    </row>
    <row r="5661" spans="1:6" x14ac:dyDescent="0.3">
      <c r="A5661" t="s">
        <v>5696</v>
      </c>
      <c r="B5661" t="s">
        <v>92</v>
      </c>
      <c r="C5661">
        <v>392000</v>
      </c>
      <c r="D5661">
        <v>5574.9</v>
      </c>
      <c r="E5661">
        <v>8.5000000000000006E-3</v>
      </c>
      <c r="F5661">
        <v>6.54E-2</v>
      </c>
    </row>
    <row r="5662" spans="1:6" x14ac:dyDescent="0.3">
      <c r="A5662" t="s">
        <v>5697</v>
      </c>
      <c r="B5662" t="s">
        <v>26</v>
      </c>
      <c r="C5662">
        <v>563000</v>
      </c>
      <c r="D5662">
        <v>11555.1</v>
      </c>
      <c r="E5662">
        <v>3.5200000000000002E-2</v>
      </c>
      <c r="F5662">
        <v>7.5899999999999995E-2</v>
      </c>
    </row>
    <row r="5663" spans="1:6" x14ac:dyDescent="0.3">
      <c r="A5663" t="s">
        <v>5698</v>
      </c>
      <c r="B5663" t="s">
        <v>26</v>
      </c>
      <c r="C5663">
        <v>533000</v>
      </c>
      <c r="D5663">
        <v>19220.5</v>
      </c>
      <c r="E5663">
        <v>5.1000000000000004E-3</v>
      </c>
      <c r="F5663">
        <v>8.1100000000000005E-2</v>
      </c>
    </row>
    <row r="5664" spans="1:6" x14ac:dyDescent="0.3">
      <c r="A5664" t="s">
        <v>5699</v>
      </c>
      <c r="B5664" t="s">
        <v>88</v>
      </c>
      <c r="C5664">
        <v>768000</v>
      </c>
      <c r="D5664">
        <v>655.8</v>
      </c>
      <c r="E5664">
        <v>0.12909999999999999</v>
      </c>
      <c r="F5664">
        <v>9.3799999999999994E-2</v>
      </c>
    </row>
    <row r="5665" spans="1:6" x14ac:dyDescent="0.3">
      <c r="A5665" t="s">
        <v>5700</v>
      </c>
      <c r="B5665" t="s">
        <v>26</v>
      </c>
      <c r="C5665">
        <v>391000</v>
      </c>
      <c r="D5665">
        <v>696.8</v>
      </c>
      <c r="E5665">
        <v>2.9100000000000001E-2</v>
      </c>
      <c r="F5665">
        <v>9.5100000000000004E-2</v>
      </c>
    </row>
    <row r="5666" spans="1:6" x14ac:dyDescent="0.3">
      <c r="A5666" t="s">
        <v>5701</v>
      </c>
      <c r="B5666" t="s">
        <v>92</v>
      </c>
      <c r="C5666">
        <v>517000</v>
      </c>
      <c r="D5666">
        <v>10448.1</v>
      </c>
      <c r="E5666">
        <v>2.5499999999999998E-2</v>
      </c>
      <c r="F5666">
        <v>7.5899999999999995E-2</v>
      </c>
    </row>
    <row r="5667" spans="1:6" x14ac:dyDescent="0.3">
      <c r="A5667" t="s">
        <v>5702</v>
      </c>
      <c r="B5667" t="s">
        <v>71</v>
      </c>
      <c r="C5667">
        <v>556000</v>
      </c>
      <c r="D5667">
        <v>7539.5</v>
      </c>
      <c r="E5667">
        <v>1.06E-2</v>
      </c>
      <c r="F5667">
        <v>0.16170000000000001</v>
      </c>
    </row>
    <row r="5668" spans="1:6" x14ac:dyDescent="0.3">
      <c r="A5668" t="s">
        <v>5703</v>
      </c>
      <c r="B5668" t="s">
        <v>21</v>
      </c>
      <c r="C5668">
        <v>430000</v>
      </c>
      <c r="D5668">
        <v>87886.9</v>
      </c>
      <c r="E5668">
        <v>2.63E-2</v>
      </c>
      <c r="F5668">
        <v>9.5100000000000004E-2</v>
      </c>
    </row>
    <row r="5669" spans="1:6" x14ac:dyDescent="0.3">
      <c r="A5669" t="s">
        <v>5704</v>
      </c>
      <c r="B5669" t="s">
        <v>26</v>
      </c>
      <c r="C5669">
        <v>21400000</v>
      </c>
      <c r="D5669">
        <v>12589959</v>
      </c>
      <c r="E5669">
        <v>2.2499999999999999E-2</v>
      </c>
      <c r="F5669">
        <v>8.5400000000000004E-2</v>
      </c>
    </row>
    <row r="5670" spans="1:6" x14ac:dyDescent="0.3">
      <c r="A5670" t="s">
        <v>5705</v>
      </c>
      <c r="B5670" t="s">
        <v>92</v>
      </c>
      <c r="C5670">
        <v>763000</v>
      </c>
      <c r="D5670">
        <v>82117.5</v>
      </c>
      <c r="E5670">
        <v>1.4800000000000001E-2</v>
      </c>
      <c r="F5670">
        <v>4.6199999999999998E-2</v>
      </c>
    </row>
    <row r="5671" spans="1:6" x14ac:dyDescent="0.3">
      <c r="A5671" t="s">
        <v>5706</v>
      </c>
      <c r="B5671" t="s">
        <v>41</v>
      </c>
      <c r="C5671">
        <v>421000</v>
      </c>
      <c r="D5671">
        <v>682.3</v>
      </c>
      <c r="E5671">
        <v>5.3400000000000003E-2</v>
      </c>
      <c r="F5671">
        <v>5.0999999999999997E-2</v>
      </c>
    </row>
    <row r="5672" spans="1:6" x14ac:dyDescent="0.3">
      <c r="A5672" t="s">
        <v>5707</v>
      </c>
      <c r="B5672" t="s">
        <v>26</v>
      </c>
      <c r="C5672">
        <v>386000</v>
      </c>
      <c r="D5672">
        <v>565.9</v>
      </c>
      <c r="E5672">
        <v>1.5599999999999999E-2</v>
      </c>
      <c r="F5672">
        <v>0.1067</v>
      </c>
    </row>
    <row r="5673" spans="1:6" x14ac:dyDescent="0.3">
      <c r="A5673" t="s">
        <v>5708</v>
      </c>
      <c r="B5673" t="s">
        <v>92</v>
      </c>
      <c r="C5673">
        <v>410000</v>
      </c>
      <c r="D5673">
        <v>2467.6</v>
      </c>
      <c r="E5673">
        <v>2.1299999999999999E-2</v>
      </c>
      <c r="F5673">
        <v>7.5899999999999995E-2</v>
      </c>
    </row>
    <row r="5674" spans="1:6" x14ac:dyDescent="0.3">
      <c r="A5674" t="s">
        <v>5709</v>
      </c>
      <c r="B5674" t="s">
        <v>41</v>
      </c>
      <c r="C5674">
        <v>512000</v>
      </c>
      <c r="D5674">
        <v>7490.7</v>
      </c>
      <c r="E5674">
        <v>2.0500000000000001E-2</v>
      </c>
      <c r="F5674">
        <v>0.1053</v>
      </c>
    </row>
    <row r="5675" spans="1:6" x14ac:dyDescent="0.3">
      <c r="A5675" t="s">
        <v>5710</v>
      </c>
      <c r="B5675" t="s">
        <v>24</v>
      </c>
      <c r="C5675">
        <v>398000</v>
      </c>
      <c r="D5675">
        <v>465.2</v>
      </c>
      <c r="E5675">
        <v>6.1899999999999997E-2</v>
      </c>
      <c r="F5675">
        <v>9.5100000000000004E-2</v>
      </c>
    </row>
    <row r="5676" spans="1:6" x14ac:dyDescent="0.3">
      <c r="A5676" t="s">
        <v>5711</v>
      </c>
      <c r="B5676" t="s">
        <v>26</v>
      </c>
      <c r="C5676">
        <v>439000</v>
      </c>
      <c r="D5676">
        <v>6574.4</v>
      </c>
      <c r="E5676">
        <v>5.1400000000000001E-2</v>
      </c>
      <c r="F5676">
        <v>7.5899999999999995E-2</v>
      </c>
    </row>
    <row r="5677" spans="1:6" x14ac:dyDescent="0.3">
      <c r="A5677" t="s">
        <v>5712</v>
      </c>
      <c r="B5677" t="s">
        <v>24</v>
      </c>
      <c r="C5677">
        <v>475000</v>
      </c>
      <c r="D5677">
        <v>4085</v>
      </c>
      <c r="E5677">
        <v>4.7899999999999998E-2</v>
      </c>
      <c r="F5677">
        <v>7.5899999999999995E-2</v>
      </c>
    </row>
    <row r="5678" spans="1:6" x14ac:dyDescent="0.3">
      <c r="A5678" t="s">
        <v>5713</v>
      </c>
      <c r="B5678" t="s">
        <v>50</v>
      </c>
      <c r="C5678">
        <v>390000</v>
      </c>
      <c r="D5678">
        <v>20088.2</v>
      </c>
      <c r="E5678">
        <v>5.0999999999999997E-2</v>
      </c>
      <c r="F5678">
        <v>9.5100000000000004E-2</v>
      </c>
    </row>
    <row r="5679" spans="1:6" x14ac:dyDescent="0.3">
      <c r="A5679" t="s">
        <v>5714</v>
      </c>
      <c r="B5679" t="s">
        <v>92</v>
      </c>
      <c r="C5679">
        <v>390000</v>
      </c>
      <c r="D5679">
        <v>375.8</v>
      </c>
      <c r="E5679">
        <v>1.9599999999999999E-2</v>
      </c>
      <c r="F5679">
        <v>0.13719999999999999</v>
      </c>
    </row>
    <row r="5680" spans="1:6" x14ac:dyDescent="0.3">
      <c r="A5680" t="s">
        <v>5715</v>
      </c>
      <c r="B5680" t="s">
        <v>88</v>
      </c>
      <c r="C5680">
        <v>385000</v>
      </c>
      <c r="D5680">
        <v>2800.2</v>
      </c>
      <c r="E5680">
        <v>4.07E-2</v>
      </c>
      <c r="F5680">
        <v>0.11700000000000001</v>
      </c>
    </row>
    <row r="5681" spans="1:6" x14ac:dyDescent="0.3">
      <c r="A5681" t="s">
        <v>5716</v>
      </c>
      <c r="B5681" t="s">
        <v>195</v>
      </c>
      <c r="C5681">
        <v>405000</v>
      </c>
      <c r="D5681">
        <v>15300.3</v>
      </c>
      <c r="E5681">
        <v>1.43E-2</v>
      </c>
      <c r="F5681">
        <v>4.6199999999999998E-2</v>
      </c>
    </row>
    <row r="5682" spans="1:6" x14ac:dyDescent="0.3">
      <c r="A5682" t="s">
        <v>5717</v>
      </c>
      <c r="B5682" t="s">
        <v>30</v>
      </c>
      <c r="C5682">
        <v>405000</v>
      </c>
      <c r="D5682">
        <v>42494.2</v>
      </c>
      <c r="E5682">
        <v>2.7799999999999998E-2</v>
      </c>
      <c r="F5682">
        <v>4.0899999999999999E-2</v>
      </c>
    </row>
    <row r="5683" spans="1:6" x14ac:dyDescent="0.3">
      <c r="A5683" t="s">
        <v>5718</v>
      </c>
      <c r="B5683" t="s">
        <v>32</v>
      </c>
      <c r="C5683">
        <v>536000</v>
      </c>
      <c r="D5683">
        <v>1631.8</v>
      </c>
      <c r="E5683">
        <v>1.2200000000000001E-2</v>
      </c>
      <c r="F5683">
        <v>8.2100000000000006E-2</v>
      </c>
    </row>
    <row r="5684" spans="1:6" x14ac:dyDescent="0.3">
      <c r="A5684" t="s">
        <v>5719</v>
      </c>
      <c r="B5684" t="s">
        <v>26</v>
      </c>
      <c r="C5684">
        <v>425000</v>
      </c>
      <c r="D5684">
        <v>1610.6</v>
      </c>
      <c r="E5684">
        <v>2.7900000000000001E-2</v>
      </c>
      <c r="F5684">
        <v>7.5899999999999995E-2</v>
      </c>
    </row>
    <row r="5685" spans="1:6" x14ac:dyDescent="0.3">
      <c r="A5685" t="s">
        <v>5720</v>
      </c>
      <c r="B5685" t="s">
        <v>53</v>
      </c>
      <c r="C5685">
        <v>498000</v>
      </c>
      <c r="D5685">
        <v>66887.100000000006</v>
      </c>
      <c r="E5685">
        <v>1.35E-2</v>
      </c>
      <c r="F5685">
        <v>0.1062</v>
      </c>
    </row>
    <row r="5686" spans="1:6" x14ac:dyDescent="0.3">
      <c r="A5686" t="s">
        <v>5721</v>
      </c>
      <c r="B5686" t="s">
        <v>41</v>
      </c>
      <c r="C5686">
        <v>429000</v>
      </c>
      <c r="D5686">
        <v>2410.1999999999998</v>
      </c>
      <c r="E5686">
        <v>4.4200000000000003E-2</v>
      </c>
      <c r="F5686">
        <v>7.5899999999999995E-2</v>
      </c>
    </row>
    <row r="5687" spans="1:6" x14ac:dyDescent="0.3">
      <c r="A5687" t="s">
        <v>5722</v>
      </c>
      <c r="B5687" t="s">
        <v>214</v>
      </c>
      <c r="C5687">
        <v>406000</v>
      </c>
      <c r="D5687">
        <v>8250.5</v>
      </c>
      <c r="E5687">
        <v>2.0899999999999998E-2</v>
      </c>
      <c r="F5687">
        <v>5.7599999999999998E-2</v>
      </c>
    </row>
    <row r="5688" spans="1:6" x14ac:dyDescent="0.3">
      <c r="A5688" t="s">
        <v>5723</v>
      </c>
      <c r="B5688" t="s">
        <v>26</v>
      </c>
      <c r="C5688">
        <v>1680000</v>
      </c>
      <c r="D5688">
        <v>42182.1</v>
      </c>
      <c r="E5688">
        <v>1.9800000000000002E-2</v>
      </c>
      <c r="F5688">
        <v>4.6199999999999998E-2</v>
      </c>
    </row>
    <row r="5689" spans="1:6" x14ac:dyDescent="0.3">
      <c r="A5689" t="s">
        <v>5724</v>
      </c>
      <c r="B5689" t="s">
        <v>26</v>
      </c>
      <c r="C5689">
        <v>447000</v>
      </c>
      <c r="D5689">
        <v>87760</v>
      </c>
      <c r="E5689">
        <v>5.2499999999999998E-2</v>
      </c>
      <c r="F5689">
        <v>9.5100000000000004E-2</v>
      </c>
    </row>
    <row r="5690" spans="1:6" x14ac:dyDescent="0.3">
      <c r="A5690" t="s">
        <v>5725</v>
      </c>
      <c r="B5690" t="s">
        <v>195</v>
      </c>
      <c r="C5690">
        <v>550000</v>
      </c>
      <c r="D5690">
        <v>2071.1999999999998</v>
      </c>
      <c r="E5690">
        <v>1.9400000000000001E-2</v>
      </c>
      <c r="F5690">
        <v>0.1053</v>
      </c>
    </row>
    <row r="5691" spans="1:6" x14ac:dyDescent="0.3">
      <c r="A5691" t="s">
        <v>5726</v>
      </c>
      <c r="B5691" t="s">
        <v>26</v>
      </c>
      <c r="C5691">
        <v>433000</v>
      </c>
      <c r="D5691">
        <v>2181.1</v>
      </c>
      <c r="E5691">
        <v>9.1300000000000006E-2</v>
      </c>
      <c r="F5691">
        <v>7.5899999999999995E-2</v>
      </c>
    </row>
    <row r="5692" spans="1:6" x14ac:dyDescent="0.3">
      <c r="A5692" t="s">
        <v>5727</v>
      </c>
      <c r="B5692" t="s">
        <v>26</v>
      </c>
      <c r="C5692">
        <v>507000</v>
      </c>
      <c r="D5692">
        <v>738.8</v>
      </c>
      <c r="E5692">
        <v>1.24E-2</v>
      </c>
      <c r="F5692">
        <v>8.1100000000000005E-2</v>
      </c>
    </row>
    <row r="5693" spans="1:6" x14ac:dyDescent="0.3">
      <c r="A5693" t="s">
        <v>5728</v>
      </c>
      <c r="B5693" t="s">
        <v>35</v>
      </c>
      <c r="C5693">
        <v>520000</v>
      </c>
      <c r="D5693">
        <v>7626.9</v>
      </c>
      <c r="E5693">
        <v>0.1212</v>
      </c>
      <c r="F5693">
        <v>7.5899999999999995E-2</v>
      </c>
    </row>
    <row r="5694" spans="1:6" x14ac:dyDescent="0.3">
      <c r="A5694" t="s">
        <v>5729</v>
      </c>
      <c r="B5694" t="s">
        <v>28</v>
      </c>
      <c r="C5694">
        <v>420000</v>
      </c>
      <c r="D5694">
        <v>669.9</v>
      </c>
      <c r="E5694">
        <v>9.2999999999999992E-3</v>
      </c>
      <c r="F5694">
        <v>0.15390000000000001</v>
      </c>
    </row>
    <row r="5695" spans="1:6" x14ac:dyDescent="0.3">
      <c r="A5695" t="s">
        <v>5730</v>
      </c>
      <c r="B5695" t="s">
        <v>26</v>
      </c>
      <c r="C5695">
        <v>446000</v>
      </c>
      <c r="D5695">
        <v>39800.800000000003</v>
      </c>
      <c r="E5695">
        <v>6.8699999999999997E-2</v>
      </c>
      <c r="F5695">
        <v>5.0999999999999997E-2</v>
      </c>
    </row>
    <row r="5696" spans="1:6" x14ac:dyDescent="0.3">
      <c r="A5696" t="s">
        <v>5731</v>
      </c>
      <c r="B5696" t="s">
        <v>74</v>
      </c>
      <c r="C5696">
        <v>424000</v>
      </c>
      <c r="D5696">
        <v>113041.2</v>
      </c>
      <c r="E5696">
        <v>2.8000000000000001E-2</v>
      </c>
      <c r="F5696">
        <v>9.5100000000000004E-2</v>
      </c>
    </row>
    <row r="5697" spans="1:6" x14ac:dyDescent="0.3">
      <c r="A5697" t="s">
        <v>5732</v>
      </c>
      <c r="B5697" t="s">
        <v>92</v>
      </c>
      <c r="C5697">
        <v>397000</v>
      </c>
      <c r="D5697">
        <v>112.3</v>
      </c>
      <c r="E5697">
        <v>4.3499999999999997E-2</v>
      </c>
      <c r="F5697">
        <v>7.5899999999999995E-2</v>
      </c>
    </row>
    <row r="5698" spans="1:6" x14ac:dyDescent="0.3">
      <c r="A5698" t="s">
        <v>5733</v>
      </c>
      <c r="B5698" t="s">
        <v>62</v>
      </c>
      <c r="C5698">
        <v>426000</v>
      </c>
      <c r="D5698">
        <v>411.3</v>
      </c>
      <c r="E5698">
        <v>1.7999999999999999E-2</v>
      </c>
      <c r="F5698">
        <v>4.6199999999999998E-2</v>
      </c>
    </row>
    <row r="5699" spans="1:6" x14ac:dyDescent="0.3">
      <c r="A5699" t="s">
        <v>5734</v>
      </c>
      <c r="B5699" t="s">
        <v>88</v>
      </c>
      <c r="C5699">
        <v>567000</v>
      </c>
      <c r="D5699">
        <v>27165.1</v>
      </c>
      <c r="E5699">
        <v>2.7300000000000001E-2</v>
      </c>
      <c r="F5699">
        <v>9.5100000000000004E-2</v>
      </c>
    </row>
    <row r="5700" spans="1:6" x14ac:dyDescent="0.3">
      <c r="A5700" t="s">
        <v>5735</v>
      </c>
      <c r="B5700" t="s">
        <v>26</v>
      </c>
      <c r="C5700">
        <v>1180000</v>
      </c>
      <c r="D5700">
        <v>367469.4</v>
      </c>
      <c r="E5700">
        <v>7.7999999999999996E-3</v>
      </c>
      <c r="F5700">
        <v>8.1100000000000005E-2</v>
      </c>
    </row>
    <row r="5701" spans="1:6" x14ac:dyDescent="0.3">
      <c r="A5701" t="s">
        <v>5736</v>
      </c>
      <c r="B5701" t="s">
        <v>53</v>
      </c>
      <c r="C5701">
        <v>653000</v>
      </c>
      <c r="D5701">
        <v>35084.699999999997</v>
      </c>
      <c r="E5701">
        <v>8.2000000000000007E-3</v>
      </c>
      <c r="F5701">
        <v>6.54E-2</v>
      </c>
    </row>
    <row r="5702" spans="1:6" x14ac:dyDescent="0.3">
      <c r="A5702" t="s">
        <v>5737</v>
      </c>
      <c r="B5702" t="s">
        <v>81</v>
      </c>
      <c r="C5702">
        <v>376000</v>
      </c>
      <c r="D5702">
        <v>2229.1</v>
      </c>
      <c r="E5702">
        <v>2.0299999999999999E-2</v>
      </c>
      <c r="F5702">
        <v>0.1053</v>
      </c>
    </row>
    <row r="5703" spans="1:6" x14ac:dyDescent="0.3">
      <c r="A5703" t="s">
        <v>5738</v>
      </c>
      <c r="B5703" t="s">
        <v>32</v>
      </c>
      <c r="C5703">
        <v>527000</v>
      </c>
      <c r="D5703">
        <v>111452.2</v>
      </c>
      <c r="E5703">
        <v>3.78E-2</v>
      </c>
      <c r="F5703">
        <v>5.1799999999999999E-2</v>
      </c>
    </row>
    <row r="5704" spans="1:6" x14ac:dyDescent="0.3">
      <c r="A5704" t="s">
        <v>5739</v>
      </c>
      <c r="B5704" t="s">
        <v>214</v>
      </c>
      <c r="C5704">
        <v>412000</v>
      </c>
      <c r="D5704">
        <v>5555.2</v>
      </c>
      <c r="E5704">
        <v>2.2200000000000001E-2</v>
      </c>
      <c r="F5704">
        <v>0.1067</v>
      </c>
    </row>
    <row r="5705" spans="1:6" x14ac:dyDescent="0.3">
      <c r="A5705" t="s">
        <v>5740</v>
      </c>
      <c r="B5705" t="s">
        <v>81</v>
      </c>
      <c r="C5705">
        <v>429000</v>
      </c>
      <c r="D5705">
        <v>8896.4</v>
      </c>
      <c r="E5705">
        <v>3.9100000000000003E-2</v>
      </c>
      <c r="F5705">
        <v>0.1241</v>
      </c>
    </row>
    <row r="5706" spans="1:6" x14ac:dyDescent="0.3">
      <c r="A5706" t="s">
        <v>5741</v>
      </c>
      <c r="B5706" t="s">
        <v>88</v>
      </c>
      <c r="C5706">
        <v>515000</v>
      </c>
      <c r="D5706">
        <v>1384.6</v>
      </c>
      <c r="E5706">
        <v>3.1899999999999998E-2</v>
      </c>
      <c r="F5706">
        <v>7.5899999999999995E-2</v>
      </c>
    </row>
    <row r="5707" spans="1:6" x14ac:dyDescent="0.3">
      <c r="A5707" t="s">
        <v>5742</v>
      </c>
      <c r="B5707" t="s">
        <v>26</v>
      </c>
      <c r="C5707">
        <v>219000</v>
      </c>
      <c r="D5707">
        <v>35616.1</v>
      </c>
      <c r="F5707">
        <v>7.5899999999999995E-2</v>
      </c>
    </row>
    <row r="5708" spans="1:6" x14ac:dyDescent="0.3">
      <c r="A5708" t="s">
        <v>5743</v>
      </c>
      <c r="B5708" t="s">
        <v>53</v>
      </c>
      <c r="C5708">
        <v>417000</v>
      </c>
      <c r="D5708">
        <v>2347.3000000000002</v>
      </c>
      <c r="E5708">
        <v>1.7999999999999999E-2</v>
      </c>
      <c r="F5708">
        <v>0.1067</v>
      </c>
    </row>
    <row r="5709" spans="1:6" x14ac:dyDescent="0.3">
      <c r="A5709" t="s">
        <v>5744</v>
      </c>
      <c r="B5709" t="s">
        <v>62</v>
      </c>
      <c r="C5709">
        <v>701000</v>
      </c>
      <c r="D5709">
        <v>258377.9</v>
      </c>
      <c r="E5709">
        <v>2.4899999999999999E-2</v>
      </c>
      <c r="F5709">
        <v>4.0899999999999999E-2</v>
      </c>
    </row>
    <row r="5710" spans="1:6" x14ac:dyDescent="0.3">
      <c r="A5710" t="s">
        <v>5745</v>
      </c>
      <c r="B5710" t="s">
        <v>287</v>
      </c>
      <c r="C5710">
        <v>542000</v>
      </c>
      <c r="D5710">
        <v>24406.1</v>
      </c>
      <c r="E5710">
        <v>2.63E-2</v>
      </c>
      <c r="F5710">
        <v>9.3799999999999994E-2</v>
      </c>
    </row>
    <row r="5711" spans="1:6" x14ac:dyDescent="0.3">
      <c r="A5711" t="s">
        <v>5746</v>
      </c>
      <c r="B5711" t="s">
        <v>28</v>
      </c>
      <c r="C5711">
        <v>622000</v>
      </c>
      <c r="D5711">
        <v>85244.9</v>
      </c>
      <c r="E5711">
        <v>2.0999999999999999E-3</v>
      </c>
      <c r="F5711">
        <v>8.2199999999999995E-2</v>
      </c>
    </row>
    <row r="5712" spans="1:6" x14ac:dyDescent="0.3">
      <c r="A5712" t="s">
        <v>5747</v>
      </c>
      <c r="B5712" t="s">
        <v>50</v>
      </c>
      <c r="C5712">
        <v>465000</v>
      </c>
      <c r="D5712">
        <v>119791</v>
      </c>
      <c r="E5712">
        <v>4.6699999999999998E-2</v>
      </c>
      <c r="F5712">
        <v>7.5899999999999995E-2</v>
      </c>
    </row>
    <row r="5713" spans="1:6" x14ac:dyDescent="0.3">
      <c r="A5713" t="s">
        <v>5748</v>
      </c>
      <c r="B5713" t="s">
        <v>41</v>
      </c>
      <c r="C5713">
        <v>389000</v>
      </c>
      <c r="D5713">
        <v>746.8</v>
      </c>
      <c r="E5713">
        <v>3.56E-2</v>
      </c>
      <c r="F5713">
        <v>5.4600000000000003E-2</v>
      </c>
    </row>
    <row r="5714" spans="1:6" x14ac:dyDescent="0.3">
      <c r="A5714" t="s">
        <v>5749</v>
      </c>
      <c r="B5714" t="s">
        <v>214</v>
      </c>
      <c r="C5714">
        <v>369000</v>
      </c>
      <c r="D5714">
        <v>488.4</v>
      </c>
      <c r="E5714">
        <v>1.5699999999999999E-2</v>
      </c>
      <c r="F5714">
        <v>0.1067</v>
      </c>
    </row>
    <row r="5715" spans="1:6" x14ac:dyDescent="0.3">
      <c r="A5715" t="s">
        <v>5750</v>
      </c>
      <c r="B5715" t="s">
        <v>24</v>
      </c>
      <c r="C5715">
        <v>432000</v>
      </c>
      <c r="D5715">
        <v>12202.4</v>
      </c>
      <c r="E5715">
        <v>4.3999999999999997E-2</v>
      </c>
      <c r="F5715">
        <v>9.5100000000000004E-2</v>
      </c>
    </row>
    <row r="5716" spans="1:6" x14ac:dyDescent="0.3">
      <c r="A5716" t="s">
        <v>5751</v>
      </c>
      <c r="B5716" t="s">
        <v>74</v>
      </c>
      <c r="C5716">
        <v>423000</v>
      </c>
      <c r="D5716">
        <v>2388.4</v>
      </c>
      <c r="E5716">
        <v>1.5800000000000002E-2</v>
      </c>
      <c r="F5716">
        <v>0.1067</v>
      </c>
    </row>
    <row r="5717" spans="1:6" x14ac:dyDescent="0.3">
      <c r="A5717" t="s">
        <v>5752</v>
      </c>
      <c r="B5717" t="s">
        <v>50</v>
      </c>
      <c r="C5717">
        <v>537000</v>
      </c>
      <c r="D5717">
        <v>45035.8</v>
      </c>
      <c r="E5717">
        <v>0.05</v>
      </c>
      <c r="F5717">
        <v>9.5100000000000004E-2</v>
      </c>
    </row>
    <row r="5718" spans="1:6" x14ac:dyDescent="0.3">
      <c r="A5718" t="s">
        <v>5753</v>
      </c>
      <c r="B5718" t="s">
        <v>214</v>
      </c>
      <c r="C5718">
        <v>147000</v>
      </c>
      <c r="D5718">
        <v>4710.5</v>
      </c>
      <c r="E5718">
        <v>5.1700000000000003E-2</v>
      </c>
      <c r="F5718">
        <v>7.5899999999999995E-2</v>
      </c>
    </row>
    <row r="5719" spans="1:6" x14ac:dyDescent="0.3">
      <c r="A5719" t="s">
        <v>5754</v>
      </c>
      <c r="B5719" t="s">
        <v>26</v>
      </c>
      <c r="C5719">
        <v>508000</v>
      </c>
      <c r="D5719">
        <v>330.6</v>
      </c>
      <c r="E5719">
        <v>8.0000000000000002E-3</v>
      </c>
      <c r="F5719">
        <v>0.26769999999999999</v>
      </c>
    </row>
    <row r="5720" spans="1:6" x14ac:dyDescent="0.3">
      <c r="A5720" t="s">
        <v>5755</v>
      </c>
      <c r="B5720" t="s">
        <v>53</v>
      </c>
      <c r="C5720">
        <v>473000</v>
      </c>
      <c r="D5720">
        <v>11317.4</v>
      </c>
      <c r="E5720">
        <v>2.23E-2</v>
      </c>
      <c r="F5720">
        <v>8.5400000000000004E-2</v>
      </c>
    </row>
    <row r="5721" spans="1:6" x14ac:dyDescent="0.3">
      <c r="A5721" t="s">
        <v>5756</v>
      </c>
      <c r="B5721" t="s">
        <v>26</v>
      </c>
      <c r="C5721">
        <v>431000</v>
      </c>
      <c r="D5721">
        <v>30125.5</v>
      </c>
      <c r="E5721">
        <v>1.9599999999999999E-2</v>
      </c>
      <c r="F5721">
        <v>6.7199999999999996E-2</v>
      </c>
    </row>
    <row r="5722" spans="1:6" x14ac:dyDescent="0.3">
      <c r="A5722" t="s">
        <v>5757</v>
      </c>
      <c r="B5722" t="s">
        <v>26</v>
      </c>
      <c r="C5722">
        <v>709000</v>
      </c>
      <c r="D5722">
        <v>143998</v>
      </c>
      <c r="E5722">
        <v>2.1499999999999998E-2</v>
      </c>
      <c r="F5722">
        <v>4.6199999999999998E-2</v>
      </c>
    </row>
    <row r="5723" spans="1:6" x14ac:dyDescent="0.3">
      <c r="A5723" t="s">
        <v>5758</v>
      </c>
      <c r="B5723" t="s">
        <v>88</v>
      </c>
      <c r="C5723">
        <v>539000</v>
      </c>
      <c r="D5723">
        <v>266.5</v>
      </c>
      <c r="E5723">
        <v>6.2600000000000003E-2</v>
      </c>
      <c r="F5723">
        <v>9.3799999999999994E-2</v>
      </c>
    </row>
    <row r="5724" spans="1:6" x14ac:dyDescent="0.3">
      <c r="A5724" t="s">
        <v>5759</v>
      </c>
      <c r="B5724" t="s">
        <v>92</v>
      </c>
      <c r="C5724">
        <v>462000</v>
      </c>
      <c r="D5724">
        <v>1848.8</v>
      </c>
      <c r="E5724">
        <v>0.05</v>
      </c>
      <c r="F5724">
        <v>9.3799999999999994E-2</v>
      </c>
    </row>
    <row r="5725" spans="1:6" x14ac:dyDescent="0.3">
      <c r="A5725" t="s">
        <v>5760</v>
      </c>
      <c r="B5725" t="s">
        <v>32</v>
      </c>
      <c r="C5725">
        <v>809000</v>
      </c>
      <c r="D5725">
        <v>2202.3000000000002</v>
      </c>
      <c r="E5725">
        <v>1.24E-2</v>
      </c>
      <c r="F5725">
        <v>5.8400000000000001E-2</v>
      </c>
    </row>
    <row r="5726" spans="1:6" x14ac:dyDescent="0.3">
      <c r="A5726" t="s">
        <v>5761</v>
      </c>
      <c r="B5726" t="s">
        <v>53</v>
      </c>
      <c r="C5726">
        <v>465000</v>
      </c>
      <c r="D5726">
        <v>5583.3</v>
      </c>
      <c r="E5726">
        <v>1.26E-2</v>
      </c>
      <c r="F5726">
        <v>0.1457</v>
      </c>
    </row>
    <row r="5727" spans="1:6" x14ac:dyDescent="0.3">
      <c r="A5727" t="s">
        <v>5762</v>
      </c>
      <c r="B5727" t="s">
        <v>81</v>
      </c>
      <c r="C5727">
        <v>516000</v>
      </c>
      <c r="D5727">
        <v>7578.9</v>
      </c>
      <c r="E5727">
        <v>0.02</v>
      </c>
      <c r="F5727">
        <v>0.1053</v>
      </c>
    </row>
    <row r="5728" spans="1:6" x14ac:dyDescent="0.3">
      <c r="A5728" t="s">
        <v>5763</v>
      </c>
      <c r="B5728" t="s">
        <v>41</v>
      </c>
      <c r="C5728">
        <v>498000</v>
      </c>
      <c r="D5728">
        <v>15.2</v>
      </c>
      <c r="E5728">
        <v>2.9499999999999998E-2</v>
      </c>
      <c r="F5728">
        <v>0.2059</v>
      </c>
    </row>
    <row r="5729" spans="1:6" x14ac:dyDescent="0.3">
      <c r="A5729" t="s">
        <v>5764</v>
      </c>
      <c r="B5729" t="s">
        <v>490</v>
      </c>
      <c r="C5729">
        <v>491000</v>
      </c>
      <c r="D5729">
        <v>2906.4</v>
      </c>
      <c r="E5729">
        <v>9.7000000000000003E-3</v>
      </c>
      <c r="F5729">
        <v>6.54E-2</v>
      </c>
    </row>
    <row r="5730" spans="1:6" x14ac:dyDescent="0.3">
      <c r="A5730" t="s">
        <v>5765</v>
      </c>
      <c r="B5730" t="s">
        <v>26</v>
      </c>
      <c r="C5730">
        <v>530000</v>
      </c>
      <c r="D5730">
        <v>1022.4</v>
      </c>
      <c r="E5730">
        <v>1.9300000000000001E-2</v>
      </c>
      <c r="F5730">
        <v>9.3700000000000006E-2</v>
      </c>
    </row>
    <row r="5731" spans="1:6" x14ac:dyDescent="0.3">
      <c r="A5731" t="s">
        <v>5766</v>
      </c>
      <c r="B5731" t="s">
        <v>35</v>
      </c>
      <c r="C5731">
        <v>400000</v>
      </c>
      <c r="D5731">
        <v>1222.5999999999999</v>
      </c>
      <c r="E5731">
        <v>6.4999999999999997E-3</v>
      </c>
      <c r="F5731">
        <v>0.1171</v>
      </c>
    </row>
    <row r="5732" spans="1:6" x14ac:dyDescent="0.3">
      <c r="A5732" t="s">
        <v>5767</v>
      </c>
      <c r="B5732" t="s">
        <v>92</v>
      </c>
      <c r="C5732">
        <v>510000</v>
      </c>
      <c r="D5732">
        <v>89700.3</v>
      </c>
      <c r="E5732">
        <v>7.7700000000000005E-2</v>
      </c>
      <c r="F5732">
        <v>4.0899999999999999E-2</v>
      </c>
    </row>
    <row r="5733" spans="1:6" x14ac:dyDescent="0.3">
      <c r="A5733" t="s">
        <v>5768</v>
      </c>
      <c r="B5733" t="s">
        <v>30</v>
      </c>
      <c r="C5733">
        <v>842000</v>
      </c>
      <c r="D5733">
        <v>2260.5</v>
      </c>
      <c r="E5733">
        <v>3.15E-2</v>
      </c>
      <c r="F5733">
        <v>9.3799999999999994E-2</v>
      </c>
    </row>
    <row r="5734" spans="1:6" x14ac:dyDescent="0.3">
      <c r="A5734" t="s">
        <v>5769</v>
      </c>
      <c r="B5734" t="s">
        <v>74</v>
      </c>
      <c r="C5734">
        <v>395000</v>
      </c>
      <c r="D5734">
        <v>788.1</v>
      </c>
      <c r="E5734">
        <v>6.3399999999999998E-2</v>
      </c>
      <c r="F5734">
        <v>7.5899999999999995E-2</v>
      </c>
    </row>
    <row r="5735" spans="1:6" x14ac:dyDescent="0.3">
      <c r="A5735" t="s">
        <v>5770</v>
      </c>
      <c r="B5735" t="s">
        <v>26</v>
      </c>
      <c r="C5735">
        <v>402000</v>
      </c>
      <c r="D5735">
        <v>4605.5</v>
      </c>
      <c r="E5735">
        <v>1.7999999999999999E-2</v>
      </c>
      <c r="F5735">
        <v>0.1067</v>
      </c>
    </row>
    <row r="5736" spans="1:6" x14ac:dyDescent="0.3">
      <c r="A5736" t="s">
        <v>5771</v>
      </c>
      <c r="B5736" t="s">
        <v>214</v>
      </c>
      <c r="C5736">
        <v>481000</v>
      </c>
      <c r="D5736">
        <v>50.6</v>
      </c>
      <c r="E5736">
        <v>4.8800000000000003E-2</v>
      </c>
      <c r="F5736">
        <v>5.7000000000000002E-2</v>
      </c>
    </row>
    <row r="5737" spans="1:6" x14ac:dyDescent="0.3">
      <c r="A5737" t="s">
        <v>5772</v>
      </c>
      <c r="B5737" t="s">
        <v>32</v>
      </c>
      <c r="C5737">
        <v>430000</v>
      </c>
      <c r="D5737">
        <v>9958</v>
      </c>
      <c r="E5737">
        <v>8.5000000000000006E-3</v>
      </c>
      <c r="F5737">
        <v>8.2199999999999995E-2</v>
      </c>
    </row>
    <row r="5738" spans="1:6" x14ac:dyDescent="0.3">
      <c r="A5738" t="s">
        <v>5773</v>
      </c>
      <c r="B5738" t="s">
        <v>53</v>
      </c>
      <c r="C5738">
        <v>415000</v>
      </c>
      <c r="D5738">
        <v>2956.4</v>
      </c>
      <c r="E5738">
        <v>1.8E-3</v>
      </c>
      <c r="F5738">
        <v>0.1779</v>
      </c>
    </row>
    <row r="5739" spans="1:6" x14ac:dyDescent="0.3">
      <c r="A5739" t="s">
        <v>5774</v>
      </c>
      <c r="B5739" t="s">
        <v>88</v>
      </c>
      <c r="C5739">
        <v>546000</v>
      </c>
      <c r="D5739">
        <v>10471.799999999999</v>
      </c>
      <c r="E5739">
        <v>2.47E-2</v>
      </c>
      <c r="F5739">
        <v>9.5100000000000004E-2</v>
      </c>
    </row>
    <row r="5740" spans="1:6" x14ac:dyDescent="0.3">
      <c r="A5740" t="s">
        <v>5775</v>
      </c>
      <c r="B5740" t="s">
        <v>50</v>
      </c>
      <c r="C5740">
        <v>853000</v>
      </c>
      <c r="D5740">
        <v>20453.400000000001</v>
      </c>
      <c r="F5740">
        <v>7.5899999999999995E-2</v>
      </c>
    </row>
    <row r="5741" spans="1:6" x14ac:dyDescent="0.3">
      <c r="A5741" t="s">
        <v>5776</v>
      </c>
      <c r="B5741" t="s">
        <v>26</v>
      </c>
      <c r="C5741">
        <v>415000</v>
      </c>
      <c r="D5741">
        <v>33510.400000000001</v>
      </c>
      <c r="E5741">
        <v>2.64E-2</v>
      </c>
      <c r="F5741">
        <v>7.5899999999999995E-2</v>
      </c>
    </row>
    <row r="5742" spans="1:6" x14ac:dyDescent="0.3">
      <c r="A5742" t="s">
        <v>5777</v>
      </c>
      <c r="B5742" t="s">
        <v>26</v>
      </c>
      <c r="C5742">
        <v>574000</v>
      </c>
      <c r="D5742">
        <v>918096</v>
      </c>
      <c r="E5742">
        <v>3.0300000000000001E-2</v>
      </c>
      <c r="F5742">
        <v>9.5100000000000004E-2</v>
      </c>
    </row>
    <row r="5743" spans="1:6" x14ac:dyDescent="0.3">
      <c r="A5743" t="s">
        <v>5778</v>
      </c>
      <c r="B5743" t="s">
        <v>88</v>
      </c>
      <c r="C5743">
        <v>397000</v>
      </c>
      <c r="D5743">
        <v>864.2</v>
      </c>
      <c r="E5743">
        <v>4.2000000000000003E-2</v>
      </c>
      <c r="F5743">
        <v>5.0999999999999997E-2</v>
      </c>
    </row>
    <row r="5744" spans="1:6" x14ac:dyDescent="0.3">
      <c r="A5744" t="s">
        <v>5779</v>
      </c>
      <c r="B5744" t="s">
        <v>62</v>
      </c>
      <c r="C5744">
        <v>531000</v>
      </c>
      <c r="D5744">
        <v>197676</v>
      </c>
      <c r="E5744">
        <v>2.76E-2</v>
      </c>
      <c r="F5744">
        <v>9.5100000000000004E-2</v>
      </c>
    </row>
    <row r="5745" spans="1:6" x14ac:dyDescent="0.3">
      <c r="A5745" t="s">
        <v>5780</v>
      </c>
      <c r="B5745" t="s">
        <v>92</v>
      </c>
      <c r="C5745">
        <v>432000</v>
      </c>
      <c r="D5745">
        <v>31323.599999999999</v>
      </c>
      <c r="E5745">
        <v>4.0800000000000003E-2</v>
      </c>
      <c r="F5745">
        <v>5.1799999999999999E-2</v>
      </c>
    </row>
    <row r="5746" spans="1:6" x14ac:dyDescent="0.3">
      <c r="A5746" t="s">
        <v>5781</v>
      </c>
      <c r="B5746" t="s">
        <v>24</v>
      </c>
      <c r="C5746">
        <v>611000</v>
      </c>
      <c r="D5746">
        <v>36502.1</v>
      </c>
      <c r="E5746">
        <v>4.8899999999999999E-2</v>
      </c>
      <c r="F5746">
        <v>7.5899999999999995E-2</v>
      </c>
    </row>
    <row r="5747" spans="1:6" x14ac:dyDescent="0.3">
      <c r="A5747" t="s">
        <v>5782</v>
      </c>
      <c r="B5747" t="s">
        <v>214</v>
      </c>
      <c r="C5747">
        <v>422000</v>
      </c>
      <c r="D5747">
        <v>845</v>
      </c>
      <c r="E5747">
        <v>1.9599999999999999E-2</v>
      </c>
      <c r="F5747">
        <v>5.7599999999999998E-2</v>
      </c>
    </row>
    <row r="5748" spans="1:6" x14ac:dyDescent="0.3">
      <c r="A5748" t="s">
        <v>5783</v>
      </c>
      <c r="B5748" t="s">
        <v>26</v>
      </c>
      <c r="C5748">
        <v>379000</v>
      </c>
      <c r="D5748">
        <v>3623.8</v>
      </c>
      <c r="E5748">
        <v>9.4000000000000004E-3</v>
      </c>
      <c r="F5748">
        <v>8.2199999999999995E-2</v>
      </c>
    </row>
    <row r="5749" spans="1:6" x14ac:dyDescent="0.3">
      <c r="A5749" t="s">
        <v>5784</v>
      </c>
      <c r="B5749" t="s">
        <v>287</v>
      </c>
      <c r="C5749">
        <v>378000</v>
      </c>
      <c r="D5749">
        <v>1410.5</v>
      </c>
      <c r="E5749">
        <v>2.87E-2</v>
      </c>
      <c r="F5749">
        <v>9.5100000000000004E-2</v>
      </c>
    </row>
    <row r="5750" spans="1:6" x14ac:dyDescent="0.3">
      <c r="A5750" t="s">
        <v>5785</v>
      </c>
      <c r="B5750" t="s">
        <v>92</v>
      </c>
      <c r="C5750">
        <v>511000</v>
      </c>
      <c r="D5750">
        <v>3991.3</v>
      </c>
      <c r="E5750">
        <v>3.1099999999999999E-2</v>
      </c>
      <c r="F5750">
        <v>7.5899999999999995E-2</v>
      </c>
    </row>
    <row r="5751" spans="1:6" x14ac:dyDescent="0.3">
      <c r="A5751" t="s">
        <v>5786</v>
      </c>
      <c r="B5751" t="s">
        <v>35</v>
      </c>
      <c r="C5751">
        <v>1510000</v>
      </c>
      <c r="D5751">
        <v>4040.9</v>
      </c>
      <c r="E5751">
        <v>1.04E-2</v>
      </c>
      <c r="F5751">
        <v>8.1100000000000005E-2</v>
      </c>
    </row>
    <row r="5752" spans="1:6" x14ac:dyDescent="0.3">
      <c r="A5752" t="s">
        <v>5787</v>
      </c>
      <c r="B5752" t="s">
        <v>81</v>
      </c>
      <c r="C5752">
        <v>408000</v>
      </c>
      <c r="D5752">
        <v>12412.5</v>
      </c>
      <c r="E5752">
        <v>2.7699999999999999E-2</v>
      </c>
      <c r="F5752">
        <v>7.5899999999999995E-2</v>
      </c>
    </row>
    <row r="5753" spans="1:6" x14ac:dyDescent="0.3">
      <c r="A5753" t="s">
        <v>5788</v>
      </c>
      <c r="B5753" t="s">
        <v>26</v>
      </c>
      <c r="C5753">
        <v>538000</v>
      </c>
      <c r="D5753">
        <v>417805.2</v>
      </c>
      <c r="E5753">
        <v>1.8800000000000001E-2</v>
      </c>
      <c r="F5753">
        <v>5.8900000000000001E-2</v>
      </c>
    </row>
    <row r="5754" spans="1:6" x14ac:dyDescent="0.3">
      <c r="A5754" t="s">
        <v>5789</v>
      </c>
      <c r="B5754" t="s">
        <v>88</v>
      </c>
      <c r="C5754">
        <v>385000</v>
      </c>
      <c r="D5754">
        <v>7215.5</v>
      </c>
      <c r="E5754">
        <v>3.8600000000000002E-2</v>
      </c>
      <c r="F5754">
        <v>9.5100000000000004E-2</v>
      </c>
    </row>
    <row r="5755" spans="1:6" x14ac:dyDescent="0.3">
      <c r="A5755" t="s">
        <v>5790</v>
      </c>
      <c r="B5755" t="s">
        <v>26</v>
      </c>
      <c r="C5755">
        <v>428000</v>
      </c>
      <c r="D5755">
        <v>1186.2</v>
      </c>
      <c r="E5755">
        <v>1.21E-2</v>
      </c>
      <c r="F5755">
        <v>8.1100000000000005E-2</v>
      </c>
    </row>
    <row r="5756" spans="1:6" x14ac:dyDescent="0.3">
      <c r="A5756" t="s">
        <v>5791</v>
      </c>
      <c r="B5756" t="s">
        <v>35</v>
      </c>
      <c r="C5756">
        <v>495000</v>
      </c>
      <c r="D5756">
        <v>29535.8</v>
      </c>
      <c r="E5756">
        <v>2.4500000000000001E-2</v>
      </c>
      <c r="F5756">
        <v>7.5899999999999995E-2</v>
      </c>
    </row>
    <row r="5757" spans="1:6" x14ac:dyDescent="0.3">
      <c r="A5757" t="s">
        <v>5792</v>
      </c>
      <c r="B5757" t="s">
        <v>74</v>
      </c>
      <c r="C5757">
        <v>383000</v>
      </c>
      <c r="D5757">
        <v>40906.800000000003</v>
      </c>
      <c r="E5757">
        <v>1.1102000000000001</v>
      </c>
      <c r="F5757">
        <v>0.65129999999999999</v>
      </c>
    </row>
    <row r="5758" spans="1:6" x14ac:dyDescent="0.3">
      <c r="A5758" t="s">
        <v>5793</v>
      </c>
      <c r="B5758" t="s">
        <v>24</v>
      </c>
      <c r="C5758">
        <v>605000</v>
      </c>
      <c r="D5758">
        <v>17816.900000000001</v>
      </c>
      <c r="E5758">
        <v>5.62E-2</v>
      </c>
      <c r="F5758">
        <v>7.5899999999999995E-2</v>
      </c>
    </row>
    <row r="5759" spans="1:6" x14ac:dyDescent="0.3">
      <c r="A5759" t="s">
        <v>5794</v>
      </c>
      <c r="B5759" t="s">
        <v>88</v>
      </c>
      <c r="C5759">
        <v>477000</v>
      </c>
      <c r="D5759">
        <v>23950.3</v>
      </c>
      <c r="E5759">
        <v>7.6E-3</v>
      </c>
      <c r="F5759">
        <v>8.2199999999999995E-2</v>
      </c>
    </row>
    <row r="5760" spans="1:6" x14ac:dyDescent="0.3">
      <c r="A5760" t="s">
        <v>5795</v>
      </c>
      <c r="B5760" t="s">
        <v>88</v>
      </c>
      <c r="C5760">
        <v>394000</v>
      </c>
      <c r="D5760">
        <v>2575.1</v>
      </c>
      <c r="E5760">
        <v>3.04E-2</v>
      </c>
      <c r="F5760">
        <v>0.11700000000000001</v>
      </c>
    </row>
    <row r="5761" spans="1:6" x14ac:dyDescent="0.3">
      <c r="A5761" t="s">
        <v>5796</v>
      </c>
      <c r="B5761" t="s">
        <v>26</v>
      </c>
      <c r="C5761">
        <v>568000</v>
      </c>
      <c r="D5761">
        <v>19029.3</v>
      </c>
      <c r="E5761">
        <v>0.1118</v>
      </c>
      <c r="F5761">
        <v>9.3799999999999994E-2</v>
      </c>
    </row>
    <row r="5762" spans="1:6" x14ac:dyDescent="0.3">
      <c r="A5762" t="s">
        <v>5797</v>
      </c>
      <c r="B5762" t="s">
        <v>92</v>
      </c>
      <c r="C5762">
        <v>937000</v>
      </c>
      <c r="D5762">
        <v>71758.399999999994</v>
      </c>
      <c r="E5762">
        <v>2.4500000000000001E-2</v>
      </c>
      <c r="F5762">
        <v>4.0899999999999999E-2</v>
      </c>
    </row>
    <row r="5763" spans="1:6" x14ac:dyDescent="0.3">
      <c r="A5763" t="s">
        <v>5798</v>
      </c>
      <c r="B5763" t="s">
        <v>74</v>
      </c>
      <c r="C5763">
        <v>536000</v>
      </c>
      <c r="D5763">
        <v>5659.8</v>
      </c>
      <c r="E5763">
        <v>1.4E-2</v>
      </c>
      <c r="F5763">
        <v>8.5400000000000004E-2</v>
      </c>
    </row>
    <row r="5764" spans="1:6" x14ac:dyDescent="0.3">
      <c r="A5764" t="s">
        <v>5799</v>
      </c>
      <c r="B5764" t="s">
        <v>81</v>
      </c>
      <c r="C5764">
        <v>555000</v>
      </c>
      <c r="D5764">
        <v>14858.1</v>
      </c>
      <c r="E5764">
        <v>2.6200000000000001E-2</v>
      </c>
      <c r="F5764">
        <v>9.3799999999999994E-2</v>
      </c>
    </row>
    <row r="5765" spans="1:6" x14ac:dyDescent="0.3">
      <c r="A5765" t="s">
        <v>5800</v>
      </c>
      <c r="B5765" t="s">
        <v>26</v>
      </c>
      <c r="C5765">
        <v>383000</v>
      </c>
      <c r="D5765">
        <v>11315.1</v>
      </c>
      <c r="F5765">
        <v>7.5899999999999995E-2</v>
      </c>
    </row>
    <row r="5766" spans="1:6" x14ac:dyDescent="0.3">
      <c r="A5766" t="s">
        <v>5801</v>
      </c>
      <c r="B5766" t="s">
        <v>88</v>
      </c>
      <c r="C5766">
        <v>454000</v>
      </c>
      <c r="D5766">
        <v>5632.4</v>
      </c>
      <c r="E5766">
        <v>2.5499999999999998E-2</v>
      </c>
      <c r="F5766">
        <v>4.0899999999999999E-2</v>
      </c>
    </row>
    <row r="5767" spans="1:6" x14ac:dyDescent="0.3">
      <c r="A5767" t="s">
        <v>5802</v>
      </c>
      <c r="B5767" t="s">
        <v>50</v>
      </c>
      <c r="C5767">
        <v>113000</v>
      </c>
      <c r="D5767">
        <v>949</v>
      </c>
      <c r="E5767">
        <v>4.7E-2</v>
      </c>
      <c r="F5767">
        <v>9.5100000000000004E-2</v>
      </c>
    </row>
    <row r="5768" spans="1:6" x14ac:dyDescent="0.3">
      <c r="A5768" t="s">
        <v>5803</v>
      </c>
      <c r="B5768" t="s">
        <v>92</v>
      </c>
      <c r="C5768">
        <v>365000</v>
      </c>
      <c r="D5768">
        <v>727.5</v>
      </c>
      <c r="E5768">
        <v>1.38E-2</v>
      </c>
      <c r="F5768">
        <v>0.16950000000000001</v>
      </c>
    </row>
    <row r="5769" spans="1:6" x14ac:dyDescent="0.3">
      <c r="A5769" t="s">
        <v>5804</v>
      </c>
      <c r="B5769" t="s">
        <v>26</v>
      </c>
      <c r="C5769">
        <v>376000</v>
      </c>
      <c r="D5769">
        <v>2511.3000000000002</v>
      </c>
      <c r="E5769">
        <v>1.38E-2</v>
      </c>
      <c r="F5769">
        <v>6.5699999999999995E-2</v>
      </c>
    </row>
    <row r="5770" spans="1:6" x14ac:dyDescent="0.3">
      <c r="A5770" t="s">
        <v>5805</v>
      </c>
      <c r="B5770" t="s">
        <v>88</v>
      </c>
      <c r="C5770">
        <v>474000</v>
      </c>
      <c r="D5770">
        <v>4609.3</v>
      </c>
      <c r="E5770">
        <v>3.1300000000000001E-2</v>
      </c>
      <c r="F5770">
        <v>0.11840000000000001</v>
      </c>
    </row>
    <row r="5771" spans="1:6" x14ac:dyDescent="0.3">
      <c r="A5771" t="s">
        <v>5806</v>
      </c>
      <c r="B5771" t="s">
        <v>53</v>
      </c>
      <c r="C5771">
        <v>609000</v>
      </c>
      <c r="D5771">
        <v>14859.8</v>
      </c>
      <c r="E5771">
        <v>5.3499999999999999E-2</v>
      </c>
      <c r="F5771">
        <v>7.5899999999999995E-2</v>
      </c>
    </row>
    <row r="5772" spans="1:6" x14ac:dyDescent="0.3">
      <c r="A5772" t="s">
        <v>5807</v>
      </c>
      <c r="B5772" t="s">
        <v>92</v>
      </c>
      <c r="C5772">
        <v>558000</v>
      </c>
      <c r="D5772">
        <v>1776.3</v>
      </c>
      <c r="F5772">
        <v>7.5899999999999995E-2</v>
      </c>
    </row>
    <row r="5773" spans="1:6" x14ac:dyDescent="0.3">
      <c r="A5773" t="s">
        <v>5808</v>
      </c>
      <c r="B5773" t="s">
        <v>32</v>
      </c>
      <c r="C5773">
        <v>497000</v>
      </c>
      <c r="D5773">
        <v>10643.9</v>
      </c>
      <c r="E5773">
        <v>1.55E-2</v>
      </c>
      <c r="F5773">
        <v>5.8900000000000001E-2</v>
      </c>
    </row>
    <row r="5774" spans="1:6" x14ac:dyDescent="0.3">
      <c r="A5774" t="s">
        <v>5809</v>
      </c>
      <c r="B5774" t="s">
        <v>287</v>
      </c>
      <c r="C5774">
        <v>520000</v>
      </c>
      <c r="D5774">
        <v>107445.3</v>
      </c>
      <c r="E5774">
        <v>1.8499999999999999E-2</v>
      </c>
      <c r="F5774">
        <v>7.5700000000000003E-2</v>
      </c>
    </row>
    <row r="5775" spans="1:6" x14ac:dyDescent="0.3">
      <c r="A5775" t="s">
        <v>5810</v>
      </c>
      <c r="B5775" t="s">
        <v>81</v>
      </c>
      <c r="C5775">
        <v>430000</v>
      </c>
      <c r="D5775">
        <v>6764.1</v>
      </c>
      <c r="E5775">
        <v>1.6E-2</v>
      </c>
      <c r="F5775">
        <v>0.1053</v>
      </c>
    </row>
    <row r="5776" spans="1:6" x14ac:dyDescent="0.3">
      <c r="A5776" t="s">
        <v>5811</v>
      </c>
      <c r="B5776" t="s">
        <v>62</v>
      </c>
      <c r="C5776">
        <v>441000</v>
      </c>
      <c r="D5776">
        <v>10641.5</v>
      </c>
      <c r="E5776">
        <v>2.7799999999999998E-2</v>
      </c>
      <c r="F5776">
        <v>4.0899999999999999E-2</v>
      </c>
    </row>
    <row r="5777" spans="1:6" x14ac:dyDescent="0.3">
      <c r="A5777" t="s">
        <v>5812</v>
      </c>
      <c r="B5777" t="s">
        <v>50</v>
      </c>
      <c r="C5777">
        <v>789000</v>
      </c>
      <c r="D5777">
        <v>55331.7</v>
      </c>
      <c r="E5777">
        <v>6.5000000000000002E-2</v>
      </c>
      <c r="F5777">
        <v>9.3799999999999994E-2</v>
      </c>
    </row>
    <row r="5778" spans="1:6" x14ac:dyDescent="0.3">
      <c r="A5778" t="s">
        <v>5813</v>
      </c>
      <c r="B5778" t="s">
        <v>53</v>
      </c>
      <c r="C5778">
        <v>451000</v>
      </c>
      <c r="D5778">
        <v>7500.8</v>
      </c>
      <c r="E5778">
        <v>6.3500000000000001E-2</v>
      </c>
      <c r="F5778">
        <v>9.3799999999999994E-2</v>
      </c>
    </row>
    <row r="5779" spans="1:6" x14ac:dyDescent="0.3">
      <c r="A5779" t="s">
        <v>5814</v>
      </c>
      <c r="B5779" t="s">
        <v>88</v>
      </c>
      <c r="C5779">
        <v>377000</v>
      </c>
      <c r="D5779">
        <v>427.4</v>
      </c>
      <c r="E5779">
        <v>3.3399999999999999E-2</v>
      </c>
      <c r="F5779">
        <v>9.5100000000000004E-2</v>
      </c>
    </row>
    <row r="5780" spans="1:6" x14ac:dyDescent="0.3">
      <c r="A5780" t="s">
        <v>5815</v>
      </c>
      <c r="B5780" t="s">
        <v>92</v>
      </c>
      <c r="C5780">
        <v>454000</v>
      </c>
      <c r="D5780">
        <v>11764.8</v>
      </c>
      <c r="F5780">
        <v>4.0899999999999999E-2</v>
      </c>
    </row>
    <row r="5781" spans="1:6" x14ac:dyDescent="0.3">
      <c r="A5781" t="s">
        <v>5816</v>
      </c>
      <c r="B5781" t="s">
        <v>62</v>
      </c>
      <c r="C5781">
        <v>498000</v>
      </c>
      <c r="D5781">
        <v>2521.6999999999998</v>
      </c>
      <c r="E5781">
        <v>4.6899999999999997E-2</v>
      </c>
      <c r="F5781">
        <v>7.5899999999999995E-2</v>
      </c>
    </row>
    <row r="5782" spans="1:6" x14ac:dyDescent="0.3">
      <c r="A5782" t="s">
        <v>5817</v>
      </c>
      <c r="B5782" t="s">
        <v>71</v>
      </c>
      <c r="C5782">
        <v>416000</v>
      </c>
      <c r="D5782">
        <v>9729.2000000000007</v>
      </c>
      <c r="E5782">
        <v>0.02</v>
      </c>
      <c r="F5782">
        <v>9.5100000000000004E-2</v>
      </c>
    </row>
    <row r="5783" spans="1:6" x14ac:dyDescent="0.3">
      <c r="A5783" t="s">
        <v>5818</v>
      </c>
      <c r="B5783" t="s">
        <v>32</v>
      </c>
      <c r="C5783">
        <v>470000</v>
      </c>
      <c r="D5783">
        <v>646712</v>
      </c>
      <c r="E5783">
        <v>1.21E-2</v>
      </c>
      <c r="F5783">
        <v>8.2199999999999995E-2</v>
      </c>
    </row>
    <row r="5784" spans="1:6" x14ac:dyDescent="0.3">
      <c r="A5784" t="s">
        <v>5819</v>
      </c>
      <c r="B5784" t="s">
        <v>26</v>
      </c>
      <c r="C5784">
        <v>380000</v>
      </c>
      <c r="D5784">
        <v>11291.1</v>
      </c>
      <c r="E5784">
        <v>2.7400000000000001E-2</v>
      </c>
      <c r="F5784">
        <v>9.5100000000000004E-2</v>
      </c>
    </row>
    <row r="5785" spans="1:6" x14ac:dyDescent="0.3">
      <c r="A5785" t="s">
        <v>5820</v>
      </c>
      <c r="B5785" t="s">
        <v>71</v>
      </c>
      <c r="C5785">
        <v>600000</v>
      </c>
      <c r="D5785">
        <v>8697.1</v>
      </c>
      <c r="E5785">
        <v>2.5100000000000001E-2</v>
      </c>
      <c r="F5785">
        <v>0.13869999999999999</v>
      </c>
    </row>
    <row r="5786" spans="1:6" x14ac:dyDescent="0.3">
      <c r="A5786" t="s">
        <v>5821</v>
      </c>
      <c r="B5786" t="s">
        <v>88</v>
      </c>
      <c r="C5786">
        <v>470000</v>
      </c>
      <c r="D5786">
        <v>5024.3999999999996</v>
      </c>
      <c r="E5786">
        <v>4.1000000000000003E-3</v>
      </c>
      <c r="F5786">
        <v>8.2199999999999995E-2</v>
      </c>
    </row>
    <row r="5787" spans="1:6" x14ac:dyDescent="0.3">
      <c r="A5787" t="s">
        <v>5822</v>
      </c>
      <c r="B5787" t="s">
        <v>88</v>
      </c>
      <c r="C5787">
        <v>509000</v>
      </c>
      <c r="D5787">
        <v>624.20000000000005</v>
      </c>
      <c r="E5787">
        <v>6.0199999999999997E-2</v>
      </c>
      <c r="F5787">
        <v>9.3799999999999994E-2</v>
      </c>
    </row>
    <row r="5788" spans="1:6" x14ac:dyDescent="0.3">
      <c r="A5788" t="s">
        <v>5823</v>
      </c>
      <c r="B5788" t="s">
        <v>81</v>
      </c>
      <c r="C5788">
        <v>450000</v>
      </c>
      <c r="D5788">
        <v>41013.1</v>
      </c>
      <c r="E5788">
        <v>2.4E-2</v>
      </c>
      <c r="F5788">
        <v>7.5899999999999995E-2</v>
      </c>
    </row>
    <row r="5789" spans="1:6" x14ac:dyDescent="0.3">
      <c r="A5789" t="s">
        <v>5824</v>
      </c>
      <c r="B5789" t="s">
        <v>287</v>
      </c>
      <c r="C5789">
        <v>384000</v>
      </c>
      <c r="D5789">
        <v>426.4</v>
      </c>
      <c r="E5789">
        <v>1.7100000000000001E-2</v>
      </c>
      <c r="F5789">
        <v>0.1119</v>
      </c>
    </row>
    <row r="5790" spans="1:6" x14ac:dyDescent="0.3">
      <c r="A5790" t="s">
        <v>5825</v>
      </c>
      <c r="B5790" t="s">
        <v>26</v>
      </c>
      <c r="C5790">
        <v>472000</v>
      </c>
      <c r="D5790">
        <v>2669.8</v>
      </c>
      <c r="E5790">
        <v>7.7100000000000002E-2</v>
      </c>
      <c r="F5790">
        <v>0.2828</v>
      </c>
    </row>
    <row r="5791" spans="1:6" x14ac:dyDescent="0.3">
      <c r="A5791" t="s">
        <v>5826</v>
      </c>
      <c r="B5791" t="s">
        <v>74</v>
      </c>
      <c r="C5791">
        <v>540000</v>
      </c>
      <c r="D5791">
        <v>176811.2</v>
      </c>
      <c r="E5791">
        <v>7.1599999999999997E-2</v>
      </c>
      <c r="F5791">
        <v>7.5899999999999995E-2</v>
      </c>
    </row>
    <row r="5792" spans="1:6" x14ac:dyDescent="0.3">
      <c r="A5792" t="s">
        <v>5827</v>
      </c>
      <c r="B5792" t="s">
        <v>287</v>
      </c>
      <c r="C5792">
        <v>407000</v>
      </c>
      <c r="D5792">
        <v>1140.5999999999999</v>
      </c>
      <c r="E5792">
        <v>9.9000000000000008E-3</v>
      </c>
      <c r="F5792">
        <v>0.14710000000000001</v>
      </c>
    </row>
    <row r="5793" spans="1:6" x14ac:dyDescent="0.3">
      <c r="A5793" t="s">
        <v>5828</v>
      </c>
      <c r="B5793" t="s">
        <v>41</v>
      </c>
      <c r="C5793">
        <v>388000</v>
      </c>
      <c r="D5793">
        <v>900</v>
      </c>
      <c r="E5793">
        <v>9.1999999999999998E-3</v>
      </c>
      <c r="F5793">
        <v>0.17860000000000001</v>
      </c>
    </row>
    <row r="5794" spans="1:6" x14ac:dyDescent="0.3">
      <c r="A5794" t="s">
        <v>5829</v>
      </c>
      <c r="B5794" t="s">
        <v>81</v>
      </c>
      <c r="C5794">
        <v>608000</v>
      </c>
      <c r="D5794">
        <v>47398.400000000001</v>
      </c>
      <c r="E5794">
        <v>2.58E-2</v>
      </c>
      <c r="F5794">
        <v>4.0899999999999999E-2</v>
      </c>
    </row>
    <row r="5795" spans="1:6" x14ac:dyDescent="0.3">
      <c r="A5795" t="s">
        <v>5830</v>
      </c>
      <c r="B5795" t="s">
        <v>53</v>
      </c>
      <c r="C5795">
        <v>442000</v>
      </c>
      <c r="D5795">
        <v>164.7</v>
      </c>
      <c r="E5795">
        <v>7.0000000000000001E-3</v>
      </c>
      <c r="F5795">
        <v>0.26769999999999999</v>
      </c>
    </row>
    <row r="5796" spans="1:6" x14ac:dyDescent="0.3">
      <c r="A5796" t="s">
        <v>5831</v>
      </c>
      <c r="B5796" t="s">
        <v>26</v>
      </c>
      <c r="C5796">
        <v>367000</v>
      </c>
      <c r="D5796">
        <v>7998.5</v>
      </c>
      <c r="F5796">
        <v>9.5100000000000004E-2</v>
      </c>
    </row>
    <row r="5797" spans="1:6" x14ac:dyDescent="0.3">
      <c r="A5797" t="s">
        <v>5832</v>
      </c>
      <c r="B5797" t="s">
        <v>24</v>
      </c>
      <c r="C5797">
        <v>490000</v>
      </c>
      <c r="D5797">
        <v>2499.6</v>
      </c>
      <c r="E5797">
        <v>2.3300000000000001E-2</v>
      </c>
      <c r="F5797">
        <v>5.7599999999999998E-2</v>
      </c>
    </row>
    <row r="5798" spans="1:6" x14ac:dyDescent="0.3">
      <c r="A5798" t="s">
        <v>5833</v>
      </c>
      <c r="B5798" t="s">
        <v>92</v>
      </c>
      <c r="C5798">
        <v>400000</v>
      </c>
      <c r="D5798">
        <v>87729.3</v>
      </c>
      <c r="E5798">
        <v>1.66E-2</v>
      </c>
      <c r="F5798">
        <v>0.1067</v>
      </c>
    </row>
    <row r="5799" spans="1:6" x14ac:dyDescent="0.3">
      <c r="A5799" t="s">
        <v>5834</v>
      </c>
      <c r="B5799" t="s">
        <v>88</v>
      </c>
      <c r="C5799">
        <v>535000</v>
      </c>
      <c r="D5799">
        <v>2118.3000000000002</v>
      </c>
      <c r="E5799">
        <v>7.3700000000000002E-2</v>
      </c>
      <c r="F5799">
        <v>7.5899999999999995E-2</v>
      </c>
    </row>
    <row r="5800" spans="1:6" x14ac:dyDescent="0.3">
      <c r="A5800" t="s">
        <v>5835</v>
      </c>
      <c r="B5800" t="s">
        <v>26</v>
      </c>
      <c r="C5800">
        <v>380000</v>
      </c>
      <c r="D5800">
        <v>8055.6</v>
      </c>
      <c r="E5800">
        <v>2.4199999999999999E-2</v>
      </c>
      <c r="F5800">
        <v>9.5100000000000004E-2</v>
      </c>
    </row>
    <row r="5801" spans="1:6" x14ac:dyDescent="0.3">
      <c r="A5801" t="s">
        <v>5836</v>
      </c>
      <c r="B5801" t="s">
        <v>50</v>
      </c>
      <c r="C5801">
        <v>429000</v>
      </c>
      <c r="D5801">
        <v>1651.4</v>
      </c>
      <c r="E5801">
        <v>4.3799999999999999E-2</v>
      </c>
      <c r="F5801">
        <v>9.3799999999999994E-2</v>
      </c>
    </row>
    <row r="5802" spans="1:6" x14ac:dyDescent="0.3">
      <c r="A5802" t="s">
        <v>5837</v>
      </c>
      <c r="B5802" t="s">
        <v>92</v>
      </c>
      <c r="C5802">
        <v>434000</v>
      </c>
      <c r="D5802">
        <v>27838.2</v>
      </c>
      <c r="E5802">
        <v>2.3099999999999999E-2</v>
      </c>
      <c r="F5802">
        <v>5.0999999999999997E-2</v>
      </c>
    </row>
    <row r="5803" spans="1:6" x14ac:dyDescent="0.3">
      <c r="A5803" t="s">
        <v>5838</v>
      </c>
      <c r="B5803" t="s">
        <v>88</v>
      </c>
      <c r="C5803">
        <v>502000</v>
      </c>
      <c r="D5803">
        <v>131031.9</v>
      </c>
      <c r="E5803">
        <v>2.6800000000000001E-2</v>
      </c>
      <c r="F5803">
        <v>0.11700000000000001</v>
      </c>
    </row>
    <row r="5804" spans="1:6" x14ac:dyDescent="0.3">
      <c r="A5804" t="s">
        <v>5839</v>
      </c>
      <c r="B5804" t="s">
        <v>53</v>
      </c>
      <c r="C5804">
        <v>435000</v>
      </c>
      <c r="D5804">
        <v>12162.7</v>
      </c>
      <c r="E5804">
        <v>2.5000000000000001E-2</v>
      </c>
      <c r="F5804">
        <v>7.5899999999999995E-2</v>
      </c>
    </row>
    <row r="5805" spans="1:6" x14ac:dyDescent="0.3">
      <c r="A5805" t="s">
        <v>5840</v>
      </c>
      <c r="B5805" t="s">
        <v>88</v>
      </c>
      <c r="C5805">
        <v>542000</v>
      </c>
      <c r="D5805">
        <v>6334.8</v>
      </c>
      <c r="E5805">
        <v>5.7200000000000001E-2</v>
      </c>
      <c r="F5805">
        <v>9.3799999999999994E-2</v>
      </c>
    </row>
    <row r="5806" spans="1:6" x14ac:dyDescent="0.3">
      <c r="A5806" t="s">
        <v>5841</v>
      </c>
      <c r="B5806" t="s">
        <v>26</v>
      </c>
      <c r="C5806">
        <v>613000</v>
      </c>
      <c r="D5806">
        <v>179398.9</v>
      </c>
      <c r="E5806">
        <v>4.2799999999999998E-2</v>
      </c>
      <c r="F5806">
        <v>5.0999999999999997E-2</v>
      </c>
    </row>
    <row r="5807" spans="1:6" x14ac:dyDescent="0.3">
      <c r="A5807" t="s">
        <v>5842</v>
      </c>
      <c r="B5807" t="s">
        <v>287</v>
      </c>
      <c r="C5807">
        <v>443000</v>
      </c>
      <c r="D5807">
        <v>93875.8</v>
      </c>
      <c r="E5807">
        <v>1.9599999999999999E-2</v>
      </c>
      <c r="F5807">
        <v>5.1799999999999999E-2</v>
      </c>
    </row>
    <row r="5808" spans="1:6" x14ac:dyDescent="0.3">
      <c r="A5808" t="s">
        <v>5843</v>
      </c>
      <c r="B5808" t="s">
        <v>26</v>
      </c>
      <c r="C5808">
        <v>439000</v>
      </c>
      <c r="D5808">
        <v>44553.2</v>
      </c>
      <c r="E5808">
        <v>2.47E-2</v>
      </c>
      <c r="F5808">
        <v>9.5100000000000004E-2</v>
      </c>
    </row>
    <row r="5809" spans="1:6" x14ac:dyDescent="0.3">
      <c r="A5809" t="s">
        <v>5844</v>
      </c>
      <c r="B5809" t="s">
        <v>92</v>
      </c>
      <c r="C5809">
        <v>624000</v>
      </c>
      <c r="D5809">
        <v>2555.3000000000002</v>
      </c>
      <c r="F5809">
        <v>9.3799999999999994E-2</v>
      </c>
    </row>
    <row r="5810" spans="1:6" x14ac:dyDescent="0.3">
      <c r="A5810" t="s">
        <v>5845</v>
      </c>
      <c r="B5810" t="s">
        <v>26</v>
      </c>
      <c r="C5810">
        <v>395000</v>
      </c>
      <c r="D5810">
        <v>4210.5</v>
      </c>
      <c r="E5810">
        <v>4.8899999999999999E-2</v>
      </c>
      <c r="F5810">
        <v>9.5100000000000004E-2</v>
      </c>
    </row>
    <row r="5811" spans="1:6" x14ac:dyDescent="0.3">
      <c r="A5811" t="s">
        <v>5846</v>
      </c>
      <c r="B5811" t="s">
        <v>26</v>
      </c>
      <c r="C5811">
        <v>385000</v>
      </c>
      <c r="D5811">
        <v>6075.9</v>
      </c>
      <c r="E5811">
        <v>3.0200000000000001E-2</v>
      </c>
      <c r="F5811">
        <v>7.5899999999999995E-2</v>
      </c>
    </row>
    <row r="5812" spans="1:6" x14ac:dyDescent="0.3">
      <c r="A5812" t="s">
        <v>5847</v>
      </c>
      <c r="B5812" t="s">
        <v>71</v>
      </c>
      <c r="C5812">
        <v>581000</v>
      </c>
      <c r="D5812">
        <v>23323.4</v>
      </c>
      <c r="E5812">
        <v>5.0999999999999997E-2</v>
      </c>
      <c r="F5812">
        <v>7.5899999999999995E-2</v>
      </c>
    </row>
    <row r="5813" spans="1:6" x14ac:dyDescent="0.3">
      <c r="A5813" t="s">
        <v>5848</v>
      </c>
      <c r="B5813" t="s">
        <v>62</v>
      </c>
      <c r="C5813">
        <v>392000</v>
      </c>
      <c r="D5813">
        <v>36623</v>
      </c>
      <c r="E5813">
        <v>3.8600000000000002E-2</v>
      </c>
      <c r="F5813">
        <v>9.5100000000000004E-2</v>
      </c>
    </row>
    <row r="5814" spans="1:6" x14ac:dyDescent="0.3">
      <c r="A5814" t="s">
        <v>5849</v>
      </c>
      <c r="B5814" t="s">
        <v>26</v>
      </c>
      <c r="C5814">
        <v>653000</v>
      </c>
      <c r="D5814">
        <v>10431.6</v>
      </c>
      <c r="E5814">
        <v>3.9199999999999999E-2</v>
      </c>
      <c r="F5814">
        <v>9.5100000000000004E-2</v>
      </c>
    </row>
    <row r="5815" spans="1:6" x14ac:dyDescent="0.3">
      <c r="A5815" t="s">
        <v>5850</v>
      </c>
      <c r="B5815" t="s">
        <v>35</v>
      </c>
      <c r="C5815">
        <v>434000</v>
      </c>
      <c r="D5815">
        <v>35805.9</v>
      </c>
      <c r="E5815">
        <v>2.3300000000000001E-2</v>
      </c>
      <c r="F5815">
        <v>0.16880000000000001</v>
      </c>
    </row>
    <row r="5816" spans="1:6" x14ac:dyDescent="0.3">
      <c r="A5816" t="s">
        <v>5851</v>
      </c>
      <c r="B5816" t="s">
        <v>26</v>
      </c>
      <c r="C5816">
        <v>396000</v>
      </c>
      <c r="D5816">
        <v>12089.2</v>
      </c>
      <c r="E5816">
        <v>2.0500000000000001E-2</v>
      </c>
      <c r="F5816">
        <v>5.1799999999999999E-2</v>
      </c>
    </row>
    <row r="5817" spans="1:6" x14ac:dyDescent="0.3">
      <c r="A5817" t="s">
        <v>5852</v>
      </c>
      <c r="B5817" t="s">
        <v>26</v>
      </c>
      <c r="C5817">
        <v>2230000</v>
      </c>
      <c r="D5817">
        <v>132414.20000000001</v>
      </c>
      <c r="E5817">
        <v>3.1099999999999999E-2</v>
      </c>
      <c r="F5817">
        <v>4.0899999999999999E-2</v>
      </c>
    </row>
    <row r="5818" spans="1:6" x14ac:dyDescent="0.3">
      <c r="A5818" t="s">
        <v>5853</v>
      </c>
      <c r="B5818" t="s">
        <v>41</v>
      </c>
      <c r="C5818">
        <v>546000</v>
      </c>
      <c r="D5818">
        <v>122742.9</v>
      </c>
      <c r="E5818">
        <v>9.7000000000000003E-3</v>
      </c>
      <c r="F5818">
        <v>6.54E-2</v>
      </c>
    </row>
    <row r="5819" spans="1:6" x14ac:dyDescent="0.3">
      <c r="A5819" t="s">
        <v>5854</v>
      </c>
      <c r="B5819" t="s">
        <v>24</v>
      </c>
      <c r="C5819">
        <v>383000</v>
      </c>
      <c r="D5819">
        <v>108.5</v>
      </c>
      <c r="E5819">
        <v>3.8699999999999998E-2</v>
      </c>
      <c r="F5819">
        <v>0.11700000000000001</v>
      </c>
    </row>
    <row r="5820" spans="1:6" x14ac:dyDescent="0.3">
      <c r="A5820" t="s">
        <v>5855</v>
      </c>
      <c r="B5820" t="s">
        <v>71</v>
      </c>
      <c r="C5820">
        <v>468000</v>
      </c>
      <c r="D5820">
        <v>35339.699999999997</v>
      </c>
      <c r="E5820">
        <v>3.32E-2</v>
      </c>
      <c r="F5820">
        <v>7.5899999999999995E-2</v>
      </c>
    </row>
    <row r="5821" spans="1:6" x14ac:dyDescent="0.3">
      <c r="A5821" t="s">
        <v>5856</v>
      </c>
      <c r="B5821" t="s">
        <v>74</v>
      </c>
      <c r="C5821">
        <v>384000</v>
      </c>
      <c r="D5821">
        <v>422</v>
      </c>
      <c r="E5821">
        <v>2.4400000000000002E-2</v>
      </c>
      <c r="F5821">
        <v>0.187</v>
      </c>
    </row>
    <row r="5822" spans="1:6" x14ac:dyDescent="0.3">
      <c r="A5822" t="s">
        <v>5857</v>
      </c>
      <c r="B5822" t="s">
        <v>26</v>
      </c>
      <c r="C5822">
        <v>371000</v>
      </c>
      <c r="D5822">
        <v>792.5</v>
      </c>
      <c r="E5822">
        <v>1.7000000000000001E-2</v>
      </c>
      <c r="F5822">
        <v>0.18859999999999999</v>
      </c>
    </row>
    <row r="5823" spans="1:6" x14ac:dyDescent="0.3">
      <c r="A5823" t="s">
        <v>5858</v>
      </c>
      <c r="B5823" t="s">
        <v>287</v>
      </c>
      <c r="C5823">
        <v>411000</v>
      </c>
      <c r="D5823">
        <v>50137.8</v>
      </c>
      <c r="E5823">
        <v>1.34E-2</v>
      </c>
      <c r="F5823">
        <v>5.8400000000000001E-2</v>
      </c>
    </row>
    <row r="5824" spans="1:6" x14ac:dyDescent="0.3">
      <c r="A5824" t="s">
        <v>5859</v>
      </c>
      <c r="B5824" t="s">
        <v>26</v>
      </c>
      <c r="C5824">
        <v>438000</v>
      </c>
      <c r="D5824">
        <v>8726</v>
      </c>
      <c r="E5824">
        <v>5.11E-2</v>
      </c>
      <c r="F5824">
        <v>9.5100000000000004E-2</v>
      </c>
    </row>
    <row r="5825" spans="1:6" x14ac:dyDescent="0.3">
      <c r="A5825" t="s">
        <v>5860</v>
      </c>
      <c r="B5825" t="s">
        <v>26</v>
      </c>
      <c r="C5825">
        <v>819000</v>
      </c>
      <c r="D5825">
        <v>4829.8</v>
      </c>
      <c r="E5825">
        <v>3.1399999999999997E-2</v>
      </c>
      <c r="F5825">
        <v>9.3799999999999994E-2</v>
      </c>
    </row>
    <row r="5826" spans="1:6" x14ac:dyDescent="0.3">
      <c r="A5826" t="s">
        <v>5861</v>
      </c>
      <c r="B5826" t="s">
        <v>92</v>
      </c>
      <c r="C5826">
        <v>376000</v>
      </c>
      <c r="D5826">
        <v>2073.9</v>
      </c>
      <c r="E5826">
        <v>1.24E-2</v>
      </c>
      <c r="F5826">
        <v>5.1999999999999998E-2</v>
      </c>
    </row>
    <row r="5827" spans="1:6" x14ac:dyDescent="0.3">
      <c r="A5827" t="s">
        <v>5862</v>
      </c>
      <c r="B5827" t="s">
        <v>26</v>
      </c>
      <c r="C5827">
        <v>413000</v>
      </c>
      <c r="D5827">
        <v>50392.800000000003</v>
      </c>
      <c r="E5827">
        <v>3.4700000000000002E-2</v>
      </c>
      <c r="F5827">
        <v>7.5899999999999995E-2</v>
      </c>
    </row>
    <row r="5828" spans="1:6" x14ac:dyDescent="0.3">
      <c r="A5828" t="s">
        <v>5863</v>
      </c>
      <c r="B5828" t="s">
        <v>32</v>
      </c>
      <c r="C5828">
        <v>388000</v>
      </c>
      <c r="D5828">
        <v>24109.4</v>
      </c>
      <c r="E5828">
        <v>4.2700000000000002E-2</v>
      </c>
      <c r="F5828">
        <v>5.1799999999999999E-2</v>
      </c>
    </row>
    <row r="5829" spans="1:6" x14ac:dyDescent="0.3">
      <c r="A5829" t="s">
        <v>5864</v>
      </c>
      <c r="B5829" t="s">
        <v>26</v>
      </c>
      <c r="C5829">
        <v>572000</v>
      </c>
      <c r="D5829">
        <v>135366.79999999999</v>
      </c>
      <c r="E5829">
        <v>1.9800000000000002E-2</v>
      </c>
      <c r="F5829">
        <v>7.5700000000000003E-2</v>
      </c>
    </row>
    <row r="5830" spans="1:6" x14ac:dyDescent="0.3">
      <c r="A5830" t="s">
        <v>5865</v>
      </c>
      <c r="B5830" t="s">
        <v>26</v>
      </c>
      <c r="C5830">
        <v>435000</v>
      </c>
      <c r="D5830">
        <v>13654.3</v>
      </c>
      <c r="E5830">
        <v>2.3199999999999998E-2</v>
      </c>
      <c r="F5830">
        <v>9.5100000000000004E-2</v>
      </c>
    </row>
    <row r="5831" spans="1:6" x14ac:dyDescent="0.3">
      <c r="A5831" t="s">
        <v>5866</v>
      </c>
      <c r="B5831" t="s">
        <v>92</v>
      </c>
      <c r="C5831">
        <v>390000</v>
      </c>
      <c r="D5831">
        <v>1275.5</v>
      </c>
      <c r="E5831">
        <v>2.3E-2</v>
      </c>
      <c r="F5831">
        <v>0.13719999999999999</v>
      </c>
    </row>
    <row r="5832" spans="1:6" x14ac:dyDescent="0.3">
      <c r="A5832" t="s">
        <v>5867</v>
      </c>
      <c r="B5832" t="s">
        <v>214</v>
      </c>
      <c r="C5832">
        <v>352000</v>
      </c>
      <c r="F5832">
        <v>7.5899999999999995E-2</v>
      </c>
    </row>
    <row r="5833" spans="1:6" x14ac:dyDescent="0.3">
      <c r="A5833" t="s">
        <v>5868</v>
      </c>
      <c r="B5833" t="s">
        <v>26</v>
      </c>
      <c r="C5833">
        <v>640000</v>
      </c>
      <c r="D5833">
        <v>13856.3</v>
      </c>
      <c r="E5833">
        <v>3.49E-2</v>
      </c>
      <c r="F5833">
        <v>6.7199999999999996E-2</v>
      </c>
    </row>
    <row r="5834" spans="1:6" x14ac:dyDescent="0.3">
      <c r="A5834" t="s">
        <v>5869</v>
      </c>
      <c r="B5834" t="s">
        <v>88</v>
      </c>
      <c r="C5834">
        <v>1280000</v>
      </c>
      <c r="D5834">
        <v>28217.5</v>
      </c>
      <c r="E5834">
        <v>4.6300000000000001E-2</v>
      </c>
      <c r="F5834">
        <v>7.5899999999999995E-2</v>
      </c>
    </row>
    <row r="5835" spans="1:6" x14ac:dyDescent="0.3">
      <c r="A5835" t="s">
        <v>5870</v>
      </c>
      <c r="B5835" t="s">
        <v>26</v>
      </c>
      <c r="C5835">
        <v>414000</v>
      </c>
      <c r="D5835">
        <v>16096.1</v>
      </c>
      <c r="E5835">
        <v>4.8999999999999998E-3</v>
      </c>
      <c r="F5835">
        <v>8.1100000000000005E-2</v>
      </c>
    </row>
    <row r="5836" spans="1:6" x14ac:dyDescent="0.3">
      <c r="A5836" t="s">
        <v>5871</v>
      </c>
      <c r="B5836" t="s">
        <v>214</v>
      </c>
      <c r="C5836">
        <v>382000</v>
      </c>
      <c r="D5836">
        <v>3867039.9</v>
      </c>
      <c r="E5836">
        <v>8.3999999999999995E-3</v>
      </c>
      <c r="F5836">
        <v>8.2199999999999995E-2</v>
      </c>
    </row>
    <row r="5837" spans="1:6" x14ac:dyDescent="0.3">
      <c r="A5837" t="s">
        <v>5872</v>
      </c>
      <c r="B5837" t="s">
        <v>214</v>
      </c>
      <c r="C5837">
        <v>406000</v>
      </c>
      <c r="D5837">
        <v>875.4</v>
      </c>
      <c r="E5837">
        <v>4.3700000000000003E-2</v>
      </c>
      <c r="F5837">
        <v>9.3799999999999994E-2</v>
      </c>
    </row>
    <row r="5838" spans="1:6" x14ac:dyDescent="0.3">
      <c r="A5838" t="s">
        <v>5873</v>
      </c>
      <c r="B5838" t="s">
        <v>32</v>
      </c>
      <c r="C5838">
        <v>669000</v>
      </c>
      <c r="D5838">
        <v>8745876.0999999996</v>
      </c>
      <c r="E5838">
        <v>1.8200000000000001E-2</v>
      </c>
      <c r="F5838">
        <v>5.8500000000000003E-2</v>
      </c>
    </row>
    <row r="5839" spans="1:6" x14ac:dyDescent="0.3">
      <c r="A5839" t="s">
        <v>5874</v>
      </c>
      <c r="B5839" t="s">
        <v>26</v>
      </c>
      <c r="C5839">
        <v>508000</v>
      </c>
      <c r="D5839">
        <v>26793.200000000001</v>
      </c>
      <c r="E5839">
        <v>4.0899999999999999E-2</v>
      </c>
      <c r="F5839">
        <v>7.5899999999999995E-2</v>
      </c>
    </row>
    <row r="5840" spans="1:6" x14ac:dyDescent="0.3">
      <c r="A5840" t="s">
        <v>5875</v>
      </c>
      <c r="B5840" t="s">
        <v>88</v>
      </c>
      <c r="C5840">
        <v>440000</v>
      </c>
      <c r="D5840">
        <v>3394.8</v>
      </c>
      <c r="E5840">
        <v>3.5799999999999998E-2</v>
      </c>
      <c r="F5840">
        <v>0.1226</v>
      </c>
    </row>
    <row r="5841" spans="1:6" x14ac:dyDescent="0.3">
      <c r="A5841" t="s">
        <v>5876</v>
      </c>
      <c r="B5841" t="s">
        <v>88</v>
      </c>
      <c r="C5841">
        <v>390000</v>
      </c>
      <c r="D5841">
        <v>2222.1</v>
      </c>
      <c r="E5841">
        <v>2.64E-2</v>
      </c>
      <c r="F5841">
        <v>7.5899999999999995E-2</v>
      </c>
    </row>
    <row r="5842" spans="1:6" x14ac:dyDescent="0.3">
      <c r="A5842" t="s">
        <v>5877</v>
      </c>
      <c r="B5842" t="s">
        <v>88</v>
      </c>
      <c r="C5842">
        <v>415000</v>
      </c>
      <c r="D5842">
        <v>564</v>
      </c>
      <c r="E5842">
        <v>8.8000000000000005E-3</v>
      </c>
      <c r="F5842">
        <v>8.1100000000000005E-2</v>
      </c>
    </row>
    <row r="5843" spans="1:6" x14ac:dyDescent="0.3">
      <c r="A5843" t="s">
        <v>5878</v>
      </c>
      <c r="B5843" t="s">
        <v>71</v>
      </c>
      <c r="C5843">
        <v>378000</v>
      </c>
      <c r="D5843">
        <v>352.6</v>
      </c>
      <c r="E5843">
        <v>2.5499999999999998E-2</v>
      </c>
      <c r="F5843">
        <v>9.5100000000000004E-2</v>
      </c>
    </row>
    <row r="5844" spans="1:6" x14ac:dyDescent="0.3">
      <c r="A5844" t="s">
        <v>5879</v>
      </c>
      <c r="B5844" t="s">
        <v>24</v>
      </c>
      <c r="C5844">
        <v>982000</v>
      </c>
      <c r="D5844">
        <v>3934.8</v>
      </c>
      <c r="E5844">
        <v>5.6000000000000001E-2</v>
      </c>
      <c r="F5844">
        <v>9.3799999999999994E-2</v>
      </c>
    </row>
    <row r="5845" spans="1:6" x14ac:dyDescent="0.3">
      <c r="A5845" t="s">
        <v>5880</v>
      </c>
      <c r="B5845" t="s">
        <v>74</v>
      </c>
      <c r="C5845">
        <v>379000</v>
      </c>
      <c r="D5845">
        <v>46630.8</v>
      </c>
      <c r="E5845">
        <v>4.5400000000000003E-2</v>
      </c>
      <c r="F5845">
        <v>9.5100000000000004E-2</v>
      </c>
    </row>
    <row r="5846" spans="1:6" x14ac:dyDescent="0.3">
      <c r="A5846" t="s">
        <v>5881</v>
      </c>
      <c r="B5846" t="s">
        <v>88</v>
      </c>
      <c r="C5846">
        <v>405000</v>
      </c>
      <c r="D5846">
        <v>2566.5</v>
      </c>
      <c r="E5846">
        <v>5.5399999999999998E-2</v>
      </c>
      <c r="F5846">
        <v>0.11700000000000001</v>
      </c>
    </row>
    <row r="5847" spans="1:6" x14ac:dyDescent="0.3">
      <c r="A5847" t="s">
        <v>5882</v>
      </c>
      <c r="B5847" t="s">
        <v>26</v>
      </c>
      <c r="C5847">
        <v>399000</v>
      </c>
      <c r="D5847">
        <v>38552.5</v>
      </c>
      <c r="E5847">
        <v>3.2399999999999998E-2</v>
      </c>
      <c r="F5847">
        <v>9.3799999999999994E-2</v>
      </c>
    </row>
    <row r="5848" spans="1:6" x14ac:dyDescent="0.3">
      <c r="A5848" t="s">
        <v>5883</v>
      </c>
      <c r="B5848" t="s">
        <v>24</v>
      </c>
      <c r="C5848">
        <v>399000</v>
      </c>
      <c r="D5848">
        <v>19525.5</v>
      </c>
      <c r="E5848">
        <v>3.3700000000000001E-2</v>
      </c>
      <c r="F5848">
        <v>5.1799999999999999E-2</v>
      </c>
    </row>
    <row r="5849" spans="1:6" x14ac:dyDescent="0.3">
      <c r="A5849" t="s">
        <v>5884</v>
      </c>
      <c r="B5849" t="s">
        <v>74</v>
      </c>
      <c r="C5849">
        <v>444000</v>
      </c>
      <c r="D5849">
        <v>27621.599999999999</v>
      </c>
      <c r="E5849">
        <v>6.0100000000000001E-2</v>
      </c>
      <c r="F5849">
        <v>9.5100000000000004E-2</v>
      </c>
    </row>
    <row r="5850" spans="1:6" x14ac:dyDescent="0.3">
      <c r="A5850" t="s">
        <v>5885</v>
      </c>
      <c r="B5850" t="s">
        <v>26</v>
      </c>
      <c r="C5850">
        <v>368000</v>
      </c>
      <c r="D5850">
        <v>44445.3</v>
      </c>
      <c r="E5850">
        <v>2.0899999999999998E-2</v>
      </c>
      <c r="F5850">
        <v>9.5100000000000004E-2</v>
      </c>
    </row>
    <row r="5851" spans="1:6" x14ac:dyDescent="0.3">
      <c r="A5851" t="s">
        <v>5886</v>
      </c>
      <c r="B5851" t="s">
        <v>41</v>
      </c>
      <c r="C5851">
        <v>603000</v>
      </c>
      <c r="D5851">
        <v>679.1</v>
      </c>
      <c r="E5851">
        <v>1.14E-2</v>
      </c>
      <c r="F5851">
        <v>0.1013</v>
      </c>
    </row>
    <row r="5852" spans="1:6" x14ac:dyDescent="0.3">
      <c r="A5852" t="s">
        <v>5887</v>
      </c>
      <c r="B5852" t="s">
        <v>74</v>
      </c>
      <c r="C5852">
        <v>439000</v>
      </c>
      <c r="D5852">
        <v>413.8</v>
      </c>
      <c r="E5852">
        <v>2.7E-2</v>
      </c>
      <c r="F5852">
        <v>9.3799999999999994E-2</v>
      </c>
    </row>
    <row r="5853" spans="1:6" x14ac:dyDescent="0.3">
      <c r="A5853" t="s">
        <v>5888</v>
      </c>
      <c r="B5853" t="s">
        <v>41</v>
      </c>
      <c r="C5853">
        <v>765000</v>
      </c>
      <c r="D5853">
        <v>1688.8</v>
      </c>
      <c r="F5853">
        <v>9.3799999999999994E-2</v>
      </c>
    </row>
    <row r="5854" spans="1:6" x14ac:dyDescent="0.3">
      <c r="A5854" t="s">
        <v>5889</v>
      </c>
      <c r="B5854" t="s">
        <v>74</v>
      </c>
      <c r="C5854">
        <v>776000</v>
      </c>
      <c r="D5854">
        <v>145430.9</v>
      </c>
      <c r="E5854">
        <v>1.26E-2</v>
      </c>
      <c r="F5854">
        <v>4.6199999999999998E-2</v>
      </c>
    </row>
    <row r="5855" spans="1:6" x14ac:dyDescent="0.3">
      <c r="A5855" t="s">
        <v>5890</v>
      </c>
      <c r="B5855" t="s">
        <v>88</v>
      </c>
      <c r="C5855">
        <v>404000</v>
      </c>
      <c r="D5855">
        <v>603.79999999999995</v>
      </c>
      <c r="E5855">
        <v>4.19E-2</v>
      </c>
      <c r="F5855">
        <v>9.3799999999999994E-2</v>
      </c>
    </row>
    <row r="5856" spans="1:6" x14ac:dyDescent="0.3">
      <c r="A5856" t="s">
        <v>5891</v>
      </c>
      <c r="B5856" t="s">
        <v>71</v>
      </c>
      <c r="C5856">
        <v>377000</v>
      </c>
      <c r="D5856">
        <v>2361.8000000000002</v>
      </c>
      <c r="E5856">
        <v>1.14E-2</v>
      </c>
      <c r="F5856">
        <v>0.10150000000000001</v>
      </c>
    </row>
    <row r="5857" spans="1:6" x14ac:dyDescent="0.3">
      <c r="A5857" t="s">
        <v>5892</v>
      </c>
      <c r="B5857" t="s">
        <v>26</v>
      </c>
      <c r="C5857">
        <v>586000</v>
      </c>
      <c r="D5857">
        <v>3377.6</v>
      </c>
      <c r="E5857">
        <v>4.4200000000000003E-2</v>
      </c>
      <c r="F5857">
        <v>5.3800000000000001E-2</v>
      </c>
    </row>
    <row r="5858" spans="1:6" x14ac:dyDescent="0.3">
      <c r="A5858" t="s">
        <v>5893</v>
      </c>
      <c r="B5858" t="s">
        <v>26</v>
      </c>
      <c r="C5858">
        <v>643000</v>
      </c>
      <c r="D5858">
        <v>3582.8</v>
      </c>
      <c r="E5858">
        <v>1.8499999999999999E-2</v>
      </c>
      <c r="F5858">
        <v>0.1067</v>
      </c>
    </row>
    <row r="5859" spans="1:6" x14ac:dyDescent="0.3">
      <c r="A5859" t="s">
        <v>5894</v>
      </c>
      <c r="B5859" t="s">
        <v>26</v>
      </c>
      <c r="C5859">
        <v>382000</v>
      </c>
      <c r="D5859">
        <v>16028.1</v>
      </c>
      <c r="E5859">
        <v>2.7900000000000001E-2</v>
      </c>
      <c r="F5859">
        <v>9.5100000000000004E-2</v>
      </c>
    </row>
    <row r="5860" spans="1:6" x14ac:dyDescent="0.3">
      <c r="A5860" t="s">
        <v>5895</v>
      </c>
      <c r="B5860" t="s">
        <v>81</v>
      </c>
      <c r="C5860">
        <v>850000</v>
      </c>
      <c r="D5860">
        <v>23036.799999999999</v>
      </c>
      <c r="E5860">
        <v>4.1599999999999998E-2</v>
      </c>
      <c r="F5860">
        <v>5.1799999999999999E-2</v>
      </c>
    </row>
    <row r="5861" spans="1:6" x14ac:dyDescent="0.3">
      <c r="A5861" t="s">
        <v>5896</v>
      </c>
      <c r="B5861" t="s">
        <v>26</v>
      </c>
      <c r="C5861">
        <v>431000</v>
      </c>
      <c r="D5861">
        <v>2465173.5</v>
      </c>
      <c r="E5861">
        <v>1.3599999999999999E-2</v>
      </c>
      <c r="F5861">
        <v>7.3599999999999999E-2</v>
      </c>
    </row>
    <row r="5862" spans="1:6" x14ac:dyDescent="0.3">
      <c r="A5862" t="s">
        <v>5897</v>
      </c>
      <c r="B5862" t="s">
        <v>24</v>
      </c>
      <c r="C5862">
        <v>449000</v>
      </c>
      <c r="D5862">
        <v>985975.9</v>
      </c>
      <c r="E5862">
        <v>1.21E-2</v>
      </c>
      <c r="F5862">
        <v>0.1027</v>
      </c>
    </row>
    <row r="5863" spans="1:6" x14ac:dyDescent="0.3">
      <c r="A5863" t="s">
        <v>5898</v>
      </c>
      <c r="B5863" t="s">
        <v>41</v>
      </c>
      <c r="C5863">
        <v>538000</v>
      </c>
      <c r="D5863">
        <v>289.5</v>
      </c>
      <c r="E5863">
        <v>3.4200000000000001E-2</v>
      </c>
      <c r="F5863">
        <v>0.1226</v>
      </c>
    </row>
    <row r="5864" spans="1:6" x14ac:dyDescent="0.3">
      <c r="A5864" t="s">
        <v>5899</v>
      </c>
      <c r="B5864" t="s">
        <v>26</v>
      </c>
      <c r="C5864">
        <v>579000</v>
      </c>
      <c r="D5864">
        <v>10525.9</v>
      </c>
      <c r="E5864">
        <v>5.8599999999999999E-2</v>
      </c>
      <c r="F5864">
        <v>7.5899999999999995E-2</v>
      </c>
    </row>
    <row r="5865" spans="1:6" x14ac:dyDescent="0.3">
      <c r="A5865" t="s">
        <v>5900</v>
      </c>
      <c r="B5865" t="s">
        <v>81</v>
      </c>
      <c r="C5865">
        <v>407000</v>
      </c>
      <c r="D5865">
        <v>752.4</v>
      </c>
      <c r="E5865">
        <v>2.6100000000000002E-2</v>
      </c>
      <c r="F5865">
        <v>7.5899999999999995E-2</v>
      </c>
    </row>
    <row r="5866" spans="1:6" x14ac:dyDescent="0.3">
      <c r="A5866" t="s">
        <v>5901</v>
      </c>
      <c r="B5866" t="s">
        <v>41</v>
      </c>
      <c r="C5866">
        <v>644000</v>
      </c>
      <c r="D5866">
        <v>732.2</v>
      </c>
      <c r="E5866">
        <v>2.86E-2</v>
      </c>
      <c r="F5866">
        <v>0.13719999999999999</v>
      </c>
    </row>
    <row r="5867" spans="1:6" x14ac:dyDescent="0.3">
      <c r="A5867" t="s">
        <v>5902</v>
      </c>
      <c r="B5867" t="s">
        <v>41</v>
      </c>
      <c r="C5867">
        <v>411000</v>
      </c>
      <c r="D5867">
        <v>4.0999999999999996</v>
      </c>
      <c r="E5867">
        <v>0.01</v>
      </c>
      <c r="F5867">
        <v>0.3024</v>
      </c>
    </row>
    <row r="5868" spans="1:6" x14ac:dyDescent="0.3">
      <c r="A5868" t="s">
        <v>5903</v>
      </c>
      <c r="B5868" t="s">
        <v>74</v>
      </c>
      <c r="C5868">
        <v>380000</v>
      </c>
      <c r="D5868">
        <v>569.20000000000005</v>
      </c>
      <c r="E5868">
        <v>9.2799999999999994E-2</v>
      </c>
      <c r="F5868">
        <v>7.5899999999999995E-2</v>
      </c>
    </row>
    <row r="5869" spans="1:6" x14ac:dyDescent="0.3">
      <c r="A5869" t="s">
        <v>5904</v>
      </c>
      <c r="B5869" t="s">
        <v>26</v>
      </c>
      <c r="C5869">
        <v>495000</v>
      </c>
      <c r="D5869">
        <v>1122</v>
      </c>
      <c r="E5869">
        <v>8.5000000000000006E-3</v>
      </c>
      <c r="F5869">
        <v>8.2199999999999995E-2</v>
      </c>
    </row>
    <row r="5870" spans="1:6" x14ac:dyDescent="0.3">
      <c r="A5870" t="s">
        <v>5905</v>
      </c>
      <c r="B5870" t="s">
        <v>26</v>
      </c>
      <c r="C5870">
        <v>1970000</v>
      </c>
      <c r="D5870">
        <v>2440446.2999999998</v>
      </c>
      <c r="E5870">
        <v>4.1599999999999998E-2</v>
      </c>
      <c r="F5870">
        <v>8.4500000000000006E-2</v>
      </c>
    </row>
    <row r="5871" spans="1:6" x14ac:dyDescent="0.3">
      <c r="A5871" t="s">
        <v>5906</v>
      </c>
      <c r="B5871" t="s">
        <v>26</v>
      </c>
      <c r="C5871">
        <v>1720000</v>
      </c>
      <c r="D5871">
        <v>368479.1</v>
      </c>
      <c r="E5871">
        <v>2.7099999999999999E-2</v>
      </c>
      <c r="F5871">
        <v>8.5400000000000004E-2</v>
      </c>
    </row>
    <row r="5872" spans="1:6" x14ac:dyDescent="0.3">
      <c r="A5872" t="s">
        <v>5907</v>
      </c>
      <c r="B5872" t="s">
        <v>88</v>
      </c>
      <c r="C5872">
        <v>707000</v>
      </c>
      <c r="D5872">
        <v>14</v>
      </c>
      <c r="E5872">
        <v>2.1600000000000001E-2</v>
      </c>
      <c r="F5872">
        <v>0.15920000000000001</v>
      </c>
    </row>
    <row r="5873" spans="1:6" x14ac:dyDescent="0.3">
      <c r="A5873" t="s">
        <v>5908</v>
      </c>
      <c r="B5873" t="s">
        <v>214</v>
      </c>
      <c r="C5873">
        <v>384000</v>
      </c>
      <c r="D5873">
        <v>3803.6</v>
      </c>
      <c r="E5873">
        <v>2.0299999999999999E-2</v>
      </c>
      <c r="F5873">
        <v>0.1067</v>
      </c>
    </row>
    <row r="5874" spans="1:6" x14ac:dyDescent="0.3">
      <c r="A5874" t="s">
        <v>5909</v>
      </c>
      <c r="B5874" t="s">
        <v>26</v>
      </c>
      <c r="C5874">
        <v>777000</v>
      </c>
      <c r="D5874">
        <v>395702.3</v>
      </c>
      <c r="E5874">
        <v>6.4000000000000003E-3</v>
      </c>
      <c r="F5874">
        <v>8.2799999999999999E-2</v>
      </c>
    </row>
    <row r="5875" spans="1:6" x14ac:dyDescent="0.3">
      <c r="A5875" t="s">
        <v>5910</v>
      </c>
      <c r="B5875" t="s">
        <v>53</v>
      </c>
      <c r="C5875">
        <v>381000</v>
      </c>
      <c r="D5875">
        <v>14702</v>
      </c>
      <c r="E5875">
        <v>4.3499999999999997E-2</v>
      </c>
      <c r="F5875">
        <v>9.5100000000000004E-2</v>
      </c>
    </row>
    <row r="5876" spans="1:6" x14ac:dyDescent="0.3">
      <c r="A5876" t="s">
        <v>5911</v>
      </c>
      <c r="B5876" t="s">
        <v>214</v>
      </c>
      <c r="C5876">
        <v>1290000</v>
      </c>
      <c r="D5876">
        <v>9974.1</v>
      </c>
      <c r="F5876">
        <v>4.0899999999999999E-2</v>
      </c>
    </row>
    <row r="5877" spans="1:6" x14ac:dyDescent="0.3">
      <c r="A5877" t="s">
        <v>5912</v>
      </c>
      <c r="B5877" t="s">
        <v>21</v>
      </c>
      <c r="C5877">
        <v>497000</v>
      </c>
      <c r="D5877">
        <v>50154.6</v>
      </c>
      <c r="E5877">
        <v>4.6199999999999998E-2</v>
      </c>
      <c r="F5877">
        <v>7.5899999999999995E-2</v>
      </c>
    </row>
    <row r="5878" spans="1:6" x14ac:dyDescent="0.3">
      <c r="A5878" t="s">
        <v>5913</v>
      </c>
      <c r="B5878" t="s">
        <v>26</v>
      </c>
      <c r="C5878">
        <v>456000</v>
      </c>
      <c r="D5878">
        <v>5974.8</v>
      </c>
      <c r="E5878">
        <v>4.2299999999999997E-2</v>
      </c>
      <c r="F5878">
        <v>9.3799999999999994E-2</v>
      </c>
    </row>
    <row r="5879" spans="1:6" x14ac:dyDescent="0.3">
      <c r="A5879" t="s">
        <v>5914</v>
      </c>
      <c r="B5879" t="s">
        <v>88</v>
      </c>
      <c r="C5879">
        <v>360000</v>
      </c>
      <c r="D5879">
        <v>217.5</v>
      </c>
      <c r="E5879">
        <v>6.1199999999999997E-2</v>
      </c>
      <c r="F5879">
        <v>9.5100000000000004E-2</v>
      </c>
    </row>
    <row r="5880" spans="1:6" x14ac:dyDescent="0.3">
      <c r="A5880" t="s">
        <v>5915</v>
      </c>
      <c r="B5880" t="s">
        <v>26</v>
      </c>
      <c r="C5880">
        <v>383000</v>
      </c>
      <c r="D5880">
        <v>1168.0999999999999</v>
      </c>
      <c r="E5880">
        <v>1.6400000000000001E-2</v>
      </c>
      <c r="F5880">
        <v>0.33910000000000001</v>
      </c>
    </row>
    <row r="5881" spans="1:6" x14ac:dyDescent="0.3">
      <c r="A5881" t="s">
        <v>5916</v>
      </c>
      <c r="B5881" t="s">
        <v>62</v>
      </c>
      <c r="C5881">
        <v>559000</v>
      </c>
      <c r="D5881">
        <v>1476</v>
      </c>
      <c r="E5881">
        <v>9.2999999999999992E-3</v>
      </c>
      <c r="F5881">
        <v>8.1100000000000005E-2</v>
      </c>
    </row>
    <row r="5882" spans="1:6" x14ac:dyDescent="0.3">
      <c r="A5882" t="s">
        <v>5917</v>
      </c>
      <c r="B5882" t="s">
        <v>35</v>
      </c>
      <c r="C5882">
        <v>388000</v>
      </c>
      <c r="D5882">
        <v>25161.200000000001</v>
      </c>
      <c r="E5882">
        <v>5.1499999999999997E-2</v>
      </c>
      <c r="F5882">
        <v>9.5100000000000004E-2</v>
      </c>
    </row>
    <row r="5883" spans="1:6" x14ac:dyDescent="0.3">
      <c r="A5883" t="s">
        <v>5918</v>
      </c>
      <c r="B5883" t="s">
        <v>92</v>
      </c>
      <c r="C5883">
        <v>408000</v>
      </c>
      <c r="D5883">
        <v>5382.6</v>
      </c>
      <c r="E5883">
        <v>1.41E-2</v>
      </c>
      <c r="F5883">
        <v>4.6199999999999998E-2</v>
      </c>
    </row>
    <row r="5884" spans="1:6" x14ac:dyDescent="0.3">
      <c r="A5884" t="s">
        <v>5919</v>
      </c>
      <c r="B5884" t="s">
        <v>81</v>
      </c>
      <c r="C5884">
        <v>590000</v>
      </c>
      <c r="D5884">
        <v>35328.199999999997</v>
      </c>
      <c r="E5884">
        <v>3.5000000000000003E-2</v>
      </c>
      <c r="F5884">
        <v>7.5899999999999995E-2</v>
      </c>
    </row>
    <row r="5885" spans="1:6" x14ac:dyDescent="0.3">
      <c r="A5885" t="s">
        <v>5920</v>
      </c>
      <c r="B5885" t="s">
        <v>88</v>
      </c>
      <c r="C5885">
        <v>418000</v>
      </c>
      <c r="D5885">
        <v>2188.6</v>
      </c>
      <c r="E5885">
        <v>5.1700000000000003E-2</v>
      </c>
      <c r="F5885">
        <v>9.3799999999999994E-2</v>
      </c>
    </row>
    <row r="5886" spans="1:6" x14ac:dyDescent="0.3">
      <c r="A5886" t="s">
        <v>5921</v>
      </c>
      <c r="B5886" t="s">
        <v>81</v>
      </c>
      <c r="C5886">
        <v>390000</v>
      </c>
      <c r="D5886">
        <v>10091.9</v>
      </c>
      <c r="E5886">
        <v>1.7899999999999999E-2</v>
      </c>
      <c r="F5886">
        <v>0.1053</v>
      </c>
    </row>
    <row r="5887" spans="1:6" x14ac:dyDescent="0.3">
      <c r="A5887" t="s">
        <v>5922</v>
      </c>
      <c r="B5887" t="s">
        <v>26</v>
      </c>
      <c r="C5887">
        <v>516000</v>
      </c>
      <c r="D5887">
        <v>7520.9</v>
      </c>
      <c r="E5887">
        <v>3.2599999999999997E-2</v>
      </c>
      <c r="F5887">
        <v>5.4600000000000003E-2</v>
      </c>
    </row>
    <row r="5888" spans="1:6" x14ac:dyDescent="0.3">
      <c r="A5888" t="s">
        <v>5923</v>
      </c>
      <c r="B5888" t="s">
        <v>26</v>
      </c>
      <c r="C5888">
        <v>478000</v>
      </c>
      <c r="D5888">
        <v>28797.5</v>
      </c>
      <c r="E5888">
        <v>6.3E-3</v>
      </c>
      <c r="F5888">
        <v>8.1100000000000005E-2</v>
      </c>
    </row>
    <row r="5889" spans="1:6" x14ac:dyDescent="0.3">
      <c r="A5889" t="s">
        <v>5924</v>
      </c>
      <c r="B5889" t="s">
        <v>71</v>
      </c>
      <c r="C5889">
        <v>566000</v>
      </c>
      <c r="D5889">
        <v>119424.5</v>
      </c>
      <c r="E5889">
        <v>5.74E-2</v>
      </c>
      <c r="F5889">
        <v>7.5899999999999995E-2</v>
      </c>
    </row>
    <row r="5890" spans="1:6" x14ac:dyDescent="0.3">
      <c r="A5890" t="s">
        <v>5925</v>
      </c>
      <c r="B5890" t="s">
        <v>74</v>
      </c>
      <c r="C5890">
        <v>394000</v>
      </c>
      <c r="D5890">
        <v>13463.7</v>
      </c>
      <c r="E5890">
        <v>1.37E-2</v>
      </c>
      <c r="F5890">
        <v>4.6199999999999998E-2</v>
      </c>
    </row>
    <row r="5891" spans="1:6" x14ac:dyDescent="0.3">
      <c r="A5891" t="s">
        <v>5926</v>
      </c>
      <c r="B5891" t="s">
        <v>81</v>
      </c>
      <c r="C5891">
        <v>440000</v>
      </c>
      <c r="D5891">
        <v>19725.099999999999</v>
      </c>
      <c r="E5891">
        <v>3.2800000000000003E-2</v>
      </c>
      <c r="F5891">
        <v>9.3799999999999994E-2</v>
      </c>
    </row>
    <row r="5892" spans="1:6" x14ac:dyDescent="0.3">
      <c r="A5892" t="s">
        <v>5927</v>
      </c>
      <c r="B5892" t="s">
        <v>71</v>
      </c>
      <c r="C5892">
        <v>450000</v>
      </c>
      <c r="D5892">
        <v>11470</v>
      </c>
      <c r="E5892">
        <v>6.4000000000000001E-2</v>
      </c>
      <c r="F5892">
        <v>5.3800000000000001E-2</v>
      </c>
    </row>
    <row r="5893" spans="1:6" x14ac:dyDescent="0.3">
      <c r="A5893" t="s">
        <v>5928</v>
      </c>
      <c r="B5893" t="s">
        <v>88</v>
      </c>
      <c r="C5893">
        <v>445000</v>
      </c>
      <c r="D5893">
        <v>13254.5</v>
      </c>
      <c r="E5893">
        <v>2.4500000000000001E-2</v>
      </c>
      <c r="F5893">
        <v>8.0299999999999996E-2</v>
      </c>
    </row>
    <row r="5894" spans="1:6" x14ac:dyDescent="0.3">
      <c r="A5894" t="s">
        <v>5929</v>
      </c>
      <c r="B5894" t="s">
        <v>88</v>
      </c>
      <c r="C5894">
        <v>447000</v>
      </c>
      <c r="D5894">
        <v>2084</v>
      </c>
      <c r="E5894">
        <v>4.6899999999999997E-2</v>
      </c>
      <c r="F5894">
        <v>7.5899999999999995E-2</v>
      </c>
    </row>
    <row r="5895" spans="1:6" x14ac:dyDescent="0.3">
      <c r="A5895" t="s">
        <v>5930</v>
      </c>
      <c r="B5895" t="s">
        <v>50</v>
      </c>
      <c r="C5895">
        <v>437000</v>
      </c>
      <c r="D5895">
        <v>25540.1</v>
      </c>
      <c r="E5895">
        <v>3.2000000000000001E-2</v>
      </c>
      <c r="F5895">
        <v>7.5899999999999995E-2</v>
      </c>
    </row>
    <row r="5896" spans="1:6" x14ac:dyDescent="0.3">
      <c r="A5896" t="s">
        <v>5931</v>
      </c>
      <c r="B5896" t="s">
        <v>88</v>
      </c>
      <c r="C5896">
        <v>402000</v>
      </c>
      <c r="D5896">
        <v>12269.8</v>
      </c>
      <c r="E5896">
        <v>5.0200000000000002E-2</v>
      </c>
      <c r="F5896">
        <v>6.4399999999999999E-2</v>
      </c>
    </row>
    <row r="5897" spans="1:6" x14ac:dyDescent="0.3">
      <c r="A5897" t="s">
        <v>5932</v>
      </c>
      <c r="B5897" t="s">
        <v>88</v>
      </c>
      <c r="C5897">
        <v>457000</v>
      </c>
      <c r="D5897">
        <v>16815.099999999999</v>
      </c>
      <c r="E5897">
        <v>3.8699999999999998E-2</v>
      </c>
      <c r="F5897">
        <v>9.3799999999999994E-2</v>
      </c>
    </row>
    <row r="5898" spans="1:6" x14ac:dyDescent="0.3">
      <c r="A5898" t="s">
        <v>5933</v>
      </c>
      <c r="B5898" t="s">
        <v>50</v>
      </c>
      <c r="C5898">
        <v>467000</v>
      </c>
      <c r="D5898">
        <v>169.7</v>
      </c>
      <c r="E5898">
        <v>2.5000000000000001E-3</v>
      </c>
      <c r="F5898">
        <v>0.26879999999999998</v>
      </c>
    </row>
    <row r="5899" spans="1:6" x14ac:dyDescent="0.3">
      <c r="A5899" t="s">
        <v>5934</v>
      </c>
      <c r="B5899" t="s">
        <v>88</v>
      </c>
      <c r="C5899">
        <v>510000</v>
      </c>
      <c r="D5899">
        <v>5236.1000000000004</v>
      </c>
      <c r="E5899">
        <v>2.7400000000000001E-2</v>
      </c>
      <c r="F5899">
        <v>9.3799999999999994E-2</v>
      </c>
    </row>
    <row r="5900" spans="1:6" x14ac:dyDescent="0.3">
      <c r="A5900" t="s">
        <v>5935</v>
      </c>
      <c r="B5900" t="s">
        <v>214</v>
      </c>
      <c r="C5900">
        <v>387000</v>
      </c>
      <c r="D5900">
        <v>108022.1</v>
      </c>
      <c r="E5900">
        <v>1.9800000000000002E-2</v>
      </c>
      <c r="F5900">
        <v>4.3200000000000002E-2</v>
      </c>
    </row>
    <row r="5901" spans="1:6" x14ac:dyDescent="0.3">
      <c r="A5901" t="s">
        <v>5936</v>
      </c>
      <c r="B5901" t="s">
        <v>62</v>
      </c>
      <c r="C5901">
        <v>370000</v>
      </c>
      <c r="D5901">
        <v>15841.1</v>
      </c>
      <c r="E5901">
        <v>3.3500000000000002E-2</v>
      </c>
      <c r="F5901">
        <v>5.4600000000000003E-2</v>
      </c>
    </row>
    <row r="5902" spans="1:6" x14ac:dyDescent="0.3">
      <c r="A5902" t="s">
        <v>5937</v>
      </c>
      <c r="B5902" t="s">
        <v>92</v>
      </c>
      <c r="C5902">
        <v>694000</v>
      </c>
      <c r="D5902">
        <v>31487.9</v>
      </c>
      <c r="E5902">
        <v>2.3E-2</v>
      </c>
      <c r="F5902">
        <v>4.0899999999999999E-2</v>
      </c>
    </row>
    <row r="5903" spans="1:6" x14ac:dyDescent="0.3">
      <c r="A5903" t="s">
        <v>5938</v>
      </c>
      <c r="B5903" t="s">
        <v>92</v>
      </c>
      <c r="C5903">
        <v>393000</v>
      </c>
      <c r="D5903">
        <v>11860</v>
      </c>
      <c r="E5903">
        <v>2.93E-2</v>
      </c>
      <c r="F5903">
        <v>9.3799999999999994E-2</v>
      </c>
    </row>
    <row r="5904" spans="1:6" x14ac:dyDescent="0.3">
      <c r="A5904" t="s">
        <v>5939</v>
      </c>
      <c r="B5904" t="s">
        <v>71</v>
      </c>
      <c r="C5904">
        <v>573000</v>
      </c>
      <c r="D5904">
        <v>42866.1</v>
      </c>
      <c r="E5904">
        <v>4.4499999999999998E-2</v>
      </c>
      <c r="F5904">
        <v>9.3799999999999994E-2</v>
      </c>
    </row>
    <row r="5905" spans="1:6" x14ac:dyDescent="0.3">
      <c r="A5905" t="s">
        <v>5940</v>
      </c>
      <c r="B5905" t="s">
        <v>41</v>
      </c>
      <c r="C5905">
        <v>369000</v>
      </c>
      <c r="D5905">
        <v>6979.5</v>
      </c>
      <c r="E5905">
        <v>3.6999999999999998E-2</v>
      </c>
      <c r="F5905">
        <v>9.5100000000000004E-2</v>
      </c>
    </row>
    <row r="5906" spans="1:6" x14ac:dyDescent="0.3">
      <c r="A5906" t="s">
        <v>5941</v>
      </c>
      <c r="B5906" t="s">
        <v>88</v>
      </c>
      <c r="C5906">
        <v>368000</v>
      </c>
      <c r="D5906">
        <v>313.39999999999998</v>
      </c>
      <c r="E5906">
        <v>4.3799999999999999E-2</v>
      </c>
      <c r="F5906">
        <v>9.5100000000000004E-2</v>
      </c>
    </row>
    <row r="5907" spans="1:6" x14ac:dyDescent="0.3">
      <c r="A5907" t="s">
        <v>5942</v>
      </c>
      <c r="B5907" t="s">
        <v>26</v>
      </c>
      <c r="C5907">
        <v>541000</v>
      </c>
      <c r="D5907">
        <v>455662.3</v>
      </c>
      <c r="E5907">
        <v>1.9699999999999999E-2</v>
      </c>
      <c r="F5907">
        <v>8.5400000000000004E-2</v>
      </c>
    </row>
    <row r="5908" spans="1:6" x14ac:dyDescent="0.3">
      <c r="A5908" t="s">
        <v>5943</v>
      </c>
      <c r="B5908" t="s">
        <v>26</v>
      </c>
      <c r="C5908">
        <v>2490000</v>
      </c>
      <c r="D5908">
        <v>17840.5</v>
      </c>
      <c r="E5908">
        <v>1.12E-2</v>
      </c>
      <c r="F5908">
        <v>5.8400000000000001E-2</v>
      </c>
    </row>
    <row r="5909" spans="1:6" x14ac:dyDescent="0.3">
      <c r="A5909" t="s">
        <v>5944</v>
      </c>
      <c r="B5909" t="s">
        <v>26</v>
      </c>
      <c r="C5909">
        <v>444000</v>
      </c>
      <c r="D5909">
        <v>99766</v>
      </c>
      <c r="E5909">
        <v>3.4000000000000002E-2</v>
      </c>
      <c r="F5909">
        <v>4.0899999999999999E-2</v>
      </c>
    </row>
    <row r="5910" spans="1:6" x14ac:dyDescent="0.3">
      <c r="A5910" t="s">
        <v>5945</v>
      </c>
      <c r="B5910" t="s">
        <v>24</v>
      </c>
      <c r="C5910">
        <v>408000</v>
      </c>
      <c r="D5910">
        <v>8122.1</v>
      </c>
      <c r="E5910">
        <v>2.92E-2</v>
      </c>
      <c r="F5910">
        <v>7.5899999999999995E-2</v>
      </c>
    </row>
    <row r="5911" spans="1:6" x14ac:dyDescent="0.3">
      <c r="A5911" t="s">
        <v>5946</v>
      </c>
      <c r="B5911" t="s">
        <v>88</v>
      </c>
      <c r="C5911">
        <v>439000</v>
      </c>
      <c r="D5911">
        <v>16834.7</v>
      </c>
      <c r="E5911">
        <v>2.0400000000000001E-2</v>
      </c>
      <c r="F5911">
        <v>0.1067</v>
      </c>
    </row>
    <row r="5912" spans="1:6" x14ac:dyDescent="0.3">
      <c r="A5912" t="s">
        <v>5947</v>
      </c>
      <c r="B5912" t="s">
        <v>81</v>
      </c>
      <c r="C5912">
        <v>564000</v>
      </c>
      <c r="D5912">
        <v>240422.39999999999</v>
      </c>
      <c r="E5912">
        <v>5.8799999999999998E-2</v>
      </c>
      <c r="F5912">
        <v>7.5899999999999995E-2</v>
      </c>
    </row>
    <row r="5913" spans="1:6" x14ac:dyDescent="0.3">
      <c r="A5913" t="s">
        <v>5948</v>
      </c>
      <c r="B5913" t="s">
        <v>41</v>
      </c>
      <c r="C5913">
        <v>561000</v>
      </c>
      <c r="D5913">
        <v>165</v>
      </c>
      <c r="E5913">
        <v>3.3500000000000002E-2</v>
      </c>
      <c r="F5913">
        <v>9.3799999999999994E-2</v>
      </c>
    </row>
    <row r="5914" spans="1:6" x14ac:dyDescent="0.3">
      <c r="A5914" t="s">
        <v>5949</v>
      </c>
      <c r="B5914" t="s">
        <v>26</v>
      </c>
      <c r="C5914">
        <v>383000</v>
      </c>
      <c r="D5914">
        <v>67022.899999999994</v>
      </c>
      <c r="E5914">
        <v>4.0500000000000001E-2</v>
      </c>
      <c r="F5914">
        <v>9.5100000000000004E-2</v>
      </c>
    </row>
    <row r="5915" spans="1:6" x14ac:dyDescent="0.3">
      <c r="A5915" t="s">
        <v>5950</v>
      </c>
      <c r="B5915" t="s">
        <v>26</v>
      </c>
      <c r="C5915">
        <v>546000</v>
      </c>
      <c r="D5915">
        <v>10129.299999999999</v>
      </c>
      <c r="E5915">
        <v>9.2299999999999993E-2</v>
      </c>
      <c r="F5915">
        <v>7.5899999999999995E-2</v>
      </c>
    </row>
    <row r="5916" spans="1:6" x14ac:dyDescent="0.3">
      <c r="A5916" t="s">
        <v>5951</v>
      </c>
      <c r="B5916" t="s">
        <v>88</v>
      </c>
      <c r="C5916">
        <v>432000</v>
      </c>
      <c r="D5916">
        <v>8855.7000000000007</v>
      </c>
      <c r="E5916">
        <v>3.1199999999999999E-2</v>
      </c>
      <c r="F5916">
        <v>9.3799999999999994E-2</v>
      </c>
    </row>
    <row r="5917" spans="1:6" x14ac:dyDescent="0.3">
      <c r="A5917" t="s">
        <v>5952</v>
      </c>
      <c r="B5917" t="s">
        <v>62</v>
      </c>
      <c r="C5917">
        <v>363000</v>
      </c>
      <c r="D5917">
        <v>7359.6</v>
      </c>
      <c r="E5917">
        <v>2.07E-2</v>
      </c>
      <c r="F5917">
        <v>9.5100000000000004E-2</v>
      </c>
    </row>
    <row r="5918" spans="1:6" x14ac:dyDescent="0.3">
      <c r="A5918" t="s">
        <v>5953</v>
      </c>
      <c r="B5918" t="s">
        <v>195</v>
      </c>
      <c r="C5918">
        <v>576000</v>
      </c>
      <c r="D5918">
        <v>475757.5</v>
      </c>
      <c r="E5918">
        <v>4.3999999999999997E-2</v>
      </c>
      <c r="F5918">
        <v>4.0899999999999999E-2</v>
      </c>
    </row>
    <row r="5919" spans="1:6" x14ac:dyDescent="0.3">
      <c r="A5919" t="s">
        <v>5954</v>
      </c>
      <c r="B5919" t="s">
        <v>88</v>
      </c>
      <c r="C5919">
        <v>817000</v>
      </c>
      <c r="D5919">
        <v>24532.7</v>
      </c>
      <c r="E5919">
        <v>4.0300000000000002E-2</v>
      </c>
      <c r="F5919">
        <v>9.3799999999999994E-2</v>
      </c>
    </row>
    <row r="5920" spans="1:6" x14ac:dyDescent="0.3">
      <c r="A5920" t="s">
        <v>5955</v>
      </c>
      <c r="B5920" t="s">
        <v>62</v>
      </c>
      <c r="C5920">
        <v>475000</v>
      </c>
      <c r="D5920">
        <v>1362.2</v>
      </c>
      <c r="E5920">
        <v>4.7399999999999998E-2</v>
      </c>
      <c r="F5920">
        <v>9.3799999999999994E-2</v>
      </c>
    </row>
    <row r="5921" spans="1:6" x14ac:dyDescent="0.3">
      <c r="A5921" t="s">
        <v>5956</v>
      </c>
      <c r="B5921" t="s">
        <v>24</v>
      </c>
      <c r="C5921">
        <v>397000</v>
      </c>
      <c r="D5921">
        <v>406.8</v>
      </c>
      <c r="E5921">
        <v>8.6699999999999999E-2</v>
      </c>
      <c r="F5921">
        <v>9.3799999999999994E-2</v>
      </c>
    </row>
    <row r="5922" spans="1:6" x14ac:dyDescent="0.3">
      <c r="A5922" t="s">
        <v>5957</v>
      </c>
      <c r="B5922" t="s">
        <v>50</v>
      </c>
      <c r="C5922">
        <v>448000</v>
      </c>
      <c r="D5922">
        <v>9633.7999999999993</v>
      </c>
      <c r="E5922">
        <v>9.0499999999999997E-2</v>
      </c>
      <c r="F5922">
        <v>7.5899999999999995E-2</v>
      </c>
    </row>
    <row r="5923" spans="1:6" x14ac:dyDescent="0.3">
      <c r="A5923" t="s">
        <v>5958</v>
      </c>
      <c r="B5923" t="s">
        <v>26</v>
      </c>
      <c r="C5923">
        <v>374000</v>
      </c>
      <c r="D5923">
        <v>85162.7</v>
      </c>
      <c r="E5923">
        <v>1.7100000000000001E-2</v>
      </c>
      <c r="F5923">
        <v>0.13250000000000001</v>
      </c>
    </row>
    <row r="5924" spans="1:6" x14ac:dyDescent="0.3">
      <c r="A5924" t="s">
        <v>5959</v>
      </c>
      <c r="B5924" t="s">
        <v>41</v>
      </c>
      <c r="C5924">
        <v>612000</v>
      </c>
      <c r="D5924">
        <v>7716.6</v>
      </c>
      <c r="E5924">
        <v>1.6299999999999999E-2</v>
      </c>
      <c r="F5924">
        <v>0.1053</v>
      </c>
    </row>
    <row r="5925" spans="1:6" x14ac:dyDescent="0.3">
      <c r="A5925" t="s">
        <v>5960</v>
      </c>
      <c r="B5925" t="s">
        <v>92</v>
      </c>
      <c r="C5925">
        <v>713000</v>
      </c>
      <c r="D5925">
        <v>20168.3</v>
      </c>
      <c r="E5925">
        <v>3.6999999999999998E-2</v>
      </c>
      <c r="F5925">
        <v>9.3799999999999994E-2</v>
      </c>
    </row>
    <row r="5926" spans="1:6" x14ac:dyDescent="0.3">
      <c r="A5926" t="s">
        <v>5961</v>
      </c>
      <c r="B5926" t="s">
        <v>26</v>
      </c>
      <c r="C5926">
        <v>378000</v>
      </c>
      <c r="D5926">
        <v>388291.4</v>
      </c>
      <c r="E5926">
        <v>2.6200000000000001E-2</v>
      </c>
      <c r="F5926">
        <v>9.5100000000000004E-2</v>
      </c>
    </row>
    <row r="5927" spans="1:6" x14ac:dyDescent="0.3">
      <c r="A5927" t="s">
        <v>5962</v>
      </c>
      <c r="B5927" t="s">
        <v>92</v>
      </c>
      <c r="C5927">
        <v>451000</v>
      </c>
      <c r="D5927">
        <v>80631.199999999997</v>
      </c>
      <c r="E5927">
        <v>2.7300000000000001E-2</v>
      </c>
      <c r="F5927">
        <v>4.0899999999999999E-2</v>
      </c>
    </row>
    <row r="5928" spans="1:6" x14ac:dyDescent="0.3">
      <c r="A5928" t="s">
        <v>5963</v>
      </c>
      <c r="B5928" t="s">
        <v>62</v>
      </c>
      <c r="C5928">
        <v>601000</v>
      </c>
      <c r="D5928">
        <v>92926.1</v>
      </c>
      <c r="E5928">
        <v>3.8199999999999998E-2</v>
      </c>
      <c r="F5928">
        <v>5.3800000000000001E-2</v>
      </c>
    </row>
    <row r="5929" spans="1:6" x14ac:dyDescent="0.3">
      <c r="A5929" t="s">
        <v>5964</v>
      </c>
      <c r="B5929" t="s">
        <v>81</v>
      </c>
      <c r="C5929">
        <v>420000</v>
      </c>
      <c r="D5929">
        <v>23781.599999999999</v>
      </c>
      <c r="E5929">
        <v>2.3900000000000001E-2</v>
      </c>
      <c r="F5929">
        <v>4.0899999999999999E-2</v>
      </c>
    </row>
    <row r="5930" spans="1:6" x14ac:dyDescent="0.3">
      <c r="A5930" t="s">
        <v>5965</v>
      </c>
      <c r="B5930" t="s">
        <v>50</v>
      </c>
      <c r="C5930">
        <v>360000</v>
      </c>
      <c r="D5930">
        <v>2481.1</v>
      </c>
      <c r="E5930">
        <v>4.0899999999999999E-2</v>
      </c>
      <c r="F5930">
        <v>5.1799999999999999E-2</v>
      </c>
    </row>
    <row r="5931" spans="1:6" x14ac:dyDescent="0.3">
      <c r="A5931" t="s">
        <v>5966</v>
      </c>
      <c r="B5931" t="s">
        <v>214</v>
      </c>
      <c r="C5931">
        <v>382000</v>
      </c>
      <c r="D5931">
        <v>3528</v>
      </c>
      <c r="E5931">
        <v>6.1000000000000004E-3</v>
      </c>
      <c r="F5931">
        <v>6.54E-2</v>
      </c>
    </row>
    <row r="5932" spans="1:6" x14ac:dyDescent="0.3">
      <c r="A5932" t="s">
        <v>5967</v>
      </c>
      <c r="B5932" t="s">
        <v>53</v>
      </c>
      <c r="C5932">
        <v>392000</v>
      </c>
      <c r="D5932">
        <v>2924.4</v>
      </c>
      <c r="E5932">
        <v>2.4199999999999999E-2</v>
      </c>
      <c r="F5932">
        <v>9.5100000000000004E-2</v>
      </c>
    </row>
    <row r="5933" spans="1:6" x14ac:dyDescent="0.3">
      <c r="A5933" t="s">
        <v>5968</v>
      </c>
      <c r="B5933" t="s">
        <v>92</v>
      </c>
      <c r="C5933">
        <v>410000</v>
      </c>
      <c r="D5933">
        <v>5403.3</v>
      </c>
      <c r="E5933">
        <v>1.6500000000000001E-2</v>
      </c>
      <c r="F5933">
        <v>8.5400000000000004E-2</v>
      </c>
    </row>
    <row r="5934" spans="1:6" x14ac:dyDescent="0.3">
      <c r="A5934" t="s">
        <v>5969</v>
      </c>
      <c r="B5934" t="s">
        <v>74</v>
      </c>
      <c r="C5934">
        <v>434000</v>
      </c>
      <c r="D5934">
        <v>2933</v>
      </c>
      <c r="E5934">
        <v>6.2799999999999995E-2</v>
      </c>
      <c r="F5934">
        <v>7.5899999999999995E-2</v>
      </c>
    </row>
    <row r="5935" spans="1:6" x14ac:dyDescent="0.3">
      <c r="A5935" t="s">
        <v>5970</v>
      </c>
      <c r="B5935" t="s">
        <v>26</v>
      </c>
      <c r="C5935">
        <v>534000</v>
      </c>
      <c r="D5935">
        <v>203114.2</v>
      </c>
      <c r="E5935">
        <v>2.5100000000000001E-2</v>
      </c>
      <c r="F5935">
        <v>5.0999999999999997E-2</v>
      </c>
    </row>
    <row r="5936" spans="1:6" x14ac:dyDescent="0.3">
      <c r="A5936" t="s">
        <v>5971</v>
      </c>
      <c r="B5936" t="s">
        <v>41</v>
      </c>
      <c r="C5936">
        <v>515000</v>
      </c>
      <c r="D5936">
        <v>17664.3</v>
      </c>
      <c r="E5936">
        <v>1.49E-2</v>
      </c>
      <c r="F5936">
        <v>0.13089999999999999</v>
      </c>
    </row>
    <row r="5937" spans="1:6" x14ac:dyDescent="0.3">
      <c r="A5937" t="s">
        <v>5972</v>
      </c>
      <c r="B5937" t="s">
        <v>26</v>
      </c>
      <c r="C5937">
        <v>408000</v>
      </c>
      <c r="D5937">
        <v>15111.9</v>
      </c>
      <c r="E5937">
        <v>0.1022</v>
      </c>
      <c r="F5937">
        <v>7.5899999999999995E-2</v>
      </c>
    </row>
    <row r="5938" spans="1:6" x14ac:dyDescent="0.3">
      <c r="A5938" t="s">
        <v>5973</v>
      </c>
      <c r="B5938" t="s">
        <v>50</v>
      </c>
      <c r="C5938">
        <v>403000</v>
      </c>
      <c r="D5938">
        <v>51735.1</v>
      </c>
      <c r="E5938">
        <v>0.1197</v>
      </c>
      <c r="F5938">
        <v>6.7199999999999996E-2</v>
      </c>
    </row>
    <row r="5939" spans="1:6" x14ac:dyDescent="0.3">
      <c r="A5939" t="s">
        <v>5974</v>
      </c>
      <c r="B5939" t="s">
        <v>41</v>
      </c>
      <c r="C5939">
        <v>388000</v>
      </c>
      <c r="D5939">
        <v>25267.3</v>
      </c>
      <c r="E5939">
        <v>2.5600000000000001E-2</v>
      </c>
      <c r="F5939">
        <v>7.5899999999999995E-2</v>
      </c>
    </row>
    <row r="5940" spans="1:6" x14ac:dyDescent="0.3">
      <c r="A5940" t="s">
        <v>5975</v>
      </c>
      <c r="B5940" t="s">
        <v>26</v>
      </c>
      <c r="C5940">
        <v>724000</v>
      </c>
      <c r="D5940">
        <v>86823.4</v>
      </c>
      <c r="E5940">
        <v>2.47E-2</v>
      </c>
      <c r="F5940">
        <v>7.5899999999999995E-2</v>
      </c>
    </row>
    <row r="5941" spans="1:6" x14ac:dyDescent="0.3">
      <c r="A5941" t="s">
        <v>5976</v>
      </c>
      <c r="B5941" t="s">
        <v>81</v>
      </c>
      <c r="C5941">
        <v>387000</v>
      </c>
      <c r="D5941">
        <v>2129.6999999999998</v>
      </c>
      <c r="E5941">
        <v>1.9599999999999999E-2</v>
      </c>
      <c r="F5941">
        <v>6.7199999999999996E-2</v>
      </c>
    </row>
    <row r="5942" spans="1:6" x14ac:dyDescent="0.3">
      <c r="A5942" t="s">
        <v>5977</v>
      </c>
      <c r="B5942" t="s">
        <v>287</v>
      </c>
      <c r="C5942">
        <v>384000</v>
      </c>
      <c r="D5942">
        <v>52408.2</v>
      </c>
      <c r="E5942">
        <v>3.3000000000000002E-2</v>
      </c>
      <c r="F5942">
        <v>9.5100000000000004E-2</v>
      </c>
    </row>
    <row r="5943" spans="1:6" x14ac:dyDescent="0.3">
      <c r="A5943" t="s">
        <v>5978</v>
      </c>
      <c r="B5943" t="s">
        <v>195</v>
      </c>
      <c r="C5943">
        <v>375000</v>
      </c>
      <c r="D5943">
        <v>3423</v>
      </c>
      <c r="E5943">
        <v>2.1399999999999999E-2</v>
      </c>
      <c r="F5943">
        <v>5.4600000000000003E-2</v>
      </c>
    </row>
    <row r="5944" spans="1:6" x14ac:dyDescent="0.3">
      <c r="A5944" t="s">
        <v>5979</v>
      </c>
      <c r="B5944" t="s">
        <v>71</v>
      </c>
      <c r="C5944">
        <v>404000</v>
      </c>
      <c r="D5944">
        <v>2397.6</v>
      </c>
      <c r="E5944">
        <v>2.7400000000000001E-2</v>
      </c>
      <c r="F5944">
        <v>7.5899999999999995E-2</v>
      </c>
    </row>
    <row r="5945" spans="1:6" x14ac:dyDescent="0.3">
      <c r="A5945" t="s">
        <v>5980</v>
      </c>
      <c r="B5945" t="s">
        <v>24</v>
      </c>
      <c r="C5945">
        <v>471000</v>
      </c>
      <c r="D5945">
        <v>204813.8</v>
      </c>
      <c r="E5945">
        <v>1.8800000000000001E-2</v>
      </c>
      <c r="F5945">
        <v>9.5000000000000001E-2</v>
      </c>
    </row>
    <row r="5946" spans="1:6" x14ac:dyDescent="0.3">
      <c r="A5946" t="s">
        <v>5981</v>
      </c>
      <c r="B5946" t="s">
        <v>21</v>
      </c>
      <c r="C5946">
        <v>1530000</v>
      </c>
      <c r="D5946">
        <v>5286.8</v>
      </c>
      <c r="E5946">
        <v>4.1000000000000003E-3</v>
      </c>
      <c r="F5946">
        <v>0.12620000000000001</v>
      </c>
    </row>
    <row r="5947" spans="1:6" x14ac:dyDescent="0.3">
      <c r="A5947" t="s">
        <v>5982</v>
      </c>
      <c r="B5947" t="s">
        <v>62</v>
      </c>
      <c r="C5947">
        <v>1330000</v>
      </c>
      <c r="D5947">
        <v>58700.5</v>
      </c>
      <c r="E5947">
        <v>1.6E-2</v>
      </c>
      <c r="F5947">
        <v>4.6199999999999998E-2</v>
      </c>
    </row>
    <row r="5948" spans="1:6" x14ac:dyDescent="0.3">
      <c r="A5948" t="s">
        <v>5983</v>
      </c>
      <c r="B5948" t="s">
        <v>62</v>
      </c>
      <c r="C5948">
        <v>691000</v>
      </c>
      <c r="D5948">
        <v>307.8</v>
      </c>
      <c r="E5948">
        <v>0.2243</v>
      </c>
      <c r="F5948">
        <v>7.5899999999999995E-2</v>
      </c>
    </row>
    <row r="5949" spans="1:6" x14ac:dyDescent="0.3">
      <c r="A5949" t="s">
        <v>5984</v>
      </c>
      <c r="B5949" t="s">
        <v>214</v>
      </c>
      <c r="C5949">
        <v>373000</v>
      </c>
      <c r="D5949">
        <v>105953.4</v>
      </c>
      <c r="E5949">
        <v>2.1100000000000001E-2</v>
      </c>
      <c r="F5949">
        <v>5.1799999999999999E-2</v>
      </c>
    </row>
    <row r="5950" spans="1:6" x14ac:dyDescent="0.3">
      <c r="A5950" t="s">
        <v>5985</v>
      </c>
      <c r="B5950" t="s">
        <v>62</v>
      </c>
      <c r="C5950">
        <v>484000</v>
      </c>
      <c r="D5950">
        <v>37233.199999999997</v>
      </c>
      <c r="E5950">
        <v>6.7400000000000002E-2</v>
      </c>
      <c r="F5950">
        <v>4.3200000000000002E-2</v>
      </c>
    </row>
    <row r="5951" spans="1:6" x14ac:dyDescent="0.3">
      <c r="A5951" t="s">
        <v>5986</v>
      </c>
      <c r="B5951" t="s">
        <v>88</v>
      </c>
      <c r="C5951">
        <v>358000</v>
      </c>
      <c r="D5951">
        <v>643.1</v>
      </c>
      <c r="E5951">
        <v>5.3E-3</v>
      </c>
      <c r="F5951">
        <v>8.1100000000000005E-2</v>
      </c>
    </row>
    <row r="5952" spans="1:6" x14ac:dyDescent="0.3">
      <c r="A5952" t="s">
        <v>5987</v>
      </c>
      <c r="B5952" t="s">
        <v>74</v>
      </c>
      <c r="C5952">
        <v>398000</v>
      </c>
      <c r="D5952">
        <v>1774.9</v>
      </c>
      <c r="E5952">
        <v>2.3900000000000001E-2</v>
      </c>
      <c r="F5952">
        <v>9.3799999999999994E-2</v>
      </c>
    </row>
    <row r="5953" spans="1:6" x14ac:dyDescent="0.3">
      <c r="A5953" t="s">
        <v>5988</v>
      </c>
      <c r="B5953" t="s">
        <v>287</v>
      </c>
      <c r="C5953">
        <v>408000</v>
      </c>
      <c r="D5953">
        <v>94222.3</v>
      </c>
      <c r="E5953">
        <v>0.04</v>
      </c>
      <c r="F5953">
        <v>5.4600000000000003E-2</v>
      </c>
    </row>
    <row r="5954" spans="1:6" x14ac:dyDescent="0.3">
      <c r="A5954" t="s">
        <v>5989</v>
      </c>
      <c r="B5954" t="s">
        <v>24</v>
      </c>
      <c r="C5954">
        <v>1070000</v>
      </c>
      <c r="D5954">
        <v>10405.299999999999</v>
      </c>
      <c r="E5954">
        <v>1.8100000000000002E-2</v>
      </c>
      <c r="F5954">
        <v>5.7599999999999998E-2</v>
      </c>
    </row>
    <row r="5955" spans="1:6" x14ac:dyDescent="0.3">
      <c r="A5955" t="s">
        <v>5990</v>
      </c>
      <c r="B5955" t="s">
        <v>88</v>
      </c>
      <c r="C5955">
        <v>496000</v>
      </c>
      <c r="D5955">
        <v>5911.5</v>
      </c>
      <c r="E5955">
        <v>7.4099999999999999E-2</v>
      </c>
      <c r="F5955">
        <v>7.5899999999999995E-2</v>
      </c>
    </row>
    <row r="5956" spans="1:6" x14ac:dyDescent="0.3">
      <c r="A5956" t="s">
        <v>5991</v>
      </c>
      <c r="B5956" t="s">
        <v>88</v>
      </c>
      <c r="C5956">
        <v>421000</v>
      </c>
      <c r="D5956">
        <v>3131</v>
      </c>
      <c r="E5956">
        <v>2.07E-2</v>
      </c>
      <c r="F5956">
        <v>7.5899999999999995E-2</v>
      </c>
    </row>
    <row r="5957" spans="1:6" x14ac:dyDescent="0.3">
      <c r="A5957" t="s">
        <v>5992</v>
      </c>
      <c r="B5957" t="s">
        <v>41</v>
      </c>
      <c r="C5957">
        <v>558000</v>
      </c>
      <c r="D5957">
        <v>9992.6</v>
      </c>
      <c r="E5957">
        <v>5.3100000000000001E-2</v>
      </c>
      <c r="F5957">
        <v>5.0999999999999997E-2</v>
      </c>
    </row>
    <row r="5958" spans="1:6" x14ac:dyDescent="0.3">
      <c r="A5958" t="s">
        <v>5993</v>
      </c>
      <c r="B5958" t="s">
        <v>41</v>
      </c>
      <c r="C5958">
        <v>364000</v>
      </c>
      <c r="D5958">
        <v>492.7</v>
      </c>
      <c r="E5958">
        <v>1.2999999999999999E-2</v>
      </c>
      <c r="F5958">
        <v>0.1135</v>
      </c>
    </row>
    <row r="5959" spans="1:6" x14ac:dyDescent="0.3">
      <c r="A5959" t="s">
        <v>5994</v>
      </c>
      <c r="B5959" t="s">
        <v>26</v>
      </c>
      <c r="C5959">
        <v>655000</v>
      </c>
      <c r="D5959">
        <v>396873.8</v>
      </c>
      <c r="E5959">
        <v>2.5000000000000001E-2</v>
      </c>
      <c r="F5959">
        <v>7.5899999999999995E-2</v>
      </c>
    </row>
    <row r="5960" spans="1:6" x14ac:dyDescent="0.3">
      <c r="A5960" t="s">
        <v>5995</v>
      </c>
      <c r="B5960" t="s">
        <v>214</v>
      </c>
      <c r="C5960">
        <v>564000</v>
      </c>
      <c r="D5960">
        <v>13602.8</v>
      </c>
      <c r="E5960">
        <v>1.43E-2</v>
      </c>
      <c r="F5960">
        <v>0.1168</v>
      </c>
    </row>
    <row r="5961" spans="1:6" x14ac:dyDescent="0.3">
      <c r="A5961" t="s">
        <v>5996</v>
      </c>
      <c r="B5961" t="s">
        <v>26</v>
      </c>
      <c r="C5961">
        <v>1470000</v>
      </c>
      <c r="D5961">
        <v>1858541.6</v>
      </c>
      <c r="E5961">
        <v>1.6500000000000001E-2</v>
      </c>
      <c r="F5961">
        <v>4.6199999999999998E-2</v>
      </c>
    </row>
    <row r="5962" spans="1:6" x14ac:dyDescent="0.3">
      <c r="A5962" t="s">
        <v>5997</v>
      </c>
      <c r="B5962" t="s">
        <v>26</v>
      </c>
      <c r="C5962">
        <v>363000</v>
      </c>
      <c r="D5962">
        <v>807.5</v>
      </c>
      <c r="E5962">
        <v>2.8899999999999999E-2</v>
      </c>
      <c r="F5962">
        <v>0.13250000000000001</v>
      </c>
    </row>
    <row r="5963" spans="1:6" x14ac:dyDescent="0.3">
      <c r="A5963" t="s">
        <v>5998</v>
      </c>
      <c r="B5963" t="s">
        <v>88</v>
      </c>
      <c r="C5963">
        <v>388000</v>
      </c>
      <c r="D5963">
        <v>5712.9</v>
      </c>
      <c r="E5963">
        <v>3.4000000000000002E-2</v>
      </c>
      <c r="F5963">
        <v>9.5100000000000004E-2</v>
      </c>
    </row>
    <row r="5964" spans="1:6" x14ac:dyDescent="0.3">
      <c r="A5964" t="s">
        <v>5999</v>
      </c>
      <c r="B5964" t="s">
        <v>92</v>
      </c>
      <c r="C5964">
        <v>365000</v>
      </c>
      <c r="D5964">
        <v>1615.4</v>
      </c>
      <c r="E5964">
        <v>6.0000000000000001E-3</v>
      </c>
      <c r="F5964">
        <v>6.54E-2</v>
      </c>
    </row>
    <row r="5965" spans="1:6" x14ac:dyDescent="0.3">
      <c r="A5965" t="s">
        <v>6000</v>
      </c>
      <c r="B5965" t="s">
        <v>62</v>
      </c>
      <c r="C5965">
        <v>425000</v>
      </c>
      <c r="D5965">
        <v>8201.7000000000007</v>
      </c>
      <c r="E5965">
        <v>5.8500000000000003E-2</v>
      </c>
      <c r="F5965">
        <v>7.5899999999999995E-2</v>
      </c>
    </row>
    <row r="5966" spans="1:6" x14ac:dyDescent="0.3">
      <c r="A5966" t="s">
        <v>6001</v>
      </c>
      <c r="B5966" t="s">
        <v>287</v>
      </c>
      <c r="C5966">
        <v>537000</v>
      </c>
      <c r="D5966">
        <v>103480.8</v>
      </c>
      <c r="E5966">
        <v>1.5800000000000002E-2</v>
      </c>
      <c r="F5966">
        <v>0.16039999999999999</v>
      </c>
    </row>
    <row r="5967" spans="1:6" x14ac:dyDescent="0.3">
      <c r="A5967" t="s">
        <v>6002</v>
      </c>
      <c r="B5967" t="s">
        <v>26</v>
      </c>
      <c r="C5967">
        <v>2610000</v>
      </c>
      <c r="D5967">
        <v>39443.800000000003</v>
      </c>
      <c r="E5967">
        <v>2.0899999999999998E-2</v>
      </c>
      <c r="F5967">
        <v>5.0999999999999997E-2</v>
      </c>
    </row>
    <row r="5968" spans="1:6" x14ac:dyDescent="0.3">
      <c r="A5968" t="s">
        <v>6003</v>
      </c>
      <c r="B5968" t="s">
        <v>50</v>
      </c>
      <c r="C5968">
        <v>438000</v>
      </c>
      <c r="D5968">
        <v>16129.8</v>
      </c>
      <c r="E5968">
        <v>8.2000000000000003E-2</v>
      </c>
      <c r="F5968">
        <v>9.3799999999999994E-2</v>
      </c>
    </row>
    <row r="5969" spans="1:6" x14ac:dyDescent="0.3">
      <c r="A5969" t="s">
        <v>6004</v>
      </c>
      <c r="B5969" t="s">
        <v>21</v>
      </c>
      <c r="C5969">
        <v>440000</v>
      </c>
      <c r="D5969">
        <v>2137.3000000000002</v>
      </c>
      <c r="E5969">
        <v>2.2599999999999999E-2</v>
      </c>
      <c r="F5969">
        <v>4.0899999999999999E-2</v>
      </c>
    </row>
    <row r="5970" spans="1:6" x14ac:dyDescent="0.3">
      <c r="A5970" t="s">
        <v>6005</v>
      </c>
      <c r="B5970" t="s">
        <v>74</v>
      </c>
      <c r="C5970">
        <v>354000</v>
      </c>
      <c r="D5970">
        <v>80678.399999999994</v>
      </c>
      <c r="E5970">
        <v>4.0300000000000002E-2</v>
      </c>
      <c r="F5970">
        <v>9.5100000000000004E-2</v>
      </c>
    </row>
    <row r="5971" spans="1:6" x14ac:dyDescent="0.3">
      <c r="A5971" t="s">
        <v>6006</v>
      </c>
      <c r="B5971" t="s">
        <v>24</v>
      </c>
      <c r="C5971">
        <v>369000</v>
      </c>
      <c r="D5971">
        <v>931</v>
      </c>
      <c r="E5971">
        <v>6.1999999999999998E-3</v>
      </c>
      <c r="F5971">
        <v>8.2199999999999995E-2</v>
      </c>
    </row>
    <row r="5972" spans="1:6" x14ac:dyDescent="0.3">
      <c r="A5972" t="s">
        <v>6007</v>
      </c>
      <c r="B5972" t="s">
        <v>26</v>
      </c>
      <c r="C5972">
        <v>357000</v>
      </c>
      <c r="D5972">
        <v>33282.9</v>
      </c>
      <c r="E5972">
        <v>4.3700000000000003E-2</v>
      </c>
      <c r="F5972">
        <v>9.5100000000000004E-2</v>
      </c>
    </row>
    <row r="5973" spans="1:6" x14ac:dyDescent="0.3">
      <c r="A5973" t="s">
        <v>6008</v>
      </c>
      <c r="B5973" t="s">
        <v>88</v>
      </c>
      <c r="C5973">
        <v>352000</v>
      </c>
      <c r="D5973">
        <v>2931.2</v>
      </c>
      <c r="E5973">
        <v>2.8400000000000002E-2</v>
      </c>
      <c r="F5973">
        <v>6.7900000000000002E-2</v>
      </c>
    </row>
    <row r="5974" spans="1:6" x14ac:dyDescent="0.3">
      <c r="A5974" t="s">
        <v>6009</v>
      </c>
      <c r="B5974" t="s">
        <v>24</v>
      </c>
      <c r="C5974">
        <v>746000</v>
      </c>
      <c r="D5974">
        <v>267587.5</v>
      </c>
      <c r="E5974">
        <v>3.5000000000000001E-3</v>
      </c>
      <c r="F5974">
        <v>6.54E-2</v>
      </c>
    </row>
    <row r="5975" spans="1:6" x14ac:dyDescent="0.3">
      <c r="A5975" t="s">
        <v>6010</v>
      </c>
      <c r="B5975" t="s">
        <v>62</v>
      </c>
      <c r="C5975">
        <v>387000</v>
      </c>
      <c r="D5975">
        <v>1891.6</v>
      </c>
      <c r="E5975">
        <v>1.2500000000000001E-2</v>
      </c>
      <c r="F5975">
        <v>8.2100000000000006E-2</v>
      </c>
    </row>
    <row r="5976" spans="1:6" x14ac:dyDescent="0.3">
      <c r="A5976" t="s">
        <v>6011</v>
      </c>
      <c r="B5976" t="s">
        <v>41</v>
      </c>
      <c r="C5976">
        <v>690000</v>
      </c>
      <c r="D5976">
        <v>323</v>
      </c>
      <c r="E5976">
        <v>2.3599999999999999E-2</v>
      </c>
      <c r="F5976">
        <v>9.3799999999999994E-2</v>
      </c>
    </row>
    <row r="5977" spans="1:6" x14ac:dyDescent="0.3">
      <c r="A5977" t="s">
        <v>6012</v>
      </c>
      <c r="B5977" t="s">
        <v>53</v>
      </c>
      <c r="C5977">
        <v>435000</v>
      </c>
      <c r="D5977">
        <v>31802.400000000001</v>
      </c>
      <c r="E5977">
        <v>6.0000000000000001E-3</v>
      </c>
      <c r="F5977">
        <v>0.1187</v>
      </c>
    </row>
    <row r="5978" spans="1:6" x14ac:dyDescent="0.3">
      <c r="A5978" t="s">
        <v>6013</v>
      </c>
      <c r="B5978" t="s">
        <v>74</v>
      </c>
      <c r="C5978">
        <v>396000</v>
      </c>
      <c r="D5978">
        <v>6920.1</v>
      </c>
      <c r="E5978">
        <v>1.18E-2</v>
      </c>
      <c r="F5978">
        <v>7.2599999999999998E-2</v>
      </c>
    </row>
    <row r="5979" spans="1:6" x14ac:dyDescent="0.3">
      <c r="A5979" t="s">
        <v>6014</v>
      </c>
      <c r="B5979" t="s">
        <v>88</v>
      </c>
      <c r="C5979">
        <v>158000</v>
      </c>
      <c r="D5979">
        <v>4134.1000000000004</v>
      </c>
      <c r="E5979">
        <v>4.1300000000000003E-2</v>
      </c>
      <c r="F5979">
        <v>7.5899999999999995E-2</v>
      </c>
    </row>
    <row r="5980" spans="1:6" x14ac:dyDescent="0.3">
      <c r="A5980" t="s">
        <v>6015</v>
      </c>
      <c r="B5980" t="s">
        <v>92</v>
      </c>
      <c r="C5980">
        <v>381000</v>
      </c>
      <c r="D5980">
        <v>446525.1</v>
      </c>
      <c r="E5980">
        <v>2.1299999999999999E-2</v>
      </c>
      <c r="F5980">
        <v>4.0899999999999999E-2</v>
      </c>
    </row>
    <row r="5981" spans="1:6" x14ac:dyDescent="0.3">
      <c r="A5981" t="s">
        <v>6016</v>
      </c>
      <c r="B5981" t="s">
        <v>88</v>
      </c>
      <c r="C5981">
        <v>388000</v>
      </c>
      <c r="D5981">
        <v>325.2</v>
      </c>
      <c r="E5981">
        <v>2.5100000000000001E-2</v>
      </c>
      <c r="F5981">
        <v>9.3799999999999994E-2</v>
      </c>
    </row>
    <row r="5982" spans="1:6" x14ac:dyDescent="0.3">
      <c r="A5982" t="s">
        <v>6017</v>
      </c>
      <c r="B5982" t="s">
        <v>41</v>
      </c>
      <c r="C5982">
        <v>400000</v>
      </c>
      <c r="D5982">
        <v>30663.3</v>
      </c>
      <c r="E5982">
        <v>8.4400000000000003E-2</v>
      </c>
      <c r="F5982">
        <v>9.3799999999999994E-2</v>
      </c>
    </row>
    <row r="5983" spans="1:6" x14ac:dyDescent="0.3">
      <c r="A5983" t="s">
        <v>6018</v>
      </c>
      <c r="B5983" t="s">
        <v>214</v>
      </c>
      <c r="C5983">
        <v>708000</v>
      </c>
      <c r="D5983">
        <v>6123</v>
      </c>
      <c r="E5983">
        <v>6.6400000000000001E-2</v>
      </c>
      <c r="F5983">
        <v>4.0899999999999999E-2</v>
      </c>
    </row>
    <row r="5984" spans="1:6" x14ac:dyDescent="0.3">
      <c r="A5984" t="s">
        <v>6019</v>
      </c>
      <c r="B5984" t="s">
        <v>41</v>
      </c>
      <c r="C5984">
        <v>530000</v>
      </c>
      <c r="D5984">
        <v>594.29999999999995</v>
      </c>
      <c r="E5984">
        <v>2.2800000000000001E-2</v>
      </c>
      <c r="F5984">
        <v>7.5899999999999995E-2</v>
      </c>
    </row>
    <row r="5985" spans="1:6" x14ac:dyDescent="0.3">
      <c r="A5985" t="s">
        <v>6020</v>
      </c>
      <c r="B5985" t="s">
        <v>88</v>
      </c>
      <c r="C5985">
        <v>418000</v>
      </c>
      <c r="D5985">
        <v>450.3</v>
      </c>
      <c r="E5985">
        <v>5.7000000000000002E-3</v>
      </c>
      <c r="F5985">
        <v>0.1113</v>
      </c>
    </row>
    <row r="5986" spans="1:6" x14ac:dyDescent="0.3">
      <c r="A5986" t="s">
        <v>6021</v>
      </c>
      <c r="B5986" t="s">
        <v>214</v>
      </c>
      <c r="C5986">
        <v>408000</v>
      </c>
      <c r="D5986">
        <v>100639.4</v>
      </c>
      <c r="E5986">
        <v>4.1599999999999998E-2</v>
      </c>
      <c r="F5986">
        <v>9.5100000000000004E-2</v>
      </c>
    </row>
    <row r="5987" spans="1:6" x14ac:dyDescent="0.3">
      <c r="A5987" t="s">
        <v>6022</v>
      </c>
      <c r="B5987" t="s">
        <v>24</v>
      </c>
      <c r="C5987">
        <v>442000</v>
      </c>
      <c r="D5987">
        <v>1122209.3</v>
      </c>
      <c r="E5987">
        <v>3.4000000000000002E-2</v>
      </c>
      <c r="F5987">
        <v>9.5100000000000004E-2</v>
      </c>
    </row>
    <row r="5988" spans="1:6" x14ac:dyDescent="0.3">
      <c r="A5988" t="s">
        <v>6023</v>
      </c>
      <c r="B5988" t="s">
        <v>81</v>
      </c>
      <c r="C5988">
        <v>419000</v>
      </c>
      <c r="D5988">
        <v>819.9</v>
      </c>
      <c r="E5988">
        <v>2.0400000000000001E-2</v>
      </c>
      <c r="F5988">
        <v>5.8400000000000001E-2</v>
      </c>
    </row>
    <row r="5989" spans="1:6" x14ac:dyDescent="0.3">
      <c r="A5989" t="s">
        <v>6024</v>
      </c>
      <c r="B5989" t="s">
        <v>88</v>
      </c>
      <c r="C5989">
        <v>364000</v>
      </c>
      <c r="D5989">
        <v>748.1</v>
      </c>
      <c r="E5989">
        <v>2.01E-2</v>
      </c>
      <c r="F5989">
        <v>9.5100000000000004E-2</v>
      </c>
    </row>
    <row r="5990" spans="1:6" x14ac:dyDescent="0.3">
      <c r="A5990" t="s">
        <v>6025</v>
      </c>
      <c r="B5990" t="s">
        <v>74</v>
      </c>
      <c r="C5990">
        <v>384000</v>
      </c>
      <c r="D5990">
        <v>2097.9</v>
      </c>
      <c r="E5990">
        <v>6.0400000000000002E-2</v>
      </c>
      <c r="F5990">
        <v>4.0899999999999999E-2</v>
      </c>
    </row>
    <row r="5991" spans="1:6" x14ac:dyDescent="0.3">
      <c r="A5991" t="s">
        <v>6026</v>
      </c>
      <c r="B5991" t="s">
        <v>88</v>
      </c>
      <c r="C5991">
        <v>358000</v>
      </c>
      <c r="D5991">
        <v>2848.1</v>
      </c>
      <c r="E5991">
        <v>5.6500000000000002E-2</v>
      </c>
      <c r="F5991">
        <v>9.5100000000000004E-2</v>
      </c>
    </row>
    <row r="5992" spans="1:6" x14ac:dyDescent="0.3">
      <c r="A5992" t="s">
        <v>6027</v>
      </c>
      <c r="B5992" t="s">
        <v>26</v>
      </c>
      <c r="C5992">
        <v>383000</v>
      </c>
      <c r="D5992">
        <v>4149.3999999999996</v>
      </c>
      <c r="E5992">
        <v>4.2200000000000001E-2</v>
      </c>
      <c r="F5992">
        <v>7.5899999999999995E-2</v>
      </c>
    </row>
    <row r="5993" spans="1:6" x14ac:dyDescent="0.3">
      <c r="A5993" t="s">
        <v>6028</v>
      </c>
      <c r="B5993" t="s">
        <v>74</v>
      </c>
      <c r="C5993">
        <v>376000</v>
      </c>
      <c r="D5993">
        <v>592</v>
      </c>
      <c r="E5993">
        <v>0.2908</v>
      </c>
      <c r="F5993">
        <v>0.625</v>
      </c>
    </row>
    <row r="5994" spans="1:6" x14ac:dyDescent="0.3">
      <c r="A5994" t="s">
        <v>6029</v>
      </c>
      <c r="B5994" t="s">
        <v>88</v>
      </c>
      <c r="C5994">
        <v>371000</v>
      </c>
      <c r="D5994">
        <v>11578.4</v>
      </c>
      <c r="E5994">
        <v>2.7099999999999999E-2</v>
      </c>
      <c r="F5994">
        <v>0.11700000000000001</v>
      </c>
    </row>
    <row r="5995" spans="1:6" x14ac:dyDescent="0.3">
      <c r="A5995" t="s">
        <v>6030</v>
      </c>
      <c r="B5995" t="s">
        <v>26</v>
      </c>
      <c r="C5995">
        <v>487000</v>
      </c>
      <c r="D5995">
        <v>1278365.6000000001</v>
      </c>
      <c r="E5995">
        <v>1.18E-2</v>
      </c>
      <c r="F5995">
        <v>7.3599999999999999E-2</v>
      </c>
    </row>
    <row r="5996" spans="1:6" x14ac:dyDescent="0.3">
      <c r="A5996" t="s">
        <v>6031</v>
      </c>
      <c r="B5996" t="s">
        <v>88</v>
      </c>
      <c r="C5996">
        <v>421000</v>
      </c>
      <c r="D5996">
        <v>1444.4</v>
      </c>
      <c r="E5996">
        <v>4.1799999999999997E-2</v>
      </c>
      <c r="F5996">
        <v>9.3799999999999994E-2</v>
      </c>
    </row>
    <row r="5997" spans="1:6" x14ac:dyDescent="0.3">
      <c r="A5997" t="s">
        <v>6032</v>
      </c>
      <c r="B5997" t="s">
        <v>26</v>
      </c>
      <c r="C5997">
        <v>464000</v>
      </c>
      <c r="D5997">
        <v>4014.5</v>
      </c>
      <c r="E5997">
        <v>2.6100000000000002E-2</v>
      </c>
      <c r="F5997">
        <v>7.2499999999999995E-2</v>
      </c>
    </row>
    <row r="5998" spans="1:6" x14ac:dyDescent="0.3">
      <c r="A5998" t="s">
        <v>6033</v>
      </c>
      <c r="B5998" t="s">
        <v>26</v>
      </c>
      <c r="C5998">
        <v>598000</v>
      </c>
      <c r="D5998">
        <v>151026.9</v>
      </c>
      <c r="E5998">
        <v>3.4500000000000003E-2</v>
      </c>
      <c r="F5998">
        <v>5.0999999999999997E-2</v>
      </c>
    </row>
    <row r="5999" spans="1:6" x14ac:dyDescent="0.3">
      <c r="A5999" t="s">
        <v>6034</v>
      </c>
      <c r="B5999" t="s">
        <v>26</v>
      </c>
      <c r="C5999">
        <v>384000</v>
      </c>
      <c r="D5999">
        <v>21658.7</v>
      </c>
      <c r="E5999">
        <v>3.15E-2</v>
      </c>
      <c r="F5999">
        <v>0.12429999999999999</v>
      </c>
    </row>
    <row r="6000" spans="1:6" x14ac:dyDescent="0.3">
      <c r="A6000" t="s">
        <v>6035</v>
      </c>
      <c r="B6000" t="s">
        <v>53</v>
      </c>
      <c r="C6000">
        <v>414000</v>
      </c>
      <c r="D6000">
        <v>573921.30000000005</v>
      </c>
      <c r="E6000">
        <v>7.7299999999999994E-2</v>
      </c>
      <c r="F6000">
        <v>5.1799999999999999E-2</v>
      </c>
    </row>
    <row r="6001" spans="1:6" x14ac:dyDescent="0.3">
      <c r="A6001" t="s">
        <v>6036</v>
      </c>
      <c r="B6001" t="s">
        <v>88</v>
      </c>
      <c r="C6001">
        <v>365000</v>
      </c>
      <c r="D6001">
        <v>2786.4</v>
      </c>
      <c r="E6001">
        <v>2.7799999999999998E-2</v>
      </c>
      <c r="F6001">
        <v>7.5899999999999995E-2</v>
      </c>
    </row>
    <row r="6002" spans="1:6" x14ac:dyDescent="0.3">
      <c r="A6002" t="s">
        <v>6037</v>
      </c>
      <c r="B6002" t="s">
        <v>74</v>
      </c>
      <c r="C6002">
        <v>470000</v>
      </c>
      <c r="D6002">
        <v>872.5</v>
      </c>
      <c r="E6002">
        <v>1.32E-2</v>
      </c>
      <c r="F6002">
        <v>4.6199999999999998E-2</v>
      </c>
    </row>
    <row r="6003" spans="1:6" x14ac:dyDescent="0.3">
      <c r="A6003" t="s">
        <v>6038</v>
      </c>
      <c r="B6003" t="s">
        <v>287</v>
      </c>
      <c r="C6003">
        <v>470000</v>
      </c>
      <c r="D6003">
        <v>1643165.4</v>
      </c>
      <c r="F6003">
        <v>5.1799999999999999E-2</v>
      </c>
    </row>
    <row r="6004" spans="1:6" x14ac:dyDescent="0.3">
      <c r="A6004" t="s">
        <v>6039</v>
      </c>
      <c r="B6004" t="s">
        <v>21</v>
      </c>
      <c r="C6004">
        <v>367000</v>
      </c>
      <c r="D6004">
        <v>31183.5</v>
      </c>
      <c r="E6004">
        <v>2.9700000000000001E-2</v>
      </c>
      <c r="F6004">
        <v>9.5100000000000004E-2</v>
      </c>
    </row>
    <row r="6005" spans="1:6" x14ac:dyDescent="0.3">
      <c r="A6005" t="s">
        <v>6040</v>
      </c>
      <c r="B6005" t="s">
        <v>26</v>
      </c>
      <c r="C6005">
        <v>374000</v>
      </c>
      <c r="D6005">
        <v>17891.5</v>
      </c>
      <c r="E6005">
        <v>1.5299999999999999E-2</v>
      </c>
      <c r="F6005">
        <v>4.6199999999999998E-2</v>
      </c>
    </row>
    <row r="6006" spans="1:6" x14ac:dyDescent="0.3">
      <c r="A6006" t="s">
        <v>6041</v>
      </c>
      <c r="B6006" t="s">
        <v>214</v>
      </c>
      <c r="C6006">
        <v>719000</v>
      </c>
      <c r="D6006">
        <v>559376.80000000005</v>
      </c>
      <c r="E6006">
        <v>1.6199999999999999E-2</v>
      </c>
      <c r="F6006">
        <v>4.6199999999999998E-2</v>
      </c>
    </row>
    <row r="6007" spans="1:6" x14ac:dyDescent="0.3">
      <c r="A6007" t="s">
        <v>6042</v>
      </c>
      <c r="B6007" t="s">
        <v>214</v>
      </c>
      <c r="C6007">
        <v>361000</v>
      </c>
      <c r="D6007">
        <v>281317.2</v>
      </c>
      <c r="E6007">
        <v>1.6899999999999998E-2</v>
      </c>
      <c r="F6007">
        <v>5.8500000000000003E-2</v>
      </c>
    </row>
    <row r="6008" spans="1:6" x14ac:dyDescent="0.3">
      <c r="A6008" t="s">
        <v>6043</v>
      </c>
      <c r="B6008" t="s">
        <v>24</v>
      </c>
      <c r="C6008">
        <v>360000</v>
      </c>
      <c r="D6008">
        <v>6270</v>
      </c>
      <c r="E6008">
        <v>5.0700000000000002E-2</v>
      </c>
      <c r="F6008">
        <v>0.11840000000000001</v>
      </c>
    </row>
    <row r="6009" spans="1:6" x14ac:dyDescent="0.3">
      <c r="A6009" t="s">
        <v>6044</v>
      </c>
      <c r="B6009" t="s">
        <v>88</v>
      </c>
      <c r="C6009">
        <v>437000</v>
      </c>
      <c r="D6009">
        <v>204.6</v>
      </c>
      <c r="E6009">
        <v>8.9700000000000002E-2</v>
      </c>
      <c r="F6009">
        <v>0.15160000000000001</v>
      </c>
    </row>
    <row r="6010" spans="1:6" x14ac:dyDescent="0.3">
      <c r="A6010" t="s">
        <v>6045</v>
      </c>
      <c r="B6010" t="s">
        <v>88</v>
      </c>
      <c r="C6010">
        <v>850000</v>
      </c>
      <c r="D6010">
        <v>43095.4</v>
      </c>
      <c r="E6010">
        <v>4.3700000000000003E-2</v>
      </c>
      <c r="F6010">
        <v>7.5899999999999995E-2</v>
      </c>
    </row>
    <row r="6011" spans="1:6" x14ac:dyDescent="0.3">
      <c r="A6011" t="s">
        <v>6046</v>
      </c>
      <c r="B6011" t="s">
        <v>88</v>
      </c>
      <c r="C6011">
        <v>374000</v>
      </c>
      <c r="D6011">
        <v>3581.9</v>
      </c>
      <c r="F6011">
        <v>9.3799999999999994E-2</v>
      </c>
    </row>
    <row r="6012" spans="1:6" x14ac:dyDescent="0.3">
      <c r="A6012" t="s">
        <v>6047</v>
      </c>
      <c r="B6012" t="s">
        <v>26</v>
      </c>
      <c r="C6012">
        <v>379000</v>
      </c>
      <c r="D6012">
        <v>9575.4</v>
      </c>
      <c r="E6012">
        <v>4.8599999999999997E-2</v>
      </c>
      <c r="F6012">
        <v>9.5100000000000004E-2</v>
      </c>
    </row>
    <row r="6013" spans="1:6" x14ac:dyDescent="0.3">
      <c r="A6013" t="s">
        <v>6048</v>
      </c>
      <c r="B6013" t="s">
        <v>287</v>
      </c>
      <c r="C6013">
        <v>562000</v>
      </c>
      <c r="D6013">
        <v>20986.9</v>
      </c>
      <c r="E6013">
        <v>2.6800000000000001E-2</v>
      </c>
      <c r="F6013">
        <v>4.0899999999999999E-2</v>
      </c>
    </row>
    <row r="6014" spans="1:6" x14ac:dyDescent="0.3">
      <c r="A6014" t="s">
        <v>6049</v>
      </c>
      <c r="B6014" t="s">
        <v>81</v>
      </c>
      <c r="C6014">
        <v>520000</v>
      </c>
      <c r="D6014">
        <v>45577.8</v>
      </c>
      <c r="E6014">
        <v>2.1000000000000001E-2</v>
      </c>
      <c r="F6014">
        <v>8.3299999999999999E-2</v>
      </c>
    </row>
    <row r="6015" spans="1:6" x14ac:dyDescent="0.3">
      <c r="A6015" t="s">
        <v>6050</v>
      </c>
      <c r="B6015" t="s">
        <v>92</v>
      </c>
      <c r="C6015">
        <v>659000</v>
      </c>
      <c r="D6015">
        <v>37511.4</v>
      </c>
      <c r="E6015">
        <v>1.4800000000000001E-2</v>
      </c>
      <c r="F6015">
        <v>5.7599999999999998E-2</v>
      </c>
    </row>
    <row r="6016" spans="1:6" x14ac:dyDescent="0.3">
      <c r="A6016" t="s">
        <v>6051</v>
      </c>
      <c r="B6016" t="s">
        <v>26</v>
      </c>
      <c r="C6016">
        <v>516000</v>
      </c>
      <c r="D6016">
        <v>24727.5</v>
      </c>
      <c r="E6016">
        <v>5.3900000000000003E-2</v>
      </c>
      <c r="F6016">
        <v>4.0899999999999999E-2</v>
      </c>
    </row>
    <row r="6017" spans="1:6" x14ac:dyDescent="0.3">
      <c r="A6017" t="s">
        <v>6052</v>
      </c>
      <c r="B6017" t="s">
        <v>26</v>
      </c>
      <c r="C6017">
        <v>387000</v>
      </c>
      <c r="D6017">
        <v>1502.4</v>
      </c>
      <c r="E6017">
        <v>2.1499999999999998E-2</v>
      </c>
      <c r="F6017">
        <v>9.5100000000000004E-2</v>
      </c>
    </row>
    <row r="6018" spans="1:6" x14ac:dyDescent="0.3">
      <c r="A6018" t="s">
        <v>6053</v>
      </c>
      <c r="B6018" t="s">
        <v>26</v>
      </c>
      <c r="C6018">
        <v>452000</v>
      </c>
      <c r="D6018">
        <v>6554.1</v>
      </c>
      <c r="E6018">
        <v>6.0400000000000002E-2</v>
      </c>
      <c r="F6018">
        <v>7.5899999999999995E-2</v>
      </c>
    </row>
    <row r="6019" spans="1:6" x14ac:dyDescent="0.3">
      <c r="A6019" t="s">
        <v>6054</v>
      </c>
      <c r="B6019" t="s">
        <v>88</v>
      </c>
      <c r="C6019">
        <v>600000</v>
      </c>
      <c r="D6019">
        <v>29429.9</v>
      </c>
      <c r="E6019">
        <v>3.6299999999999999E-2</v>
      </c>
      <c r="F6019">
        <v>4.0899999999999999E-2</v>
      </c>
    </row>
    <row r="6020" spans="1:6" x14ac:dyDescent="0.3">
      <c r="A6020" t="s">
        <v>6055</v>
      </c>
      <c r="B6020" t="s">
        <v>24</v>
      </c>
      <c r="C6020">
        <v>618000</v>
      </c>
      <c r="D6020">
        <v>18492.7</v>
      </c>
      <c r="E6020">
        <v>2.7699999999999999E-2</v>
      </c>
      <c r="F6020">
        <v>9.3799999999999994E-2</v>
      </c>
    </row>
    <row r="6021" spans="1:6" x14ac:dyDescent="0.3">
      <c r="A6021" t="s">
        <v>6056</v>
      </c>
      <c r="B6021" t="s">
        <v>88</v>
      </c>
      <c r="C6021">
        <v>521000</v>
      </c>
      <c r="D6021">
        <v>3865.8</v>
      </c>
      <c r="E6021">
        <v>4.36E-2</v>
      </c>
      <c r="F6021">
        <v>9.5100000000000004E-2</v>
      </c>
    </row>
    <row r="6022" spans="1:6" x14ac:dyDescent="0.3">
      <c r="A6022" t="s">
        <v>6057</v>
      </c>
      <c r="B6022" t="s">
        <v>195</v>
      </c>
      <c r="C6022">
        <v>376000</v>
      </c>
      <c r="D6022">
        <v>552237.19999999995</v>
      </c>
      <c r="E6022">
        <v>2.9700000000000001E-2</v>
      </c>
      <c r="F6022">
        <v>5.1799999999999999E-2</v>
      </c>
    </row>
    <row r="6023" spans="1:6" x14ac:dyDescent="0.3">
      <c r="A6023" t="s">
        <v>6058</v>
      </c>
      <c r="B6023" t="s">
        <v>88</v>
      </c>
      <c r="C6023">
        <v>385000</v>
      </c>
      <c r="D6023">
        <v>2268.9</v>
      </c>
      <c r="E6023">
        <v>2.4199999999999999E-2</v>
      </c>
      <c r="F6023">
        <v>9.5100000000000004E-2</v>
      </c>
    </row>
    <row r="6024" spans="1:6" x14ac:dyDescent="0.3">
      <c r="A6024" t="s">
        <v>6059</v>
      </c>
      <c r="B6024" t="s">
        <v>26</v>
      </c>
      <c r="C6024">
        <v>502000</v>
      </c>
      <c r="D6024">
        <v>58218.9</v>
      </c>
      <c r="E6024">
        <v>7.0699999999999999E-2</v>
      </c>
      <c r="F6024">
        <v>9.5100000000000004E-2</v>
      </c>
    </row>
    <row r="6025" spans="1:6" x14ac:dyDescent="0.3">
      <c r="A6025" t="s">
        <v>6060</v>
      </c>
      <c r="B6025" t="s">
        <v>26</v>
      </c>
      <c r="C6025">
        <v>519000</v>
      </c>
      <c r="D6025">
        <v>10186.5</v>
      </c>
      <c r="E6025">
        <v>3.4799999999999998E-2</v>
      </c>
      <c r="F6025">
        <v>7.5899999999999995E-2</v>
      </c>
    </row>
    <row r="6026" spans="1:6" x14ac:dyDescent="0.3">
      <c r="A6026" t="s">
        <v>6061</v>
      </c>
      <c r="B6026" t="s">
        <v>287</v>
      </c>
      <c r="C6026">
        <v>462000</v>
      </c>
      <c r="D6026">
        <v>4299.6000000000004</v>
      </c>
      <c r="E6026">
        <v>2.1999999999999999E-2</v>
      </c>
      <c r="F6026">
        <v>5.8400000000000001E-2</v>
      </c>
    </row>
    <row r="6027" spans="1:6" x14ac:dyDescent="0.3">
      <c r="A6027" t="s">
        <v>6062</v>
      </c>
      <c r="B6027" t="s">
        <v>50</v>
      </c>
      <c r="C6027">
        <v>542000</v>
      </c>
      <c r="D6027">
        <v>8108.4</v>
      </c>
      <c r="E6027">
        <v>3.6400000000000002E-2</v>
      </c>
      <c r="F6027">
        <v>9.5100000000000004E-2</v>
      </c>
    </row>
    <row r="6028" spans="1:6" x14ac:dyDescent="0.3">
      <c r="A6028" t="s">
        <v>6063</v>
      </c>
      <c r="B6028" t="s">
        <v>41</v>
      </c>
      <c r="C6028">
        <v>379000</v>
      </c>
      <c r="D6028">
        <v>12731</v>
      </c>
      <c r="E6028">
        <v>2.81E-2</v>
      </c>
      <c r="F6028">
        <v>5.1799999999999999E-2</v>
      </c>
    </row>
    <row r="6029" spans="1:6" x14ac:dyDescent="0.3">
      <c r="A6029" t="s">
        <v>6064</v>
      </c>
      <c r="B6029" t="s">
        <v>53</v>
      </c>
      <c r="C6029">
        <v>686000</v>
      </c>
      <c r="D6029">
        <v>5180</v>
      </c>
      <c r="E6029">
        <v>3.9199999999999999E-2</v>
      </c>
      <c r="F6029">
        <v>0.15160000000000001</v>
      </c>
    </row>
    <row r="6030" spans="1:6" x14ac:dyDescent="0.3">
      <c r="A6030" t="s">
        <v>6065</v>
      </c>
      <c r="B6030" t="s">
        <v>26</v>
      </c>
      <c r="C6030">
        <v>362000</v>
      </c>
      <c r="D6030">
        <v>9724.2999999999993</v>
      </c>
      <c r="E6030">
        <v>4.4600000000000001E-2</v>
      </c>
      <c r="F6030">
        <v>9.5100000000000004E-2</v>
      </c>
    </row>
    <row r="6031" spans="1:6" x14ac:dyDescent="0.3">
      <c r="A6031" t="s">
        <v>6066</v>
      </c>
      <c r="B6031" t="s">
        <v>74</v>
      </c>
      <c r="C6031">
        <v>354000</v>
      </c>
      <c r="D6031">
        <v>2053.9</v>
      </c>
      <c r="E6031">
        <v>2.5600000000000001E-2</v>
      </c>
      <c r="F6031">
        <v>9.5100000000000004E-2</v>
      </c>
    </row>
    <row r="6032" spans="1:6" x14ac:dyDescent="0.3">
      <c r="A6032" t="s">
        <v>6067</v>
      </c>
      <c r="B6032" t="s">
        <v>26</v>
      </c>
      <c r="C6032">
        <v>954000</v>
      </c>
      <c r="D6032">
        <v>5366.1</v>
      </c>
      <c r="E6032">
        <v>2.2700000000000001E-2</v>
      </c>
      <c r="F6032">
        <v>5.7599999999999998E-2</v>
      </c>
    </row>
    <row r="6033" spans="1:6" x14ac:dyDescent="0.3">
      <c r="A6033" t="s">
        <v>6068</v>
      </c>
      <c r="B6033" t="s">
        <v>88</v>
      </c>
      <c r="C6033">
        <v>385000</v>
      </c>
      <c r="D6033">
        <v>3190.6</v>
      </c>
      <c r="F6033">
        <v>6.4399999999999999E-2</v>
      </c>
    </row>
    <row r="6034" spans="1:6" x14ac:dyDescent="0.3">
      <c r="A6034" t="s">
        <v>6069</v>
      </c>
      <c r="B6034" t="s">
        <v>490</v>
      </c>
      <c r="C6034">
        <v>449000</v>
      </c>
      <c r="D6034">
        <v>3389.3</v>
      </c>
      <c r="E6034">
        <v>2.23E-2</v>
      </c>
      <c r="F6034">
        <v>5.0999999999999997E-2</v>
      </c>
    </row>
    <row r="6035" spans="1:6" x14ac:dyDescent="0.3">
      <c r="A6035" t="s">
        <v>6070</v>
      </c>
      <c r="B6035" t="s">
        <v>26</v>
      </c>
      <c r="C6035">
        <v>422000</v>
      </c>
      <c r="D6035">
        <v>43301.1</v>
      </c>
      <c r="E6035">
        <v>2.92E-2</v>
      </c>
      <c r="F6035">
        <v>9.3799999999999994E-2</v>
      </c>
    </row>
    <row r="6036" spans="1:6" x14ac:dyDescent="0.3">
      <c r="A6036" t="s">
        <v>6071</v>
      </c>
      <c r="B6036" t="s">
        <v>214</v>
      </c>
      <c r="C6036">
        <v>376000</v>
      </c>
      <c r="D6036">
        <v>18282.900000000001</v>
      </c>
      <c r="E6036">
        <v>3.7699999999999997E-2</v>
      </c>
      <c r="F6036">
        <v>8.4500000000000006E-2</v>
      </c>
    </row>
    <row r="6037" spans="1:6" x14ac:dyDescent="0.3">
      <c r="A6037" t="s">
        <v>6072</v>
      </c>
      <c r="B6037" t="s">
        <v>74</v>
      </c>
      <c r="C6037">
        <v>354000</v>
      </c>
      <c r="D6037">
        <v>3818.4</v>
      </c>
      <c r="E6037">
        <v>1.4200000000000001E-2</v>
      </c>
      <c r="F6037">
        <v>0.1067</v>
      </c>
    </row>
    <row r="6038" spans="1:6" x14ac:dyDescent="0.3">
      <c r="A6038" t="s">
        <v>6073</v>
      </c>
      <c r="B6038" t="s">
        <v>50</v>
      </c>
      <c r="C6038">
        <v>415000</v>
      </c>
      <c r="D6038">
        <v>119.8</v>
      </c>
      <c r="E6038">
        <v>1.9E-2</v>
      </c>
      <c r="F6038">
        <v>0.1119</v>
      </c>
    </row>
    <row r="6039" spans="1:6" x14ac:dyDescent="0.3">
      <c r="A6039" t="s">
        <v>6074</v>
      </c>
      <c r="B6039" t="s">
        <v>26</v>
      </c>
      <c r="C6039">
        <v>405000</v>
      </c>
      <c r="D6039">
        <v>963.8</v>
      </c>
      <c r="E6039">
        <v>5.45E-2</v>
      </c>
      <c r="F6039">
        <v>9.3799999999999994E-2</v>
      </c>
    </row>
    <row r="6040" spans="1:6" x14ac:dyDescent="0.3">
      <c r="A6040" t="s">
        <v>6075</v>
      </c>
      <c r="B6040" t="s">
        <v>50</v>
      </c>
      <c r="C6040">
        <v>378000</v>
      </c>
      <c r="D6040">
        <v>1744.8</v>
      </c>
      <c r="E6040">
        <v>1.6E-2</v>
      </c>
      <c r="F6040">
        <v>9.5000000000000001E-2</v>
      </c>
    </row>
    <row r="6041" spans="1:6" x14ac:dyDescent="0.3">
      <c r="A6041" t="s">
        <v>6076</v>
      </c>
      <c r="B6041" t="s">
        <v>26</v>
      </c>
      <c r="C6041">
        <v>354000</v>
      </c>
      <c r="D6041">
        <v>1580.7</v>
      </c>
      <c r="E6041">
        <v>2.8799999999999999E-2</v>
      </c>
      <c r="F6041">
        <v>5.1799999999999999E-2</v>
      </c>
    </row>
    <row r="6042" spans="1:6" x14ac:dyDescent="0.3">
      <c r="A6042" t="s">
        <v>6077</v>
      </c>
      <c r="B6042" t="s">
        <v>71</v>
      </c>
      <c r="C6042">
        <v>370000</v>
      </c>
      <c r="D6042">
        <v>125558</v>
      </c>
      <c r="E6042">
        <v>7.8200000000000006E-2</v>
      </c>
      <c r="F6042">
        <v>9.5100000000000004E-2</v>
      </c>
    </row>
    <row r="6043" spans="1:6" x14ac:dyDescent="0.3">
      <c r="A6043" t="s">
        <v>6078</v>
      </c>
      <c r="B6043" t="s">
        <v>50</v>
      </c>
      <c r="C6043">
        <v>369000</v>
      </c>
      <c r="D6043">
        <v>9834.1</v>
      </c>
      <c r="E6043">
        <v>3.7100000000000001E-2</v>
      </c>
      <c r="F6043">
        <v>7.5899999999999995E-2</v>
      </c>
    </row>
    <row r="6044" spans="1:6" x14ac:dyDescent="0.3">
      <c r="A6044" t="s">
        <v>6079</v>
      </c>
      <c r="B6044" t="s">
        <v>26</v>
      </c>
      <c r="C6044">
        <v>405000</v>
      </c>
      <c r="D6044">
        <v>2681.8</v>
      </c>
      <c r="E6044">
        <v>7.8E-2</v>
      </c>
      <c r="F6044">
        <v>7.5899999999999995E-2</v>
      </c>
    </row>
    <row r="6045" spans="1:6" x14ac:dyDescent="0.3">
      <c r="A6045" t="s">
        <v>6080</v>
      </c>
      <c r="B6045" t="s">
        <v>26</v>
      </c>
      <c r="C6045">
        <v>350000</v>
      </c>
      <c r="D6045">
        <v>5592.8</v>
      </c>
      <c r="E6045">
        <v>2.8500000000000001E-2</v>
      </c>
      <c r="F6045">
        <v>9.5100000000000004E-2</v>
      </c>
    </row>
    <row r="6046" spans="1:6" x14ac:dyDescent="0.3">
      <c r="A6046" t="s">
        <v>6081</v>
      </c>
      <c r="B6046" t="s">
        <v>92</v>
      </c>
      <c r="C6046">
        <v>356000</v>
      </c>
      <c r="D6046">
        <v>2887.4</v>
      </c>
      <c r="E6046">
        <v>2.75E-2</v>
      </c>
      <c r="F6046">
        <v>9.5100000000000004E-2</v>
      </c>
    </row>
    <row r="6047" spans="1:6" x14ac:dyDescent="0.3">
      <c r="A6047" t="s">
        <v>6082</v>
      </c>
      <c r="B6047" t="s">
        <v>92</v>
      </c>
      <c r="C6047">
        <v>504000</v>
      </c>
      <c r="D6047">
        <v>12385.3</v>
      </c>
      <c r="E6047">
        <v>2.6800000000000001E-2</v>
      </c>
      <c r="F6047">
        <v>9.3799999999999994E-2</v>
      </c>
    </row>
    <row r="6048" spans="1:6" x14ac:dyDescent="0.3">
      <c r="A6048" t="s">
        <v>6083</v>
      </c>
      <c r="B6048" t="s">
        <v>88</v>
      </c>
      <c r="C6048">
        <v>392000</v>
      </c>
      <c r="D6048">
        <v>5918.9</v>
      </c>
      <c r="E6048">
        <v>3.5200000000000002E-2</v>
      </c>
      <c r="F6048">
        <v>7.5899999999999995E-2</v>
      </c>
    </row>
    <row r="6049" spans="1:6" x14ac:dyDescent="0.3">
      <c r="A6049" t="s">
        <v>6084</v>
      </c>
      <c r="B6049" t="s">
        <v>88</v>
      </c>
      <c r="C6049">
        <v>457000</v>
      </c>
      <c r="D6049">
        <v>6048</v>
      </c>
      <c r="E6049">
        <v>4.3999999999999997E-2</v>
      </c>
      <c r="F6049">
        <v>9.3799999999999994E-2</v>
      </c>
    </row>
    <row r="6050" spans="1:6" x14ac:dyDescent="0.3">
      <c r="A6050" t="s">
        <v>6085</v>
      </c>
      <c r="B6050" t="s">
        <v>88</v>
      </c>
      <c r="C6050">
        <v>389000</v>
      </c>
      <c r="D6050">
        <v>2833</v>
      </c>
      <c r="E6050">
        <v>2.3400000000000001E-2</v>
      </c>
      <c r="F6050">
        <v>0.11700000000000001</v>
      </c>
    </row>
    <row r="6051" spans="1:6" x14ac:dyDescent="0.3">
      <c r="A6051" t="s">
        <v>6086</v>
      </c>
      <c r="B6051" t="s">
        <v>81</v>
      </c>
      <c r="C6051">
        <v>441000</v>
      </c>
      <c r="D6051">
        <v>20387.599999999999</v>
      </c>
      <c r="E6051">
        <v>1.9599999999999999E-2</v>
      </c>
      <c r="F6051">
        <v>0.1053</v>
      </c>
    </row>
    <row r="6052" spans="1:6" x14ac:dyDescent="0.3">
      <c r="A6052" t="s">
        <v>6087</v>
      </c>
      <c r="B6052" t="s">
        <v>24</v>
      </c>
      <c r="C6052">
        <v>464000</v>
      </c>
      <c r="D6052">
        <v>1070230.8999999999</v>
      </c>
      <c r="E6052">
        <v>2.2800000000000001E-2</v>
      </c>
      <c r="F6052">
        <v>5.8500000000000003E-2</v>
      </c>
    </row>
    <row r="6053" spans="1:6" x14ac:dyDescent="0.3">
      <c r="A6053" t="s">
        <v>6088</v>
      </c>
      <c r="B6053" t="s">
        <v>26</v>
      </c>
      <c r="C6053">
        <v>393000</v>
      </c>
      <c r="D6053">
        <v>51334.7</v>
      </c>
      <c r="E6053">
        <v>1.4E-2</v>
      </c>
      <c r="F6053">
        <v>6.1600000000000002E-2</v>
      </c>
    </row>
    <row r="6054" spans="1:6" x14ac:dyDescent="0.3">
      <c r="A6054" t="s">
        <v>6089</v>
      </c>
      <c r="B6054" t="s">
        <v>30</v>
      </c>
      <c r="C6054">
        <v>358000</v>
      </c>
      <c r="D6054">
        <v>3502.2</v>
      </c>
      <c r="E6054">
        <v>9.7999999999999997E-3</v>
      </c>
      <c r="F6054">
        <v>6.54E-2</v>
      </c>
    </row>
    <row r="6055" spans="1:6" x14ac:dyDescent="0.3">
      <c r="A6055" t="s">
        <v>6090</v>
      </c>
      <c r="B6055" t="s">
        <v>81</v>
      </c>
      <c r="C6055">
        <v>359000</v>
      </c>
      <c r="D6055">
        <v>12290.8</v>
      </c>
      <c r="E6055">
        <v>1.8599999999999998E-2</v>
      </c>
      <c r="F6055">
        <v>0.1067</v>
      </c>
    </row>
    <row r="6056" spans="1:6" x14ac:dyDescent="0.3">
      <c r="A6056" t="s">
        <v>6091</v>
      </c>
      <c r="B6056" t="s">
        <v>92</v>
      </c>
      <c r="C6056">
        <v>358000</v>
      </c>
      <c r="D6056">
        <v>40509.800000000003</v>
      </c>
      <c r="E6056">
        <v>1.72E-2</v>
      </c>
      <c r="F6056">
        <v>0.1067</v>
      </c>
    </row>
    <row r="6057" spans="1:6" x14ac:dyDescent="0.3">
      <c r="A6057" t="s">
        <v>6092</v>
      </c>
      <c r="B6057" t="s">
        <v>26</v>
      </c>
      <c r="C6057">
        <v>520000</v>
      </c>
      <c r="D6057">
        <v>657.2</v>
      </c>
      <c r="E6057">
        <v>3.5999999999999997E-2</v>
      </c>
      <c r="F6057">
        <v>0.1226</v>
      </c>
    </row>
    <row r="6058" spans="1:6" x14ac:dyDescent="0.3">
      <c r="A6058" t="s">
        <v>6093</v>
      </c>
      <c r="B6058" t="s">
        <v>26</v>
      </c>
      <c r="C6058">
        <v>418000</v>
      </c>
      <c r="D6058">
        <v>39165.599999999999</v>
      </c>
      <c r="E6058">
        <v>5.7000000000000002E-2</v>
      </c>
      <c r="F6058">
        <v>9.5100000000000004E-2</v>
      </c>
    </row>
    <row r="6059" spans="1:6" x14ac:dyDescent="0.3">
      <c r="A6059" t="s">
        <v>6094</v>
      </c>
      <c r="B6059" t="s">
        <v>26</v>
      </c>
      <c r="C6059">
        <v>361000</v>
      </c>
      <c r="D6059">
        <v>5924.7</v>
      </c>
      <c r="E6059">
        <v>1.3599999999999999E-2</v>
      </c>
      <c r="F6059">
        <v>0.1067</v>
      </c>
    </row>
    <row r="6060" spans="1:6" x14ac:dyDescent="0.3">
      <c r="A6060" t="s">
        <v>6095</v>
      </c>
      <c r="B6060" t="s">
        <v>81</v>
      </c>
      <c r="C6060">
        <v>475000</v>
      </c>
      <c r="D6060">
        <v>65816.100000000006</v>
      </c>
      <c r="E6060">
        <v>4.2299999999999997E-2</v>
      </c>
      <c r="F6060">
        <v>9.3799999999999994E-2</v>
      </c>
    </row>
    <row r="6061" spans="1:6" x14ac:dyDescent="0.3">
      <c r="A6061" t="s">
        <v>6096</v>
      </c>
      <c r="B6061" t="s">
        <v>21</v>
      </c>
      <c r="C6061">
        <v>422000</v>
      </c>
      <c r="D6061">
        <v>411.9</v>
      </c>
      <c r="E6061">
        <v>1.5800000000000002E-2</v>
      </c>
      <c r="F6061">
        <v>0.18060000000000001</v>
      </c>
    </row>
    <row r="6062" spans="1:6" x14ac:dyDescent="0.3">
      <c r="A6062" t="s">
        <v>6097</v>
      </c>
      <c r="B6062" t="s">
        <v>74</v>
      </c>
      <c r="C6062">
        <v>949000</v>
      </c>
      <c r="D6062">
        <v>99179.5</v>
      </c>
      <c r="E6062">
        <v>3.9899999999999998E-2</v>
      </c>
      <c r="F6062">
        <v>7.5899999999999995E-2</v>
      </c>
    </row>
    <row r="6063" spans="1:6" x14ac:dyDescent="0.3">
      <c r="A6063" t="s">
        <v>6098</v>
      </c>
      <c r="B6063" t="s">
        <v>28</v>
      </c>
      <c r="C6063">
        <v>434000</v>
      </c>
      <c r="D6063">
        <v>4027.5</v>
      </c>
      <c r="E6063">
        <v>1.41E-2</v>
      </c>
      <c r="F6063">
        <v>5.7599999999999998E-2</v>
      </c>
    </row>
    <row r="6064" spans="1:6" x14ac:dyDescent="0.3">
      <c r="A6064" t="s">
        <v>6099</v>
      </c>
      <c r="B6064" t="s">
        <v>32</v>
      </c>
      <c r="C6064">
        <v>379000</v>
      </c>
      <c r="D6064">
        <v>5908.9</v>
      </c>
      <c r="E6064">
        <v>7.5600000000000001E-2</v>
      </c>
      <c r="F6064">
        <v>7.5899999999999995E-2</v>
      </c>
    </row>
    <row r="6065" spans="1:6" x14ac:dyDescent="0.3">
      <c r="A6065" t="s">
        <v>6100</v>
      </c>
      <c r="B6065" t="s">
        <v>195</v>
      </c>
      <c r="C6065">
        <v>375000</v>
      </c>
      <c r="D6065">
        <v>3759.4</v>
      </c>
      <c r="E6065">
        <v>2.87E-2</v>
      </c>
      <c r="F6065">
        <v>7.5899999999999995E-2</v>
      </c>
    </row>
    <row r="6066" spans="1:6" x14ac:dyDescent="0.3">
      <c r="A6066" t="s">
        <v>6101</v>
      </c>
      <c r="B6066" t="s">
        <v>24</v>
      </c>
      <c r="C6066">
        <v>367000</v>
      </c>
      <c r="D6066">
        <v>133131</v>
      </c>
      <c r="E6066">
        <v>2.8500000000000001E-2</v>
      </c>
      <c r="F6066">
        <v>9.5100000000000004E-2</v>
      </c>
    </row>
    <row r="6067" spans="1:6" x14ac:dyDescent="0.3">
      <c r="A6067" t="s">
        <v>6102</v>
      </c>
      <c r="B6067" t="s">
        <v>92</v>
      </c>
      <c r="C6067">
        <v>399000</v>
      </c>
      <c r="D6067">
        <v>36925.599999999999</v>
      </c>
      <c r="E6067">
        <v>1.5299999999999999E-2</v>
      </c>
      <c r="F6067">
        <v>4.6199999999999998E-2</v>
      </c>
    </row>
    <row r="6068" spans="1:6" x14ac:dyDescent="0.3">
      <c r="A6068" t="s">
        <v>6103</v>
      </c>
      <c r="B6068" t="s">
        <v>81</v>
      </c>
      <c r="C6068">
        <v>431000</v>
      </c>
      <c r="D6068">
        <v>7600.4</v>
      </c>
      <c r="E6068">
        <v>2.1000000000000001E-2</v>
      </c>
      <c r="F6068">
        <v>9.3799999999999994E-2</v>
      </c>
    </row>
    <row r="6069" spans="1:6" x14ac:dyDescent="0.3">
      <c r="A6069" t="s">
        <v>6104</v>
      </c>
      <c r="B6069" t="s">
        <v>50</v>
      </c>
      <c r="C6069">
        <v>588000</v>
      </c>
      <c r="D6069">
        <v>1791.2</v>
      </c>
      <c r="E6069">
        <v>2.2700000000000001E-2</v>
      </c>
      <c r="F6069">
        <v>5.1799999999999999E-2</v>
      </c>
    </row>
    <row r="6070" spans="1:6" x14ac:dyDescent="0.3">
      <c r="A6070" t="s">
        <v>6105</v>
      </c>
      <c r="B6070" t="s">
        <v>30</v>
      </c>
      <c r="C6070">
        <v>384000</v>
      </c>
      <c r="D6070">
        <v>17521.7</v>
      </c>
      <c r="E6070">
        <v>1.3599999999999999E-2</v>
      </c>
      <c r="F6070">
        <v>5.8500000000000003E-2</v>
      </c>
    </row>
    <row r="6071" spans="1:6" x14ac:dyDescent="0.3">
      <c r="A6071" t="s">
        <v>6106</v>
      </c>
      <c r="B6071" t="s">
        <v>41</v>
      </c>
      <c r="C6071">
        <v>483000</v>
      </c>
      <c r="D6071">
        <v>45910.7</v>
      </c>
      <c r="E6071">
        <v>4.5400000000000003E-2</v>
      </c>
      <c r="F6071">
        <v>9.5100000000000004E-2</v>
      </c>
    </row>
    <row r="6072" spans="1:6" x14ac:dyDescent="0.3">
      <c r="A6072" t="s">
        <v>6107</v>
      </c>
      <c r="B6072" t="s">
        <v>35</v>
      </c>
      <c r="C6072">
        <v>354000</v>
      </c>
      <c r="D6072">
        <v>2498.3000000000002</v>
      </c>
      <c r="E6072">
        <v>2.1899999999999999E-2</v>
      </c>
      <c r="F6072">
        <v>8.4500000000000006E-2</v>
      </c>
    </row>
    <row r="6073" spans="1:6" x14ac:dyDescent="0.3">
      <c r="A6073" t="s">
        <v>6108</v>
      </c>
      <c r="B6073" t="s">
        <v>62</v>
      </c>
      <c r="C6073">
        <v>670000</v>
      </c>
      <c r="D6073">
        <v>2583.4</v>
      </c>
      <c r="F6073">
        <v>6.7199999999999996E-2</v>
      </c>
    </row>
    <row r="6074" spans="1:6" x14ac:dyDescent="0.3">
      <c r="A6074" t="s">
        <v>6109</v>
      </c>
      <c r="B6074" t="s">
        <v>26</v>
      </c>
      <c r="C6074">
        <v>658000</v>
      </c>
      <c r="D6074">
        <v>30203.9</v>
      </c>
      <c r="E6074">
        <v>3.9899999999999998E-2</v>
      </c>
      <c r="F6074">
        <v>7.5899999999999995E-2</v>
      </c>
    </row>
    <row r="6075" spans="1:6" x14ac:dyDescent="0.3">
      <c r="A6075" t="s">
        <v>6110</v>
      </c>
      <c r="B6075" t="s">
        <v>214</v>
      </c>
      <c r="C6075">
        <v>360000</v>
      </c>
      <c r="D6075">
        <v>1114.7</v>
      </c>
      <c r="E6075">
        <v>1.01E-2</v>
      </c>
      <c r="F6075">
        <v>0.10150000000000001</v>
      </c>
    </row>
    <row r="6076" spans="1:6" x14ac:dyDescent="0.3">
      <c r="A6076" t="s">
        <v>6111</v>
      </c>
      <c r="B6076" t="s">
        <v>88</v>
      </c>
      <c r="C6076">
        <v>458000</v>
      </c>
      <c r="D6076">
        <v>529.70000000000005</v>
      </c>
      <c r="E6076">
        <v>1.49E-2</v>
      </c>
      <c r="F6076">
        <v>5.7599999999999998E-2</v>
      </c>
    </row>
    <row r="6077" spans="1:6" x14ac:dyDescent="0.3">
      <c r="A6077" t="s">
        <v>6112</v>
      </c>
      <c r="B6077" t="s">
        <v>62</v>
      </c>
      <c r="C6077">
        <v>354000</v>
      </c>
      <c r="D6077">
        <v>4129.5</v>
      </c>
      <c r="E6077">
        <v>2.7400000000000001E-2</v>
      </c>
      <c r="F6077">
        <v>5.4600000000000003E-2</v>
      </c>
    </row>
    <row r="6078" spans="1:6" x14ac:dyDescent="0.3">
      <c r="A6078" t="s">
        <v>6113</v>
      </c>
      <c r="B6078" t="s">
        <v>26</v>
      </c>
      <c r="C6078">
        <v>483000</v>
      </c>
      <c r="D6078">
        <v>3368751.8</v>
      </c>
      <c r="E6078">
        <v>1.26E-2</v>
      </c>
      <c r="F6078">
        <v>0.16980000000000001</v>
      </c>
    </row>
    <row r="6079" spans="1:6" x14ac:dyDescent="0.3">
      <c r="A6079" t="s">
        <v>6114</v>
      </c>
      <c r="B6079" t="s">
        <v>214</v>
      </c>
      <c r="C6079">
        <v>1270000</v>
      </c>
      <c r="D6079">
        <v>380069.4</v>
      </c>
      <c r="E6079">
        <v>9.5999999999999992E-3</v>
      </c>
      <c r="F6079">
        <v>8.2199999999999995E-2</v>
      </c>
    </row>
    <row r="6080" spans="1:6" x14ac:dyDescent="0.3">
      <c r="A6080" t="s">
        <v>6115</v>
      </c>
      <c r="B6080" t="s">
        <v>26</v>
      </c>
      <c r="C6080">
        <v>403000</v>
      </c>
      <c r="D6080">
        <v>514716.1</v>
      </c>
      <c r="E6080">
        <v>1.15E-2</v>
      </c>
      <c r="F6080">
        <v>0.13270000000000001</v>
      </c>
    </row>
    <row r="6081" spans="1:6" x14ac:dyDescent="0.3">
      <c r="A6081" t="s">
        <v>6116</v>
      </c>
      <c r="B6081" t="s">
        <v>214</v>
      </c>
      <c r="C6081">
        <v>400000</v>
      </c>
      <c r="D6081">
        <v>1877.6</v>
      </c>
      <c r="E6081">
        <v>2.2000000000000001E-3</v>
      </c>
      <c r="F6081">
        <v>8.1100000000000005E-2</v>
      </c>
    </row>
    <row r="6082" spans="1:6" x14ac:dyDescent="0.3">
      <c r="A6082" t="s">
        <v>6117</v>
      </c>
      <c r="B6082" t="s">
        <v>24</v>
      </c>
      <c r="C6082">
        <v>666000</v>
      </c>
      <c r="D6082">
        <v>14569.8</v>
      </c>
      <c r="E6082">
        <v>3.3000000000000002E-2</v>
      </c>
      <c r="F6082">
        <v>7.5899999999999995E-2</v>
      </c>
    </row>
    <row r="6083" spans="1:6" x14ac:dyDescent="0.3">
      <c r="A6083" t="s">
        <v>6118</v>
      </c>
      <c r="B6083" t="s">
        <v>74</v>
      </c>
      <c r="C6083">
        <v>387000</v>
      </c>
      <c r="D6083">
        <v>8427.5</v>
      </c>
      <c r="E6083">
        <v>7.6200000000000004E-2</v>
      </c>
      <c r="F6083">
        <v>9.5100000000000004E-2</v>
      </c>
    </row>
    <row r="6084" spans="1:6" x14ac:dyDescent="0.3">
      <c r="A6084" t="s">
        <v>6119</v>
      </c>
      <c r="B6084" t="s">
        <v>81</v>
      </c>
      <c r="C6084">
        <v>381000</v>
      </c>
      <c r="D6084">
        <v>42739.8</v>
      </c>
      <c r="E6084">
        <v>4.8099999999999997E-2</v>
      </c>
      <c r="F6084">
        <v>9.5100000000000004E-2</v>
      </c>
    </row>
    <row r="6085" spans="1:6" x14ac:dyDescent="0.3">
      <c r="A6085" t="s">
        <v>6120</v>
      </c>
      <c r="B6085" t="s">
        <v>26</v>
      </c>
      <c r="C6085">
        <v>457000</v>
      </c>
      <c r="D6085">
        <v>15446.4</v>
      </c>
      <c r="E6085">
        <v>1.8499999999999999E-2</v>
      </c>
      <c r="F6085">
        <v>8.5400000000000004E-2</v>
      </c>
    </row>
    <row r="6086" spans="1:6" x14ac:dyDescent="0.3">
      <c r="A6086" t="s">
        <v>6121</v>
      </c>
      <c r="B6086" t="s">
        <v>53</v>
      </c>
      <c r="C6086">
        <v>810000</v>
      </c>
      <c r="D6086">
        <v>11777.5</v>
      </c>
      <c r="E6086">
        <v>4.6800000000000001E-2</v>
      </c>
      <c r="F6086">
        <v>9.3799999999999994E-2</v>
      </c>
    </row>
    <row r="6087" spans="1:6" x14ac:dyDescent="0.3">
      <c r="A6087" t="s">
        <v>6122</v>
      </c>
      <c r="B6087" t="s">
        <v>26</v>
      </c>
      <c r="C6087">
        <v>734000</v>
      </c>
      <c r="D6087">
        <v>3995.6</v>
      </c>
      <c r="E6087">
        <v>1.23E-2</v>
      </c>
      <c r="F6087">
        <v>8.1100000000000005E-2</v>
      </c>
    </row>
    <row r="6088" spans="1:6" x14ac:dyDescent="0.3">
      <c r="A6088" t="s">
        <v>6123</v>
      </c>
      <c r="B6088" t="s">
        <v>24</v>
      </c>
      <c r="C6088">
        <v>966000</v>
      </c>
      <c r="D6088">
        <v>169240.8</v>
      </c>
      <c r="E6088">
        <v>3.8800000000000001E-2</v>
      </c>
      <c r="F6088">
        <v>7.5899999999999995E-2</v>
      </c>
    </row>
    <row r="6089" spans="1:6" x14ac:dyDescent="0.3">
      <c r="A6089" t="s">
        <v>6124</v>
      </c>
      <c r="B6089" t="s">
        <v>92</v>
      </c>
      <c r="C6089">
        <v>570000</v>
      </c>
      <c r="D6089">
        <v>5521.4</v>
      </c>
      <c r="E6089">
        <v>2.4799999999999999E-2</v>
      </c>
      <c r="F6089">
        <v>7.5899999999999995E-2</v>
      </c>
    </row>
    <row r="6090" spans="1:6" x14ac:dyDescent="0.3">
      <c r="A6090" t="s">
        <v>6125</v>
      </c>
      <c r="B6090" t="s">
        <v>28</v>
      </c>
      <c r="C6090">
        <v>419000</v>
      </c>
      <c r="D6090">
        <v>3600.1</v>
      </c>
      <c r="E6090">
        <v>1.5699999999999999E-2</v>
      </c>
      <c r="F6090">
        <v>8.5400000000000004E-2</v>
      </c>
    </row>
    <row r="6091" spans="1:6" x14ac:dyDescent="0.3">
      <c r="A6091" t="s">
        <v>6126</v>
      </c>
      <c r="B6091" t="s">
        <v>26</v>
      </c>
      <c r="C6091">
        <v>384000</v>
      </c>
      <c r="D6091">
        <v>45766.6</v>
      </c>
      <c r="E6091">
        <v>7.7799999999999994E-2</v>
      </c>
      <c r="F6091">
        <v>7.5899999999999995E-2</v>
      </c>
    </row>
    <row r="6092" spans="1:6" x14ac:dyDescent="0.3">
      <c r="A6092" t="s">
        <v>6127</v>
      </c>
      <c r="B6092" t="s">
        <v>26</v>
      </c>
      <c r="C6092">
        <v>508000</v>
      </c>
      <c r="D6092">
        <v>57602.400000000001</v>
      </c>
      <c r="E6092">
        <v>4.99E-2</v>
      </c>
      <c r="F6092">
        <v>7.5899999999999995E-2</v>
      </c>
    </row>
    <row r="6093" spans="1:6" x14ac:dyDescent="0.3">
      <c r="A6093" t="s">
        <v>6128</v>
      </c>
      <c r="B6093" t="s">
        <v>88</v>
      </c>
      <c r="C6093">
        <v>471000</v>
      </c>
      <c r="D6093">
        <v>1505</v>
      </c>
      <c r="E6093">
        <v>1.46E-2</v>
      </c>
      <c r="F6093">
        <v>0.1176</v>
      </c>
    </row>
    <row r="6094" spans="1:6" x14ac:dyDescent="0.3">
      <c r="A6094" t="s">
        <v>6129</v>
      </c>
      <c r="B6094" t="s">
        <v>41</v>
      </c>
      <c r="C6094">
        <v>372000</v>
      </c>
      <c r="D6094">
        <v>17506.400000000001</v>
      </c>
      <c r="E6094">
        <v>1.7600000000000001E-2</v>
      </c>
      <c r="F6094">
        <v>0.13100000000000001</v>
      </c>
    </row>
    <row r="6095" spans="1:6" x14ac:dyDescent="0.3">
      <c r="A6095" t="s">
        <v>6130</v>
      </c>
      <c r="B6095" t="s">
        <v>214</v>
      </c>
      <c r="C6095">
        <v>372000</v>
      </c>
      <c r="D6095">
        <v>800.1</v>
      </c>
      <c r="E6095">
        <v>2.1700000000000001E-2</v>
      </c>
      <c r="F6095">
        <v>0.13900000000000001</v>
      </c>
    </row>
    <row r="6096" spans="1:6" x14ac:dyDescent="0.3">
      <c r="A6096" t="s">
        <v>6131</v>
      </c>
      <c r="B6096" t="s">
        <v>28</v>
      </c>
      <c r="C6096">
        <v>343000</v>
      </c>
      <c r="D6096">
        <v>33576.5</v>
      </c>
      <c r="E6096">
        <v>1.9699999999999999E-2</v>
      </c>
      <c r="F6096">
        <v>5.8500000000000003E-2</v>
      </c>
    </row>
    <row r="6097" spans="1:6" x14ac:dyDescent="0.3">
      <c r="A6097" t="s">
        <v>6132</v>
      </c>
      <c r="B6097" t="s">
        <v>21</v>
      </c>
      <c r="C6097">
        <v>466000</v>
      </c>
      <c r="D6097">
        <v>15920.4</v>
      </c>
      <c r="E6097">
        <v>9.8900000000000002E-2</v>
      </c>
      <c r="F6097">
        <v>7.5899999999999995E-2</v>
      </c>
    </row>
    <row r="6098" spans="1:6" x14ac:dyDescent="0.3">
      <c r="A6098" t="s">
        <v>6133</v>
      </c>
      <c r="B6098" t="s">
        <v>88</v>
      </c>
      <c r="C6098">
        <v>413000</v>
      </c>
      <c r="D6098">
        <v>5092.8999999999996</v>
      </c>
      <c r="E6098">
        <v>2.2599999999999999E-2</v>
      </c>
      <c r="F6098">
        <v>6.4899999999999999E-2</v>
      </c>
    </row>
    <row r="6099" spans="1:6" x14ac:dyDescent="0.3">
      <c r="A6099" t="s">
        <v>6134</v>
      </c>
      <c r="B6099" t="s">
        <v>26</v>
      </c>
      <c r="C6099">
        <v>394000</v>
      </c>
      <c r="D6099">
        <v>5856.5</v>
      </c>
      <c r="E6099">
        <v>3.7400000000000003E-2</v>
      </c>
      <c r="F6099">
        <v>7.5899999999999995E-2</v>
      </c>
    </row>
    <row r="6100" spans="1:6" x14ac:dyDescent="0.3">
      <c r="A6100" t="s">
        <v>6135</v>
      </c>
      <c r="B6100" t="s">
        <v>92</v>
      </c>
      <c r="C6100">
        <v>411000</v>
      </c>
      <c r="D6100">
        <v>2049.1999999999998</v>
      </c>
      <c r="E6100">
        <v>1.8200000000000001E-2</v>
      </c>
      <c r="F6100">
        <v>9.3700000000000006E-2</v>
      </c>
    </row>
    <row r="6101" spans="1:6" x14ac:dyDescent="0.3">
      <c r="A6101" t="s">
        <v>6136</v>
      </c>
      <c r="B6101" t="s">
        <v>41</v>
      </c>
      <c r="C6101">
        <v>368000</v>
      </c>
      <c r="D6101">
        <v>1339.5</v>
      </c>
      <c r="E6101">
        <v>1.9900000000000001E-2</v>
      </c>
      <c r="F6101">
        <v>0.1067</v>
      </c>
    </row>
    <row r="6102" spans="1:6" x14ac:dyDescent="0.3">
      <c r="A6102" t="s">
        <v>6137</v>
      </c>
      <c r="B6102" t="s">
        <v>62</v>
      </c>
      <c r="C6102">
        <v>357000</v>
      </c>
      <c r="D6102">
        <v>1244.5</v>
      </c>
      <c r="E6102">
        <v>2.6700000000000002E-2</v>
      </c>
      <c r="F6102">
        <v>0.40460000000000002</v>
      </c>
    </row>
    <row r="6103" spans="1:6" x14ac:dyDescent="0.3">
      <c r="A6103" t="s">
        <v>6138</v>
      </c>
      <c r="B6103" t="s">
        <v>74</v>
      </c>
      <c r="C6103">
        <v>408000</v>
      </c>
      <c r="D6103">
        <v>7334.9</v>
      </c>
      <c r="E6103">
        <v>3.1199999999999999E-2</v>
      </c>
      <c r="F6103">
        <v>7.5899999999999995E-2</v>
      </c>
    </row>
    <row r="6104" spans="1:6" x14ac:dyDescent="0.3">
      <c r="A6104" t="s">
        <v>6139</v>
      </c>
      <c r="B6104" t="s">
        <v>26</v>
      </c>
      <c r="C6104">
        <v>349000</v>
      </c>
      <c r="D6104">
        <v>7122.5</v>
      </c>
      <c r="E6104">
        <v>4.4200000000000003E-2</v>
      </c>
      <c r="F6104">
        <v>7.5899999999999995E-2</v>
      </c>
    </row>
    <row r="6105" spans="1:6" x14ac:dyDescent="0.3">
      <c r="A6105" t="s">
        <v>6140</v>
      </c>
      <c r="B6105" t="s">
        <v>21</v>
      </c>
      <c r="C6105">
        <v>479000</v>
      </c>
      <c r="D6105">
        <v>109689</v>
      </c>
      <c r="E6105">
        <v>2.5499999999999998E-2</v>
      </c>
      <c r="F6105">
        <v>4.6199999999999998E-2</v>
      </c>
    </row>
    <row r="6106" spans="1:6" x14ac:dyDescent="0.3">
      <c r="A6106" t="s">
        <v>6141</v>
      </c>
      <c r="B6106" t="s">
        <v>74</v>
      </c>
      <c r="C6106">
        <v>505000</v>
      </c>
      <c r="D6106">
        <v>33266.6</v>
      </c>
      <c r="E6106">
        <v>3.8699999999999998E-2</v>
      </c>
      <c r="F6106">
        <v>7.5899999999999995E-2</v>
      </c>
    </row>
    <row r="6107" spans="1:6" x14ac:dyDescent="0.3">
      <c r="A6107" t="s">
        <v>6142</v>
      </c>
      <c r="B6107" t="s">
        <v>92</v>
      </c>
      <c r="C6107">
        <v>601000</v>
      </c>
      <c r="D6107">
        <v>10014.6</v>
      </c>
      <c r="E6107">
        <v>3.1600000000000003E-2</v>
      </c>
      <c r="F6107">
        <v>7.5899999999999995E-2</v>
      </c>
    </row>
    <row r="6108" spans="1:6" x14ac:dyDescent="0.3">
      <c r="A6108" t="s">
        <v>6143</v>
      </c>
      <c r="B6108" t="s">
        <v>50</v>
      </c>
      <c r="C6108">
        <v>442000</v>
      </c>
      <c r="D6108">
        <v>26788.6</v>
      </c>
      <c r="E6108">
        <v>3.2399999999999998E-2</v>
      </c>
      <c r="F6108">
        <v>8.4500000000000006E-2</v>
      </c>
    </row>
    <row r="6109" spans="1:6" x14ac:dyDescent="0.3">
      <c r="A6109" t="s">
        <v>6144</v>
      </c>
      <c r="B6109" t="s">
        <v>92</v>
      </c>
      <c r="C6109">
        <v>1060000</v>
      </c>
      <c r="D6109">
        <v>148151.6</v>
      </c>
      <c r="E6109">
        <v>4.2999999999999997E-2</v>
      </c>
      <c r="F6109">
        <v>4.3200000000000002E-2</v>
      </c>
    </row>
    <row r="6110" spans="1:6" x14ac:dyDescent="0.3">
      <c r="A6110" t="s">
        <v>6145</v>
      </c>
      <c r="B6110" t="s">
        <v>41</v>
      </c>
      <c r="C6110">
        <v>396000</v>
      </c>
      <c r="D6110">
        <v>45.7</v>
      </c>
      <c r="E6110">
        <v>2.3099999999999999E-2</v>
      </c>
      <c r="F6110">
        <v>0.49819999999999998</v>
      </c>
    </row>
    <row r="6111" spans="1:6" x14ac:dyDescent="0.3">
      <c r="A6111" t="s">
        <v>6146</v>
      </c>
      <c r="B6111" t="s">
        <v>24</v>
      </c>
      <c r="C6111">
        <v>527000</v>
      </c>
      <c r="D6111">
        <v>84428.1</v>
      </c>
      <c r="E6111">
        <v>1.83E-2</v>
      </c>
      <c r="F6111">
        <v>4.6199999999999998E-2</v>
      </c>
    </row>
    <row r="6112" spans="1:6" x14ac:dyDescent="0.3">
      <c r="A6112" t="s">
        <v>6147</v>
      </c>
      <c r="B6112" t="s">
        <v>26</v>
      </c>
      <c r="C6112">
        <v>435000</v>
      </c>
      <c r="D6112">
        <v>66172.7</v>
      </c>
      <c r="E6112">
        <v>3.56E-2</v>
      </c>
      <c r="F6112">
        <v>7.5899999999999995E-2</v>
      </c>
    </row>
    <row r="6113" spans="1:6" x14ac:dyDescent="0.3">
      <c r="A6113" t="s">
        <v>6148</v>
      </c>
      <c r="B6113" t="s">
        <v>74</v>
      </c>
      <c r="C6113">
        <v>459000</v>
      </c>
      <c r="D6113">
        <v>27672.3</v>
      </c>
      <c r="E6113">
        <v>4.7600000000000003E-2</v>
      </c>
      <c r="F6113">
        <v>7.5899999999999995E-2</v>
      </c>
    </row>
    <row r="6114" spans="1:6" x14ac:dyDescent="0.3">
      <c r="A6114" t="s">
        <v>6149</v>
      </c>
      <c r="B6114" t="s">
        <v>88</v>
      </c>
      <c r="C6114">
        <v>348000</v>
      </c>
      <c r="D6114">
        <v>430</v>
      </c>
      <c r="E6114">
        <v>5.0000000000000001E-3</v>
      </c>
      <c r="F6114">
        <v>8.1100000000000005E-2</v>
      </c>
    </row>
    <row r="6115" spans="1:6" x14ac:dyDescent="0.3">
      <c r="A6115" t="s">
        <v>6150</v>
      </c>
      <c r="B6115" t="s">
        <v>26</v>
      </c>
      <c r="C6115">
        <v>428000</v>
      </c>
      <c r="D6115">
        <v>8038.7</v>
      </c>
      <c r="E6115">
        <v>4.6600000000000003E-2</v>
      </c>
      <c r="F6115">
        <v>7.5899999999999995E-2</v>
      </c>
    </row>
    <row r="6116" spans="1:6" x14ac:dyDescent="0.3">
      <c r="A6116" t="s">
        <v>6151</v>
      </c>
      <c r="B6116" t="s">
        <v>92</v>
      </c>
      <c r="C6116">
        <v>510000</v>
      </c>
      <c r="D6116">
        <v>6487.5</v>
      </c>
      <c r="F6116">
        <v>9.5100000000000004E-2</v>
      </c>
    </row>
    <row r="6117" spans="1:6" x14ac:dyDescent="0.3">
      <c r="A6117" t="s">
        <v>6152</v>
      </c>
      <c r="B6117" t="s">
        <v>24</v>
      </c>
      <c r="C6117">
        <v>673000</v>
      </c>
      <c r="D6117">
        <v>1369.5</v>
      </c>
      <c r="E6117">
        <v>1.44E-2</v>
      </c>
      <c r="F6117">
        <v>5.8400000000000001E-2</v>
      </c>
    </row>
    <row r="6118" spans="1:6" x14ac:dyDescent="0.3">
      <c r="A6118" t="s">
        <v>6153</v>
      </c>
      <c r="B6118" t="s">
        <v>214</v>
      </c>
      <c r="C6118">
        <v>431000</v>
      </c>
      <c r="D6118">
        <v>1314.3</v>
      </c>
      <c r="E6118">
        <v>1.95E-2</v>
      </c>
      <c r="F6118">
        <v>0.1066</v>
      </c>
    </row>
    <row r="6119" spans="1:6" x14ac:dyDescent="0.3">
      <c r="A6119" t="s">
        <v>6154</v>
      </c>
      <c r="B6119" t="s">
        <v>287</v>
      </c>
      <c r="C6119">
        <v>358000</v>
      </c>
      <c r="D6119">
        <v>660.5</v>
      </c>
      <c r="E6119">
        <v>1.0800000000000001E-2</v>
      </c>
      <c r="F6119">
        <v>8.2199999999999995E-2</v>
      </c>
    </row>
    <row r="6120" spans="1:6" x14ac:dyDescent="0.3">
      <c r="A6120" t="s">
        <v>6155</v>
      </c>
      <c r="B6120" t="s">
        <v>92</v>
      </c>
      <c r="C6120">
        <v>369000</v>
      </c>
      <c r="D6120">
        <v>112618.1</v>
      </c>
      <c r="E6120">
        <v>4.2200000000000001E-2</v>
      </c>
      <c r="F6120">
        <v>9.5100000000000004E-2</v>
      </c>
    </row>
    <row r="6121" spans="1:6" x14ac:dyDescent="0.3">
      <c r="A6121" t="s">
        <v>6156</v>
      </c>
      <c r="B6121" t="s">
        <v>92</v>
      </c>
      <c r="C6121">
        <v>552000</v>
      </c>
      <c r="D6121">
        <v>175664.4</v>
      </c>
      <c r="E6121">
        <v>3.6700000000000003E-2</v>
      </c>
      <c r="F6121">
        <v>4.0899999999999999E-2</v>
      </c>
    </row>
    <row r="6122" spans="1:6" x14ac:dyDescent="0.3">
      <c r="A6122" t="s">
        <v>6157</v>
      </c>
      <c r="B6122" t="s">
        <v>26</v>
      </c>
      <c r="C6122">
        <v>554000</v>
      </c>
      <c r="D6122">
        <v>34779.5</v>
      </c>
      <c r="E6122">
        <v>5.0599999999999999E-2</v>
      </c>
      <c r="F6122">
        <v>9.3799999999999994E-2</v>
      </c>
    </row>
    <row r="6123" spans="1:6" x14ac:dyDescent="0.3">
      <c r="A6123" t="s">
        <v>6158</v>
      </c>
      <c r="B6123" t="s">
        <v>214</v>
      </c>
      <c r="C6123">
        <v>458000</v>
      </c>
      <c r="D6123">
        <v>19390.3</v>
      </c>
      <c r="E6123">
        <v>3.5499999999999997E-2</v>
      </c>
      <c r="F6123">
        <v>9.5100000000000004E-2</v>
      </c>
    </row>
    <row r="6124" spans="1:6" x14ac:dyDescent="0.3">
      <c r="A6124" t="s">
        <v>6159</v>
      </c>
      <c r="B6124" t="s">
        <v>24</v>
      </c>
      <c r="C6124">
        <v>458000</v>
      </c>
      <c r="D6124">
        <v>878.5</v>
      </c>
      <c r="E6124">
        <v>2.76E-2</v>
      </c>
      <c r="F6124">
        <v>0.1226</v>
      </c>
    </row>
    <row r="6125" spans="1:6" x14ac:dyDescent="0.3">
      <c r="A6125" t="s">
        <v>6160</v>
      </c>
      <c r="B6125" t="s">
        <v>41</v>
      </c>
      <c r="C6125">
        <v>339000</v>
      </c>
      <c r="D6125">
        <v>1554</v>
      </c>
      <c r="F6125">
        <v>5.1799999999999999E-2</v>
      </c>
    </row>
    <row r="6126" spans="1:6" x14ac:dyDescent="0.3">
      <c r="A6126" t="s">
        <v>6161</v>
      </c>
      <c r="B6126" t="s">
        <v>62</v>
      </c>
      <c r="C6126">
        <v>606000</v>
      </c>
      <c r="D6126">
        <v>10279.799999999999</v>
      </c>
      <c r="E6126">
        <v>8.9999999999999993E-3</v>
      </c>
      <c r="F6126">
        <v>0.10150000000000001</v>
      </c>
    </row>
    <row r="6127" spans="1:6" x14ac:dyDescent="0.3">
      <c r="A6127" t="s">
        <v>6162</v>
      </c>
      <c r="B6127" t="s">
        <v>24</v>
      </c>
      <c r="C6127">
        <v>428000</v>
      </c>
      <c r="D6127">
        <v>558.20000000000005</v>
      </c>
      <c r="F6127">
        <v>9.3799999999999994E-2</v>
      </c>
    </row>
    <row r="6128" spans="1:6" x14ac:dyDescent="0.3">
      <c r="A6128" t="s">
        <v>6163</v>
      </c>
      <c r="B6128" t="s">
        <v>26</v>
      </c>
      <c r="C6128">
        <v>1220000</v>
      </c>
      <c r="D6128">
        <v>198302</v>
      </c>
      <c r="E6128">
        <v>4.0399999999999998E-2</v>
      </c>
      <c r="F6128">
        <v>7.5899999999999995E-2</v>
      </c>
    </row>
    <row r="6129" spans="1:6" x14ac:dyDescent="0.3">
      <c r="A6129" t="s">
        <v>6164</v>
      </c>
      <c r="B6129" t="s">
        <v>35</v>
      </c>
      <c r="C6129">
        <v>1040000</v>
      </c>
      <c r="D6129">
        <v>636.9</v>
      </c>
      <c r="E6129">
        <v>0.01</v>
      </c>
      <c r="F6129">
        <v>8.1100000000000005E-2</v>
      </c>
    </row>
    <row r="6130" spans="1:6" x14ac:dyDescent="0.3">
      <c r="A6130" t="s">
        <v>6165</v>
      </c>
      <c r="B6130" t="s">
        <v>26</v>
      </c>
      <c r="C6130">
        <v>347000</v>
      </c>
      <c r="D6130">
        <v>760.6</v>
      </c>
      <c r="E6130">
        <v>2.3099999999999999E-2</v>
      </c>
      <c r="F6130">
        <v>8.5400000000000004E-2</v>
      </c>
    </row>
    <row r="6131" spans="1:6" x14ac:dyDescent="0.3">
      <c r="A6131" t="s">
        <v>6166</v>
      </c>
      <c r="B6131" t="s">
        <v>74</v>
      </c>
      <c r="C6131">
        <v>712000</v>
      </c>
      <c r="D6131">
        <v>83478.100000000006</v>
      </c>
      <c r="E6131">
        <v>4.7800000000000002E-2</v>
      </c>
      <c r="F6131">
        <v>7.5899999999999995E-2</v>
      </c>
    </row>
    <row r="6132" spans="1:6" x14ac:dyDescent="0.3">
      <c r="A6132" t="s">
        <v>6167</v>
      </c>
      <c r="B6132" t="s">
        <v>41</v>
      </c>
      <c r="C6132">
        <v>394000</v>
      </c>
      <c r="D6132">
        <v>649.6</v>
      </c>
      <c r="E6132">
        <v>1.8100000000000002E-2</v>
      </c>
      <c r="F6132">
        <v>0.13719999999999999</v>
      </c>
    </row>
    <row r="6133" spans="1:6" x14ac:dyDescent="0.3">
      <c r="A6133" t="s">
        <v>6168</v>
      </c>
      <c r="B6133" t="s">
        <v>88</v>
      </c>
      <c r="C6133">
        <v>364000</v>
      </c>
      <c r="D6133">
        <v>584.79999999999995</v>
      </c>
      <c r="E6133">
        <v>7.2499999999999995E-2</v>
      </c>
      <c r="F6133">
        <v>7.5899999999999995E-2</v>
      </c>
    </row>
    <row r="6134" spans="1:6" x14ac:dyDescent="0.3">
      <c r="A6134" t="s">
        <v>6169</v>
      </c>
      <c r="B6134" t="s">
        <v>62</v>
      </c>
      <c r="C6134">
        <v>353000</v>
      </c>
      <c r="D6134">
        <v>1193.5999999999999</v>
      </c>
      <c r="E6134">
        <v>1.7100000000000001E-2</v>
      </c>
      <c r="F6134">
        <v>4.6199999999999998E-2</v>
      </c>
    </row>
    <row r="6135" spans="1:6" x14ac:dyDescent="0.3">
      <c r="A6135" t="s">
        <v>6170</v>
      </c>
      <c r="B6135" t="s">
        <v>74</v>
      </c>
      <c r="C6135">
        <v>356000</v>
      </c>
      <c r="D6135">
        <v>3923.3</v>
      </c>
      <c r="E6135">
        <v>8.8700000000000001E-2</v>
      </c>
      <c r="F6135">
        <v>7.5899999999999995E-2</v>
      </c>
    </row>
    <row r="6136" spans="1:6" x14ac:dyDescent="0.3">
      <c r="A6136" t="s">
        <v>6171</v>
      </c>
      <c r="B6136" t="s">
        <v>92</v>
      </c>
      <c r="C6136">
        <v>379000</v>
      </c>
      <c r="D6136">
        <v>275.3</v>
      </c>
      <c r="E6136">
        <v>2.6599999999999999E-2</v>
      </c>
      <c r="F6136">
        <v>8.5400000000000004E-2</v>
      </c>
    </row>
    <row r="6137" spans="1:6" x14ac:dyDescent="0.3">
      <c r="A6137" t="s">
        <v>6172</v>
      </c>
      <c r="B6137" t="s">
        <v>26</v>
      </c>
      <c r="C6137">
        <v>611000</v>
      </c>
      <c r="D6137">
        <v>33894.699999999997</v>
      </c>
      <c r="E6137">
        <v>2.5100000000000001E-2</v>
      </c>
      <c r="F6137">
        <v>7.5899999999999995E-2</v>
      </c>
    </row>
    <row r="6138" spans="1:6" x14ac:dyDescent="0.3">
      <c r="A6138" t="s">
        <v>6173</v>
      </c>
      <c r="B6138" t="s">
        <v>92</v>
      </c>
      <c r="C6138">
        <v>442000</v>
      </c>
      <c r="D6138">
        <v>63343.4</v>
      </c>
      <c r="E6138">
        <v>2.3300000000000001E-2</v>
      </c>
      <c r="F6138">
        <v>5.1799999999999999E-2</v>
      </c>
    </row>
    <row r="6139" spans="1:6" x14ac:dyDescent="0.3">
      <c r="A6139" t="s">
        <v>6174</v>
      </c>
      <c r="B6139" t="s">
        <v>88</v>
      </c>
      <c r="C6139">
        <v>396000</v>
      </c>
      <c r="D6139">
        <v>47330.1</v>
      </c>
      <c r="E6139">
        <v>2.8899999999999999E-2</v>
      </c>
      <c r="F6139">
        <v>9.5100000000000004E-2</v>
      </c>
    </row>
    <row r="6140" spans="1:6" x14ac:dyDescent="0.3">
      <c r="A6140" t="s">
        <v>6175</v>
      </c>
      <c r="B6140" t="s">
        <v>88</v>
      </c>
      <c r="C6140">
        <v>372000</v>
      </c>
      <c r="D6140">
        <v>4194.3</v>
      </c>
      <c r="E6140">
        <v>3.8899999999999997E-2</v>
      </c>
      <c r="F6140">
        <v>7.5899999999999995E-2</v>
      </c>
    </row>
    <row r="6141" spans="1:6" x14ac:dyDescent="0.3">
      <c r="A6141" t="s">
        <v>6176</v>
      </c>
      <c r="B6141" t="s">
        <v>26</v>
      </c>
      <c r="C6141">
        <v>372000</v>
      </c>
      <c r="D6141">
        <v>6428.9</v>
      </c>
      <c r="E6141">
        <v>5.5E-2</v>
      </c>
      <c r="F6141">
        <v>7.5899999999999995E-2</v>
      </c>
    </row>
    <row r="6142" spans="1:6" x14ac:dyDescent="0.3">
      <c r="A6142" t="s">
        <v>6177</v>
      </c>
      <c r="B6142" t="s">
        <v>24</v>
      </c>
      <c r="C6142">
        <v>579000</v>
      </c>
      <c r="D6142">
        <v>79870.2</v>
      </c>
      <c r="E6142">
        <v>5.8900000000000001E-2</v>
      </c>
      <c r="F6142">
        <v>9.5100000000000004E-2</v>
      </c>
    </row>
    <row r="6143" spans="1:6" x14ac:dyDescent="0.3">
      <c r="A6143" t="s">
        <v>6178</v>
      </c>
      <c r="B6143" t="s">
        <v>41</v>
      </c>
      <c r="C6143">
        <v>568000</v>
      </c>
      <c r="D6143">
        <v>3739.3</v>
      </c>
      <c r="F6143">
        <v>9.3799999999999994E-2</v>
      </c>
    </row>
    <row r="6144" spans="1:6" x14ac:dyDescent="0.3">
      <c r="A6144" t="s">
        <v>6179</v>
      </c>
      <c r="B6144" t="s">
        <v>26</v>
      </c>
      <c r="C6144">
        <v>351000</v>
      </c>
      <c r="D6144">
        <v>27393.8</v>
      </c>
      <c r="E6144">
        <v>2.58E-2</v>
      </c>
      <c r="F6144">
        <v>9.5100000000000004E-2</v>
      </c>
    </row>
    <row r="6145" spans="1:6" x14ac:dyDescent="0.3">
      <c r="A6145" t="s">
        <v>6180</v>
      </c>
      <c r="B6145" t="s">
        <v>26</v>
      </c>
      <c r="C6145">
        <v>654000</v>
      </c>
      <c r="D6145">
        <v>35547.699999999997</v>
      </c>
      <c r="E6145">
        <v>3.3000000000000002E-2</v>
      </c>
      <c r="F6145">
        <v>7.5899999999999995E-2</v>
      </c>
    </row>
    <row r="6146" spans="1:6" x14ac:dyDescent="0.3">
      <c r="A6146" t="s">
        <v>6181</v>
      </c>
      <c r="B6146" t="s">
        <v>88</v>
      </c>
      <c r="C6146">
        <v>577000</v>
      </c>
      <c r="D6146">
        <v>78018.100000000006</v>
      </c>
      <c r="E6146">
        <v>5.2299999999999999E-2</v>
      </c>
      <c r="F6146">
        <v>7.5899999999999995E-2</v>
      </c>
    </row>
    <row r="6147" spans="1:6" x14ac:dyDescent="0.3">
      <c r="A6147" t="s">
        <v>6182</v>
      </c>
      <c r="B6147" t="s">
        <v>81</v>
      </c>
      <c r="C6147">
        <v>808000</v>
      </c>
      <c r="D6147">
        <v>271271.5</v>
      </c>
      <c r="E6147">
        <v>1.9199999999999998E-2</v>
      </c>
      <c r="F6147">
        <v>7.5700000000000003E-2</v>
      </c>
    </row>
    <row r="6148" spans="1:6" x14ac:dyDescent="0.3">
      <c r="A6148" t="s">
        <v>6183</v>
      </c>
      <c r="B6148" t="s">
        <v>62</v>
      </c>
      <c r="C6148">
        <v>399000</v>
      </c>
      <c r="D6148">
        <v>5571.5</v>
      </c>
      <c r="E6148">
        <v>2.4899999999999999E-2</v>
      </c>
      <c r="F6148">
        <v>8.5400000000000004E-2</v>
      </c>
    </row>
    <row r="6149" spans="1:6" x14ac:dyDescent="0.3">
      <c r="A6149" t="s">
        <v>6184</v>
      </c>
      <c r="B6149" t="s">
        <v>71</v>
      </c>
      <c r="C6149">
        <v>543000</v>
      </c>
      <c r="D6149">
        <v>3124.3</v>
      </c>
      <c r="E6149">
        <v>4.2099999999999999E-2</v>
      </c>
      <c r="F6149">
        <v>9.3799999999999994E-2</v>
      </c>
    </row>
    <row r="6150" spans="1:6" x14ac:dyDescent="0.3">
      <c r="A6150" t="s">
        <v>6185</v>
      </c>
      <c r="B6150" t="s">
        <v>81</v>
      </c>
      <c r="C6150">
        <v>498000</v>
      </c>
      <c r="D6150">
        <v>9262.2999999999993</v>
      </c>
      <c r="E6150">
        <v>2.8400000000000002E-2</v>
      </c>
      <c r="F6150">
        <v>9.3799999999999994E-2</v>
      </c>
    </row>
    <row r="6151" spans="1:6" x14ac:dyDescent="0.3">
      <c r="A6151" t="s">
        <v>6186</v>
      </c>
      <c r="B6151" t="s">
        <v>32</v>
      </c>
      <c r="C6151">
        <v>389000</v>
      </c>
      <c r="D6151">
        <v>35657.800000000003</v>
      </c>
      <c r="E6151">
        <v>2.87E-2</v>
      </c>
      <c r="F6151">
        <v>9.5100000000000004E-2</v>
      </c>
    </row>
    <row r="6152" spans="1:6" x14ac:dyDescent="0.3">
      <c r="A6152" t="s">
        <v>6187</v>
      </c>
      <c r="B6152" t="s">
        <v>88</v>
      </c>
      <c r="C6152">
        <v>344000</v>
      </c>
      <c r="D6152">
        <v>5675.7</v>
      </c>
      <c r="E6152">
        <v>4.4299999999999999E-2</v>
      </c>
      <c r="F6152">
        <v>0.11700000000000001</v>
      </c>
    </row>
    <row r="6153" spans="1:6" x14ac:dyDescent="0.3">
      <c r="A6153" t="s">
        <v>6188</v>
      </c>
      <c r="B6153" t="s">
        <v>74</v>
      </c>
      <c r="C6153">
        <v>345000</v>
      </c>
      <c r="D6153">
        <v>655</v>
      </c>
      <c r="E6153">
        <v>1.7500000000000002E-2</v>
      </c>
      <c r="F6153">
        <v>7.2599999999999998E-2</v>
      </c>
    </row>
    <row r="6154" spans="1:6" x14ac:dyDescent="0.3">
      <c r="A6154" t="s">
        <v>6189</v>
      </c>
      <c r="B6154" t="s">
        <v>26</v>
      </c>
      <c r="C6154">
        <v>342000</v>
      </c>
      <c r="D6154">
        <v>2617.3000000000002</v>
      </c>
      <c r="E6154">
        <v>0.2306</v>
      </c>
      <c r="F6154">
        <v>0.53239999999999998</v>
      </c>
    </row>
    <row r="6155" spans="1:6" x14ac:dyDescent="0.3">
      <c r="A6155" t="s">
        <v>6190</v>
      </c>
      <c r="B6155" t="s">
        <v>88</v>
      </c>
      <c r="C6155">
        <v>344000</v>
      </c>
      <c r="D6155">
        <v>2713.8</v>
      </c>
      <c r="E6155">
        <v>5.2900000000000003E-2</v>
      </c>
      <c r="F6155">
        <v>9.3799999999999994E-2</v>
      </c>
    </row>
    <row r="6156" spans="1:6" x14ac:dyDescent="0.3">
      <c r="A6156" t="s">
        <v>6191</v>
      </c>
      <c r="B6156" t="s">
        <v>26</v>
      </c>
      <c r="C6156">
        <v>398000</v>
      </c>
      <c r="D6156">
        <v>11371</v>
      </c>
      <c r="E6156">
        <v>1.8800000000000001E-2</v>
      </c>
      <c r="F6156">
        <v>0.13869999999999999</v>
      </c>
    </row>
    <row r="6157" spans="1:6" x14ac:dyDescent="0.3">
      <c r="A6157" t="s">
        <v>6192</v>
      </c>
      <c r="B6157" t="s">
        <v>88</v>
      </c>
      <c r="C6157">
        <v>1210000</v>
      </c>
      <c r="D6157">
        <v>9874.2999999999993</v>
      </c>
      <c r="E6157">
        <v>2.12E-2</v>
      </c>
      <c r="F6157">
        <v>9.3799999999999994E-2</v>
      </c>
    </row>
    <row r="6158" spans="1:6" x14ac:dyDescent="0.3">
      <c r="A6158" t="s">
        <v>6193</v>
      </c>
      <c r="B6158" t="s">
        <v>71</v>
      </c>
      <c r="C6158">
        <v>352000</v>
      </c>
      <c r="D6158">
        <v>610.29999999999995</v>
      </c>
      <c r="E6158">
        <v>1.6799999999999999E-2</v>
      </c>
      <c r="F6158">
        <v>8.5400000000000004E-2</v>
      </c>
    </row>
    <row r="6159" spans="1:6" x14ac:dyDescent="0.3">
      <c r="A6159" t="s">
        <v>6194</v>
      </c>
      <c r="B6159" t="s">
        <v>88</v>
      </c>
      <c r="C6159">
        <v>523000</v>
      </c>
      <c r="D6159">
        <v>3815.4</v>
      </c>
      <c r="E6159">
        <v>4.3999999999999997E-2</v>
      </c>
      <c r="F6159">
        <v>9.3799999999999994E-2</v>
      </c>
    </row>
    <row r="6160" spans="1:6" x14ac:dyDescent="0.3">
      <c r="A6160" t="s">
        <v>6195</v>
      </c>
      <c r="B6160" t="s">
        <v>26</v>
      </c>
      <c r="C6160">
        <v>359000</v>
      </c>
      <c r="D6160">
        <v>5795.4</v>
      </c>
      <c r="E6160">
        <v>1.1299999999999999E-2</v>
      </c>
      <c r="F6160">
        <v>0.10580000000000001</v>
      </c>
    </row>
    <row r="6161" spans="1:6" x14ac:dyDescent="0.3">
      <c r="A6161" t="s">
        <v>6196</v>
      </c>
      <c r="B6161" t="s">
        <v>214</v>
      </c>
      <c r="C6161">
        <v>548000</v>
      </c>
      <c r="D6161">
        <v>4146.3999999999996</v>
      </c>
      <c r="E6161">
        <v>3.2599999999999997E-2</v>
      </c>
      <c r="F6161">
        <v>7.5899999999999995E-2</v>
      </c>
    </row>
    <row r="6162" spans="1:6" x14ac:dyDescent="0.3">
      <c r="A6162" t="s">
        <v>6197</v>
      </c>
      <c r="B6162" t="s">
        <v>26</v>
      </c>
      <c r="C6162">
        <v>610000</v>
      </c>
      <c r="D6162">
        <v>10037.200000000001</v>
      </c>
      <c r="E6162">
        <v>0.1013</v>
      </c>
      <c r="F6162">
        <v>9.3799999999999994E-2</v>
      </c>
    </row>
    <row r="6163" spans="1:6" x14ac:dyDescent="0.3">
      <c r="A6163" t="s">
        <v>6198</v>
      </c>
      <c r="B6163" t="s">
        <v>24</v>
      </c>
      <c r="C6163">
        <v>2900000</v>
      </c>
      <c r="D6163">
        <v>23956</v>
      </c>
      <c r="E6163">
        <v>2E-3</v>
      </c>
      <c r="F6163">
        <v>6.54E-2</v>
      </c>
    </row>
    <row r="6164" spans="1:6" x14ac:dyDescent="0.3">
      <c r="A6164" t="s">
        <v>6199</v>
      </c>
      <c r="B6164" t="s">
        <v>28</v>
      </c>
      <c r="C6164">
        <v>4930000</v>
      </c>
      <c r="D6164">
        <v>413975.6</v>
      </c>
      <c r="E6164">
        <v>8.9999999999999993E-3</v>
      </c>
      <c r="F6164">
        <v>6.54E-2</v>
      </c>
    </row>
    <row r="6165" spans="1:6" x14ac:dyDescent="0.3">
      <c r="A6165" t="s">
        <v>6200</v>
      </c>
      <c r="B6165" t="s">
        <v>74</v>
      </c>
      <c r="C6165">
        <v>563000</v>
      </c>
      <c r="D6165">
        <v>711414.9</v>
      </c>
      <c r="E6165">
        <v>4.2099999999999999E-2</v>
      </c>
      <c r="F6165">
        <v>9.5100000000000004E-2</v>
      </c>
    </row>
    <row r="6166" spans="1:6" x14ac:dyDescent="0.3">
      <c r="A6166" t="s">
        <v>6201</v>
      </c>
      <c r="B6166" t="s">
        <v>26</v>
      </c>
      <c r="C6166">
        <v>397000</v>
      </c>
      <c r="D6166">
        <v>1987</v>
      </c>
      <c r="E6166">
        <v>9.5999999999999992E-3</v>
      </c>
      <c r="F6166">
        <v>6.54E-2</v>
      </c>
    </row>
    <row r="6167" spans="1:6" x14ac:dyDescent="0.3">
      <c r="A6167" t="s">
        <v>6202</v>
      </c>
      <c r="B6167" t="s">
        <v>26</v>
      </c>
      <c r="C6167">
        <v>355000</v>
      </c>
      <c r="D6167">
        <v>5132.1000000000004</v>
      </c>
      <c r="E6167">
        <v>2.6200000000000001E-2</v>
      </c>
      <c r="F6167">
        <v>9.5100000000000004E-2</v>
      </c>
    </row>
    <row r="6168" spans="1:6" x14ac:dyDescent="0.3">
      <c r="A6168" t="s">
        <v>6203</v>
      </c>
      <c r="B6168" t="s">
        <v>71</v>
      </c>
      <c r="C6168">
        <v>645000</v>
      </c>
      <c r="D6168">
        <v>796.4</v>
      </c>
      <c r="E6168">
        <v>2.1000000000000001E-2</v>
      </c>
      <c r="F6168">
        <v>0.1242</v>
      </c>
    </row>
    <row r="6169" spans="1:6" x14ac:dyDescent="0.3">
      <c r="A6169" t="s">
        <v>6204</v>
      </c>
      <c r="B6169" t="s">
        <v>24</v>
      </c>
      <c r="C6169">
        <v>426000</v>
      </c>
      <c r="D6169">
        <v>953.3</v>
      </c>
      <c r="E6169">
        <v>2.9899999999999999E-2</v>
      </c>
      <c r="F6169">
        <v>0.31259999999999999</v>
      </c>
    </row>
    <row r="6170" spans="1:6" x14ac:dyDescent="0.3">
      <c r="A6170" t="s">
        <v>6205</v>
      </c>
      <c r="B6170" t="s">
        <v>26</v>
      </c>
      <c r="C6170">
        <v>364000</v>
      </c>
      <c r="D6170">
        <v>10603.6</v>
      </c>
      <c r="E6170">
        <v>0.14299999999999999</v>
      </c>
      <c r="F6170">
        <v>9.3799999999999994E-2</v>
      </c>
    </row>
    <row r="6171" spans="1:6" x14ac:dyDescent="0.3">
      <c r="A6171" t="s">
        <v>6206</v>
      </c>
      <c r="B6171" t="s">
        <v>214</v>
      </c>
      <c r="C6171">
        <v>587000</v>
      </c>
      <c r="D6171">
        <v>82718.8</v>
      </c>
      <c r="E6171">
        <v>9.7999999999999997E-3</v>
      </c>
      <c r="F6171">
        <v>0.13150000000000001</v>
      </c>
    </row>
    <row r="6172" spans="1:6" x14ac:dyDescent="0.3">
      <c r="A6172" t="s">
        <v>6207</v>
      </c>
      <c r="B6172" t="s">
        <v>92</v>
      </c>
      <c r="C6172">
        <v>347000</v>
      </c>
      <c r="D6172">
        <v>2907</v>
      </c>
      <c r="E6172">
        <v>1.4500000000000001E-2</v>
      </c>
      <c r="F6172">
        <v>4.6199999999999998E-2</v>
      </c>
    </row>
    <row r="6173" spans="1:6" x14ac:dyDescent="0.3">
      <c r="A6173" t="s">
        <v>6208</v>
      </c>
      <c r="B6173" t="s">
        <v>32</v>
      </c>
      <c r="C6173">
        <v>372000</v>
      </c>
      <c r="D6173">
        <v>6017.9</v>
      </c>
      <c r="E6173">
        <v>3.5900000000000001E-2</v>
      </c>
      <c r="F6173">
        <v>4.0899999999999999E-2</v>
      </c>
    </row>
    <row r="6174" spans="1:6" x14ac:dyDescent="0.3">
      <c r="A6174" t="s">
        <v>6209</v>
      </c>
      <c r="B6174" t="s">
        <v>81</v>
      </c>
      <c r="C6174">
        <v>347000</v>
      </c>
      <c r="D6174">
        <v>1305.0999999999999</v>
      </c>
      <c r="E6174">
        <v>3.73E-2</v>
      </c>
      <c r="F6174">
        <v>7.5899999999999995E-2</v>
      </c>
    </row>
    <row r="6175" spans="1:6" x14ac:dyDescent="0.3">
      <c r="A6175" t="s">
        <v>6210</v>
      </c>
      <c r="B6175" t="s">
        <v>53</v>
      </c>
      <c r="C6175">
        <v>400000</v>
      </c>
      <c r="D6175">
        <v>5487.3</v>
      </c>
      <c r="E6175">
        <v>6.9599999999999995E-2</v>
      </c>
      <c r="F6175">
        <v>9.5100000000000004E-2</v>
      </c>
    </row>
    <row r="6176" spans="1:6" x14ac:dyDescent="0.3">
      <c r="A6176" t="s">
        <v>6211</v>
      </c>
      <c r="B6176" t="s">
        <v>71</v>
      </c>
      <c r="C6176">
        <v>345000</v>
      </c>
      <c r="D6176">
        <v>1885.3</v>
      </c>
      <c r="E6176">
        <v>2.64E-2</v>
      </c>
      <c r="F6176">
        <v>9.5100000000000004E-2</v>
      </c>
    </row>
    <row r="6177" spans="1:6" x14ac:dyDescent="0.3">
      <c r="A6177" t="s">
        <v>6212</v>
      </c>
      <c r="B6177" t="s">
        <v>74</v>
      </c>
      <c r="C6177">
        <v>406000</v>
      </c>
      <c r="D6177">
        <v>29168.3</v>
      </c>
      <c r="E6177">
        <v>4.2299999999999997E-2</v>
      </c>
      <c r="F6177">
        <v>6.7199999999999996E-2</v>
      </c>
    </row>
    <row r="6178" spans="1:6" x14ac:dyDescent="0.3">
      <c r="A6178" t="s">
        <v>6213</v>
      </c>
      <c r="B6178" t="s">
        <v>88</v>
      </c>
      <c r="C6178">
        <v>574000</v>
      </c>
      <c r="D6178">
        <v>47159.7</v>
      </c>
      <c r="E6178">
        <v>1.4E-2</v>
      </c>
      <c r="F6178">
        <v>4.6199999999999998E-2</v>
      </c>
    </row>
    <row r="6179" spans="1:6" x14ac:dyDescent="0.3">
      <c r="A6179" t="s">
        <v>6214</v>
      </c>
      <c r="B6179" t="s">
        <v>41</v>
      </c>
      <c r="C6179">
        <v>440000</v>
      </c>
      <c r="D6179">
        <v>97668.3</v>
      </c>
      <c r="E6179">
        <v>5.4999999999999997E-3</v>
      </c>
      <c r="F6179">
        <v>8.1100000000000005E-2</v>
      </c>
    </row>
    <row r="6180" spans="1:6" x14ac:dyDescent="0.3">
      <c r="A6180" t="s">
        <v>6215</v>
      </c>
      <c r="B6180" t="s">
        <v>74</v>
      </c>
      <c r="C6180">
        <v>1700000</v>
      </c>
      <c r="D6180">
        <v>4459.7</v>
      </c>
      <c r="E6180">
        <v>8.0999999999999996E-3</v>
      </c>
      <c r="F6180">
        <v>6.54E-2</v>
      </c>
    </row>
    <row r="6181" spans="1:6" x14ac:dyDescent="0.3">
      <c r="A6181" t="s">
        <v>6216</v>
      </c>
      <c r="B6181" t="s">
        <v>26</v>
      </c>
      <c r="C6181">
        <v>347000</v>
      </c>
      <c r="D6181">
        <v>9335.5</v>
      </c>
      <c r="E6181">
        <v>3.0599999999999999E-2</v>
      </c>
      <c r="F6181">
        <v>9.5100000000000004E-2</v>
      </c>
    </row>
    <row r="6182" spans="1:6" x14ac:dyDescent="0.3">
      <c r="A6182" t="s">
        <v>6217</v>
      </c>
      <c r="B6182" t="s">
        <v>53</v>
      </c>
      <c r="C6182">
        <v>741000</v>
      </c>
      <c r="D6182">
        <v>269596.79999999999</v>
      </c>
      <c r="E6182">
        <v>7.4899999999999994E-2</v>
      </c>
      <c r="F6182">
        <v>7.5899999999999995E-2</v>
      </c>
    </row>
    <row r="6183" spans="1:6" x14ac:dyDescent="0.3">
      <c r="A6183" t="s">
        <v>6218</v>
      </c>
      <c r="B6183" t="s">
        <v>26</v>
      </c>
      <c r="C6183">
        <v>451000</v>
      </c>
      <c r="D6183">
        <v>1325</v>
      </c>
      <c r="E6183">
        <v>1.34E-2</v>
      </c>
      <c r="F6183">
        <v>0.16170000000000001</v>
      </c>
    </row>
    <row r="6184" spans="1:6" x14ac:dyDescent="0.3">
      <c r="A6184" t="s">
        <v>6219</v>
      </c>
      <c r="B6184" t="s">
        <v>24</v>
      </c>
      <c r="C6184">
        <v>414000</v>
      </c>
      <c r="D6184">
        <v>625.6</v>
      </c>
      <c r="E6184">
        <v>0.13700000000000001</v>
      </c>
      <c r="F6184">
        <v>9.3799999999999994E-2</v>
      </c>
    </row>
    <row r="6185" spans="1:6" x14ac:dyDescent="0.3">
      <c r="A6185" t="s">
        <v>6220</v>
      </c>
      <c r="B6185" t="s">
        <v>53</v>
      </c>
      <c r="C6185">
        <v>427000</v>
      </c>
      <c r="D6185">
        <v>2066.8000000000002</v>
      </c>
      <c r="E6185">
        <v>1.4999999999999999E-2</v>
      </c>
      <c r="F6185">
        <v>0.1053</v>
      </c>
    </row>
    <row r="6186" spans="1:6" x14ac:dyDescent="0.3">
      <c r="A6186" t="s">
        <v>6221</v>
      </c>
      <c r="B6186" t="s">
        <v>30</v>
      </c>
      <c r="C6186">
        <v>397000</v>
      </c>
      <c r="D6186">
        <v>10339.9</v>
      </c>
      <c r="E6186">
        <v>1.18E-2</v>
      </c>
      <c r="F6186">
        <v>7.3599999999999999E-2</v>
      </c>
    </row>
    <row r="6187" spans="1:6" x14ac:dyDescent="0.3">
      <c r="A6187" t="s">
        <v>6222</v>
      </c>
      <c r="B6187" t="s">
        <v>41</v>
      </c>
      <c r="C6187">
        <v>340000</v>
      </c>
      <c r="D6187">
        <v>347.9</v>
      </c>
      <c r="E6187">
        <v>4.1500000000000002E-2</v>
      </c>
      <c r="F6187">
        <v>9.5100000000000004E-2</v>
      </c>
    </row>
    <row r="6188" spans="1:6" x14ac:dyDescent="0.3">
      <c r="A6188" t="s">
        <v>6223</v>
      </c>
      <c r="B6188" t="s">
        <v>41</v>
      </c>
      <c r="C6188">
        <v>332000</v>
      </c>
      <c r="D6188">
        <v>7501.8</v>
      </c>
      <c r="E6188">
        <v>5.6399999999999999E-2</v>
      </c>
      <c r="F6188">
        <v>9.5100000000000004E-2</v>
      </c>
    </row>
    <row r="6189" spans="1:6" x14ac:dyDescent="0.3">
      <c r="A6189" t="s">
        <v>6224</v>
      </c>
      <c r="B6189" t="s">
        <v>92</v>
      </c>
      <c r="C6189">
        <v>746000</v>
      </c>
      <c r="D6189">
        <v>63548.5</v>
      </c>
      <c r="E6189">
        <v>1.9099999999999999E-2</v>
      </c>
      <c r="F6189">
        <v>4.6199999999999998E-2</v>
      </c>
    </row>
    <row r="6190" spans="1:6" x14ac:dyDescent="0.3">
      <c r="A6190" t="s">
        <v>6225</v>
      </c>
      <c r="B6190" t="s">
        <v>92</v>
      </c>
      <c r="C6190">
        <v>391000</v>
      </c>
      <c r="D6190">
        <v>23315.9</v>
      </c>
      <c r="E6190">
        <v>4.0300000000000002E-2</v>
      </c>
      <c r="F6190">
        <v>9.5100000000000004E-2</v>
      </c>
    </row>
    <row r="6191" spans="1:6" x14ac:dyDescent="0.3">
      <c r="A6191" t="s">
        <v>6226</v>
      </c>
      <c r="B6191" t="s">
        <v>30</v>
      </c>
      <c r="C6191">
        <v>499000</v>
      </c>
      <c r="D6191">
        <v>63216.6</v>
      </c>
      <c r="E6191">
        <v>2.6100000000000002E-2</v>
      </c>
      <c r="F6191">
        <v>8.4500000000000006E-2</v>
      </c>
    </row>
    <row r="6192" spans="1:6" x14ac:dyDescent="0.3">
      <c r="A6192" t="s">
        <v>6227</v>
      </c>
      <c r="B6192" t="s">
        <v>50</v>
      </c>
      <c r="C6192">
        <v>516000</v>
      </c>
      <c r="D6192">
        <v>58.4</v>
      </c>
      <c r="E6192">
        <v>2.8299999999999999E-2</v>
      </c>
      <c r="F6192">
        <v>0.12529999999999999</v>
      </c>
    </row>
    <row r="6193" spans="1:6" x14ac:dyDescent="0.3">
      <c r="A6193" t="s">
        <v>6228</v>
      </c>
      <c r="B6193" t="s">
        <v>26</v>
      </c>
      <c r="C6193">
        <v>1040000</v>
      </c>
      <c r="D6193">
        <v>391959.9</v>
      </c>
      <c r="E6193">
        <v>8.7800000000000003E-2</v>
      </c>
      <c r="F6193">
        <v>7.5899999999999995E-2</v>
      </c>
    </row>
    <row r="6194" spans="1:6" x14ac:dyDescent="0.3">
      <c r="A6194" t="s">
        <v>6229</v>
      </c>
      <c r="B6194" t="s">
        <v>74</v>
      </c>
      <c r="C6194">
        <v>349000</v>
      </c>
      <c r="D6194">
        <v>71389.600000000006</v>
      </c>
      <c r="E6194">
        <v>6.8999999999999999E-3</v>
      </c>
      <c r="F6194">
        <v>8.2199999999999995E-2</v>
      </c>
    </row>
    <row r="6195" spans="1:6" x14ac:dyDescent="0.3">
      <c r="A6195" t="s">
        <v>6230</v>
      </c>
      <c r="B6195" t="s">
        <v>26</v>
      </c>
      <c r="C6195">
        <v>434000</v>
      </c>
      <c r="D6195">
        <v>20221.8</v>
      </c>
      <c r="E6195">
        <v>1.7100000000000001E-2</v>
      </c>
      <c r="F6195">
        <v>9.2200000000000004E-2</v>
      </c>
    </row>
    <row r="6196" spans="1:6" x14ac:dyDescent="0.3">
      <c r="A6196" t="s">
        <v>6231</v>
      </c>
      <c r="B6196" t="s">
        <v>26</v>
      </c>
      <c r="C6196">
        <v>575000</v>
      </c>
      <c r="D6196">
        <v>2391394.7999999998</v>
      </c>
      <c r="E6196">
        <v>3.9199999999999999E-2</v>
      </c>
      <c r="F6196">
        <v>5.1799999999999999E-2</v>
      </c>
    </row>
    <row r="6197" spans="1:6" x14ac:dyDescent="0.3">
      <c r="A6197" t="s">
        <v>6232</v>
      </c>
      <c r="B6197" t="s">
        <v>26</v>
      </c>
      <c r="C6197">
        <v>358000</v>
      </c>
      <c r="D6197">
        <v>9915.4</v>
      </c>
      <c r="E6197">
        <v>4.3299999999999998E-2</v>
      </c>
      <c r="F6197">
        <v>9.5100000000000004E-2</v>
      </c>
    </row>
    <row r="6198" spans="1:6" x14ac:dyDescent="0.3">
      <c r="A6198" t="s">
        <v>6233</v>
      </c>
      <c r="B6198" t="s">
        <v>74</v>
      </c>
      <c r="C6198">
        <v>355000</v>
      </c>
      <c r="D6198">
        <v>803.1</v>
      </c>
      <c r="E6198">
        <v>7.1300000000000002E-2</v>
      </c>
      <c r="F6198">
        <v>9.5100000000000004E-2</v>
      </c>
    </row>
    <row r="6199" spans="1:6" x14ac:dyDescent="0.3">
      <c r="A6199" t="s">
        <v>6234</v>
      </c>
      <c r="B6199" t="s">
        <v>24</v>
      </c>
      <c r="C6199">
        <v>755000</v>
      </c>
      <c r="D6199">
        <v>31305.4</v>
      </c>
      <c r="E6199">
        <v>5.1900000000000002E-2</v>
      </c>
      <c r="F6199">
        <v>9.3799999999999994E-2</v>
      </c>
    </row>
    <row r="6200" spans="1:6" x14ac:dyDescent="0.3">
      <c r="A6200" t="s">
        <v>6235</v>
      </c>
      <c r="B6200" t="s">
        <v>26</v>
      </c>
      <c r="C6200">
        <v>380000</v>
      </c>
      <c r="D6200">
        <v>1021.8</v>
      </c>
      <c r="E6200">
        <v>4.3099999999999999E-2</v>
      </c>
      <c r="F6200">
        <v>7.5899999999999995E-2</v>
      </c>
    </row>
    <row r="6201" spans="1:6" x14ac:dyDescent="0.3">
      <c r="A6201" t="s">
        <v>6236</v>
      </c>
      <c r="B6201" t="s">
        <v>88</v>
      </c>
      <c r="C6201">
        <v>606000</v>
      </c>
      <c r="D6201">
        <v>2175.5</v>
      </c>
      <c r="E6201">
        <v>6.5000000000000002E-2</v>
      </c>
      <c r="F6201">
        <v>9.3799999999999994E-2</v>
      </c>
    </row>
    <row r="6202" spans="1:6" x14ac:dyDescent="0.3">
      <c r="A6202" t="s">
        <v>6237</v>
      </c>
      <c r="B6202" t="s">
        <v>26</v>
      </c>
      <c r="C6202">
        <v>490000</v>
      </c>
      <c r="D6202">
        <v>660.3</v>
      </c>
      <c r="F6202">
        <v>4.0899999999999999E-2</v>
      </c>
    </row>
    <row r="6203" spans="1:6" x14ac:dyDescent="0.3">
      <c r="A6203" t="s">
        <v>6238</v>
      </c>
      <c r="B6203" t="s">
        <v>26</v>
      </c>
      <c r="C6203">
        <v>357000</v>
      </c>
      <c r="D6203">
        <v>19982</v>
      </c>
      <c r="E6203">
        <v>1E-3</v>
      </c>
      <c r="F6203">
        <v>8.2199999999999995E-2</v>
      </c>
    </row>
    <row r="6204" spans="1:6" x14ac:dyDescent="0.3">
      <c r="A6204" t="s">
        <v>6239</v>
      </c>
      <c r="B6204" t="s">
        <v>35</v>
      </c>
      <c r="C6204">
        <v>692000</v>
      </c>
      <c r="D6204">
        <v>247261.8</v>
      </c>
      <c r="E6204">
        <v>3.0200000000000001E-2</v>
      </c>
      <c r="F6204">
        <v>6.7199999999999996E-2</v>
      </c>
    </row>
    <row r="6205" spans="1:6" x14ac:dyDescent="0.3">
      <c r="A6205" t="s">
        <v>6240</v>
      </c>
      <c r="B6205" t="s">
        <v>41</v>
      </c>
      <c r="C6205">
        <v>607000</v>
      </c>
      <c r="D6205">
        <v>38029</v>
      </c>
      <c r="E6205">
        <v>1.9199999999999998E-2</v>
      </c>
      <c r="F6205">
        <v>5.7599999999999998E-2</v>
      </c>
    </row>
    <row r="6206" spans="1:6" x14ac:dyDescent="0.3">
      <c r="A6206" t="s">
        <v>6241</v>
      </c>
      <c r="B6206" t="s">
        <v>26</v>
      </c>
      <c r="C6206">
        <v>457000</v>
      </c>
      <c r="D6206">
        <v>1622.3</v>
      </c>
      <c r="E6206">
        <v>1.89E-2</v>
      </c>
      <c r="F6206">
        <v>5.8500000000000003E-2</v>
      </c>
    </row>
    <row r="6207" spans="1:6" x14ac:dyDescent="0.3">
      <c r="A6207" t="s">
        <v>6242</v>
      </c>
      <c r="B6207" t="s">
        <v>26</v>
      </c>
      <c r="C6207">
        <v>369000</v>
      </c>
      <c r="D6207">
        <v>3640.5</v>
      </c>
      <c r="E6207">
        <v>1.12E-2</v>
      </c>
      <c r="F6207">
        <v>0.1187</v>
      </c>
    </row>
    <row r="6208" spans="1:6" x14ac:dyDescent="0.3">
      <c r="A6208" t="s">
        <v>6243</v>
      </c>
      <c r="B6208" t="s">
        <v>81</v>
      </c>
      <c r="C6208">
        <v>575000</v>
      </c>
      <c r="D6208">
        <v>156010.79999999999</v>
      </c>
      <c r="E6208">
        <v>1.8499999999999999E-2</v>
      </c>
      <c r="F6208">
        <v>4.6199999999999998E-2</v>
      </c>
    </row>
    <row r="6209" spans="1:6" x14ac:dyDescent="0.3">
      <c r="A6209" t="s">
        <v>6244</v>
      </c>
      <c r="B6209" t="s">
        <v>88</v>
      </c>
      <c r="C6209">
        <v>609000</v>
      </c>
      <c r="D6209">
        <v>33210.5</v>
      </c>
      <c r="E6209">
        <v>1.9099999999999999E-2</v>
      </c>
      <c r="F6209">
        <v>0.13100000000000001</v>
      </c>
    </row>
    <row r="6210" spans="1:6" x14ac:dyDescent="0.3">
      <c r="A6210" t="s">
        <v>6245</v>
      </c>
      <c r="B6210" t="s">
        <v>26</v>
      </c>
      <c r="C6210">
        <v>457000</v>
      </c>
      <c r="D6210">
        <v>35991.699999999997</v>
      </c>
      <c r="E6210">
        <v>3.1300000000000001E-2</v>
      </c>
      <c r="F6210">
        <v>6.7199999999999996E-2</v>
      </c>
    </row>
    <row r="6211" spans="1:6" x14ac:dyDescent="0.3">
      <c r="A6211" t="s">
        <v>6246</v>
      </c>
      <c r="B6211" t="s">
        <v>74</v>
      </c>
      <c r="C6211">
        <v>463000</v>
      </c>
      <c r="D6211">
        <v>2479</v>
      </c>
      <c r="E6211">
        <v>3.8699999999999998E-2</v>
      </c>
      <c r="F6211">
        <v>9.5100000000000004E-2</v>
      </c>
    </row>
    <row r="6212" spans="1:6" x14ac:dyDescent="0.3">
      <c r="A6212" t="s">
        <v>6247</v>
      </c>
      <c r="B6212" t="s">
        <v>26</v>
      </c>
      <c r="C6212">
        <v>1050000</v>
      </c>
      <c r="D6212">
        <v>43423.9</v>
      </c>
      <c r="E6212">
        <v>3.2800000000000003E-2</v>
      </c>
      <c r="F6212">
        <v>7.5899999999999995E-2</v>
      </c>
    </row>
    <row r="6213" spans="1:6" x14ac:dyDescent="0.3">
      <c r="A6213" t="s">
        <v>6248</v>
      </c>
      <c r="B6213" t="s">
        <v>30</v>
      </c>
      <c r="C6213">
        <v>487000</v>
      </c>
      <c r="D6213">
        <v>34681.4</v>
      </c>
      <c r="E6213">
        <v>9.1999999999999998E-3</v>
      </c>
      <c r="F6213">
        <v>8.1100000000000005E-2</v>
      </c>
    </row>
    <row r="6214" spans="1:6" x14ac:dyDescent="0.3">
      <c r="A6214" t="s">
        <v>6249</v>
      </c>
      <c r="B6214" t="s">
        <v>74</v>
      </c>
      <c r="C6214">
        <v>386000</v>
      </c>
      <c r="D6214">
        <v>3384.6</v>
      </c>
      <c r="E6214">
        <v>5.6099999999999997E-2</v>
      </c>
      <c r="F6214">
        <v>7.5899999999999995E-2</v>
      </c>
    </row>
    <row r="6215" spans="1:6" x14ac:dyDescent="0.3">
      <c r="A6215" t="s">
        <v>6250</v>
      </c>
      <c r="B6215" t="s">
        <v>92</v>
      </c>
      <c r="C6215">
        <v>427000</v>
      </c>
      <c r="D6215">
        <v>4172.3999999999996</v>
      </c>
      <c r="E6215">
        <v>1.03E-2</v>
      </c>
      <c r="F6215">
        <v>7.2599999999999998E-2</v>
      </c>
    </row>
    <row r="6216" spans="1:6" x14ac:dyDescent="0.3">
      <c r="A6216" t="s">
        <v>6251</v>
      </c>
      <c r="B6216" t="s">
        <v>26</v>
      </c>
      <c r="C6216">
        <v>373000</v>
      </c>
      <c r="D6216">
        <v>9099.9</v>
      </c>
      <c r="E6216">
        <v>3.2199999999999999E-2</v>
      </c>
      <c r="F6216">
        <v>5.1799999999999999E-2</v>
      </c>
    </row>
    <row r="6217" spans="1:6" x14ac:dyDescent="0.3">
      <c r="A6217" t="s">
        <v>6252</v>
      </c>
      <c r="B6217" t="s">
        <v>74</v>
      </c>
      <c r="C6217">
        <v>685000</v>
      </c>
      <c r="D6217">
        <v>1167.0999999999999</v>
      </c>
      <c r="E6217">
        <v>5.2299999999999999E-2</v>
      </c>
      <c r="F6217">
        <v>9.3799999999999994E-2</v>
      </c>
    </row>
    <row r="6218" spans="1:6" x14ac:dyDescent="0.3">
      <c r="A6218" t="s">
        <v>6253</v>
      </c>
      <c r="B6218" t="s">
        <v>26</v>
      </c>
      <c r="C6218">
        <v>350000</v>
      </c>
      <c r="D6218">
        <v>948.2</v>
      </c>
      <c r="E6218">
        <v>3.8199999999999998E-2</v>
      </c>
      <c r="F6218">
        <v>7.5899999999999995E-2</v>
      </c>
    </row>
    <row r="6219" spans="1:6" x14ac:dyDescent="0.3">
      <c r="A6219" t="s">
        <v>6254</v>
      </c>
      <c r="B6219" t="s">
        <v>26</v>
      </c>
      <c r="C6219">
        <v>785000</v>
      </c>
      <c r="D6219">
        <v>4749.6000000000004</v>
      </c>
      <c r="E6219">
        <v>1.15E-2</v>
      </c>
      <c r="F6219">
        <v>8.5400000000000004E-2</v>
      </c>
    </row>
    <row r="6220" spans="1:6" x14ac:dyDescent="0.3">
      <c r="A6220" t="s">
        <v>6255</v>
      </c>
      <c r="B6220" t="s">
        <v>53</v>
      </c>
      <c r="C6220">
        <v>336000</v>
      </c>
      <c r="D6220">
        <v>1122.9000000000001</v>
      </c>
      <c r="E6220">
        <v>1.2E-2</v>
      </c>
      <c r="F6220">
        <v>0.13270000000000001</v>
      </c>
    </row>
    <row r="6221" spans="1:6" x14ac:dyDescent="0.3">
      <c r="A6221" t="s">
        <v>6256</v>
      </c>
      <c r="B6221" t="s">
        <v>287</v>
      </c>
      <c r="C6221">
        <v>565000</v>
      </c>
      <c r="D6221">
        <v>3096.7</v>
      </c>
      <c r="E6221">
        <v>2.7300000000000001E-2</v>
      </c>
      <c r="F6221">
        <v>9.3799999999999994E-2</v>
      </c>
    </row>
    <row r="6222" spans="1:6" x14ac:dyDescent="0.3">
      <c r="A6222" t="s">
        <v>6257</v>
      </c>
      <c r="B6222" t="s">
        <v>50</v>
      </c>
      <c r="C6222">
        <v>383000</v>
      </c>
      <c r="D6222">
        <v>1574.7</v>
      </c>
      <c r="E6222">
        <v>2.5399999999999999E-2</v>
      </c>
      <c r="F6222">
        <v>9.3799999999999994E-2</v>
      </c>
    </row>
    <row r="6223" spans="1:6" x14ac:dyDescent="0.3">
      <c r="A6223" t="s">
        <v>6258</v>
      </c>
      <c r="B6223" t="s">
        <v>214</v>
      </c>
      <c r="C6223">
        <v>494000</v>
      </c>
      <c r="D6223">
        <v>9074.9</v>
      </c>
      <c r="F6223">
        <v>7.5899999999999995E-2</v>
      </c>
    </row>
    <row r="6224" spans="1:6" x14ac:dyDescent="0.3">
      <c r="A6224" t="s">
        <v>6259</v>
      </c>
      <c r="B6224" t="s">
        <v>41</v>
      </c>
      <c r="C6224">
        <v>337000</v>
      </c>
      <c r="D6224">
        <v>555.79999999999995</v>
      </c>
      <c r="E6224">
        <v>4.6199999999999998E-2</v>
      </c>
      <c r="F6224">
        <v>0.11700000000000001</v>
      </c>
    </row>
    <row r="6225" spans="1:6" x14ac:dyDescent="0.3">
      <c r="A6225" t="s">
        <v>6260</v>
      </c>
      <c r="B6225" t="s">
        <v>88</v>
      </c>
      <c r="C6225">
        <v>1100000</v>
      </c>
      <c r="D6225">
        <v>39625.9</v>
      </c>
      <c r="E6225">
        <v>2.5499999999999998E-2</v>
      </c>
      <c r="F6225">
        <v>0.1066</v>
      </c>
    </row>
    <row r="6226" spans="1:6" x14ac:dyDescent="0.3">
      <c r="A6226" t="s">
        <v>6261</v>
      </c>
      <c r="B6226" t="s">
        <v>62</v>
      </c>
      <c r="C6226">
        <v>374000</v>
      </c>
      <c r="D6226">
        <v>6150.4</v>
      </c>
      <c r="E6226">
        <v>4.36E-2</v>
      </c>
      <c r="F6226">
        <v>9.5100000000000004E-2</v>
      </c>
    </row>
    <row r="6227" spans="1:6" x14ac:dyDescent="0.3">
      <c r="A6227" t="s">
        <v>6262</v>
      </c>
      <c r="B6227" t="s">
        <v>26</v>
      </c>
      <c r="C6227">
        <v>358000</v>
      </c>
      <c r="D6227">
        <v>12810.8</v>
      </c>
      <c r="E6227">
        <v>7.8E-2</v>
      </c>
      <c r="F6227">
        <v>7.5899999999999995E-2</v>
      </c>
    </row>
    <row r="6228" spans="1:6" x14ac:dyDescent="0.3">
      <c r="A6228" t="s">
        <v>6263</v>
      </c>
      <c r="B6228" t="s">
        <v>88</v>
      </c>
      <c r="C6228">
        <v>715000</v>
      </c>
      <c r="D6228">
        <v>2800.5</v>
      </c>
      <c r="E6228">
        <v>8.1199999999999994E-2</v>
      </c>
      <c r="F6228">
        <v>9.3799999999999994E-2</v>
      </c>
    </row>
    <row r="6229" spans="1:6" x14ac:dyDescent="0.3">
      <c r="A6229" t="s">
        <v>6264</v>
      </c>
      <c r="B6229" t="s">
        <v>74</v>
      </c>
      <c r="C6229">
        <v>519000</v>
      </c>
      <c r="D6229">
        <v>53135.199999999997</v>
      </c>
      <c r="E6229">
        <v>3.6900000000000002E-2</v>
      </c>
      <c r="F6229">
        <v>9.3799999999999994E-2</v>
      </c>
    </row>
    <row r="6230" spans="1:6" x14ac:dyDescent="0.3">
      <c r="A6230" t="s">
        <v>6265</v>
      </c>
      <c r="B6230" t="s">
        <v>26</v>
      </c>
      <c r="C6230">
        <v>347000</v>
      </c>
      <c r="D6230">
        <v>1746.8</v>
      </c>
      <c r="E6230">
        <v>1.46E-2</v>
      </c>
      <c r="F6230">
        <v>0.1067</v>
      </c>
    </row>
    <row r="6231" spans="1:6" x14ac:dyDescent="0.3">
      <c r="A6231" t="s">
        <v>6266</v>
      </c>
      <c r="B6231" t="s">
        <v>74</v>
      </c>
      <c r="C6231">
        <v>506000</v>
      </c>
      <c r="D6231">
        <v>39567.4</v>
      </c>
      <c r="E6231">
        <v>3.49E-2</v>
      </c>
      <c r="F6231">
        <v>7.5899999999999995E-2</v>
      </c>
    </row>
    <row r="6232" spans="1:6" x14ac:dyDescent="0.3">
      <c r="A6232" t="s">
        <v>6267</v>
      </c>
      <c r="B6232" t="s">
        <v>26</v>
      </c>
      <c r="C6232">
        <v>434000</v>
      </c>
      <c r="D6232">
        <v>25818.5</v>
      </c>
      <c r="E6232">
        <v>1.4500000000000001E-2</v>
      </c>
      <c r="F6232">
        <v>4.6199999999999998E-2</v>
      </c>
    </row>
    <row r="6233" spans="1:6" x14ac:dyDescent="0.3">
      <c r="A6233" t="s">
        <v>6268</v>
      </c>
      <c r="B6233" t="s">
        <v>71</v>
      </c>
      <c r="C6233">
        <v>386000</v>
      </c>
      <c r="D6233">
        <v>7365.4</v>
      </c>
      <c r="E6233">
        <v>3.6999999999999998E-2</v>
      </c>
      <c r="F6233">
        <v>7.5899999999999995E-2</v>
      </c>
    </row>
    <row r="6234" spans="1:6" x14ac:dyDescent="0.3">
      <c r="A6234" t="s">
        <v>6269</v>
      </c>
      <c r="B6234" t="s">
        <v>26</v>
      </c>
      <c r="C6234">
        <v>329000</v>
      </c>
      <c r="D6234">
        <v>253835.8</v>
      </c>
      <c r="E6234">
        <v>5.21E-2</v>
      </c>
      <c r="F6234">
        <v>9.5100000000000004E-2</v>
      </c>
    </row>
    <row r="6235" spans="1:6" x14ac:dyDescent="0.3">
      <c r="A6235" t="s">
        <v>6270</v>
      </c>
      <c r="B6235" t="s">
        <v>24</v>
      </c>
      <c r="C6235">
        <v>497000</v>
      </c>
      <c r="D6235">
        <v>2036191.3</v>
      </c>
      <c r="E6235">
        <v>2.9100000000000001E-2</v>
      </c>
      <c r="F6235">
        <v>9.5100000000000004E-2</v>
      </c>
    </row>
    <row r="6236" spans="1:6" x14ac:dyDescent="0.3">
      <c r="A6236" t="s">
        <v>6271</v>
      </c>
      <c r="B6236" t="s">
        <v>287</v>
      </c>
      <c r="C6236">
        <v>347000</v>
      </c>
      <c r="D6236">
        <v>71898.2</v>
      </c>
      <c r="E6236">
        <v>2.6100000000000002E-2</v>
      </c>
      <c r="F6236">
        <v>4.0899999999999999E-2</v>
      </c>
    </row>
    <row r="6237" spans="1:6" x14ac:dyDescent="0.3">
      <c r="A6237" t="s">
        <v>6272</v>
      </c>
      <c r="B6237" t="s">
        <v>195</v>
      </c>
      <c r="C6237">
        <v>345000</v>
      </c>
      <c r="D6237">
        <v>1142.3</v>
      </c>
      <c r="E6237">
        <v>1.7100000000000001E-2</v>
      </c>
      <c r="F6237">
        <v>4.6199999999999998E-2</v>
      </c>
    </row>
    <row r="6238" spans="1:6" x14ac:dyDescent="0.3">
      <c r="A6238" t="s">
        <v>6273</v>
      </c>
      <c r="B6238" t="s">
        <v>24</v>
      </c>
      <c r="C6238">
        <v>515000</v>
      </c>
      <c r="D6238">
        <v>29182</v>
      </c>
      <c r="E6238">
        <v>4.07E-2</v>
      </c>
      <c r="F6238">
        <v>7.5899999999999995E-2</v>
      </c>
    </row>
    <row r="6239" spans="1:6" x14ac:dyDescent="0.3">
      <c r="A6239" t="s">
        <v>6274</v>
      </c>
      <c r="B6239" t="s">
        <v>41</v>
      </c>
      <c r="C6239">
        <v>364000</v>
      </c>
      <c r="D6239">
        <v>601.20000000000005</v>
      </c>
      <c r="E6239">
        <v>2.4899999999999999E-2</v>
      </c>
      <c r="F6239">
        <v>0.13719999999999999</v>
      </c>
    </row>
    <row r="6240" spans="1:6" x14ac:dyDescent="0.3">
      <c r="A6240" t="s">
        <v>6275</v>
      </c>
      <c r="B6240" t="s">
        <v>41</v>
      </c>
      <c r="C6240">
        <v>683000</v>
      </c>
      <c r="D6240">
        <v>8774.2000000000007</v>
      </c>
      <c r="E6240">
        <v>4.8599999999999997E-2</v>
      </c>
      <c r="F6240">
        <v>9.3799999999999994E-2</v>
      </c>
    </row>
    <row r="6241" spans="1:6" x14ac:dyDescent="0.3">
      <c r="A6241" t="s">
        <v>6276</v>
      </c>
      <c r="B6241" t="s">
        <v>41</v>
      </c>
      <c r="C6241">
        <v>417000</v>
      </c>
      <c r="D6241">
        <v>3133.1</v>
      </c>
      <c r="E6241">
        <v>2.76E-2</v>
      </c>
      <c r="F6241">
        <v>9.5100000000000004E-2</v>
      </c>
    </row>
    <row r="6242" spans="1:6" x14ac:dyDescent="0.3">
      <c r="A6242" t="s">
        <v>6277</v>
      </c>
      <c r="B6242" t="s">
        <v>92</v>
      </c>
      <c r="C6242">
        <v>458000</v>
      </c>
      <c r="D6242">
        <v>180168.7</v>
      </c>
      <c r="E6242">
        <v>2.5499999999999998E-2</v>
      </c>
      <c r="F6242">
        <v>7.5899999999999995E-2</v>
      </c>
    </row>
    <row r="6243" spans="1:6" x14ac:dyDescent="0.3">
      <c r="A6243" t="s">
        <v>6278</v>
      </c>
      <c r="B6243" t="s">
        <v>41</v>
      </c>
      <c r="C6243">
        <v>504000</v>
      </c>
      <c r="D6243">
        <v>36401</v>
      </c>
      <c r="E6243">
        <v>3.6900000000000002E-2</v>
      </c>
      <c r="F6243">
        <v>9.3799999999999994E-2</v>
      </c>
    </row>
    <row r="6244" spans="1:6" x14ac:dyDescent="0.3">
      <c r="A6244" t="s">
        <v>6279</v>
      </c>
      <c r="B6244" t="s">
        <v>26</v>
      </c>
      <c r="C6244">
        <v>438000</v>
      </c>
      <c r="D6244">
        <v>10050.4</v>
      </c>
      <c r="E6244">
        <v>7.5700000000000003E-2</v>
      </c>
      <c r="F6244">
        <v>7.5899999999999995E-2</v>
      </c>
    </row>
    <row r="6245" spans="1:6" x14ac:dyDescent="0.3">
      <c r="A6245" t="s">
        <v>6280</v>
      </c>
      <c r="B6245" t="s">
        <v>92</v>
      </c>
      <c r="C6245">
        <v>1480000</v>
      </c>
      <c r="D6245">
        <v>339873.1</v>
      </c>
      <c r="E6245">
        <v>1.5299999999999999E-2</v>
      </c>
      <c r="F6245">
        <v>4.6199999999999998E-2</v>
      </c>
    </row>
    <row r="6246" spans="1:6" x14ac:dyDescent="0.3">
      <c r="A6246" t="s">
        <v>6281</v>
      </c>
      <c r="B6246" t="s">
        <v>62</v>
      </c>
      <c r="C6246">
        <v>362000</v>
      </c>
      <c r="D6246">
        <v>139578.1</v>
      </c>
      <c r="E6246">
        <v>4.1200000000000001E-2</v>
      </c>
      <c r="F6246">
        <v>5.1799999999999999E-2</v>
      </c>
    </row>
    <row r="6247" spans="1:6" x14ac:dyDescent="0.3">
      <c r="A6247" t="s">
        <v>6282</v>
      </c>
      <c r="B6247" t="s">
        <v>214</v>
      </c>
      <c r="C6247">
        <v>337000</v>
      </c>
      <c r="D6247">
        <v>249564.5</v>
      </c>
      <c r="E6247">
        <v>4.7500000000000001E-2</v>
      </c>
      <c r="F6247">
        <v>9.5100000000000004E-2</v>
      </c>
    </row>
    <row r="6248" spans="1:6" x14ac:dyDescent="0.3">
      <c r="A6248" t="s">
        <v>6283</v>
      </c>
      <c r="B6248" t="s">
        <v>62</v>
      </c>
      <c r="C6248">
        <v>331000</v>
      </c>
      <c r="D6248">
        <v>1796.1</v>
      </c>
      <c r="E6248">
        <v>3.6200000000000003E-2</v>
      </c>
      <c r="F6248">
        <v>5.1799999999999999E-2</v>
      </c>
    </row>
    <row r="6249" spans="1:6" x14ac:dyDescent="0.3">
      <c r="A6249" t="s">
        <v>6284</v>
      </c>
      <c r="B6249" t="s">
        <v>88</v>
      </c>
      <c r="C6249">
        <v>448000</v>
      </c>
      <c r="D6249">
        <v>54070.400000000001</v>
      </c>
      <c r="E6249">
        <v>7.4999999999999997E-2</v>
      </c>
      <c r="F6249">
        <v>7.5899999999999995E-2</v>
      </c>
    </row>
    <row r="6250" spans="1:6" x14ac:dyDescent="0.3">
      <c r="A6250" t="s">
        <v>6285</v>
      </c>
      <c r="B6250" t="s">
        <v>74</v>
      </c>
      <c r="C6250">
        <v>719000</v>
      </c>
      <c r="D6250">
        <v>16223.9</v>
      </c>
      <c r="E6250">
        <v>0.03</v>
      </c>
      <c r="F6250">
        <v>7.5899999999999995E-2</v>
      </c>
    </row>
    <row r="6251" spans="1:6" x14ac:dyDescent="0.3">
      <c r="A6251" t="s">
        <v>6286</v>
      </c>
      <c r="B6251" t="s">
        <v>30</v>
      </c>
      <c r="C6251">
        <v>350000</v>
      </c>
      <c r="D6251">
        <v>27614.7</v>
      </c>
      <c r="E6251">
        <v>3.8399999999999997E-2</v>
      </c>
      <c r="F6251">
        <v>7.5899999999999995E-2</v>
      </c>
    </row>
    <row r="6252" spans="1:6" x14ac:dyDescent="0.3">
      <c r="A6252" t="s">
        <v>6287</v>
      </c>
      <c r="B6252" t="s">
        <v>214</v>
      </c>
      <c r="C6252">
        <v>141000</v>
      </c>
      <c r="D6252">
        <v>19532</v>
      </c>
      <c r="E6252">
        <v>9.1999999999999998E-2</v>
      </c>
      <c r="F6252">
        <v>9.5100000000000004E-2</v>
      </c>
    </row>
    <row r="6253" spans="1:6" x14ac:dyDescent="0.3">
      <c r="A6253" t="s">
        <v>6288</v>
      </c>
      <c r="B6253" t="s">
        <v>88</v>
      </c>
      <c r="C6253">
        <v>356000</v>
      </c>
      <c r="D6253">
        <v>4234.7</v>
      </c>
      <c r="E6253">
        <v>1.5800000000000002E-2</v>
      </c>
      <c r="F6253">
        <v>8.5400000000000004E-2</v>
      </c>
    </row>
    <row r="6254" spans="1:6" x14ac:dyDescent="0.3">
      <c r="A6254" t="s">
        <v>6289</v>
      </c>
      <c r="B6254" t="s">
        <v>62</v>
      </c>
      <c r="C6254">
        <v>335000</v>
      </c>
      <c r="D6254">
        <v>11038.3</v>
      </c>
      <c r="E6254">
        <v>6.7599999999999993E-2</v>
      </c>
      <c r="F6254">
        <v>9.5100000000000004E-2</v>
      </c>
    </row>
    <row r="6255" spans="1:6" x14ac:dyDescent="0.3">
      <c r="A6255" t="s">
        <v>6290</v>
      </c>
      <c r="B6255" t="s">
        <v>24</v>
      </c>
      <c r="C6255">
        <v>433000</v>
      </c>
      <c r="D6255">
        <v>1780.2</v>
      </c>
      <c r="E6255">
        <v>5.1999999999999998E-3</v>
      </c>
      <c r="F6255">
        <v>8.1100000000000005E-2</v>
      </c>
    </row>
    <row r="6256" spans="1:6" x14ac:dyDescent="0.3">
      <c r="A6256" t="s">
        <v>6291</v>
      </c>
      <c r="B6256" t="s">
        <v>26</v>
      </c>
      <c r="C6256">
        <v>712000</v>
      </c>
      <c r="D6256">
        <v>40705.1</v>
      </c>
      <c r="E6256">
        <v>1.55E-2</v>
      </c>
      <c r="F6256">
        <v>0.13270000000000001</v>
      </c>
    </row>
    <row r="6257" spans="1:6" x14ac:dyDescent="0.3">
      <c r="A6257" t="s">
        <v>6292</v>
      </c>
      <c r="B6257" t="s">
        <v>50</v>
      </c>
      <c r="C6257">
        <v>540000</v>
      </c>
      <c r="D6257">
        <v>22761.599999999999</v>
      </c>
      <c r="F6257">
        <v>9.5100000000000004E-2</v>
      </c>
    </row>
    <row r="6258" spans="1:6" x14ac:dyDescent="0.3">
      <c r="A6258" t="s">
        <v>6293</v>
      </c>
      <c r="B6258" t="s">
        <v>71</v>
      </c>
      <c r="C6258">
        <v>444000</v>
      </c>
      <c r="D6258">
        <v>26278.7</v>
      </c>
      <c r="E6258">
        <v>6.4699999999999994E-2</v>
      </c>
      <c r="F6258">
        <v>7.5899999999999995E-2</v>
      </c>
    </row>
    <row r="6259" spans="1:6" x14ac:dyDescent="0.3">
      <c r="A6259" t="s">
        <v>6294</v>
      </c>
      <c r="B6259" t="s">
        <v>32</v>
      </c>
      <c r="C6259">
        <v>445000</v>
      </c>
      <c r="D6259">
        <v>2425</v>
      </c>
      <c r="E6259">
        <v>3.09E-2</v>
      </c>
      <c r="F6259">
        <v>5.3800000000000001E-2</v>
      </c>
    </row>
    <row r="6260" spans="1:6" x14ac:dyDescent="0.3">
      <c r="A6260" t="s">
        <v>6295</v>
      </c>
      <c r="B6260" t="s">
        <v>26</v>
      </c>
      <c r="C6260">
        <v>335000</v>
      </c>
      <c r="D6260">
        <v>41385.699999999997</v>
      </c>
      <c r="E6260">
        <v>8.8900000000000007E-2</v>
      </c>
      <c r="F6260">
        <v>9.5100000000000004E-2</v>
      </c>
    </row>
    <row r="6261" spans="1:6" x14ac:dyDescent="0.3">
      <c r="A6261" t="s">
        <v>6296</v>
      </c>
      <c r="B6261" t="s">
        <v>53</v>
      </c>
      <c r="C6261">
        <v>352000</v>
      </c>
      <c r="D6261">
        <v>17143.099999999999</v>
      </c>
      <c r="E6261">
        <v>4.9500000000000002E-2</v>
      </c>
      <c r="F6261">
        <v>9.3799999999999994E-2</v>
      </c>
    </row>
    <row r="6262" spans="1:6" x14ac:dyDescent="0.3">
      <c r="A6262" t="s">
        <v>6297</v>
      </c>
      <c r="B6262" t="s">
        <v>214</v>
      </c>
      <c r="C6262">
        <v>408000</v>
      </c>
      <c r="D6262">
        <v>8480.2999999999993</v>
      </c>
      <c r="E6262">
        <v>4.7399999999999998E-2</v>
      </c>
      <c r="F6262">
        <v>9.5100000000000004E-2</v>
      </c>
    </row>
    <row r="6263" spans="1:6" x14ac:dyDescent="0.3">
      <c r="A6263" t="s">
        <v>6298</v>
      </c>
      <c r="B6263" t="s">
        <v>74</v>
      </c>
      <c r="C6263">
        <v>570000</v>
      </c>
      <c r="D6263">
        <v>93951.2</v>
      </c>
      <c r="E6263">
        <v>2.4799999999999999E-2</v>
      </c>
      <c r="F6263">
        <v>9.5100000000000004E-2</v>
      </c>
    </row>
    <row r="6264" spans="1:6" x14ac:dyDescent="0.3">
      <c r="A6264" t="s">
        <v>6299</v>
      </c>
      <c r="B6264" t="s">
        <v>88</v>
      </c>
      <c r="C6264">
        <v>616000</v>
      </c>
      <c r="D6264">
        <v>4467.5</v>
      </c>
      <c r="E6264">
        <v>6.1699999999999998E-2</v>
      </c>
      <c r="F6264">
        <v>7.5899999999999995E-2</v>
      </c>
    </row>
    <row r="6265" spans="1:6" x14ac:dyDescent="0.3">
      <c r="A6265" t="s">
        <v>6300</v>
      </c>
      <c r="B6265" t="s">
        <v>26</v>
      </c>
      <c r="C6265">
        <v>431000</v>
      </c>
      <c r="D6265">
        <v>7534.2</v>
      </c>
      <c r="E6265">
        <v>4.7100000000000003E-2</v>
      </c>
      <c r="F6265">
        <v>9.5100000000000004E-2</v>
      </c>
    </row>
    <row r="6266" spans="1:6" x14ac:dyDescent="0.3">
      <c r="A6266" t="s">
        <v>6301</v>
      </c>
      <c r="B6266" t="s">
        <v>62</v>
      </c>
      <c r="C6266">
        <v>416000</v>
      </c>
      <c r="D6266">
        <v>4156.8</v>
      </c>
      <c r="E6266">
        <v>9.5999999999999992E-3</v>
      </c>
      <c r="F6266">
        <v>8.1100000000000005E-2</v>
      </c>
    </row>
    <row r="6267" spans="1:6" x14ac:dyDescent="0.3">
      <c r="A6267" t="s">
        <v>6302</v>
      </c>
      <c r="B6267" t="s">
        <v>41</v>
      </c>
      <c r="C6267">
        <v>648000</v>
      </c>
      <c r="D6267">
        <v>17956.099999999999</v>
      </c>
      <c r="E6267">
        <v>2.4299999999999999E-2</v>
      </c>
      <c r="F6267">
        <v>0.1053</v>
      </c>
    </row>
    <row r="6268" spans="1:6" x14ac:dyDescent="0.3">
      <c r="A6268" t="s">
        <v>6303</v>
      </c>
      <c r="B6268" t="s">
        <v>26</v>
      </c>
      <c r="C6268">
        <v>383000</v>
      </c>
      <c r="D6268">
        <v>758.8</v>
      </c>
      <c r="E6268">
        <v>6.3200000000000006E-2</v>
      </c>
      <c r="F6268">
        <v>0.1454</v>
      </c>
    </row>
    <row r="6269" spans="1:6" x14ac:dyDescent="0.3">
      <c r="A6269" t="s">
        <v>6304</v>
      </c>
      <c r="B6269" t="s">
        <v>26</v>
      </c>
      <c r="C6269">
        <v>473000</v>
      </c>
      <c r="D6269">
        <v>1588.3</v>
      </c>
      <c r="E6269">
        <v>1.03E-2</v>
      </c>
      <c r="F6269">
        <v>8.1100000000000005E-2</v>
      </c>
    </row>
    <row r="6270" spans="1:6" x14ac:dyDescent="0.3">
      <c r="A6270" t="s">
        <v>6305</v>
      </c>
      <c r="B6270" t="s">
        <v>214</v>
      </c>
      <c r="C6270">
        <v>352000</v>
      </c>
      <c r="D6270">
        <v>19855</v>
      </c>
      <c r="E6270">
        <v>2.41E-2</v>
      </c>
      <c r="F6270">
        <v>4.0899999999999999E-2</v>
      </c>
    </row>
    <row r="6271" spans="1:6" x14ac:dyDescent="0.3">
      <c r="A6271" t="s">
        <v>6306</v>
      </c>
      <c r="B6271" t="s">
        <v>32</v>
      </c>
      <c r="C6271">
        <v>473000</v>
      </c>
      <c r="D6271">
        <v>7785.3</v>
      </c>
      <c r="E6271">
        <v>1.1599999999999999E-2</v>
      </c>
      <c r="F6271">
        <v>6.54E-2</v>
      </c>
    </row>
    <row r="6272" spans="1:6" x14ac:dyDescent="0.3">
      <c r="A6272" t="s">
        <v>6307</v>
      </c>
      <c r="B6272" t="s">
        <v>74</v>
      </c>
      <c r="C6272">
        <v>343000</v>
      </c>
      <c r="D6272">
        <v>5966.3</v>
      </c>
      <c r="E6272">
        <v>2.53E-2</v>
      </c>
      <c r="F6272">
        <v>9.5100000000000004E-2</v>
      </c>
    </row>
    <row r="6273" spans="1:6" x14ac:dyDescent="0.3">
      <c r="A6273" t="s">
        <v>6308</v>
      </c>
      <c r="B6273" t="s">
        <v>88</v>
      </c>
      <c r="C6273">
        <v>346000</v>
      </c>
      <c r="D6273">
        <v>714</v>
      </c>
      <c r="E6273">
        <v>6.5600000000000006E-2</v>
      </c>
      <c r="F6273">
        <v>9.3799999999999994E-2</v>
      </c>
    </row>
    <row r="6274" spans="1:6" x14ac:dyDescent="0.3">
      <c r="A6274" t="s">
        <v>6309</v>
      </c>
      <c r="B6274" t="s">
        <v>62</v>
      </c>
      <c r="C6274">
        <v>598000</v>
      </c>
      <c r="D6274">
        <v>14101.2</v>
      </c>
      <c r="E6274">
        <v>3.85E-2</v>
      </c>
      <c r="F6274">
        <v>8.4500000000000006E-2</v>
      </c>
    </row>
    <row r="6275" spans="1:6" x14ac:dyDescent="0.3">
      <c r="A6275" t="s">
        <v>6310</v>
      </c>
      <c r="B6275" t="s">
        <v>26</v>
      </c>
      <c r="C6275">
        <v>457000</v>
      </c>
      <c r="D6275">
        <v>3077.4</v>
      </c>
      <c r="E6275">
        <v>2.07E-2</v>
      </c>
      <c r="F6275">
        <v>5.7599999999999998E-2</v>
      </c>
    </row>
    <row r="6276" spans="1:6" x14ac:dyDescent="0.3">
      <c r="A6276" t="s">
        <v>6311</v>
      </c>
      <c r="B6276" t="s">
        <v>28</v>
      </c>
      <c r="C6276">
        <v>488000</v>
      </c>
      <c r="D6276">
        <v>10412.9</v>
      </c>
      <c r="E6276">
        <v>2.9499999999999998E-2</v>
      </c>
      <c r="F6276">
        <v>7.5899999999999995E-2</v>
      </c>
    </row>
    <row r="6277" spans="1:6" x14ac:dyDescent="0.3">
      <c r="A6277" t="s">
        <v>6312</v>
      </c>
      <c r="B6277" t="s">
        <v>92</v>
      </c>
      <c r="C6277">
        <v>338000</v>
      </c>
      <c r="D6277">
        <v>127259.5</v>
      </c>
      <c r="E6277">
        <v>2.9899999999999999E-2</v>
      </c>
      <c r="F6277">
        <v>5.1799999999999999E-2</v>
      </c>
    </row>
    <row r="6278" spans="1:6" x14ac:dyDescent="0.3">
      <c r="A6278" t="s">
        <v>6313</v>
      </c>
      <c r="B6278" t="s">
        <v>53</v>
      </c>
      <c r="C6278">
        <v>888000</v>
      </c>
      <c r="D6278">
        <v>1603144.3</v>
      </c>
      <c r="E6278">
        <v>1.0200000000000001E-2</v>
      </c>
      <c r="F6278">
        <v>8.2199999999999995E-2</v>
      </c>
    </row>
    <row r="6279" spans="1:6" x14ac:dyDescent="0.3">
      <c r="A6279" t="s">
        <v>6314</v>
      </c>
      <c r="B6279" t="s">
        <v>26</v>
      </c>
      <c r="C6279">
        <v>656000</v>
      </c>
      <c r="D6279">
        <v>56812.6</v>
      </c>
      <c r="E6279">
        <v>5.7599999999999998E-2</v>
      </c>
      <c r="F6279">
        <v>7.5899999999999995E-2</v>
      </c>
    </row>
    <row r="6280" spans="1:6" x14ac:dyDescent="0.3">
      <c r="A6280" t="s">
        <v>6315</v>
      </c>
      <c r="B6280" t="s">
        <v>74</v>
      </c>
      <c r="C6280">
        <v>629000</v>
      </c>
      <c r="D6280">
        <v>15712.6</v>
      </c>
      <c r="E6280">
        <v>1.9199999999999998E-2</v>
      </c>
      <c r="F6280">
        <v>5.7599999999999998E-2</v>
      </c>
    </row>
    <row r="6281" spans="1:6" x14ac:dyDescent="0.3">
      <c r="A6281" t="s">
        <v>6316</v>
      </c>
      <c r="B6281" t="s">
        <v>26</v>
      </c>
      <c r="C6281">
        <v>365000</v>
      </c>
      <c r="D6281">
        <v>25656.799999999999</v>
      </c>
      <c r="E6281">
        <v>1.43E-2</v>
      </c>
      <c r="F6281">
        <v>5.7599999999999998E-2</v>
      </c>
    </row>
    <row r="6282" spans="1:6" x14ac:dyDescent="0.3">
      <c r="A6282" t="s">
        <v>6317</v>
      </c>
      <c r="B6282" t="s">
        <v>74</v>
      </c>
      <c r="C6282">
        <v>405000</v>
      </c>
      <c r="D6282">
        <v>2591.9</v>
      </c>
      <c r="E6282">
        <v>6.7400000000000002E-2</v>
      </c>
      <c r="F6282">
        <v>9.5100000000000004E-2</v>
      </c>
    </row>
    <row r="6283" spans="1:6" x14ac:dyDescent="0.3">
      <c r="A6283" t="s">
        <v>6318</v>
      </c>
      <c r="B6283" t="s">
        <v>53</v>
      </c>
      <c r="C6283">
        <v>732000</v>
      </c>
      <c r="D6283">
        <v>1380.8</v>
      </c>
      <c r="E6283">
        <v>9.7000000000000003E-3</v>
      </c>
      <c r="F6283">
        <v>6.54E-2</v>
      </c>
    </row>
    <row r="6284" spans="1:6" x14ac:dyDescent="0.3">
      <c r="A6284" t="s">
        <v>6319</v>
      </c>
      <c r="B6284" t="s">
        <v>26</v>
      </c>
      <c r="C6284">
        <v>1270000</v>
      </c>
      <c r="D6284">
        <v>49618.7</v>
      </c>
      <c r="E6284">
        <v>4.4999999999999997E-3</v>
      </c>
      <c r="F6284">
        <v>8.1100000000000005E-2</v>
      </c>
    </row>
    <row r="6285" spans="1:6" x14ac:dyDescent="0.3">
      <c r="A6285" t="s">
        <v>6320</v>
      </c>
      <c r="B6285" t="s">
        <v>88</v>
      </c>
      <c r="C6285">
        <v>953000</v>
      </c>
      <c r="D6285">
        <v>2970.4</v>
      </c>
      <c r="E6285">
        <v>9.5100000000000004E-2</v>
      </c>
      <c r="F6285">
        <v>9.3799999999999994E-2</v>
      </c>
    </row>
    <row r="6286" spans="1:6" x14ac:dyDescent="0.3">
      <c r="A6286" t="s">
        <v>6321</v>
      </c>
      <c r="B6286" t="s">
        <v>26</v>
      </c>
      <c r="C6286">
        <v>388000</v>
      </c>
      <c r="D6286">
        <v>82223</v>
      </c>
      <c r="E6286">
        <v>5.7799999999999997E-2</v>
      </c>
      <c r="F6286">
        <v>9.5100000000000004E-2</v>
      </c>
    </row>
    <row r="6287" spans="1:6" x14ac:dyDescent="0.3">
      <c r="A6287" t="s">
        <v>6322</v>
      </c>
      <c r="B6287" t="s">
        <v>53</v>
      </c>
      <c r="C6287">
        <v>430000</v>
      </c>
      <c r="F6287">
        <v>7.5899999999999995E-2</v>
      </c>
    </row>
    <row r="6288" spans="1:6" x14ac:dyDescent="0.3">
      <c r="A6288" t="s">
        <v>6323</v>
      </c>
      <c r="B6288" t="s">
        <v>195</v>
      </c>
      <c r="C6288">
        <v>472000</v>
      </c>
      <c r="D6288">
        <v>22315.200000000001</v>
      </c>
      <c r="E6288">
        <v>7.9200000000000007E-2</v>
      </c>
      <c r="F6288">
        <v>9.3799999999999994E-2</v>
      </c>
    </row>
    <row r="6289" spans="1:6" x14ac:dyDescent="0.3">
      <c r="A6289" t="s">
        <v>6324</v>
      </c>
      <c r="B6289" t="s">
        <v>62</v>
      </c>
      <c r="C6289">
        <v>792000</v>
      </c>
      <c r="D6289">
        <v>3845.6</v>
      </c>
      <c r="E6289">
        <v>1.9E-2</v>
      </c>
      <c r="F6289">
        <v>4.6199999999999998E-2</v>
      </c>
    </row>
    <row r="6290" spans="1:6" x14ac:dyDescent="0.3">
      <c r="A6290" t="s">
        <v>6325</v>
      </c>
      <c r="B6290" t="s">
        <v>88</v>
      </c>
      <c r="C6290">
        <v>334000</v>
      </c>
      <c r="D6290">
        <v>446.9</v>
      </c>
      <c r="E6290">
        <v>2.2100000000000002E-2</v>
      </c>
      <c r="F6290">
        <v>6.4399999999999999E-2</v>
      </c>
    </row>
    <row r="6291" spans="1:6" x14ac:dyDescent="0.3">
      <c r="A6291" t="s">
        <v>6326</v>
      </c>
      <c r="B6291" t="s">
        <v>74</v>
      </c>
      <c r="C6291">
        <v>349000</v>
      </c>
      <c r="D6291">
        <v>1100.8</v>
      </c>
      <c r="E6291">
        <v>1.6799999999999999E-2</v>
      </c>
      <c r="F6291">
        <v>0.1067</v>
      </c>
    </row>
    <row r="6292" spans="1:6" x14ac:dyDescent="0.3">
      <c r="A6292" t="s">
        <v>6327</v>
      </c>
      <c r="B6292" t="s">
        <v>24</v>
      </c>
      <c r="C6292">
        <v>542000</v>
      </c>
      <c r="D6292">
        <v>4527.3999999999996</v>
      </c>
      <c r="E6292">
        <v>4.6699999999999998E-2</v>
      </c>
      <c r="F6292">
        <v>7.5899999999999995E-2</v>
      </c>
    </row>
    <row r="6293" spans="1:6" x14ac:dyDescent="0.3">
      <c r="A6293" t="s">
        <v>6328</v>
      </c>
      <c r="B6293" t="s">
        <v>26</v>
      </c>
      <c r="C6293">
        <v>977000</v>
      </c>
      <c r="D6293">
        <v>3422.6</v>
      </c>
      <c r="E6293">
        <v>1.01E-2</v>
      </c>
      <c r="F6293">
        <v>8.1100000000000005E-2</v>
      </c>
    </row>
    <row r="6294" spans="1:6" x14ac:dyDescent="0.3">
      <c r="A6294" t="s">
        <v>6329</v>
      </c>
      <c r="B6294" t="s">
        <v>30</v>
      </c>
      <c r="C6294">
        <v>332000</v>
      </c>
      <c r="D6294">
        <v>78805.399999999994</v>
      </c>
      <c r="E6294">
        <v>2.4299999999999999E-2</v>
      </c>
      <c r="F6294">
        <v>5.1799999999999999E-2</v>
      </c>
    </row>
    <row r="6295" spans="1:6" x14ac:dyDescent="0.3">
      <c r="A6295" t="s">
        <v>6330</v>
      </c>
      <c r="B6295" t="s">
        <v>26</v>
      </c>
      <c r="C6295">
        <v>476000</v>
      </c>
      <c r="D6295">
        <v>226000.8</v>
      </c>
      <c r="E6295">
        <v>1.95E-2</v>
      </c>
      <c r="F6295">
        <v>7.2599999999999998E-2</v>
      </c>
    </row>
    <row r="6296" spans="1:6" x14ac:dyDescent="0.3">
      <c r="A6296" t="s">
        <v>6331</v>
      </c>
      <c r="B6296" t="s">
        <v>92</v>
      </c>
      <c r="C6296">
        <v>383000</v>
      </c>
      <c r="D6296">
        <v>1104.5</v>
      </c>
      <c r="E6296">
        <v>2.9000000000000001E-2</v>
      </c>
      <c r="F6296">
        <v>7.5899999999999995E-2</v>
      </c>
    </row>
    <row r="6297" spans="1:6" x14ac:dyDescent="0.3">
      <c r="A6297" t="s">
        <v>6332</v>
      </c>
      <c r="B6297" t="s">
        <v>26</v>
      </c>
      <c r="C6297">
        <v>1150000</v>
      </c>
      <c r="D6297">
        <v>14443.8</v>
      </c>
      <c r="F6297">
        <v>5.0999999999999997E-2</v>
      </c>
    </row>
    <row r="6298" spans="1:6" x14ac:dyDescent="0.3">
      <c r="A6298" t="s">
        <v>6333</v>
      </c>
      <c r="B6298" t="s">
        <v>24</v>
      </c>
      <c r="C6298">
        <v>1110000</v>
      </c>
      <c r="D6298">
        <v>801696.1</v>
      </c>
      <c r="E6298">
        <v>2.6599999999999999E-2</v>
      </c>
      <c r="F6298">
        <v>7.5899999999999995E-2</v>
      </c>
    </row>
    <row r="6299" spans="1:6" x14ac:dyDescent="0.3">
      <c r="A6299" t="s">
        <v>6334</v>
      </c>
      <c r="B6299" t="s">
        <v>24</v>
      </c>
      <c r="C6299">
        <v>609000</v>
      </c>
      <c r="D6299">
        <v>702.4</v>
      </c>
      <c r="E6299">
        <v>1.23E-2</v>
      </c>
      <c r="F6299">
        <v>0.33900000000000002</v>
      </c>
    </row>
    <row r="6300" spans="1:6" x14ac:dyDescent="0.3">
      <c r="A6300" t="s">
        <v>6335</v>
      </c>
      <c r="B6300" t="s">
        <v>26</v>
      </c>
      <c r="C6300">
        <v>408000</v>
      </c>
      <c r="D6300">
        <v>116044.2</v>
      </c>
      <c r="E6300">
        <v>4.7300000000000002E-2</v>
      </c>
      <c r="F6300">
        <v>9.3799999999999994E-2</v>
      </c>
    </row>
    <row r="6301" spans="1:6" x14ac:dyDescent="0.3">
      <c r="A6301" t="s">
        <v>6336</v>
      </c>
      <c r="B6301" t="s">
        <v>88</v>
      </c>
      <c r="C6301">
        <v>440000</v>
      </c>
      <c r="D6301">
        <v>31822.799999999999</v>
      </c>
      <c r="E6301">
        <v>3.7400000000000003E-2</v>
      </c>
      <c r="F6301">
        <v>9.3799999999999994E-2</v>
      </c>
    </row>
    <row r="6302" spans="1:6" x14ac:dyDescent="0.3">
      <c r="A6302" t="s">
        <v>6337</v>
      </c>
      <c r="B6302" t="s">
        <v>41</v>
      </c>
      <c r="C6302">
        <v>1170000</v>
      </c>
      <c r="D6302">
        <v>3402.6</v>
      </c>
      <c r="E6302">
        <v>9.2999999999999992E-3</v>
      </c>
      <c r="F6302">
        <v>8.1100000000000005E-2</v>
      </c>
    </row>
    <row r="6303" spans="1:6" x14ac:dyDescent="0.3">
      <c r="A6303" t="s">
        <v>6338</v>
      </c>
      <c r="B6303" t="s">
        <v>214</v>
      </c>
      <c r="C6303">
        <v>762000</v>
      </c>
      <c r="D6303">
        <v>23968.9</v>
      </c>
      <c r="E6303">
        <v>2.6800000000000001E-2</v>
      </c>
      <c r="F6303">
        <v>5.4600000000000003E-2</v>
      </c>
    </row>
    <row r="6304" spans="1:6" x14ac:dyDescent="0.3">
      <c r="A6304" t="s">
        <v>6339</v>
      </c>
      <c r="B6304" t="s">
        <v>74</v>
      </c>
      <c r="C6304">
        <v>513000</v>
      </c>
      <c r="D6304">
        <v>5445.3</v>
      </c>
      <c r="E6304">
        <v>4.6199999999999998E-2</v>
      </c>
      <c r="F6304">
        <v>7.5899999999999995E-2</v>
      </c>
    </row>
    <row r="6305" spans="1:6" x14ac:dyDescent="0.3">
      <c r="A6305" t="s">
        <v>6340</v>
      </c>
      <c r="B6305" t="s">
        <v>92</v>
      </c>
      <c r="C6305">
        <v>339000</v>
      </c>
      <c r="D6305">
        <v>51170.6</v>
      </c>
      <c r="E6305">
        <v>1.04E-2</v>
      </c>
      <c r="F6305">
        <v>7.3599999999999999E-2</v>
      </c>
    </row>
    <row r="6306" spans="1:6" x14ac:dyDescent="0.3">
      <c r="A6306" t="s">
        <v>6341</v>
      </c>
      <c r="B6306" t="s">
        <v>26</v>
      </c>
      <c r="C6306">
        <v>614000</v>
      </c>
      <c r="D6306">
        <v>1099932.7</v>
      </c>
      <c r="E6306">
        <v>3.6400000000000002E-2</v>
      </c>
      <c r="F6306">
        <v>4.0899999999999999E-2</v>
      </c>
    </row>
    <row r="6307" spans="1:6" x14ac:dyDescent="0.3">
      <c r="A6307" t="s">
        <v>6342</v>
      </c>
      <c r="B6307" t="s">
        <v>88</v>
      </c>
      <c r="C6307">
        <v>336000</v>
      </c>
      <c r="D6307">
        <v>691.8</v>
      </c>
      <c r="E6307">
        <v>8.6E-3</v>
      </c>
      <c r="F6307">
        <v>0.22700000000000001</v>
      </c>
    </row>
    <row r="6308" spans="1:6" x14ac:dyDescent="0.3">
      <c r="A6308" t="s">
        <v>6343</v>
      </c>
      <c r="B6308" t="s">
        <v>88</v>
      </c>
      <c r="C6308">
        <v>429000</v>
      </c>
      <c r="D6308">
        <v>3308.6</v>
      </c>
      <c r="E6308">
        <v>3.1899999999999998E-2</v>
      </c>
      <c r="F6308">
        <v>9.3799999999999994E-2</v>
      </c>
    </row>
    <row r="6309" spans="1:6" x14ac:dyDescent="0.3">
      <c r="A6309" t="s">
        <v>6344</v>
      </c>
      <c r="B6309" t="s">
        <v>35</v>
      </c>
      <c r="C6309">
        <v>456000</v>
      </c>
      <c r="D6309">
        <v>187364.2</v>
      </c>
      <c r="E6309">
        <v>2.6800000000000001E-2</v>
      </c>
      <c r="F6309">
        <v>8.4500000000000006E-2</v>
      </c>
    </row>
    <row r="6310" spans="1:6" x14ac:dyDescent="0.3">
      <c r="A6310" t="s">
        <v>6345</v>
      </c>
      <c r="B6310" t="s">
        <v>195</v>
      </c>
      <c r="C6310">
        <v>412000</v>
      </c>
      <c r="F6310">
        <v>7.5899999999999995E-2</v>
      </c>
    </row>
    <row r="6311" spans="1:6" x14ac:dyDescent="0.3">
      <c r="A6311" t="s">
        <v>6346</v>
      </c>
      <c r="B6311" t="s">
        <v>88</v>
      </c>
      <c r="C6311">
        <v>585000</v>
      </c>
      <c r="D6311">
        <v>34217.599999999999</v>
      </c>
      <c r="E6311">
        <v>1.77E-2</v>
      </c>
      <c r="F6311">
        <v>0.13100000000000001</v>
      </c>
    </row>
    <row r="6312" spans="1:6" x14ac:dyDescent="0.3">
      <c r="A6312" t="s">
        <v>6347</v>
      </c>
      <c r="B6312" t="s">
        <v>71</v>
      </c>
      <c r="C6312">
        <v>340000</v>
      </c>
      <c r="D6312">
        <v>36.299999999999997</v>
      </c>
      <c r="E6312">
        <v>1.38E-2</v>
      </c>
      <c r="F6312">
        <v>0.28070000000000001</v>
      </c>
    </row>
    <row r="6313" spans="1:6" x14ac:dyDescent="0.3">
      <c r="A6313" t="s">
        <v>6348</v>
      </c>
      <c r="B6313" t="s">
        <v>26</v>
      </c>
      <c r="C6313">
        <v>387000</v>
      </c>
      <c r="D6313">
        <v>13932.8</v>
      </c>
      <c r="E6313">
        <v>1.52E-2</v>
      </c>
      <c r="F6313">
        <v>4.6199999999999998E-2</v>
      </c>
    </row>
    <row r="6314" spans="1:6" x14ac:dyDescent="0.3">
      <c r="A6314" t="s">
        <v>6349</v>
      </c>
      <c r="B6314" t="s">
        <v>50</v>
      </c>
      <c r="C6314">
        <v>418000</v>
      </c>
      <c r="D6314">
        <v>59895.5</v>
      </c>
      <c r="E6314">
        <v>4.8500000000000001E-2</v>
      </c>
      <c r="F6314">
        <v>9.3799999999999994E-2</v>
      </c>
    </row>
    <row r="6315" spans="1:6" x14ac:dyDescent="0.3">
      <c r="A6315" t="s">
        <v>6350</v>
      </c>
      <c r="B6315" t="s">
        <v>53</v>
      </c>
      <c r="C6315">
        <v>353000</v>
      </c>
      <c r="D6315">
        <v>155670.79999999999</v>
      </c>
      <c r="E6315">
        <v>4.9200000000000001E-2</v>
      </c>
      <c r="F6315">
        <v>9.5100000000000004E-2</v>
      </c>
    </row>
    <row r="6316" spans="1:6" x14ac:dyDescent="0.3">
      <c r="A6316" t="s">
        <v>6351</v>
      </c>
      <c r="B6316" t="s">
        <v>74</v>
      </c>
      <c r="C6316">
        <v>396000</v>
      </c>
      <c r="D6316">
        <v>1329.8</v>
      </c>
      <c r="E6316">
        <v>6.8400000000000002E-2</v>
      </c>
      <c r="F6316">
        <v>0.3256</v>
      </c>
    </row>
    <row r="6317" spans="1:6" x14ac:dyDescent="0.3">
      <c r="A6317" t="s">
        <v>6352</v>
      </c>
      <c r="B6317" t="s">
        <v>21</v>
      </c>
      <c r="C6317">
        <v>725000</v>
      </c>
      <c r="D6317">
        <v>18503.8</v>
      </c>
      <c r="E6317">
        <v>7.4999999999999997E-3</v>
      </c>
      <c r="F6317">
        <v>8.1100000000000005E-2</v>
      </c>
    </row>
    <row r="6318" spans="1:6" x14ac:dyDescent="0.3">
      <c r="A6318" t="s">
        <v>6353</v>
      </c>
      <c r="B6318" t="s">
        <v>195</v>
      </c>
      <c r="C6318">
        <v>423000</v>
      </c>
      <c r="D6318">
        <v>27409.200000000001</v>
      </c>
      <c r="E6318">
        <v>1.89E-2</v>
      </c>
      <c r="F6318">
        <v>4.6199999999999998E-2</v>
      </c>
    </row>
    <row r="6319" spans="1:6" x14ac:dyDescent="0.3">
      <c r="A6319" t="s">
        <v>6354</v>
      </c>
      <c r="B6319" t="s">
        <v>88</v>
      </c>
      <c r="C6319">
        <v>356000</v>
      </c>
      <c r="D6319">
        <v>1792.6</v>
      </c>
      <c r="E6319">
        <v>6.1199999999999997E-2</v>
      </c>
      <c r="F6319">
        <v>9.5100000000000004E-2</v>
      </c>
    </row>
    <row r="6320" spans="1:6" x14ac:dyDescent="0.3">
      <c r="A6320" t="s">
        <v>6355</v>
      </c>
      <c r="B6320" t="s">
        <v>26</v>
      </c>
      <c r="C6320">
        <v>336000</v>
      </c>
      <c r="D6320">
        <v>15840.5</v>
      </c>
      <c r="E6320">
        <v>4.2299999999999997E-2</v>
      </c>
      <c r="F6320">
        <v>9.5100000000000004E-2</v>
      </c>
    </row>
    <row r="6321" spans="1:6" x14ac:dyDescent="0.3">
      <c r="A6321" t="s">
        <v>6356</v>
      </c>
      <c r="B6321" t="s">
        <v>26</v>
      </c>
      <c r="C6321">
        <v>334000</v>
      </c>
      <c r="D6321">
        <v>2799.3</v>
      </c>
      <c r="E6321">
        <v>1.52E-2</v>
      </c>
      <c r="F6321">
        <v>7.3599999999999999E-2</v>
      </c>
    </row>
    <row r="6322" spans="1:6" x14ac:dyDescent="0.3">
      <c r="A6322" t="s">
        <v>6357</v>
      </c>
      <c r="B6322" t="s">
        <v>41</v>
      </c>
      <c r="C6322">
        <v>360000</v>
      </c>
      <c r="D6322">
        <v>13544.2</v>
      </c>
      <c r="E6322">
        <v>9.3799999999999994E-2</v>
      </c>
      <c r="F6322">
        <v>9.3799999999999994E-2</v>
      </c>
    </row>
    <row r="6323" spans="1:6" x14ac:dyDescent="0.3">
      <c r="A6323" t="s">
        <v>6358</v>
      </c>
      <c r="B6323" t="s">
        <v>88</v>
      </c>
      <c r="C6323">
        <v>357000</v>
      </c>
      <c r="D6323">
        <v>309.3</v>
      </c>
      <c r="E6323">
        <v>1.3100000000000001E-2</v>
      </c>
      <c r="F6323">
        <v>4.6199999999999998E-2</v>
      </c>
    </row>
    <row r="6324" spans="1:6" x14ac:dyDescent="0.3">
      <c r="A6324" t="s">
        <v>6359</v>
      </c>
      <c r="B6324" t="s">
        <v>53</v>
      </c>
      <c r="C6324">
        <v>501000</v>
      </c>
      <c r="D6324">
        <v>5592.7</v>
      </c>
      <c r="E6324">
        <v>3.1099999999999999E-2</v>
      </c>
      <c r="F6324">
        <v>4.3200000000000002E-2</v>
      </c>
    </row>
    <row r="6325" spans="1:6" x14ac:dyDescent="0.3">
      <c r="A6325" t="s">
        <v>6360</v>
      </c>
      <c r="B6325" t="s">
        <v>88</v>
      </c>
      <c r="C6325">
        <v>336000</v>
      </c>
      <c r="D6325">
        <v>164.7</v>
      </c>
      <c r="E6325">
        <v>1.8800000000000001E-2</v>
      </c>
      <c r="F6325">
        <v>5.8500000000000003E-2</v>
      </c>
    </row>
    <row r="6326" spans="1:6" x14ac:dyDescent="0.3">
      <c r="A6326" t="s">
        <v>6361</v>
      </c>
      <c r="B6326" t="s">
        <v>214</v>
      </c>
      <c r="C6326">
        <v>336000</v>
      </c>
      <c r="D6326">
        <v>171.2</v>
      </c>
      <c r="E6326">
        <v>1.8700000000000001E-2</v>
      </c>
      <c r="F6326">
        <v>0.1709</v>
      </c>
    </row>
    <row r="6327" spans="1:6" x14ac:dyDescent="0.3">
      <c r="A6327" t="s">
        <v>6362</v>
      </c>
      <c r="B6327" t="s">
        <v>32</v>
      </c>
      <c r="C6327">
        <v>402000</v>
      </c>
      <c r="D6327">
        <v>36560.300000000003</v>
      </c>
      <c r="E6327">
        <v>2.6499999999999999E-2</v>
      </c>
      <c r="F6327">
        <v>5.1799999999999999E-2</v>
      </c>
    </row>
    <row r="6328" spans="1:6" x14ac:dyDescent="0.3">
      <c r="A6328" t="s">
        <v>6363</v>
      </c>
      <c r="B6328" t="s">
        <v>24</v>
      </c>
      <c r="C6328">
        <v>419000</v>
      </c>
      <c r="D6328">
        <v>10651.3</v>
      </c>
      <c r="E6328">
        <v>1.5800000000000002E-2</v>
      </c>
      <c r="F6328">
        <v>8.5400000000000004E-2</v>
      </c>
    </row>
    <row r="6329" spans="1:6" x14ac:dyDescent="0.3">
      <c r="A6329" t="s">
        <v>6364</v>
      </c>
      <c r="B6329" t="s">
        <v>24</v>
      </c>
      <c r="C6329">
        <v>338000</v>
      </c>
      <c r="D6329">
        <v>918.2</v>
      </c>
      <c r="E6329">
        <v>4.8300000000000003E-2</v>
      </c>
      <c r="F6329">
        <v>9.5100000000000004E-2</v>
      </c>
    </row>
    <row r="6330" spans="1:6" x14ac:dyDescent="0.3">
      <c r="A6330" t="s">
        <v>6365</v>
      </c>
      <c r="B6330" t="s">
        <v>53</v>
      </c>
      <c r="C6330">
        <v>667000</v>
      </c>
      <c r="D6330">
        <v>75707.399999999994</v>
      </c>
      <c r="E6330">
        <v>9.7000000000000003E-3</v>
      </c>
      <c r="F6330">
        <v>6.54E-2</v>
      </c>
    </row>
    <row r="6331" spans="1:6" x14ac:dyDescent="0.3">
      <c r="A6331" t="s">
        <v>6366</v>
      </c>
      <c r="B6331" t="s">
        <v>88</v>
      </c>
      <c r="C6331">
        <v>349000</v>
      </c>
      <c r="D6331">
        <v>9935.2000000000007</v>
      </c>
      <c r="E6331">
        <v>7.0699999999999999E-2</v>
      </c>
      <c r="F6331">
        <v>7.5899999999999995E-2</v>
      </c>
    </row>
    <row r="6332" spans="1:6" x14ac:dyDescent="0.3">
      <c r="A6332" t="s">
        <v>6367</v>
      </c>
      <c r="B6332" t="s">
        <v>287</v>
      </c>
      <c r="C6332">
        <v>426000</v>
      </c>
      <c r="D6332">
        <v>2968.7</v>
      </c>
      <c r="E6332">
        <v>1.2500000000000001E-2</v>
      </c>
      <c r="F6332">
        <v>9.4899999999999998E-2</v>
      </c>
    </row>
    <row r="6333" spans="1:6" x14ac:dyDescent="0.3">
      <c r="A6333" t="s">
        <v>6368</v>
      </c>
      <c r="B6333" t="s">
        <v>214</v>
      </c>
      <c r="C6333">
        <v>646000</v>
      </c>
      <c r="D6333">
        <v>7525</v>
      </c>
      <c r="E6333">
        <v>6.7999999999999996E-3</v>
      </c>
      <c r="F6333">
        <v>8.1100000000000005E-2</v>
      </c>
    </row>
    <row r="6334" spans="1:6" x14ac:dyDescent="0.3">
      <c r="A6334" t="s">
        <v>6369</v>
      </c>
      <c r="B6334" t="s">
        <v>92</v>
      </c>
      <c r="C6334">
        <v>679000</v>
      </c>
      <c r="D6334">
        <v>10212.299999999999</v>
      </c>
      <c r="E6334">
        <v>2.2700000000000001E-2</v>
      </c>
      <c r="F6334">
        <v>4.6199999999999998E-2</v>
      </c>
    </row>
    <row r="6335" spans="1:6" x14ac:dyDescent="0.3">
      <c r="A6335" t="s">
        <v>6370</v>
      </c>
      <c r="B6335" t="s">
        <v>24</v>
      </c>
      <c r="C6335">
        <v>457000</v>
      </c>
      <c r="D6335">
        <v>1262</v>
      </c>
      <c r="E6335">
        <v>1.03E-2</v>
      </c>
      <c r="F6335">
        <v>6.54E-2</v>
      </c>
    </row>
    <row r="6336" spans="1:6" x14ac:dyDescent="0.3">
      <c r="A6336" t="s">
        <v>6371</v>
      </c>
      <c r="B6336" t="s">
        <v>26</v>
      </c>
      <c r="C6336">
        <v>599000</v>
      </c>
      <c r="D6336">
        <v>1873531.2</v>
      </c>
      <c r="E6336">
        <v>3.2800000000000003E-2</v>
      </c>
      <c r="F6336">
        <v>9.5100000000000004E-2</v>
      </c>
    </row>
    <row r="6337" spans="1:6" x14ac:dyDescent="0.3">
      <c r="A6337" t="s">
        <v>6372</v>
      </c>
      <c r="B6337" t="s">
        <v>41</v>
      </c>
      <c r="C6337">
        <v>328000</v>
      </c>
      <c r="D6337">
        <v>1113.2</v>
      </c>
      <c r="E6337">
        <v>7.3499999999999996E-2</v>
      </c>
      <c r="F6337">
        <v>9.5100000000000004E-2</v>
      </c>
    </row>
    <row r="6338" spans="1:6" x14ac:dyDescent="0.3">
      <c r="A6338" t="s">
        <v>6373</v>
      </c>
      <c r="B6338" t="s">
        <v>26</v>
      </c>
      <c r="C6338">
        <v>504000</v>
      </c>
      <c r="D6338">
        <v>740.7</v>
      </c>
      <c r="E6338">
        <v>3.2000000000000001E-2</v>
      </c>
      <c r="F6338">
        <v>5.0999999999999997E-2</v>
      </c>
    </row>
    <row r="6339" spans="1:6" x14ac:dyDescent="0.3">
      <c r="A6339" t="s">
        <v>6374</v>
      </c>
      <c r="B6339" t="s">
        <v>287</v>
      </c>
      <c r="C6339">
        <v>330000</v>
      </c>
      <c r="D6339">
        <v>364.8</v>
      </c>
      <c r="E6339">
        <v>1.5100000000000001E-2</v>
      </c>
      <c r="F6339">
        <v>0.33279999999999998</v>
      </c>
    </row>
    <row r="6340" spans="1:6" x14ac:dyDescent="0.3">
      <c r="A6340" t="s">
        <v>6375</v>
      </c>
      <c r="B6340" t="s">
        <v>26</v>
      </c>
      <c r="C6340">
        <v>371000</v>
      </c>
      <c r="D6340">
        <v>49007</v>
      </c>
      <c r="E6340">
        <v>9.4000000000000004E-3</v>
      </c>
      <c r="F6340">
        <v>8.1100000000000005E-2</v>
      </c>
    </row>
    <row r="6341" spans="1:6" x14ac:dyDescent="0.3">
      <c r="A6341" t="s">
        <v>6376</v>
      </c>
      <c r="B6341" t="s">
        <v>41</v>
      </c>
      <c r="C6341">
        <v>342000</v>
      </c>
      <c r="D6341">
        <v>10202.200000000001</v>
      </c>
      <c r="E6341">
        <v>5.0099999999999999E-2</v>
      </c>
      <c r="F6341">
        <v>5.1799999999999999E-2</v>
      </c>
    </row>
    <row r="6342" spans="1:6" x14ac:dyDescent="0.3">
      <c r="A6342" t="s">
        <v>6377</v>
      </c>
      <c r="B6342" t="s">
        <v>24</v>
      </c>
      <c r="C6342">
        <v>455000</v>
      </c>
      <c r="D6342">
        <v>64169.8</v>
      </c>
      <c r="E6342">
        <v>0.1016</v>
      </c>
      <c r="F6342">
        <v>7.5899999999999995E-2</v>
      </c>
    </row>
    <row r="6343" spans="1:6" x14ac:dyDescent="0.3">
      <c r="A6343" t="s">
        <v>6378</v>
      </c>
      <c r="B6343" t="s">
        <v>41</v>
      </c>
      <c r="C6343">
        <v>372000</v>
      </c>
      <c r="D6343">
        <v>1614.7</v>
      </c>
      <c r="E6343">
        <v>2.8299999999999999E-2</v>
      </c>
      <c r="F6343">
        <v>9.5100000000000004E-2</v>
      </c>
    </row>
    <row r="6344" spans="1:6" x14ac:dyDescent="0.3">
      <c r="A6344" t="s">
        <v>6379</v>
      </c>
      <c r="B6344" t="s">
        <v>62</v>
      </c>
      <c r="C6344">
        <v>691000</v>
      </c>
      <c r="D6344">
        <v>46555.199999999997</v>
      </c>
      <c r="E6344">
        <v>6.9599999999999995E-2</v>
      </c>
      <c r="F6344">
        <v>7.5899999999999995E-2</v>
      </c>
    </row>
    <row r="6345" spans="1:6" x14ac:dyDescent="0.3">
      <c r="A6345" t="s">
        <v>6380</v>
      </c>
      <c r="B6345" t="s">
        <v>71</v>
      </c>
      <c r="C6345">
        <v>397000</v>
      </c>
      <c r="D6345">
        <v>16687.400000000001</v>
      </c>
      <c r="E6345">
        <v>7.1499999999999994E-2</v>
      </c>
      <c r="F6345">
        <v>9.3799999999999994E-2</v>
      </c>
    </row>
    <row r="6346" spans="1:6" x14ac:dyDescent="0.3">
      <c r="A6346" t="s">
        <v>6381</v>
      </c>
      <c r="B6346" t="s">
        <v>71</v>
      </c>
      <c r="C6346">
        <v>488000</v>
      </c>
      <c r="D6346">
        <v>8613.1</v>
      </c>
      <c r="E6346">
        <v>7.7899999999999997E-2</v>
      </c>
      <c r="F6346">
        <v>7.5899999999999995E-2</v>
      </c>
    </row>
    <row r="6347" spans="1:6" x14ac:dyDescent="0.3">
      <c r="A6347" t="s">
        <v>6382</v>
      </c>
      <c r="B6347" t="s">
        <v>32</v>
      </c>
      <c r="C6347">
        <v>638000</v>
      </c>
      <c r="D6347">
        <v>295561.3</v>
      </c>
      <c r="E6347">
        <v>1.8100000000000002E-2</v>
      </c>
      <c r="F6347">
        <v>9.5000000000000001E-2</v>
      </c>
    </row>
    <row r="6348" spans="1:6" x14ac:dyDescent="0.3">
      <c r="A6348" t="s">
        <v>6383</v>
      </c>
      <c r="B6348" t="s">
        <v>26</v>
      </c>
      <c r="C6348">
        <v>422000</v>
      </c>
      <c r="D6348">
        <v>491604.3</v>
      </c>
      <c r="E6348">
        <v>5.5399999999999998E-2</v>
      </c>
      <c r="F6348">
        <v>7.5899999999999995E-2</v>
      </c>
    </row>
    <row r="6349" spans="1:6" x14ac:dyDescent="0.3">
      <c r="A6349" t="s">
        <v>6384</v>
      </c>
      <c r="B6349" t="s">
        <v>214</v>
      </c>
      <c r="C6349">
        <v>472000</v>
      </c>
      <c r="D6349">
        <v>27589.7</v>
      </c>
      <c r="E6349">
        <v>4.1500000000000002E-2</v>
      </c>
      <c r="F6349">
        <v>8.4500000000000006E-2</v>
      </c>
    </row>
    <row r="6350" spans="1:6" x14ac:dyDescent="0.3">
      <c r="A6350" t="s">
        <v>6385</v>
      </c>
      <c r="B6350" t="s">
        <v>26</v>
      </c>
      <c r="C6350">
        <v>397000</v>
      </c>
      <c r="D6350">
        <v>19079.2</v>
      </c>
      <c r="E6350">
        <v>5.2900000000000003E-2</v>
      </c>
      <c r="F6350">
        <v>9.5100000000000004E-2</v>
      </c>
    </row>
    <row r="6351" spans="1:6" x14ac:dyDescent="0.3">
      <c r="A6351" t="s">
        <v>6386</v>
      </c>
      <c r="B6351" t="s">
        <v>53</v>
      </c>
      <c r="C6351">
        <v>391000</v>
      </c>
      <c r="D6351">
        <v>1219385.5</v>
      </c>
      <c r="E6351">
        <v>2.0400000000000001E-2</v>
      </c>
      <c r="F6351">
        <v>0.1067</v>
      </c>
    </row>
    <row r="6352" spans="1:6" x14ac:dyDescent="0.3">
      <c r="A6352" t="s">
        <v>6387</v>
      </c>
      <c r="B6352" t="s">
        <v>24</v>
      </c>
      <c r="C6352">
        <v>420000</v>
      </c>
      <c r="D6352">
        <v>9563.9</v>
      </c>
      <c r="E6352">
        <v>2.3E-2</v>
      </c>
      <c r="F6352">
        <v>7.5899999999999995E-2</v>
      </c>
    </row>
    <row r="6353" spans="1:6" x14ac:dyDescent="0.3">
      <c r="A6353" t="s">
        <v>6388</v>
      </c>
      <c r="B6353" t="s">
        <v>92</v>
      </c>
      <c r="C6353">
        <v>519000</v>
      </c>
      <c r="D6353">
        <v>15762.9</v>
      </c>
      <c r="E6353">
        <v>7.4999999999999997E-3</v>
      </c>
      <c r="F6353">
        <v>8.1100000000000005E-2</v>
      </c>
    </row>
    <row r="6354" spans="1:6" x14ac:dyDescent="0.3">
      <c r="A6354" t="s">
        <v>6389</v>
      </c>
      <c r="B6354" t="s">
        <v>41</v>
      </c>
      <c r="C6354">
        <v>374000</v>
      </c>
      <c r="D6354">
        <v>1967.6</v>
      </c>
      <c r="E6354">
        <v>1.72E-2</v>
      </c>
      <c r="F6354">
        <v>9.0899999999999995E-2</v>
      </c>
    </row>
    <row r="6355" spans="1:6" x14ac:dyDescent="0.3">
      <c r="A6355" t="s">
        <v>6390</v>
      </c>
      <c r="B6355" t="s">
        <v>287</v>
      </c>
      <c r="C6355">
        <v>427000</v>
      </c>
      <c r="D6355">
        <v>881243.2</v>
      </c>
      <c r="E6355">
        <v>1.0999999999999999E-2</v>
      </c>
      <c r="F6355">
        <v>8.2199999999999995E-2</v>
      </c>
    </row>
    <row r="6356" spans="1:6" x14ac:dyDescent="0.3">
      <c r="A6356" t="s">
        <v>6391</v>
      </c>
      <c r="B6356" t="s">
        <v>88</v>
      </c>
      <c r="C6356">
        <v>483000</v>
      </c>
      <c r="D6356">
        <v>6928.2</v>
      </c>
      <c r="E6356">
        <v>4.9399999999999999E-2</v>
      </c>
      <c r="F6356">
        <v>7.5899999999999995E-2</v>
      </c>
    </row>
    <row r="6357" spans="1:6" x14ac:dyDescent="0.3">
      <c r="A6357" t="s">
        <v>6392</v>
      </c>
      <c r="B6357" t="s">
        <v>88</v>
      </c>
      <c r="C6357">
        <v>695000</v>
      </c>
      <c r="D6357">
        <v>5582.6</v>
      </c>
      <c r="E6357">
        <v>2.7300000000000001E-2</v>
      </c>
      <c r="F6357">
        <v>0.11700000000000001</v>
      </c>
    </row>
    <row r="6358" spans="1:6" x14ac:dyDescent="0.3">
      <c r="A6358" t="s">
        <v>6393</v>
      </c>
      <c r="B6358" t="s">
        <v>50</v>
      </c>
      <c r="C6358">
        <v>357000</v>
      </c>
      <c r="D6358">
        <v>85.6</v>
      </c>
      <c r="E6358">
        <v>4.3499999999999997E-2</v>
      </c>
      <c r="F6358">
        <v>9.3799999999999994E-2</v>
      </c>
    </row>
    <row r="6359" spans="1:6" x14ac:dyDescent="0.3">
      <c r="A6359" t="s">
        <v>6394</v>
      </c>
      <c r="B6359" t="s">
        <v>88</v>
      </c>
      <c r="C6359">
        <v>319000</v>
      </c>
      <c r="D6359">
        <v>1278.9000000000001</v>
      </c>
      <c r="E6359">
        <v>3.8600000000000002E-2</v>
      </c>
      <c r="F6359">
        <v>0.11700000000000001</v>
      </c>
    </row>
    <row r="6360" spans="1:6" x14ac:dyDescent="0.3">
      <c r="A6360" t="s">
        <v>6395</v>
      </c>
      <c r="B6360" t="s">
        <v>35</v>
      </c>
      <c r="C6360">
        <v>340000</v>
      </c>
      <c r="D6360">
        <v>647.79999999999995</v>
      </c>
      <c r="E6360">
        <v>1.52E-2</v>
      </c>
      <c r="F6360">
        <v>4.6199999999999998E-2</v>
      </c>
    </row>
    <row r="6361" spans="1:6" x14ac:dyDescent="0.3">
      <c r="A6361" t="s">
        <v>6396</v>
      </c>
      <c r="B6361" t="s">
        <v>50</v>
      </c>
      <c r="C6361">
        <v>406000</v>
      </c>
      <c r="D6361">
        <v>3150.4</v>
      </c>
      <c r="E6361">
        <v>4.9099999999999998E-2</v>
      </c>
      <c r="F6361">
        <v>7.5899999999999995E-2</v>
      </c>
    </row>
    <row r="6362" spans="1:6" x14ac:dyDescent="0.3">
      <c r="A6362" t="s">
        <v>6397</v>
      </c>
      <c r="B6362" t="s">
        <v>24</v>
      </c>
      <c r="C6362">
        <v>351000</v>
      </c>
      <c r="D6362">
        <v>10679.7</v>
      </c>
      <c r="E6362">
        <v>2.0299999999999999E-2</v>
      </c>
      <c r="F6362">
        <v>9.5100000000000004E-2</v>
      </c>
    </row>
    <row r="6363" spans="1:6" x14ac:dyDescent="0.3">
      <c r="A6363" t="s">
        <v>6398</v>
      </c>
      <c r="B6363" t="s">
        <v>41</v>
      </c>
      <c r="C6363">
        <v>783000</v>
      </c>
      <c r="D6363">
        <v>2212.5</v>
      </c>
      <c r="E6363">
        <v>1.43E-2</v>
      </c>
      <c r="F6363">
        <v>0.1053</v>
      </c>
    </row>
    <row r="6364" spans="1:6" x14ac:dyDescent="0.3">
      <c r="A6364" t="s">
        <v>6399</v>
      </c>
      <c r="B6364" t="s">
        <v>26</v>
      </c>
      <c r="C6364">
        <v>393000</v>
      </c>
      <c r="D6364">
        <v>6463.6</v>
      </c>
      <c r="E6364">
        <v>3.8699999999999998E-2</v>
      </c>
      <c r="F6364">
        <v>9.5100000000000004E-2</v>
      </c>
    </row>
    <row r="6365" spans="1:6" x14ac:dyDescent="0.3">
      <c r="A6365" t="s">
        <v>6400</v>
      </c>
      <c r="B6365" t="s">
        <v>81</v>
      </c>
      <c r="C6365">
        <v>354000</v>
      </c>
      <c r="D6365">
        <v>27258</v>
      </c>
      <c r="E6365">
        <v>1.18E-2</v>
      </c>
      <c r="F6365">
        <v>0.1067</v>
      </c>
    </row>
    <row r="6366" spans="1:6" x14ac:dyDescent="0.3">
      <c r="A6366" t="s">
        <v>6401</v>
      </c>
      <c r="B6366" t="s">
        <v>88</v>
      </c>
      <c r="C6366">
        <v>367000</v>
      </c>
      <c r="D6366">
        <v>5050.2</v>
      </c>
      <c r="E6366">
        <v>1.5900000000000001E-2</v>
      </c>
      <c r="F6366">
        <v>6.1600000000000002E-2</v>
      </c>
    </row>
    <row r="6367" spans="1:6" x14ac:dyDescent="0.3">
      <c r="A6367" t="s">
        <v>6402</v>
      </c>
      <c r="B6367" t="s">
        <v>26</v>
      </c>
      <c r="C6367">
        <v>335000</v>
      </c>
      <c r="D6367">
        <v>1260.7</v>
      </c>
      <c r="E6367">
        <v>1.7999999999999999E-2</v>
      </c>
      <c r="F6367">
        <v>0.13900000000000001</v>
      </c>
    </row>
    <row r="6368" spans="1:6" x14ac:dyDescent="0.3">
      <c r="A6368" t="s">
        <v>6403</v>
      </c>
      <c r="B6368" t="s">
        <v>92</v>
      </c>
      <c r="C6368">
        <v>336000</v>
      </c>
      <c r="D6368">
        <v>9331</v>
      </c>
      <c r="E6368">
        <v>1.3299999999999999E-2</v>
      </c>
      <c r="F6368">
        <v>6.1600000000000002E-2</v>
      </c>
    </row>
    <row r="6369" spans="1:6" x14ac:dyDescent="0.3">
      <c r="A6369" t="s">
        <v>6404</v>
      </c>
      <c r="B6369" t="s">
        <v>26</v>
      </c>
      <c r="C6369">
        <v>628000</v>
      </c>
      <c r="D6369">
        <v>125916.5</v>
      </c>
      <c r="E6369">
        <v>5.5E-2</v>
      </c>
      <c r="F6369">
        <v>7.5899999999999995E-2</v>
      </c>
    </row>
    <row r="6370" spans="1:6" x14ac:dyDescent="0.3">
      <c r="A6370" t="s">
        <v>6405</v>
      </c>
      <c r="B6370" t="s">
        <v>287</v>
      </c>
      <c r="C6370">
        <v>417000</v>
      </c>
      <c r="D6370">
        <v>5338.3</v>
      </c>
      <c r="E6370">
        <v>2.12E-2</v>
      </c>
      <c r="F6370">
        <v>7.5899999999999995E-2</v>
      </c>
    </row>
    <row r="6371" spans="1:6" x14ac:dyDescent="0.3">
      <c r="A6371" t="s">
        <v>6406</v>
      </c>
      <c r="B6371" t="s">
        <v>92</v>
      </c>
      <c r="C6371">
        <v>341000</v>
      </c>
      <c r="D6371">
        <v>3455.8</v>
      </c>
      <c r="F6371">
        <v>9.5100000000000004E-2</v>
      </c>
    </row>
    <row r="6372" spans="1:6" x14ac:dyDescent="0.3">
      <c r="A6372" t="s">
        <v>6407</v>
      </c>
      <c r="B6372" t="s">
        <v>26</v>
      </c>
      <c r="C6372">
        <v>339000</v>
      </c>
      <c r="D6372">
        <v>2742.9</v>
      </c>
      <c r="E6372">
        <v>4.1799999999999997E-2</v>
      </c>
      <c r="F6372">
        <v>7.5899999999999995E-2</v>
      </c>
    </row>
    <row r="6373" spans="1:6" x14ac:dyDescent="0.3">
      <c r="A6373" t="s">
        <v>6408</v>
      </c>
      <c r="B6373" t="s">
        <v>74</v>
      </c>
      <c r="C6373">
        <v>352000</v>
      </c>
      <c r="D6373">
        <v>5028.6000000000004</v>
      </c>
      <c r="E6373">
        <v>2.53E-2</v>
      </c>
      <c r="F6373">
        <v>5.1799999999999999E-2</v>
      </c>
    </row>
    <row r="6374" spans="1:6" x14ac:dyDescent="0.3">
      <c r="A6374" t="s">
        <v>6409</v>
      </c>
      <c r="B6374" t="s">
        <v>21</v>
      </c>
      <c r="C6374">
        <v>488000</v>
      </c>
      <c r="D6374">
        <v>95233</v>
      </c>
      <c r="E6374">
        <v>7.1499999999999994E-2</v>
      </c>
      <c r="F6374">
        <v>7.5899999999999995E-2</v>
      </c>
    </row>
    <row r="6375" spans="1:6" x14ac:dyDescent="0.3">
      <c r="A6375" t="s">
        <v>6410</v>
      </c>
      <c r="B6375" t="s">
        <v>35</v>
      </c>
      <c r="C6375">
        <v>440000</v>
      </c>
      <c r="D6375">
        <v>23146.1</v>
      </c>
      <c r="E6375">
        <v>1.14E-2</v>
      </c>
      <c r="F6375">
        <v>5.8400000000000001E-2</v>
      </c>
    </row>
    <row r="6376" spans="1:6" x14ac:dyDescent="0.3">
      <c r="A6376" t="s">
        <v>6411</v>
      </c>
      <c r="B6376" t="s">
        <v>41</v>
      </c>
      <c r="C6376">
        <v>355000</v>
      </c>
      <c r="D6376">
        <v>969.9</v>
      </c>
      <c r="E6376">
        <v>2.1100000000000001E-2</v>
      </c>
      <c r="F6376">
        <v>9.0899999999999995E-2</v>
      </c>
    </row>
    <row r="6377" spans="1:6" x14ac:dyDescent="0.3">
      <c r="A6377" t="s">
        <v>6412</v>
      </c>
      <c r="B6377" t="s">
        <v>88</v>
      </c>
      <c r="C6377">
        <v>371000</v>
      </c>
      <c r="D6377">
        <v>13163.8</v>
      </c>
      <c r="E6377">
        <v>3.1E-2</v>
      </c>
      <c r="F6377">
        <v>9.5100000000000004E-2</v>
      </c>
    </row>
    <row r="6378" spans="1:6" x14ac:dyDescent="0.3">
      <c r="A6378" t="s">
        <v>6413</v>
      </c>
      <c r="B6378" t="s">
        <v>26</v>
      </c>
      <c r="C6378">
        <v>340000</v>
      </c>
      <c r="D6378">
        <v>946.1</v>
      </c>
      <c r="E6378">
        <v>5.4199999999999998E-2</v>
      </c>
      <c r="F6378">
        <v>9.3799999999999994E-2</v>
      </c>
    </row>
    <row r="6379" spans="1:6" x14ac:dyDescent="0.3">
      <c r="A6379" t="s">
        <v>6414</v>
      </c>
      <c r="B6379" t="s">
        <v>74</v>
      </c>
      <c r="C6379">
        <v>473000</v>
      </c>
      <c r="D6379">
        <v>4433.8999999999996</v>
      </c>
      <c r="E6379">
        <v>2.9000000000000001E-2</v>
      </c>
      <c r="F6379">
        <v>5.8400000000000001E-2</v>
      </c>
    </row>
    <row r="6380" spans="1:6" x14ac:dyDescent="0.3">
      <c r="A6380" t="s">
        <v>6415</v>
      </c>
      <c r="B6380" t="s">
        <v>41</v>
      </c>
      <c r="C6380">
        <v>449000</v>
      </c>
      <c r="D6380">
        <v>6916.1</v>
      </c>
      <c r="E6380">
        <v>4.4499999999999998E-2</v>
      </c>
      <c r="F6380">
        <v>9.3799999999999994E-2</v>
      </c>
    </row>
    <row r="6381" spans="1:6" x14ac:dyDescent="0.3">
      <c r="A6381" t="s">
        <v>6416</v>
      </c>
      <c r="B6381" t="s">
        <v>26</v>
      </c>
      <c r="C6381">
        <v>411000</v>
      </c>
      <c r="D6381">
        <v>1382.7</v>
      </c>
      <c r="E6381">
        <v>5.0900000000000001E-2</v>
      </c>
      <c r="F6381">
        <v>9.98E-2</v>
      </c>
    </row>
    <row r="6382" spans="1:6" x14ac:dyDescent="0.3">
      <c r="A6382" t="s">
        <v>6417</v>
      </c>
      <c r="B6382" t="s">
        <v>214</v>
      </c>
      <c r="C6382">
        <v>367000</v>
      </c>
      <c r="D6382">
        <v>2868.1</v>
      </c>
      <c r="E6382">
        <v>2.1100000000000001E-2</v>
      </c>
      <c r="F6382">
        <v>9.5100000000000004E-2</v>
      </c>
    </row>
    <row r="6383" spans="1:6" x14ac:dyDescent="0.3">
      <c r="A6383" t="s">
        <v>6418</v>
      </c>
      <c r="B6383" t="s">
        <v>41</v>
      </c>
      <c r="C6383">
        <v>361000</v>
      </c>
      <c r="D6383">
        <v>16455.7</v>
      </c>
      <c r="E6383">
        <v>1.35E-2</v>
      </c>
      <c r="F6383">
        <v>0.1067</v>
      </c>
    </row>
    <row r="6384" spans="1:6" x14ac:dyDescent="0.3">
      <c r="A6384" t="s">
        <v>6419</v>
      </c>
      <c r="B6384" t="s">
        <v>41</v>
      </c>
      <c r="C6384">
        <v>411000</v>
      </c>
      <c r="D6384">
        <v>54970.400000000001</v>
      </c>
      <c r="E6384">
        <v>1.7100000000000001E-2</v>
      </c>
      <c r="F6384">
        <v>0.1067</v>
      </c>
    </row>
    <row r="6385" spans="1:6" x14ac:dyDescent="0.3">
      <c r="A6385" t="s">
        <v>6420</v>
      </c>
      <c r="B6385" t="s">
        <v>24</v>
      </c>
      <c r="C6385">
        <v>355000</v>
      </c>
      <c r="D6385">
        <v>312080.90000000002</v>
      </c>
      <c r="E6385">
        <v>3.6200000000000003E-2</v>
      </c>
      <c r="F6385">
        <v>9.5100000000000004E-2</v>
      </c>
    </row>
    <row r="6386" spans="1:6" x14ac:dyDescent="0.3">
      <c r="A6386" t="s">
        <v>6421</v>
      </c>
      <c r="B6386" t="s">
        <v>214</v>
      </c>
      <c r="C6386">
        <v>655000</v>
      </c>
      <c r="D6386">
        <v>11884.4</v>
      </c>
      <c r="E6386">
        <v>8.6E-3</v>
      </c>
      <c r="F6386">
        <v>6.54E-2</v>
      </c>
    </row>
    <row r="6387" spans="1:6" x14ac:dyDescent="0.3">
      <c r="A6387" t="s">
        <v>6422</v>
      </c>
      <c r="B6387" t="s">
        <v>21</v>
      </c>
      <c r="C6387">
        <v>408000</v>
      </c>
      <c r="D6387">
        <v>561.29999999999995</v>
      </c>
      <c r="E6387">
        <v>3.7600000000000001E-2</v>
      </c>
      <c r="F6387">
        <v>0.30099999999999999</v>
      </c>
    </row>
    <row r="6388" spans="1:6" x14ac:dyDescent="0.3">
      <c r="A6388" t="s">
        <v>6423</v>
      </c>
      <c r="B6388" t="s">
        <v>26</v>
      </c>
      <c r="C6388">
        <v>1010000</v>
      </c>
      <c r="D6388">
        <v>15027.6</v>
      </c>
      <c r="E6388">
        <v>2.64E-2</v>
      </c>
      <c r="F6388">
        <v>7.5899999999999995E-2</v>
      </c>
    </row>
    <row r="6389" spans="1:6" x14ac:dyDescent="0.3">
      <c r="A6389" t="s">
        <v>6424</v>
      </c>
      <c r="B6389" t="s">
        <v>81</v>
      </c>
      <c r="C6389">
        <v>949000</v>
      </c>
      <c r="D6389">
        <v>37394.9</v>
      </c>
      <c r="E6389">
        <v>3.4799999999999998E-2</v>
      </c>
      <c r="F6389">
        <v>4.0899999999999999E-2</v>
      </c>
    </row>
    <row r="6390" spans="1:6" x14ac:dyDescent="0.3">
      <c r="A6390" t="s">
        <v>6425</v>
      </c>
      <c r="B6390" t="s">
        <v>26</v>
      </c>
      <c r="C6390">
        <v>372000</v>
      </c>
      <c r="D6390">
        <v>54373.5</v>
      </c>
      <c r="E6390">
        <v>8.0299999999999996E-2</v>
      </c>
      <c r="F6390">
        <v>9.5100000000000004E-2</v>
      </c>
    </row>
    <row r="6391" spans="1:6" x14ac:dyDescent="0.3">
      <c r="A6391" t="s">
        <v>6426</v>
      </c>
      <c r="B6391" t="s">
        <v>74</v>
      </c>
      <c r="C6391">
        <v>426000</v>
      </c>
      <c r="D6391">
        <v>10623.1</v>
      </c>
      <c r="E6391">
        <v>2.9600000000000001E-2</v>
      </c>
      <c r="F6391">
        <v>5.1799999999999999E-2</v>
      </c>
    </row>
    <row r="6392" spans="1:6" x14ac:dyDescent="0.3">
      <c r="A6392" t="s">
        <v>6427</v>
      </c>
      <c r="B6392" t="s">
        <v>26</v>
      </c>
      <c r="C6392">
        <v>331000</v>
      </c>
      <c r="D6392">
        <v>767.4</v>
      </c>
      <c r="E6392">
        <v>1.2500000000000001E-2</v>
      </c>
      <c r="F6392">
        <v>6.5699999999999995E-2</v>
      </c>
    </row>
    <row r="6393" spans="1:6" x14ac:dyDescent="0.3">
      <c r="A6393" t="s">
        <v>6428</v>
      </c>
      <c r="B6393" t="s">
        <v>50</v>
      </c>
      <c r="C6393">
        <v>332000</v>
      </c>
      <c r="F6393">
        <v>7.5899999999999995E-2</v>
      </c>
    </row>
    <row r="6394" spans="1:6" x14ac:dyDescent="0.3">
      <c r="A6394" t="s">
        <v>6429</v>
      </c>
      <c r="B6394" t="s">
        <v>28</v>
      </c>
      <c r="C6394">
        <v>409000</v>
      </c>
      <c r="D6394">
        <v>1465.6</v>
      </c>
      <c r="E6394">
        <v>2.0899999999999998E-2</v>
      </c>
      <c r="F6394">
        <v>7.5700000000000003E-2</v>
      </c>
    </row>
    <row r="6395" spans="1:6" x14ac:dyDescent="0.3">
      <c r="A6395" t="s">
        <v>6430</v>
      </c>
      <c r="B6395" t="s">
        <v>287</v>
      </c>
      <c r="C6395">
        <v>322000</v>
      </c>
      <c r="D6395">
        <v>5220.3999999999996</v>
      </c>
      <c r="E6395">
        <v>2.2700000000000001E-2</v>
      </c>
      <c r="F6395">
        <v>0.1067</v>
      </c>
    </row>
    <row r="6396" spans="1:6" x14ac:dyDescent="0.3">
      <c r="A6396" t="s">
        <v>6431</v>
      </c>
      <c r="B6396" t="s">
        <v>26</v>
      </c>
      <c r="C6396">
        <v>455000</v>
      </c>
      <c r="D6396">
        <v>1991.7</v>
      </c>
      <c r="E6396">
        <v>5.0900000000000001E-2</v>
      </c>
      <c r="F6396">
        <v>9.3799999999999994E-2</v>
      </c>
    </row>
    <row r="6397" spans="1:6" x14ac:dyDescent="0.3">
      <c r="A6397" t="s">
        <v>6432</v>
      </c>
      <c r="B6397" t="s">
        <v>26</v>
      </c>
      <c r="C6397">
        <v>368000</v>
      </c>
      <c r="D6397">
        <v>8063.1</v>
      </c>
      <c r="E6397">
        <v>2.7099999999999999E-2</v>
      </c>
      <c r="F6397">
        <v>9.3799999999999994E-2</v>
      </c>
    </row>
    <row r="6398" spans="1:6" x14ac:dyDescent="0.3">
      <c r="A6398" t="s">
        <v>6433</v>
      </c>
      <c r="B6398" t="s">
        <v>88</v>
      </c>
      <c r="C6398">
        <v>338000</v>
      </c>
      <c r="D6398">
        <v>4256.3</v>
      </c>
      <c r="E6398">
        <v>6.3299999999999995E-2</v>
      </c>
      <c r="F6398">
        <v>9.3799999999999994E-2</v>
      </c>
    </row>
    <row r="6399" spans="1:6" x14ac:dyDescent="0.3">
      <c r="A6399" t="s">
        <v>6434</v>
      </c>
      <c r="B6399" t="s">
        <v>26</v>
      </c>
      <c r="C6399">
        <v>360000</v>
      </c>
      <c r="D6399">
        <v>8974.6</v>
      </c>
      <c r="E6399">
        <v>2.8799999999999999E-2</v>
      </c>
      <c r="F6399">
        <v>7.5899999999999995E-2</v>
      </c>
    </row>
    <row r="6400" spans="1:6" x14ac:dyDescent="0.3">
      <c r="A6400" t="s">
        <v>6435</v>
      </c>
      <c r="B6400" t="s">
        <v>26</v>
      </c>
      <c r="C6400">
        <v>752000</v>
      </c>
      <c r="D6400">
        <v>363895.3</v>
      </c>
      <c r="E6400">
        <v>2.9499999999999998E-2</v>
      </c>
      <c r="F6400">
        <v>4.0899999999999999E-2</v>
      </c>
    </row>
    <row r="6401" spans="1:6" x14ac:dyDescent="0.3">
      <c r="A6401" t="s">
        <v>6436</v>
      </c>
      <c r="B6401" t="s">
        <v>24</v>
      </c>
      <c r="C6401">
        <v>1080000</v>
      </c>
      <c r="D6401">
        <v>5489.5</v>
      </c>
      <c r="E6401">
        <v>7.46E-2</v>
      </c>
      <c r="F6401">
        <v>7.5899999999999995E-2</v>
      </c>
    </row>
    <row r="6402" spans="1:6" x14ac:dyDescent="0.3">
      <c r="A6402" t="s">
        <v>6437</v>
      </c>
      <c r="B6402" t="s">
        <v>24</v>
      </c>
      <c r="C6402">
        <v>526000</v>
      </c>
      <c r="D6402">
        <v>88467.3</v>
      </c>
      <c r="E6402">
        <v>1.09E-2</v>
      </c>
      <c r="F6402">
        <v>8.1100000000000005E-2</v>
      </c>
    </row>
    <row r="6403" spans="1:6" x14ac:dyDescent="0.3">
      <c r="A6403" t="s">
        <v>6438</v>
      </c>
      <c r="B6403" t="s">
        <v>88</v>
      </c>
      <c r="C6403">
        <v>497000</v>
      </c>
      <c r="D6403">
        <v>900</v>
      </c>
      <c r="E6403">
        <v>4.9200000000000001E-2</v>
      </c>
      <c r="F6403">
        <v>9.3799999999999994E-2</v>
      </c>
    </row>
    <row r="6404" spans="1:6" x14ac:dyDescent="0.3">
      <c r="A6404" t="s">
        <v>6439</v>
      </c>
      <c r="B6404" t="s">
        <v>26</v>
      </c>
      <c r="C6404">
        <v>362000</v>
      </c>
      <c r="D6404">
        <v>614379.1</v>
      </c>
      <c r="E6404">
        <v>1.3100000000000001E-2</v>
      </c>
      <c r="F6404">
        <v>7.3599999999999999E-2</v>
      </c>
    </row>
    <row r="6405" spans="1:6" x14ac:dyDescent="0.3">
      <c r="A6405" t="s">
        <v>6440</v>
      </c>
      <c r="B6405" t="s">
        <v>41</v>
      </c>
      <c r="C6405">
        <v>1250000</v>
      </c>
      <c r="D6405">
        <v>38908.5</v>
      </c>
      <c r="E6405">
        <v>2.4799999999999999E-2</v>
      </c>
      <c r="F6405">
        <v>0.11700000000000001</v>
      </c>
    </row>
    <row r="6406" spans="1:6" x14ac:dyDescent="0.3">
      <c r="A6406" t="s">
        <v>6441</v>
      </c>
      <c r="B6406" t="s">
        <v>490</v>
      </c>
      <c r="C6406">
        <v>334000</v>
      </c>
      <c r="D6406">
        <v>56296.4</v>
      </c>
      <c r="E6406">
        <v>6.6299999999999998E-2</v>
      </c>
      <c r="F6406">
        <v>9.5100000000000004E-2</v>
      </c>
    </row>
    <row r="6407" spans="1:6" x14ac:dyDescent="0.3">
      <c r="A6407" t="s">
        <v>6442</v>
      </c>
      <c r="B6407" t="s">
        <v>26</v>
      </c>
      <c r="C6407">
        <v>533000</v>
      </c>
      <c r="D6407">
        <v>108734.1</v>
      </c>
      <c r="E6407">
        <v>9.1999999999999998E-3</v>
      </c>
      <c r="F6407">
        <v>0.1187</v>
      </c>
    </row>
    <row r="6408" spans="1:6" x14ac:dyDescent="0.3">
      <c r="A6408" t="s">
        <v>6443</v>
      </c>
      <c r="B6408" t="s">
        <v>287</v>
      </c>
      <c r="C6408">
        <v>325000</v>
      </c>
      <c r="D6408">
        <v>474.6</v>
      </c>
      <c r="E6408">
        <v>2.2700000000000001E-2</v>
      </c>
      <c r="F6408">
        <v>5.1799999999999999E-2</v>
      </c>
    </row>
    <row r="6409" spans="1:6" x14ac:dyDescent="0.3">
      <c r="A6409" t="s">
        <v>6444</v>
      </c>
      <c r="B6409" t="s">
        <v>24</v>
      </c>
      <c r="C6409">
        <v>1400000</v>
      </c>
      <c r="D6409">
        <v>216207.4</v>
      </c>
      <c r="E6409">
        <v>3.5900000000000001E-2</v>
      </c>
      <c r="F6409">
        <v>9.5100000000000004E-2</v>
      </c>
    </row>
    <row r="6410" spans="1:6" x14ac:dyDescent="0.3">
      <c r="A6410" t="s">
        <v>6445</v>
      </c>
      <c r="B6410" t="s">
        <v>88</v>
      </c>
      <c r="C6410">
        <v>503000</v>
      </c>
      <c r="D6410">
        <v>3745.7</v>
      </c>
      <c r="E6410">
        <v>3.2500000000000001E-2</v>
      </c>
      <c r="F6410">
        <v>7.5899999999999995E-2</v>
      </c>
    </row>
    <row r="6411" spans="1:6" x14ac:dyDescent="0.3">
      <c r="A6411" t="s">
        <v>6446</v>
      </c>
      <c r="B6411" t="s">
        <v>214</v>
      </c>
      <c r="C6411">
        <v>404000</v>
      </c>
      <c r="D6411">
        <v>19167.3</v>
      </c>
      <c r="E6411">
        <v>1.5699999999999999E-2</v>
      </c>
      <c r="F6411">
        <v>6.5699999999999995E-2</v>
      </c>
    </row>
    <row r="6412" spans="1:6" x14ac:dyDescent="0.3">
      <c r="A6412" t="s">
        <v>6447</v>
      </c>
      <c r="B6412" t="s">
        <v>24</v>
      </c>
      <c r="C6412">
        <v>342000</v>
      </c>
      <c r="D6412">
        <v>132713.5</v>
      </c>
      <c r="E6412">
        <v>5.5E-2</v>
      </c>
      <c r="F6412">
        <v>9.5100000000000004E-2</v>
      </c>
    </row>
    <row r="6413" spans="1:6" x14ac:dyDescent="0.3">
      <c r="A6413" t="s">
        <v>6448</v>
      </c>
      <c r="B6413" t="s">
        <v>62</v>
      </c>
      <c r="C6413">
        <v>333000</v>
      </c>
      <c r="D6413">
        <v>425.6</v>
      </c>
      <c r="E6413">
        <v>1.9300000000000001E-2</v>
      </c>
      <c r="F6413">
        <v>9.5100000000000004E-2</v>
      </c>
    </row>
    <row r="6414" spans="1:6" x14ac:dyDescent="0.3">
      <c r="A6414" t="s">
        <v>6449</v>
      </c>
      <c r="B6414" t="s">
        <v>81</v>
      </c>
      <c r="C6414">
        <v>358000</v>
      </c>
      <c r="D6414">
        <v>13901.3</v>
      </c>
      <c r="E6414">
        <v>1.61E-2</v>
      </c>
      <c r="F6414">
        <v>4.6600000000000003E-2</v>
      </c>
    </row>
    <row r="6415" spans="1:6" x14ac:dyDescent="0.3">
      <c r="A6415" t="s">
        <v>6450</v>
      </c>
      <c r="B6415" t="s">
        <v>50</v>
      </c>
      <c r="C6415">
        <v>365000</v>
      </c>
      <c r="D6415">
        <v>926.4</v>
      </c>
      <c r="E6415">
        <v>2.6499999999999999E-2</v>
      </c>
      <c r="F6415">
        <v>7.5899999999999995E-2</v>
      </c>
    </row>
    <row r="6416" spans="1:6" x14ac:dyDescent="0.3">
      <c r="A6416" t="s">
        <v>6451</v>
      </c>
      <c r="B6416" t="s">
        <v>88</v>
      </c>
      <c r="C6416">
        <v>326000</v>
      </c>
      <c r="D6416">
        <v>593.9</v>
      </c>
      <c r="E6416">
        <v>1.54E-2</v>
      </c>
      <c r="F6416">
        <v>0.1067</v>
      </c>
    </row>
    <row r="6417" spans="1:6" x14ac:dyDescent="0.3">
      <c r="A6417" t="s">
        <v>6452</v>
      </c>
      <c r="B6417" t="s">
        <v>88</v>
      </c>
      <c r="C6417">
        <v>370000</v>
      </c>
      <c r="D6417">
        <v>7321.1</v>
      </c>
      <c r="E6417">
        <v>0.03</v>
      </c>
      <c r="F6417">
        <v>9.5100000000000004E-2</v>
      </c>
    </row>
    <row r="6418" spans="1:6" x14ac:dyDescent="0.3">
      <c r="A6418" t="s">
        <v>6453</v>
      </c>
      <c r="B6418" t="s">
        <v>88</v>
      </c>
      <c r="C6418">
        <v>333000</v>
      </c>
      <c r="D6418">
        <v>4845.3</v>
      </c>
      <c r="E6418">
        <v>1.46E-2</v>
      </c>
      <c r="F6418">
        <v>0.16209999999999999</v>
      </c>
    </row>
    <row r="6419" spans="1:6" x14ac:dyDescent="0.3">
      <c r="A6419" t="s">
        <v>6454</v>
      </c>
      <c r="B6419" t="s">
        <v>26</v>
      </c>
      <c r="C6419">
        <v>341000</v>
      </c>
      <c r="D6419">
        <v>13092.7</v>
      </c>
      <c r="E6419">
        <v>2.9600000000000001E-2</v>
      </c>
      <c r="F6419">
        <v>6.7199999999999996E-2</v>
      </c>
    </row>
    <row r="6420" spans="1:6" x14ac:dyDescent="0.3">
      <c r="A6420" t="s">
        <v>6455</v>
      </c>
      <c r="B6420" t="s">
        <v>41</v>
      </c>
      <c r="C6420">
        <v>760000</v>
      </c>
      <c r="D6420">
        <v>25720.1</v>
      </c>
      <c r="E6420">
        <v>7.0000000000000001E-3</v>
      </c>
      <c r="F6420">
        <v>8.1100000000000005E-2</v>
      </c>
    </row>
    <row r="6421" spans="1:6" x14ac:dyDescent="0.3">
      <c r="A6421" t="s">
        <v>6456</v>
      </c>
      <c r="B6421" t="s">
        <v>287</v>
      </c>
      <c r="C6421">
        <v>344000</v>
      </c>
      <c r="D6421">
        <v>18162.900000000001</v>
      </c>
      <c r="E6421">
        <v>2.2499999999999999E-2</v>
      </c>
      <c r="F6421">
        <v>7.5899999999999995E-2</v>
      </c>
    </row>
    <row r="6422" spans="1:6" x14ac:dyDescent="0.3">
      <c r="A6422" t="s">
        <v>6457</v>
      </c>
      <c r="B6422" t="s">
        <v>74</v>
      </c>
      <c r="C6422">
        <v>336000</v>
      </c>
      <c r="D6422">
        <v>5325.2</v>
      </c>
      <c r="E6422">
        <v>5.9799999999999999E-2</v>
      </c>
      <c r="F6422">
        <v>7.5899999999999995E-2</v>
      </c>
    </row>
    <row r="6423" spans="1:6" x14ac:dyDescent="0.3">
      <c r="A6423" t="s">
        <v>6458</v>
      </c>
      <c r="B6423" t="s">
        <v>41</v>
      </c>
      <c r="C6423">
        <v>322000</v>
      </c>
      <c r="D6423">
        <v>355.4</v>
      </c>
      <c r="E6423">
        <v>8.1299999999999997E-2</v>
      </c>
      <c r="F6423">
        <v>7.5899999999999995E-2</v>
      </c>
    </row>
    <row r="6424" spans="1:6" x14ac:dyDescent="0.3">
      <c r="A6424" t="s">
        <v>6459</v>
      </c>
      <c r="B6424" t="s">
        <v>26</v>
      </c>
      <c r="C6424">
        <v>326000</v>
      </c>
      <c r="D6424">
        <v>35223.199999999997</v>
      </c>
      <c r="E6424">
        <v>2.23E-2</v>
      </c>
      <c r="F6424">
        <v>9.5100000000000004E-2</v>
      </c>
    </row>
    <row r="6425" spans="1:6" x14ac:dyDescent="0.3">
      <c r="A6425" t="s">
        <v>6460</v>
      </c>
      <c r="B6425" t="s">
        <v>26</v>
      </c>
      <c r="C6425">
        <v>470000</v>
      </c>
      <c r="D6425">
        <v>9087.7000000000007</v>
      </c>
      <c r="E6425">
        <v>3.5200000000000002E-2</v>
      </c>
      <c r="F6425">
        <v>7.5899999999999995E-2</v>
      </c>
    </row>
    <row r="6426" spans="1:6" x14ac:dyDescent="0.3">
      <c r="A6426" t="s">
        <v>6461</v>
      </c>
      <c r="B6426" t="s">
        <v>26</v>
      </c>
      <c r="C6426">
        <v>332000</v>
      </c>
      <c r="D6426">
        <v>6845.9</v>
      </c>
      <c r="E6426">
        <v>3.0499999999999999E-2</v>
      </c>
      <c r="F6426">
        <v>9.5100000000000004E-2</v>
      </c>
    </row>
    <row r="6427" spans="1:6" x14ac:dyDescent="0.3">
      <c r="A6427" t="s">
        <v>6462</v>
      </c>
      <c r="B6427" t="s">
        <v>88</v>
      </c>
      <c r="C6427">
        <v>391000</v>
      </c>
      <c r="D6427">
        <v>444.8</v>
      </c>
      <c r="E6427">
        <v>5.57E-2</v>
      </c>
      <c r="F6427">
        <v>7.5899999999999995E-2</v>
      </c>
    </row>
    <row r="6428" spans="1:6" x14ac:dyDescent="0.3">
      <c r="A6428" t="s">
        <v>6463</v>
      </c>
      <c r="B6428" t="s">
        <v>214</v>
      </c>
      <c r="C6428">
        <v>470000</v>
      </c>
      <c r="D6428">
        <v>16179.7</v>
      </c>
      <c r="E6428">
        <v>1.5800000000000002E-2</v>
      </c>
      <c r="F6428">
        <v>4.8800000000000003E-2</v>
      </c>
    </row>
    <row r="6429" spans="1:6" x14ac:dyDescent="0.3">
      <c r="A6429" t="s">
        <v>6464</v>
      </c>
      <c r="B6429" t="s">
        <v>26</v>
      </c>
      <c r="C6429">
        <v>407000</v>
      </c>
      <c r="D6429">
        <v>35339.199999999997</v>
      </c>
      <c r="E6429">
        <v>6.3100000000000003E-2</v>
      </c>
      <c r="F6429">
        <v>7.5899999999999995E-2</v>
      </c>
    </row>
    <row r="6430" spans="1:6" x14ac:dyDescent="0.3">
      <c r="A6430" t="s">
        <v>6465</v>
      </c>
      <c r="B6430" t="s">
        <v>24</v>
      </c>
      <c r="C6430">
        <v>360000</v>
      </c>
      <c r="D6430">
        <v>3152.9</v>
      </c>
      <c r="E6430">
        <v>3.6400000000000002E-2</v>
      </c>
      <c r="F6430">
        <v>9.3799999999999994E-2</v>
      </c>
    </row>
    <row r="6431" spans="1:6" x14ac:dyDescent="0.3">
      <c r="A6431" t="s">
        <v>6466</v>
      </c>
      <c r="B6431" t="s">
        <v>26</v>
      </c>
      <c r="C6431">
        <v>303000</v>
      </c>
      <c r="D6431">
        <v>710.3</v>
      </c>
      <c r="F6431">
        <v>9.5100000000000004E-2</v>
      </c>
    </row>
    <row r="6432" spans="1:6" x14ac:dyDescent="0.3">
      <c r="A6432" t="s">
        <v>6467</v>
      </c>
      <c r="B6432" t="s">
        <v>28</v>
      </c>
      <c r="C6432">
        <v>514000</v>
      </c>
      <c r="D6432">
        <v>913</v>
      </c>
      <c r="E6432">
        <v>1.2699999999999999E-2</v>
      </c>
      <c r="F6432">
        <v>4.6199999999999998E-2</v>
      </c>
    </row>
    <row r="6433" spans="1:6" x14ac:dyDescent="0.3">
      <c r="A6433" t="s">
        <v>6468</v>
      </c>
      <c r="B6433" t="s">
        <v>21</v>
      </c>
      <c r="C6433">
        <v>329000</v>
      </c>
      <c r="D6433">
        <v>7404.7</v>
      </c>
      <c r="E6433">
        <v>8.5000000000000006E-2</v>
      </c>
      <c r="F6433">
        <v>9.5100000000000004E-2</v>
      </c>
    </row>
    <row r="6434" spans="1:6" x14ac:dyDescent="0.3">
      <c r="A6434" t="s">
        <v>6469</v>
      </c>
      <c r="B6434" t="s">
        <v>71</v>
      </c>
      <c r="C6434">
        <v>346000</v>
      </c>
      <c r="D6434">
        <v>38619.800000000003</v>
      </c>
      <c r="E6434">
        <v>2.2499999999999999E-2</v>
      </c>
      <c r="F6434">
        <v>4.3200000000000002E-2</v>
      </c>
    </row>
    <row r="6435" spans="1:6" x14ac:dyDescent="0.3">
      <c r="A6435" t="s">
        <v>6470</v>
      </c>
      <c r="B6435" t="s">
        <v>41</v>
      </c>
      <c r="C6435">
        <v>357000</v>
      </c>
      <c r="D6435">
        <v>42335.3</v>
      </c>
      <c r="E6435">
        <v>2.2000000000000001E-3</v>
      </c>
      <c r="F6435">
        <v>6.54E-2</v>
      </c>
    </row>
    <row r="6436" spans="1:6" x14ac:dyDescent="0.3">
      <c r="A6436" t="s">
        <v>6471</v>
      </c>
      <c r="B6436" t="s">
        <v>287</v>
      </c>
      <c r="C6436">
        <v>657000</v>
      </c>
      <c r="D6436">
        <v>181701.4</v>
      </c>
      <c r="E6436">
        <v>1.23E-2</v>
      </c>
      <c r="F6436">
        <v>5.8400000000000001E-2</v>
      </c>
    </row>
    <row r="6437" spans="1:6" x14ac:dyDescent="0.3">
      <c r="A6437" t="s">
        <v>6472</v>
      </c>
      <c r="B6437" t="s">
        <v>92</v>
      </c>
      <c r="C6437">
        <v>510000</v>
      </c>
      <c r="D6437">
        <v>83968.6</v>
      </c>
      <c r="E6437">
        <v>1.9599999999999999E-2</v>
      </c>
      <c r="F6437">
        <v>4.6199999999999998E-2</v>
      </c>
    </row>
    <row r="6438" spans="1:6" x14ac:dyDescent="0.3">
      <c r="A6438" t="s">
        <v>6473</v>
      </c>
      <c r="B6438" t="s">
        <v>62</v>
      </c>
      <c r="C6438">
        <v>388000</v>
      </c>
      <c r="D6438">
        <v>40992.1</v>
      </c>
      <c r="E6438">
        <v>4.4499999999999998E-2</v>
      </c>
      <c r="F6438">
        <v>4.0899999999999999E-2</v>
      </c>
    </row>
    <row r="6439" spans="1:6" x14ac:dyDescent="0.3">
      <c r="A6439" t="s">
        <v>6474</v>
      </c>
      <c r="B6439" t="s">
        <v>74</v>
      </c>
      <c r="C6439">
        <v>320000</v>
      </c>
      <c r="D6439">
        <v>1871.3</v>
      </c>
      <c r="E6439">
        <v>3.8800000000000001E-2</v>
      </c>
      <c r="F6439">
        <v>9.5100000000000004E-2</v>
      </c>
    </row>
    <row r="6440" spans="1:6" x14ac:dyDescent="0.3">
      <c r="A6440" t="s">
        <v>6475</v>
      </c>
      <c r="B6440" t="s">
        <v>24</v>
      </c>
      <c r="C6440">
        <v>431000</v>
      </c>
      <c r="D6440">
        <v>14361.8</v>
      </c>
      <c r="E6440">
        <v>6.0699999999999997E-2</v>
      </c>
      <c r="F6440">
        <v>9.5100000000000004E-2</v>
      </c>
    </row>
    <row r="6441" spans="1:6" x14ac:dyDescent="0.3">
      <c r="A6441" t="s">
        <v>6476</v>
      </c>
      <c r="B6441" t="s">
        <v>26</v>
      </c>
      <c r="C6441">
        <v>366000</v>
      </c>
      <c r="D6441">
        <v>16198</v>
      </c>
      <c r="E6441">
        <v>4.4699999999999997E-2</v>
      </c>
      <c r="F6441">
        <v>9.5100000000000004E-2</v>
      </c>
    </row>
    <row r="6442" spans="1:6" x14ac:dyDescent="0.3">
      <c r="A6442" t="s">
        <v>6477</v>
      </c>
      <c r="B6442" t="s">
        <v>88</v>
      </c>
      <c r="C6442">
        <v>415000</v>
      </c>
      <c r="D6442">
        <v>15733.7</v>
      </c>
      <c r="E6442">
        <v>2.1899999999999999E-2</v>
      </c>
      <c r="F6442">
        <v>7.5899999999999995E-2</v>
      </c>
    </row>
    <row r="6443" spans="1:6" x14ac:dyDescent="0.3">
      <c r="A6443" t="s">
        <v>6478</v>
      </c>
      <c r="B6443" t="s">
        <v>53</v>
      </c>
      <c r="C6443">
        <v>347000</v>
      </c>
      <c r="D6443">
        <v>11148.6</v>
      </c>
      <c r="E6443">
        <v>5.6599999999999998E-2</v>
      </c>
      <c r="F6443">
        <v>4.0899999999999999E-2</v>
      </c>
    </row>
    <row r="6444" spans="1:6" x14ac:dyDescent="0.3">
      <c r="A6444" t="s">
        <v>6479</v>
      </c>
      <c r="B6444" t="s">
        <v>41</v>
      </c>
      <c r="C6444">
        <v>407000</v>
      </c>
      <c r="D6444">
        <v>419.3</v>
      </c>
      <c r="E6444">
        <v>2.86E-2</v>
      </c>
      <c r="F6444">
        <v>0.62709999999999999</v>
      </c>
    </row>
    <row r="6445" spans="1:6" x14ac:dyDescent="0.3">
      <c r="A6445" t="s">
        <v>6480</v>
      </c>
      <c r="B6445" t="s">
        <v>24</v>
      </c>
      <c r="C6445">
        <v>313000</v>
      </c>
      <c r="D6445">
        <v>1474.9</v>
      </c>
      <c r="E6445">
        <v>6.6E-3</v>
      </c>
      <c r="F6445">
        <v>8.2199999999999995E-2</v>
      </c>
    </row>
    <row r="6446" spans="1:6" x14ac:dyDescent="0.3">
      <c r="A6446" t="s">
        <v>6481</v>
      </c>
      <c r="B6446" t="s">
        <v>24</v>
      </c>
      <c r="C6446">
        <v>385000</v>
      </c>
      <c r="D6446">
        <v>6530.5</v>
      </c>
      <c r="E6446">
        <v>4.6899999999999997E-2</v>
      </c>
      <c r="F6446">
        <v>9.3799999999999994E-2</v>
      </c>
    </row>
    <row r="6447" spans="1:6" x14ac:dyDescent="0.3">
      <c r="A6447" t="s">
        <v>6482</v>
      </c>
      <c r="B6447" t="s">
        <v>26</v>
      </c>
      <c r="C6447">
        <v>413000</v>
      </c>
      <c r="D6447">
        <v>5897.6</v>
      </c>
      <c r="E6447">
        <v>1.26E-2</v>
      </c>
      <c r="F6447">
        <v>8.2199999999999995E-2</v>
      </c>
    </row>
    <row r="6448" spans="1:6" x14ac:dyDescent="0.3">
      <c r="A6448" t="s">
        <v>6483</v>
      </c>
      <c r="B6448" t="s">
        <v>490</v>
      </c>
      <c r="C6448">
        <v>497000</v>
      </c>
      <c r="D6448">
        <v>2352.6999999999998</v>
      </c>
      <c r="E6448">
        <v>1.7899999999999999E-2</v>
      </c>
      <c r="F6448">
        <v>5.7599999999999998E-2</v>
      </c>
    </row>
    <row r="6449" spans="1:6" x14ac:dyDescent="0.3">
      <c r="A6449" t="s">
        <v>6484</v>
      </c>
      <c r="B6449" t="s">
        <v>88</v>
      </c>
      <c r="C6449">
        <v>351000</v>
      </c>
      <c r="D6449">
        <v>4285.6000000000004</v>
      </c>
      <c r="E6449">
        <v>3.1899999999999998E-2</v>
      </c>
      <c r="F6449">
        <v>9.3799999999999994E-2</v>
      </c>
    </row>
    <row r="6450" spans="1:6" x14ac:dyDescent="0.3">
      <c r="A6450" t="s">
        <v>6485</v>
      </c>
      <c r="B6450" t="s">
        <v>26</v>
      </c>
      <c r="C6450">
        <v>361000</v>
      </c>
      <c r="D6450">
        <v>1828.7</v>
      </c>
      <c r="E6450">
        <v>2.0400000000000001E-2</v>
      </c>
      <c r="F6450">
        <v>8.5400000000000004E-2</v>
      </c>
    </row>
    <row r="6451" spans="1:6" x14ac:dyDescent="0.3">
      <c r="A6451" t="s">
        <v>6486</v>
      </c>
      <c r="B6451" t="s">
        <v>214</v>
      </c>
      <c r="C6451">
        <v>397000</v>
      </c>
      <c r="D6451">
        <v>49081.8</v>
      </c>
      <c r="E6451">
        <v>1.54E-2</v>
      </c>
      <c r="F6451">
        <v>4.6199999999999998E-2</v>
      </c>
    </row>
    <row r="6452" spans="1:6" x14ac:dyDescent="0.3">
      <c r="A6452" t="s">
        <v>6487</v>
      </c>
      <c r="B6452" t="s">
        <v>92</v>
      </c>
      <c r="C6452">
        <v>412000</v>
      </c>
      <c r="D6452">
        <v>30348.7</v>
      </c>
      <c r="E6452">
        <v>1.3599999999999999E-2</v>
      </c>
      <c r="F6452">
        <v>6.08E-2</v>
      </c>
    </row>
    <row r="6453" spans="1:6" x14ac:dyDescent="0.3">
      <c r="A6453" t="s">
        <v>6488</v>
      </c>
      <c r="B6453" t="s">
        <v>88</v>
      </c>
      <c r="C6453">
        <v>458000</v>
      </c>
      <c r="D6453">
        <v>2672.4</v>
      </c>
      <c r="E6453">
        <v>0.1293</v>
      </c>
      <c r="F6453">
        <v>9.3799999999999994E-2</v>
      </c>
    </row>
    <row r="6454" spans="1:6" x14ac:dyDescent="0.3">
      <c r="A6454" t="s">
        <v>6489</v>
      </c>
      <c r="B6454" t="s">
        <v>26</v>
      </c>
      <c r="C6454">
        <v>421000</v>
      </c>
      <c r="D6454">
        <v>30262.5</v>
      </c>
      <c r="E6454">
        <v>4.2299999999999997E-2</v>
      </c>
      <c r="F6454">
        <v>4.3200000000000002E-2</v>
      </c>
    </row>
    <row r="6455" spans="1:6" x14ac:dyDescent="0.3">
      <c r="A6455" t="s">
        <v>6490</v>
      </c>
      <c r="B6455" t="s">
        <v>26</v>
      </c>
      <c r="C6455">
        <v>607000</v>
      </c>
      <c r="D6455">
        <v>21078.400000000001</v>
      </c>
      <c r="E6455">
        <v>7.4300000000000005E-2</v>
      </c>
      <c r="F6455">
        <v>9.5100000000000004E-2</v>
      </c>
    </row>
    <row r="6456" spans="1:6" x14ac:dyDescent="0.3">
      <c r="A6456" t="s">
        <v>6491</v>
      </c>
      <c r="B6456" t="s">
        <v>88</v>
      </c>
      <c r="C6456">
        <v>658000</v>
      </c>
      <c r="D6456">
        <v>9237.7999999999993</v>
      </c>
      <c r="E6456">
        <v>3.8800000000000001E-2</v>
      </c>
      <c r="F6456">
        <v>9.3799999999999994E-2</v>
      </c>
    </row>
    <row r="6457" spans="1:6" x14ac:dyDescent="0.3">
      <c r="A6457" t="s">
        <v>6492</v>
      </c>
      <c r="B6457" t="s">
        <v>88</v>
      </c>
      <c r="C6457">
        <v>355000</v>
      </c>
      <c r="D6457">
        <v>9788.5</v>
      </c>
      <c r="E6457">
        <v>2.46E-2</v>
      </c>
      <c r="F6457">
        <v>5.2200000000000003E-2</v>
      </c>
    </row>
    <row r="6458" spans="1:6" x14ac:dyDescent="0.3">
      <c r="A6458" t="s">
        <v>6493</v>
      </c>
      <c r="B6458" t="s">
        <v>490</v>
      </c>
      <c r="C6458">
        <v>745000</v>
      </c>
      <c r="D6458">
        <v>11355.7</v>
      </c>
      <c r="E6458">
        <v>7.0000000000000001E-3</v>
      </c>
      <c r="F6458">
        <v>6.54E-2</v>
      </c>
    </row>
    <row r="6459" spans="1:6" x14ac:dyDescent="0.3">
      <c r="A6459" t="s">
        <v>6494</v>
      </c>
      <c r="B6459" t="s">
        <v>26</v>
      </c>
      <c r="C6459">
        <v>565000</v>
      </c>
      <c r="D6459">
        <v>7470.1</v>
      </c>
      <c r="E6459">
        <v>0.1043</v>
      </c>
      <c r="F6459">
        <v>9.3799999999999994E-2</v>
      </c>
    </row>
    <row r="6460" spans="1:6" x14ac:dyDescent="0.3">
      <c r="A6460" t="s">
        <v>6495</v>
      </c>
      <c r="B6460" t="s">
        <v>35</v>
      </c>
      <c r="C6460">
        <v>338000</v>
      </c>
      <c r="D6460">
        <v>10754.3</v>
      </c>
      <c r="E6460">
        <v>7.22E-2</v>
      </c>
      <c r="F6460">
        <v>7.5899999999999995E-2</v>
      </c>
    </row>
    <row r="6461" spans="1:6" x14ac:dyDescent="0.3">
      <c r="A6461" t="s">
        <v>6496</v>
      </c>
      <c r="B6461" t="s">
        <v>26</v>
      </c>
      <c r="C6461">
        <v>350000</v>
      </c>
      <c r="D6461">
        <v>2724.5</v>
      </c>
      <c r="F6461">
        <v>9.5100000000000004E-2</v>
      </c>
    </row>
    <row r="6462" spans="1:6" x14ac:dyDescent="0.3">
      <c r="A6462" t="s">
        <v>6497</v>
      </c>
      <c r="B6462" t="s">
        <v>214</v>
      </c>
      <c r="C6462">
        <v>539000</v>
      </c>
      <c r="D6462">
        <v>12534.3</v>
      </c>
      <c r="E6462">
        <v>3.0000000000000001E-3</v>
      </c>
      <c r="F6462">
        <v>6.54E-2</v>
      </c>
    </row>
    <row r="6463" spans="1:6" x14ac:dyDescent="0.3">
      <c r="A6463" t="s">
        <v>6498</v>
      </c>
      <c r="B6463" t="s">
        <v>92</v>
      </c>
      <c r="C6463">
        <v>398000</v>
      </c>
      <c r="D6463">
        <v>444.4</v>
      </c>
      <c r="E6463">
        <v>2.5499999999999998E-2</v>
      </c>
      <c r="F6463">
        <v>0.1226</v>
      </c>
    </row>
    <row r="6464" spans="1:6" x14ac:dyDescent="0.3">
      <c r="A6464" t="s">
        <v>6499</v>
      </c>
      <c r="B6464" t="s">
        <v>214</v>
      </c>
      <c r="C6464">
        <v>327000</v>
      </c>
      <c r="D6464">
        <v>37431.4</v>
      </c>
      <c r="E6464">
        <v>3.8100000000000002E-2</v>
      </c>
      <c r="F6464">
        <v>9.5100000000000004E-2</v>
      </c>
    </row>
    <row r="6465" spans="1:6" x14ac:dyDescent="0.3">
      <c r="A6465" t="s">
        <v>6500</v>
      </c>
      <c r="B6465" t="s">
        <v>74</v>
      </c>
      <c r="C6465">
        <v>338000</v>
      </c>
      <c r="D6465">
        <v>95779.5</v>
      </c>
      <c r="E6465">
        <v>6.4600000000000005E-2</v>
      </c>
      <c r="F6465">
        <v>9.5100000000000004E-2</v>
      </c>
    </row>
    <row r="6466" spans="1:6" x14ac:dyDescent="0.3">
      <c r="A6466" t="s">
        <v>6501</v>
      </c>
      <c r="B6466" t="s">
        <v>26</v>
      </c>
      <c r="C6466">
        <v>423000</v>
      </c>
      <c r="D6466">
        <v>3508.6</v>
      </c>
      <c r="E6466">
        <v>1.21E-2</v>
      </c>
      <c r="F6466">
        <v>7.5899999999999995E-2</v>
      </c>
    </row>
    <row r="6467" spans="1:6" x14ac:dyDescent="0.3">
      <c r="A6467" t="s">
        <v>6502</v>
      </c>
      <c r="B6467" t="s">
        <v>88</v>
      </c>
      <c r="C6467">
        <v>306000</v>
      </c>
      <c r="D6467">
        <v>20720.099999999999</v>
      </c>
      <c r="E6467">
        <v>8.9300000000000004E-2</v>
      </c>
      <c r="F6467">
        <v>7.5899999999999995E-2</v>
      </c>
    </row>
    <row r="6468" spans="1:6" x14ac:dyDescent="0.3">
      <c r="A6468" t="s">
        <v>6503</v>
      </c>
      <c r="B6468" t="s">
        <v>26</v>
      </c>
      <c r="C6468">
        <v>375000</v>
      </c>
      <c r="D6468">
        <v>20727.3</v>
      </c>
      <c r="E6468">
        <v>3.3500000000000002E-2</v>
      </c>
      <c r="F6468">
        <v>4.0899999999999999E-2</v>
      </c>
    </row>
    <row r="6469" spans="1:6" x14ac:dyDescent="0.3">
      <c r="A6469" t="s">
        <v>6504</v>
      </c>
      <c r="B6469" t="s">
        <v>26</v>
      </c>
      <c r="C6469">
        <v>393000</v>
      </c>
      <c r="D6469">
        <v>32202.6</v>
      </c>
      <c r="E6469">
        <v>4.4200000000000003E-2</v>
      </c>
      <c r="F6469">
        <v>7.5899999999999995E-2</v>
      </c>
    </row>
    <row r="6470" spans="1:6" x14ac:dyDescent="0.3">
      <c r="A6470" t="s">
        <v>6505</v>
      </c>
      <c r="B6470" t="s">
        <v>26</v>
      </c>
      <c r="C6470">
        <v>637000</v>
      </c>
      <c r="D6470">
        <v>21598</v>
      </c>
      <c r="E6470">
        <v>1.6899999999999998E-2</v>
      </c>
      <c r="F6470">
        <v>5.8500000000000003E-2</v>
      </c>
    </row>
    <row r="6471" spans="1:6" x14ac:dyDescent="0.3">
      <c r="A6471" t="s">
        <v>6506</v>
      </c>
      <c r="B6471" t="s">
        <v>41</v>
      </c>
      <c r="C6471">
        <v>380000</v>
      </c>
      <c r="D6471">
        <v>5314.6</v>
      </c>
      <c r="E6471">
        <v>3.04E-2</v>
      </c>
      <c r="F6471">
        <v>9.5100000000000004E-2</v>
      </c>
    </row>
    <row r="6472" spans="1:6" x14ac:dyDescent="0.3">
      <c r="A6472" t="s">
        <v>6507</v>
      </c>
      <c r="B6472" t="s">
        <v>26</v>
      </c>
      <c r="C6472">
        <v>500000</v>
      </c>
      <c r="D6472">
        <v>110817.2</v>
      </c>
      <c r="E6472">
        <v>1.1299999999999999E-2</v>
      </c>
      <c r="F6472">
        <v>5.8400000000000001E-2</v>
      </c>
    </row>
    <row r="6473" spans="1:6" x14ac:dyDescent="0.3">
      <c r="A6473" t="s">
        <v>6508</v>
      </c>
      <c r="B6473" t="s">
        <v>26</v>
      </c>
      <c r="C6473">
        <v>318000</v>
      </c>
      <c r="D6473">
        <v>12069.1</v>
      </c>
      <c r="E6473">
        <v>3.6799999999999999E-2</v>
      </c>
      <c r="F6473">
        <v>5.1799999999999999E-2</v>
      </c>
    </row>
    <row r="6474" spans="1:6" x14ac:dyDescent="0.3">
      <c r="A6474" t="s">
        <v>6509</v>
      </c>
      <c r="B6474" t="s">
        <v>26</v>
      </c>
      <c r="C6474">
        <v>365000</v>
      </c>
      <c r="D6474">
        <v>3318.6</v>
      </c>
      <c r="E6474">
        <v>1.5699999999999999E-2</v>
      </c>
      <c r="F6474">
        <v>5.8500000000000003E-2</v>
      </c>
    </row>
    <row r="6475" spans="1:6" x14ac:dyDescent="0.3">
      <c r="A6475" t="s">
        <v>6510</v>
      </c>
      <c r="B6475" t="s">
        <v>41</v>
      </c>
      <c r="C6475">
        <v>574000</v>
      </c>
      <c r="D6475">
        <v>9593.7000000000007</v>
      </c>
      <c r="E6475">
        <v>5.2699999999999997E-2</v>
      </c>
      <c r="F6475">
        <v>7.5899999999999995E-2</v>
      </c>
    </row>
    <row r="6476" spans="1:6" x14ac:dyDescent="0.3">
      <c r="A6476" t="s">
        <v>6511</v>
      </c>
      <c r="B6476" t="s">
        <v>50</v>
      </c>
      <c r="C6476">
        <v>538000</v>
      </c>
      <c r="D6476">
        <v>2132.6999999999998</v>
      </c>
      <c r="E6476">
        <v>2.3E-2</v>
      </c>
      <c r="F6476">
        <v>0.1226</v>
      </c>
    </row>
    <row r="6477" spans="1:6" x14ac:dyDescent="0.3">
      <c r="A6477" t="s">
        <v>6512</v>
      </c>
      <c r="B6477" t="s">
        <v>287</v>
      </c>
      <c r="C6477">
        <v>341000</v>
      </c>
      <c r="D6477">
        <v>14150.2</v>
      </c>
      <c r="E6477">
        <v>8.0000000000000004E-4</v>
      </c>
      <c r="F6477">
        <v>6.54E-2</v>
      </c>
    </row>
    <row r="6478" spans="1:6" x14ac:dyDescent="0.3">
      <c r="A6478" t="s">
        <v>6513</v>
      </c>
      <c r="B6478" t="s">
        <v>26</v>
      </c>
      <c r="C6478">
        <v>438000</v>
      </c>
      <c r="D6478">
        <v>42112.3</v>
      </c>
      <c r="E6478">
        <v>4.7800000000000002E-2</v>
      </c>
      <c r="F6478">
        <v>9.3799999999999994E-2</v>
      </c>
    </row>
    <row r="6479" spans="1:6" x14ac:dyDescent="0.3">
      <c r="A6479" t="s">
        <v>6514</v>
      </c>
      <c r="B6479" t="s">
        <v>26</v>
      </c>
      <c r="C6479">
        <v>341000</v>
      </c>
      <c r="D6479">
        <v>2670.7</v>
      </c>
      <c r="E6479">
        <v>3.8199999999999998E-2</v>
      </c>
      <c r="F6479">
        <v>7.5899999999999995E-2</v>
      </c>
    </row>
    <row r="6480" spans="1:6" x14ac:dyDescent="0.3">
      <c r="A6480" t="s">
        <v>6515</v>
      </c>
      <c r="B6480" t="s">
        <v>195</v>
      </c>
      <c r="C6480">
        <v>784000</v>
      </c>
      <c r="D6480">
        <v>3819.5</v>
      </c>
      <c r="E6480">
        <v>4.2500000000000003E-2</v>
      </c>
      <c r="F6480">
        <v>7.5899999999999995E-2</v>
      </c>
    </row>
    <row r="6481" spans="1:6" x14ac:dyDescent="0.3">
      <c r="A6481" t="s">
        <v>6516</v>
      </c>
      <c r="B6481" t="s">
        <v>214</v>
      </c>
      <c r="C6481">
        <v>329000</v>
      </c>
      <c r="D6481">
        <v>3540.4</v>
      </c>
      <c r="E6481">
        <v>1.15E-2</v>
      </c>
      <c r="F6481">
        <v>0.13270000000000001</v>
      </c>
    </row>
    <row r="6482" spans="1:6" x14ac:dyDescent="0.3">
      <c r="A6482" t="s">
        <v>6517</v>
      </c>
      <c r="B6482" t="s">
        <v>21</v>
      </c>
      <c r="C6482">
        <v>1730000</v>
      </c>
      <c r="D6482">
        <v>51493.9</v>
      </c>
      <c r="E6482">
        <v>3.1099999999999999E-2</v>
      </c>
      <c r="F6482">
        <v>9.3799999999999994E-2</v>
      </c>
    </row>
    <row r="6483" spans="1:6" x14ac:dyDescent="0.3">
      <c r="A6483" t="s">
        <v>6518</v>
      </c>
      <c r="B6483" t="s">
        <v>26</v>
      </c>
      <c r="C6483">
        <v>506000</v>
      </c>
      <c r="D6483">
        <v>4381.1000000000004</v>
      </c>
      <c r="E6483">
        <v>3.8899999999999997E-2</v>
      </c>
      <c r="F6483">
        <v>7.5899999999999995E-2</v>
      </c>
    </row>
    <row r="6484" spans="1:6" x14ac:dyDescent="0.3">
      <c r="A6484" t="s">
        <v>6519</v>
      </c>
      <c r="B6484" t="s">
        <v>92</v>
      </c>
      <c r="C6484">
        <v>330000</v>
      </c>
      <c r="D6484">
        <v>3117.1</v>
      </c>
      <c r="E6484">
        <v>3.27E-2</v>
      </c>
      <c r="F6484">
        <v>9.5100000000000004E-2</v>
      </c>
    </row>
    <row r="6485" spans="1:6" x14ac:dyDescent="0.3">
      <c r="A6485" t="s">
        <v>6520</v>
      </c>
      <c r="B6485" t="s">
        <v>62</v>
      </c>
      <c r="C6485">
        <v>391000</v>
      </c>
      <c r="D6485">
        <v>1235.3</v>
      </c>
      <c r="E6485">
        <v>1.5699999999999999E-2</v>
      </c>
      <c r="F6485">
        <v>4.6199999999999998E-2</v>
      </c>
    </row>
    <row r="6486" spans="1:6" x14ac:dyDescent="0.3">
      <c r="A6486" t="s">
        <v>6521</v>
      </c>
      <c r="B6486" t="s">
        <v>88</v>
      </c>
      <c r="C6486">
        <v>374000</v>
      </c>
      <c r="D6486">
        <v>206.5</v>
      </c>
      <c r="E6486">
        <v>4.0399999999999998E-2</v>
      </c>
      <c r="F6486">
        <v>9.3799999999999994E-2</v>
      </c>
    </row>
    <row r="6487" spans="1:6" x14ac:dyDescent="0.3">
      <c r="A6487" t="s">
        <v>6522</v>
      </c>
      <c r="B6487" t="s">
        <v>26</v>
      </c>
      <c r="C6487">
        <v>363000</v>
      </c>
      <c r="D6487">
        <v>21842</v>
      </c>
      <c r="E6487">
        <v>4.3700000000000003E-2</v>
      </c>
      <c r="F6487">
        <v>7.5899999999999995E-2</v>
      </c>
    </row>
    <row r="6488" spans="1:6" x14ac:dyDescent="0.3">
      <c r="A6488" t="s">
        <v>6523</v>
      </c>
      <c r="B6488" t="s">
        <v>88</v>
      </c>
      <c r="C6488">
        <v>412000</v>
      </c>
      <c r="D6488">
        <v>6624.5</v>
      </c>
      <c r="E6488">
        <v>3.7499999999999999E-2</v>
      </c>
      <c r="F6488">
        <v>9.3799999999999994E-2</v>
      </c>
    </row>
    <row r="6489" spans="1:6" x14ac:dyDescent="0.3">
      <c r="A6489" t="s">
        <v>6524</v>
      </c>
      <c r="B6489" t="s">
        <v>88</v>
      </c>
      <c r="C6489">
        <v>354000</v>
      </c>
      <c r="D6489">
        <v>3955308.2</v>
      </c>
      <c r="E6489">
        <v>1.49E-2</v>
      </c>
      <c r="F6489">
        <v>5.8500000000000003E-2</v>
      </c>
    </row>
    <row r="6490" spans="1:6" x14ac:dyDescent="0.3">
      <c r="A6490" t="s">
        <v>6525</v>
      </c>
      <c r="B6490" t="s">
        <v>71</v>
      </c>
      <c r="C6490">
        <v>432000</v>
      </c>
      <c r="D6490">
        <v>18408.099999999999</v>
      </c>
      <c r="E6490">
        <v>2.7199999999999998E-2</v>
      </c>
      <c r="F6490">
        <v>4.0899999999999999E-2</v>
      </c>
    </row>
    <row r="6491" spans="1:6" x14ac:dyDescent="0.3">
      <c r="A6491" t="s">
        <v>6526</v>
      </c>
      <c r="B6491" t="s">
        <v>26</v>
      </c>
      <c r="C6491">
        <v>490000</v>
      </c>
      <c r="D6491">
        <v>125311.6</v>
      </c>
      <c r="E6491">
        <v>1.14E-2</v>
      </c>
      <c r="F6491">
        <v>8.2199999999999995E-2</v>
      </c>
    </row>
    <row r="6492" spans="1:6" x14ac:dyDescent="0.3">
      <c r="A6492" t="s">
        <v>6527</v>
      </c>
      <c r="B6492" t="s">
        <v>26</v>
      </c>
      <c r="C6492">
        <v>334000</v>
      </c>
      <c r="D6492">
        <v>80096.800000000003</v>
      </c>
      <c r="E6492">
        <v>7.51E-2</v>
      </c>
      <c r="F6492">
        <v>9.5100000000000004E-2</v>
      </c>
    </row>
    <row r="6493" spans="1:6" x14ac:dyDescent="0.3">
      <c r="A6493" t="s">
        <v>6528</v>
      </c>
      <c r="B6493" t="s">
        <v>24</v>
      </c>
      <c r="C6493">
        <v>347000</v>
      </c>
      <c r="D6493">
        <v>18915.8</v>
      </c>
      <c r="E6493">
        <v>6.6699999999999995E-2</v>
      </c>
      <c r="F6493">
        <v>9.3799999999999994E-2</v>
      </c>
    </row>
    <row r="6494" spans="1:6" x14ac:dyDescent="0.3">
      <c r="A6494" t="s">
        <v>6529</v>
      </c>
      <c r="B6494" t="s">
        <v>74</v>
      </c>
      <c r="C6494">
        <v>519000</v>
      </c>
      <c r="D6494">
        <v>21758.799999999999</v>
      </c>
      <c r="E6494">
        <v>2.29E-2</v>
      </c>
      <c r="F6494">
        <v>7.5899999999999995E-2</v>
      </c>
    </row>
    <row r="6495" spans="1:6" x14ac:dyDescent="0.3">
      <c r="A6495" t="s">
        <v>6530</v>
      </c>
      <c r="B6495" t="s">
        <v>26</v>
      </c>
      <c r="C6495">
        <v>352000</v>
      </c>
      <c r="D6495">
        <v>10350.200000000001</v>
      </c>
      <c r="E6495">
        <v>1.7600000000000001E-2</v>
      </c>
      <c r="F6495">
        <v>8.5400000000000004E-2</v>
      </c>
    </row>
    <row r="6496" spans="1:6" x14ac:dyDescent="0.3">
      <c r="A6496" t="s">
        <v>6531</v>
      </c>
      <c r="B6496" t="s">
        <v>74</v>
      </c>
      <c r="C6496">
        <v>686000</v>
      </c>
      <c r="D6496">
        <v>52464.7</v>
      </c>
      <c r="E6496">
        <v>5.4000000000000003E-3</v>
      </c>
      <c r="F6496">
        <v>0.58079999999999998</v>
      </c>
    </row>
    <row r="6497" spans="1:6" x14ac:dyDescent="0.3">
      <c r="A6497" t="s">
        <v>6532</v>
      </c>
      <c r="B6497" t="s">
        <v>30</v>
      </c>
      <c r="C6497">
        <v>443000</v>
      </c>
      <c r="D6497">
        <v>131895.79999999999</v>
      </c>
      <c r="E6497">
        <v>6.7999999999999996E-3</v>
      </c>
      <c r="F6497">
        <v>8.2199999999999995E-2</v>
      </c>
    </row>
    <row r="6498" spans="1:6" x14ac:dyDescent="0.3">
      <c r="A6498" t="s">
        <v>6533</v>
      </c>
      <c r="B6498" t="s">
        <v>88</v>
      </c>
      <c r="C6498">
        <v>345000</v>
      </c>
      <c r="D6498">
        <v>13417.7</v>
      </c>
      <c r="E6498">
        <v>6.0100000000000001E-2</v>
      </c>
      <c r="F6498">
        <v>9.3799999999999994E-2</v>
      </c>
    </row>
    <row r="6499" spans="1:6" x14ac:dyDescent="0.3">
      <c r="A6499" t="s">
        <v>6534</v>
      </c>
      <c r="B6499" t="s">
        <v>26</v>
      </c>
      <c r="C6499">
        <v>398000</v>
      </c>
      <c r="D6499">
        <v>20892.400000000001</v>
      </c>
      <c r="E6499">
        <v>1.8700000000000001E-2</v>
      </c>
      <c r="F6499">
        <v>8.5400000000000004E-2</v>
      </c>
    </row>
    <row r="6500" spans="1:6" x14ac:dyDescent="0.3">
      <c r="A6500" t="s">
        <v>6535</v>
      </c>
      <c r="B6500" t="s">
        <v>26</v>
      </c>
      <c r="C6500">
        <v>386000</v>
      </c>
      <c r="D6500">
        <v>23580</v>
      </c>
      <c r="E6500">
        <v>2.75E-2</v>
      </c>
      <c r="F6500">
        <v>4.1200000000000001E-2</v>
      </c>
    </row>
    <row r="6501" spans="1:6" x14ac:dyDescent="0.3">
      <c r="A6501" t="s">
        <v>6536</v>
      </c>
      <c r="B6501" t="s">
        <v>24</v>
      </c>
      <c r="C6501">
        <v>337000</v>
      </c>
      <c r="D6501">
        <v>2521.8000000000002</v>
      </c>
      <c r="E6501">
        <v>4.4600000000000001E-2</v>
      </c>
      <c r="F6501">
        <v>9.3799999999999994E-2</v>
      </c>
    </row>
    <row r="6502" spans="1:6" x14ac:dyDescent="0.3">
      <c r="A6502" t="s">
        <v>6537</v>
      </c>
      <c r="B6502" t="s">
        <v>26</v>
      </c>
      <c r="C6502">
        <v>374000</v>
      </c>
      <c r="D6502">
        <v>2904.5</v>
      </c>
      <c r="E6502">
        <v>4.1999999999999997E-3</v>
      </c>
      <c r="F6502">
        <v>6.54E-2</v>
      </c>
    </row>
    <row r="6503" spans="1:6" x14ac:dyDescent="0.3">
      <c r="A6503" t="s">
        <v>6538</v>
      </c>
      <c r="B6503" t="s">
        <v>26</v>
      </c>
      <c r="C6503">
        <v>355000</v>
      </c>
      <c r="D6503">
        <v>16155.7</v>
      </c>
      <c r="E6503">
        <v>1.9099999999999999E-2</v>
      </c>
      <c r="F6503">
        <v>6.1600000000000002E-2</v>
      </c>
    </row>
    <row r="6504" spans="1:6" x14ac:dyDescent="0.3">
      <c r="A6504" t="s">
        <v>6539</v>
      </c>
      <c r="B6504" t="s">
        <v>41</v>
      </c>
      <c r="C6504">
        <v>308000</v>
      </c>
      <c r="D6504">
        <v>606.1</v>
      </c>
      <c r="E6504">
        <v>5.11E-2</v>
      </c>
      <c r="F6504">
        <v>9.3799999999999994E-2</v>
      </c>
    </row>
    <row r="6505" spans="1:6" x14ac:dyDescent="0.3">
      <c r="A6505" t="s">
        <v>6540</v>
      </c>
      <c r="B6505" t="s">
        <v>92</v>
      </c>
      <c r="C6505">
        <v>322000</v>
      </c>
      <c r="D6505">
        <v>2867.8</v>
      </c>
      <c r="E6505">
        <v>1.89E-2</v>
      </c>
      <c r="F6505">
        <v>0.1067</v>
      </c>
    </row>
    <row r="6506" spans="1:6" x14ac:dyDescent="0.3">
      <c r="A6506" t="s">
        <v>6541</v>
      </c>
      <c r="B6506" t="s">
        <v>41</v>
      </c>
      <c r="C6506">
        <v>393000</v>
      </c>
      <c r="D6506">
        <v>1382.7</v>
      </c>
      <c r="E6506">
        <v>5.8999999999999999E-3</v>
      </c>
      <c r="F6506">
        <v>9.0300000000000005E-2</v>
      </c>
    </row>
    <row r="6507" spans="1:6" x14ac:dyDescent="0.3">
      <c r="A6507" t="s">
        <v>6542</v>
      </c>
      <c r="B6507" t="s">
        <v>62</v>
      </c>
      <c r="C6507">
        <v>319000</v>
      </c>
      <c r="D6507">
        <v>2046.6</v>
      </c>
      <c r="E6507">
        <v>2.63E-2</v>
      </c>
      <c r="F6507">
        <v>9.5100000000000004E-2</v>
      </c>
    </row>
    <row r="6508" spans="1:6" x14ac:dyDescent="0.3">
      <c r="A6508" t="s">
        <v>6543</v>
      </c>
      <c r="B6508" t="s">
        <v>71</v>
      </c>
      <c r="C6508">
        <v>348000</v>
      </c>
      <c r="D6508">
        <v>10127.4</v>
      </c>
      <c r="E6508">
        <v>1.9300000000000001E-2</v>
      </c>
      <c r="F6508">
        <v>4.6600000000000003E-2</v>
      </c>
    </row>
    <row r="6509" spans="1:6" x14ac:dyDescent="0.3">
      <c r="A6509" t="s">
        <v>6544</v>
      </c>
      <c r="B6509" t="s">
        <v>92</v>
      </c>
      <c r="C6509">
        <v>334000</v>
      </c>
      <c r="D6509">
        <v>1219.4000000000001</v>
      </c>
      <c r="E6509">
        <v>1.0999999999999999E-2</v>
      </c>
      <c r="F6509">
        <v>7.3599999999999999E-2</v>
      </c>
    </row>
    <row r="6510" spans="1:6" x14ac:dyDescent="0.3">
      <c r="A6510" t="s">
        <v>6545</v>
      </c>
      <c r="B6510" t="s">
        <v>41</v>
      </c>
      <c r="C6510">
        <v>325000</v>
      </c>
      <c r="D6510">
        <v>394481.7</v>
      </c>
      <c r="E6510">
        <v>7.2599999999999998E-2</v>
      </c>
      <c r="F6510">
        <v>5.1799999999999999E-2</v>
      </c>
    </row>
    <row r="6511" spans="1:6" x14ac:dyDescent="0.3">
      <c r="A6511" t="s">
        <v>6546</v>
      </c>
      <c r="B6511" t="s">
        <v>26</v>
      </c>
      <c r="C6511">
        <v>2290000</v>
      </c>
      <c r="D6511">
        <v>954176.4</v>
      </c>
      <c r="E6511">
        <v>2.53E-2</v>
      </c>
      <c r="F6511">
        <v>4.0899999999999999E-2</v>
      </c>
    </row>
    <row r="6512" spans="1:6" x14ac:dyDescent="0.3">
      <c r="A6512" t="s">
        <v>6547</v>
      </c>
      <c r="B6512" t="s">
        <v>88</v>
      </c>
      <c r="C6512">
        <v>401000</v>
      </c>
      <c r="D6512">
        <v>10961.8</v>
      </c>
      <c r="E6512">
        <v>6.0699999999999997E-2</v>
      </c>
      <c r="F6512">
        <v>9.5100000000000004E-2</v>
      </c>
    </row>
    <row r="6513" spans="1:6" x14ac:dyDescent="0.3">
      <c r="A6513" t="s">
        <v>6548</v>
      </c>
      <c r="B6513" t="s">
        <v>214</v>
      </c>
      <c r="C6513">
        <v>434000</v>
      </c>
      <c r="D6513">
        <v>1236.0999999999999</v>
      </c>
      <c r="E6513">
        <v>2.6100000000000002E-2</v>
      </c>
      <c r="F6513">
        <v>4.3200000000000002E-2</v>
      </c>
    </row>
    <row r="6514" spans="1:6" x14ac:dyDescent="0.3">
      <c r="A6514" t="s">
        <v>6549</v>
      </c>
      <c r="B6514" t="s">
        <v>26</v>
      </c>
      <c r="C6514">
        <v>441000</v>
      </c>
      <c r="D6514">
        <v>9940.7999999999993</v>
      </c>
      <c r="E6514">
        <v>9.1000000000000004E-3</v>
      </c>
      <c r="F6514">
        <v>0.14710000000000001</v>
      </c>
    </row>
    <row r="6515" spans="1:6" x14ac:dyDescent="0.3">
      <c r="A6515" t="s">
        <v>6550</v>
      </c>
      <c r="B6515" t="s">
        <v>41</v>
      </c>
      <c r="C6515">
        <v>529000</v>
      </c>
      <c r="D6515">
        <v>3745.1</v>
      </c>
      <c r="E6515">
        <v>2.2800000000000001E-2</v>
      </c>
      <c r="F6515">
        <v>5.7599999999999998E-2</v>
      </c>
    </row>
    <row r="6516" spans="1:6" x14ac:dyDescent="0.3">
      <c r="A6516" t="s">
        <v>6551</v>
      </c>
      <c r="B6516" t="s">
        <v>71</v>
      </c>
      <c r="C6516">
        <v>488000</v>
      </c>
      <c r="D6516">
        <v>71557.2</v>
      </c>
      <c r="E6516">
        <v>4.2900000000000001E-2</v>
      </c>
      <c r="F6516">
        <v>7.5899999999999995E-2</v>
      </c>
    </row>
    <row r="6517" spans="1:6" x14ac:dyDescent="0.3">
      <c r="A6517" t="s">
        <v>6552</v>
      </c>
      <c r="B6517" t="s">
        <v>26</v>
      </c>
      <c r="C6517">
        <v>330000</v>
      </c>
      <c r="D6517">
        <v>3558.3</v>
      </c>
      <c r="E6517">
        <v>6.1000000000000004E-3</v>
      </c>
      <c r="F6517">
        <v>6.54E-2</v>
      </c>
    </row>
    <row r="6518" spans="1:6" x14ac:dyDescent="0.3">
      <c r="A6518" t="s">
        <v>6553</v>
      </c>
      <c r="B6518" t="s">
        <v>214</v>
      </c>
      <c r="C6518">
        <v>381000</v>
      </c>
      <c r="D6518">
        <v>630.5</v>
      </c>
      <c r="E6518">
        <v>4.7999999999999996E-3</v>
      </c>
      <c r="F6518">
        <v>8.1100000000000005E-2</v>
      </c>
    </row>
    <row r="6519" spans="1:6" x14ac:dyDescent="0.3">
      <c r="A6519" t="s">
        <v>6554</v>
      </c>
      <c r="B6519" t="s">
        <v>41</v>
      </c>
      <c r="C6519">
        <v>413000</v>
      </c>
      <c r="D6519">
        <v>21174.2</v>
      </c>
      <c r="E6519">
        <v>9.1899999999999996E-2</v>
      </c>
      <c r="F6519">
        <v>7.5899999999999995E-2</v>
      </c>
    </row>
    <row r="6520" spans="1:6" x14ac:dyDescent="0.3">
      <c r="A6520" t="s">
        <v>6555</v>
      </c>
      <c r="B6520" t="s">
        <v>214</v>
      </c>
      <c r="C6520">
        <v>354000</v>
      </c>
      <c r="D6520">
        <v>15620.4</v>
      </c>
      <c r="E6520">
        <v>3.4299999999999997E-2</v>
      </c>
      <c r="F6520">
        <v>9.5100000000000004E-2</v>
      </c>
    </row>
    <row r="6521" spans="1:6" x14ac:dyDescent="0.3">
      <c r="A6521" t="s">
        <v>6556</v>
      </c>
      <c r="B6521" t="s">
        <v>26</v>
      </c>
      <c r="C6521">
        <v>321000</v>
      </c>
      <c r="D6521">
        <v>822781</v>
      </c>
      <c r="E6521">
        <v>2.4400000000000002E-2</v>
      </c>
      <c r="F6521">
        <v>5.1799999999999999E-2</v>
      </c>
    </row>
    <row r="6522" spans="1:6" x14ac:dyDescent="0.3">
      <c r="A6522" t="s">
        <v>6557</v>
      </c>
      <c r="B6522" t="s">
        <v>26</v>
      </c>
      <c r="C6522">
        <v>422000</v>
      </c>
      <c r="D6522">
        <v>9107</v>
      </c>
      <c r="E6522">
        <v>5.7799999999999997E-2</v>
      </c>
      <c r="F6522">
        <v>9.5100000000000004E-2</v>
      </c>
    </row>
    <row r="6523" spans="1:6" x14ac:dyDescent="0.3">
      <c r="A6523" t="s">
        <v>6558</v>
      </c>
      <c r="B6523" t="s">
        <v>26</v>
      </c>
      <c r="C6523">
        <v>407000</v>
      </c>
      <c r="D6523">
        <v>309930.3</v>
      </c>
      <c r="E6523">
        <v>2.1600000000000001E-2</v>
      </c>
      <c r="F6523">
        <v>7.5899999999999995E-2</v>
      </c>
    </row>
    <row r="6524" spans="1:6" x14ac:dyDescent="0.3">
      <c r="A6524" t="s">
        <v>6559</v>
      </c>
      <c r="B6524" t="s">
        <v>214</v>
      </c>
      <c r="C6524">
        <v>403000</v>
      </c>
      <c r="D6524">
        <v>7880.4</v>
      </c>
      <c r="E6524">
        <v>1.9900000000000001E-2</v>
      </c>
      <c r="F6524">
        <v>4.6199999999999998E-2</v>
      </c>
    </row>
    <row r="6525" spans="1:6" x14ac:dyDescent="0.3">
      <c r="A6525" t="s">
        <v>6560</v>
      </c>
      <c r="B6525" t="s">
        <v>88</v>
      </c>
      <c r="C6525">
        <v>728000</v>
      </c>
      <c r="D6525">
        <v>3733.3</v>
      </c>
      <c r="E6525">
        <v>3.0599999999999999E-2</v>
      </c>
      <c r="F6525">
        <v>7.5899999999999995E-2</v>
      </c>
    </row>
    <row r="6526" spans="1:6" x14ac:dyDescent="0.3">
      <c r="A6526" t="s">
        <v>6561</v>
      </c>
      <c r="B6526" t="s">
        <v>24</v>
      </c>
      <c r="C6526">
        <v>334000</v>
      </c>
      <c r="D6526">
        <v>164.3</v>
      </c>
      <c r="E6526">
        <v>2.07E-2</v>
      </c>
      <c r="F6526">
        <v>5.8500000000000003E-2</v>
      </c>
    </row>
    <row r="6527" spans="1:6" x14ac:dyDescent="0.3">
      <c r="A6527" t="s">
        <v>6562</v>
      </c>
      <c r="B6527" t="s">
        <v>24</v>
      </c>
      <c r="C6527">
        <v>741000</v>
      </c>
      <c r="D6527">
        <v>436.3</v>
      </c>
      <c r="E6527">
        <v>6.6100000000000006E-2</v>
      </c>
      <c r="F6527">
        <v>9.3799999999999994E-2</v>
      </c>
    </row>
    <row r="6528" spans="1:6" x14ac:dyDescent="0.3">
      <c r="A6528" t="s">
        <v>6563</v>
      </c>
      <c r="B6528" t="s">
        <v>26</v>
      </c>
      <c r="C6528">
        <v>641000</v>
      </c>
      <c r="D6528">
        <v>103347</v>
      </c>
      <c r="E6528">
        <v>1.55E-2</v>
      </c>
      <c r="F6528">
        <v>8.5400000000000004E-2</v>
      </c>
    </row>
    <row r="6529" spans="1:6" x14ac:dyDescent="0.3">
      <c r="A6529" t="s">
        <v>6564</v>
      </c>
      <c r="B6529" t="s">
        <v>35</v>
      </c>
      <c r="C6529">
        <v>598000</v>
      </c>
      <c r="D6529">
        <v>79246.899999999994</v>
      </c>
      <c r="E6529">
        <v>1.9699999999999999E-2</v>
      </c>
      <c r="F6529">
        <v>8.5400000000000004E-2</v>
      </c>
    </row>
    <row r="6530" spans="1:6" x14ac:dyDescent="0.3">
      <c r="A6530" t="s">
        <v>6565</v>
      </c>
      <c r="B6530" t="s">
        <v>287</v>
      </c>
      <c r="C6530">
        <v>441000</v>
      </c>
      <c r="D6530">
        <v>4611.3</v>
      </c>
      <c r="E6530">
        <v>1.9400000000000001E-2</v>
      </c>
      <c r="F6530">
        <v>0.1239</v>
      </c>
    </row>
    <row r="6531" spans="1:6" x14ac:dyDescent="0.3">
      <c r="A6531" t="s">
        <v>6566</v>
      </c>
      <c r="B6531" t="s">
        <v>21</v>
      </c>
      <c r="C6531">
        <v>328000</v>
      </c>
      <c r="D6531">
        <v>20540</v>
      </c>
      <c r="E6531">
        <v>4.2700000000000002E-2</v>
      </c>
      <c r="F6531">
        <v>9.5100000000000004E-2</v>
      </c>
    </row>
    <row r="6532" spans="1:6" x14ac:dyDescent="0.3">
      <c r="A6532" t="s">
        <v>6567</v>
      </c>
      <c r="B6532" t="s">
        <v>88</v>
      </c>
      <c r="C6532">
        <v>448000</v>
      </c>
      <c r="D6532">
        <v>1363.8</v>
      </c>
      <c r="E6532">
        <v>2.47E-2</v>
      </c>
      <c r="F6532">
        <v>7.5899999999999995E-2</v>
      </c>
    </row>
    <row r="6533" spans="1:6" x14ac:dyDescent="0.3">
      <c r="A6533" t="s">
        <v>6568</v>
      </c>
      <c r="B6533" t="s">
        <v>26</v>
      </c>
      <c r="C6533">
        <v>353000</v>
      </c>
      <c r="D6533">
        <v>34713.699999999997</v>
      </c>
      <c r="E6533">
        <v>2.4799999999999999E-2</v>
      </c>
      <c r="F6533">
        <v>6.7199999999999996E-2</v>
      </c>
    </row>
    <row r="6534" spans="1:6" x14ac:dyDescent="0.3">
      <c r="A6534" t="s">
        <v>6569</v>
      </c>
      <c r="B6534" t="s">
        <v>26</v>
      </c>
      <c r="C6534">
        <v>349000</v>
      </c>
      <c r="D6534">
        <v>5919.9</v>
      </c>
      <c r="E6534">
        <v>3.0499999999999999E-2</v>
      </c>
      <c r="F6534">
        <v>9.5100000000000004E-2</v>
      </c>
    </row>
    <row r="6535" spans="1:6" x14ac:dyDescent="0.3">
      <c r="A6535" t="s">
        <v>6570</v>
      </c>
      <c r="B6535" t="s">
        <v>24</v>
      </c>
      <c r="C6535">
        <v>573000</v>
      </c>
      <c r="D6535">
        <v>8633.6</v>
      </c>
      <c r="E6535">
        <v>2.8400000000000002E-2</v>
      </c>
      <c r="F6535">
        <v>7.5899999999999995E-2</v>
      </c>
    </row>
    <row r="6536" spans="1:6" x14ac:dyDescent="0.3">
      <c r="A6536" t="s">
        <v>6571</v>
      </c>
      <c r="B6536" t="s">
        <v>26</v>
      </c>
      <c r="C6536">
        <v>315000</v>
      </c>
      <c r="D6536">
        <v>5750.5</v>
      </c>
      <c r="E6536">
        <v>1.0800000000000001E-2</v>
      </c>
      <c r="F6536">
        <v>0.14710000000000001</v>
      </c>
    </row>
    <row r="6537" spans="1:6" x14ac:dyDescent="0.3">
      <c r="A6537" t="s">
        <v>6572</v>
      </c>
      <c r="B6537" t="s">
        <v>71</v>
      </c>
      <c r="C6537">
        <v>313000</v>
      </c>
      <c r="D6537">
        <v>71343.7</v>
      </c>
      <c r="E6537">
        <v>2.1899999999999999E-2</v>
      </c>
      <c r="F6537">
        <v>8.4500000000000006E-2</v>
      </c>
    </row>
    <row r="6538" spans="1:6" x14ac:dyDescent="0.3">
      <c r="A6538" t="s">
        <v>6573</v>
      </c>
      <c r="B6538" t="s">
        <v>26</v>
      </c>
      <c r="C6538">
        <v>379000</v>
      </c>
      <c r="D6538">
        <v>15461.2</v>
      </c>
      <c r="E6538">
        <v>6.9400000000000003E-2</v>
      </c>
      <c r="F6538">
        <v>7.5899999999999995E-2</v>
      </c>
    </row>
    <row r="6539" spans="1:6" x14ac:dyDescent="0.3">
      <c r="A6539" t="s">
        <v>6574</v>
      </c>
      <c r="B6539" t="s">
        <v>24</v>
      </c>
      <c r="C6539">
        <v>375000</v>
      </c>
      <c r="D6539">
        <v>198.1</v>
      </c>
      <c r="E6539">
        <v>5.8999999999999999E-3</v>
      </c>
      <c r="F6539">
        <v>0.13639999999999999</v>
      </c>
    </row>
    <row r="6540" spans="1:6" x14ac:dyDescent="0.3">
      <c r="A6540" t="s">
        <v>6575</v>
      </c>
      <c r="B6540" t="s">
        <v>62</v>
      </c>
      <c r="C6540">
        <v>533000</v>
      </c>
      <c r="D6540">
        <v>44421.5</v>
      </c>
      <c r="E6540">
        <v>6.3700000000000007E-2</v>
      </c>
      <c r="F6540">
        <v>7.5899999999999995E-2</v>
      </c>
    </row>
    <row r="6541" spans="1:6" x14ac:dyDescent="0.3">
      <c r="A6541" t="s">
        <v>6576</v>
      </c>
      <c r="B6541" t="s">
        <v>26</v>
      </c>
      <c r="C6541">
        <v>570000</v>
      </c>
      <c r="D6541">
        <v>15397.6</v>
      </c>
      <c r="E6541">
        <v>5.7799999999999997E-2</v>
      </c>
      <c r="F6541">
        <v>7.5899999999999995E-2</v>
      </c>
    </row>
    <row r="6542" spans="1:6" x14ac:dyDescent="0.3">
      <c r="A6542" t="s">
        <v>6577</v>
      </c>
      <c r="B6542" t="s">
        <v>214</v>
      </c>
      <c r="C6542">
        <v>367000</v>
      </c>
      <c r="D6542">
        <v>23751.599999999999</v>
      </c>
      <c r="E6542">
        <v>3.85E-2</v>
      </c>
      <c r="F6542">
        <v>8.4500000000000006E-2</v>
      </c>
    </row>
    <row r="6543" spans="1:6" x14ac:dyDescent="0.3">
      <c r="A6543" t="s">
        <v>6578</v>
      </c>
      <c r="B6543" t="s">
        <v>41</v>
      </c>
      <c r="C6543">
        <v>529000</v>
      </c>
      <c r="D6543">
        <v>3441.4</v>
      </c>
      <c r="E6543">
        <v>4.3099999999999999E-2</v>
      </c>
      <c r="F6543">
        <v>9.3799999999999994E-2</v>
      </c>
    </row>
    <row r="6544" spans="1:6" x14ac:dyDescent="0.3">
      <c r="A6544" t="s">
        <v>6579</v>
      </c>
      <c r="B6544" t="s">
        <v>26</v>
      </c>
      <c r="C6544">
        <v>362000</v>
      </c>
      <c r="D6544">
        <v>114652.5</v>
      </c>
      <c r="E6544">
        <v>5.7599999999999998E-2</v>
      </c>
      <c r="F6544">
        <v>9.5100000000000004E-2</v>
      </c>
    </row>
    <row r="6545" spans="1:6" x14ac:dyDescent="0.3">
      <c r="A6545" t="s">
        <v>6580</v>
      </c>
      <c r="B6545" t="s">
        <v>21</v>
      </c>
      <c r="C6545">
        <v>469000</v>
      </c>
      <c r="D6545">
        <v>851.3</v>
      </c>
      <c r="E6545">
        <v>3.4599999999999999E-2</v>
      </c>
      <c r="F6545">
        <v>7.5899999999999995E-2</v>
      </c>
    </row>
    <row r="6546" spans="1:6" x14ac:dyDescent="0.3">
      <c r="A6546" t="s">
        <v>6581</v>
      </c>
      <c r="B6546" t="s">
        <v>26</v>
      </c>
      <c r="C6546">
        <v>360000</v>
      </c>
      <c r="D6546">
        <v>1038.4000000000001</v>
      </c>
      <c r="E6546">
        <v>4.0899999999999999E-2</v>
      </c>
      <c r="F6546">
        <v>5.0999999999999997E-2</v>
      </c>
    </row>
    <row r="6547" spans="1:6" x14ac:dyDescent="0.3">
      <c r="A6547" t="s">
        <v>6582</v>
      </c>
      <c r="B6547" t="s">
        <v>92</v>
      </c>
      <c r="C6547">
        <v>401000</v>
      </c>
      <c r="D6547">
        <v>1424.4</v>
      </c>
      <c r="E6547">
        <v>2.3099999999999999E-2</v>
      </c>
      <c r="F6547">
        <v>4.0899999999999999E-2</v>
      </c>
    </row>
    <row r="6548" spans="1:6" x14ac:dyDescent="0.3">
      <c r="A6548" t="s">
        <v>6583</v>
      </c>
      <c r="B6548" t="s">
        <v>35</v>
      </c>
      <c r="C6548">
        <v>1000000</v>
      </c>
      <c r="D6548">
        <v>1271.3</v>
      </c>
      <c r="E6548">
        <v>8.0000000000000002E-3</v>
      </c>
      <c r="F6548">
        <v>6.54E-2</v>
      </c>
    </row>
    <row r="6549" spans="1:6" x14ac:dyDescent="0.3">
      <c r="A6549" t="s">
        <v>6584</v>
      </c>
      <c r="B6549" t="s">
        <v>74</v>
      </c>
      <c r="C6549">
        <v>340000</v>
      </c>
      <c r="D6549">
        <v>18209.900000000001</v>
      </c>
      <c r="E6549">
        <v>2.01E-2</v>
      </c>
      <c r="F6549">
        <v>9.5100000000000004E-2</v>
      </c>
    </row>
    <row r="6550" spans="1:6" x14ac:dyDescent="0.3">
      <c r="A6550" t="s">
        <v>6585</v>
      </c>
      <c r="B6550" t="s">
        <v>88</v>
      </c>
      <c r="C6550">
        <v>415000</v>
      </c>
      <c r="D6550">
        <v>4146.6000000000004</v>
      </c>
      <c r="E6550">
        <v>7.3200000000000001E-2</v>
      </c>
      <c r="F6550">
        <v>9.3799999999999994E-2</v>
      </c>
    </row>
    <row r="6551" spans="1:6" x14ac:dyDescent="0.3">
      <c r="A6551" t="s">
        <v>6586</v>
      </c>
      <c r="B6551" t="s">
        <v>53</v>
      </c>
      <c r="C6551">
        <v>704000</v>
      </c>
      <c r="D6551">
        <v>47876.6</v>
      </c>
      <c r="E6551">
        <v>5.74E-2</v>
      </c>
      <c r="F6551">
        <v>7.5899999999999995E-2</v>
      </c>
    </row>
    <row r="6552" spans="1:6" x14ac:dyDescent="0.3">
      <c r="A6552" t="s">
        <v>6587</v>
      </c>
      <c r="B6552" t="s">
        <v>26</v>
      </c>
      <c r="C6552">
        <v>348000</v>
      </c>
      <c r="D6552">
        <v>11258.3</v>
      </c>
      <c r="E6552">
        <v>0.03</v>
      </c>
      <c r="F6552">
        <v>7.5899999999999995E-2</v>
      </c>
    </row>
    <row r="6553" spans="1:6" x14ac:dyDescent="0.3">
      <c r="A6553" t="s">
        <v>6588</v>
      </c>
      <c r="B6553" t="s">
        <v>88</v>
      </c>
      <c r="C6553">
        <v>355000</v>
      </c>
      <c r="D6553">
        <v>2906.7</v>
      </c>
      <c r="E6553">
        <v>2.9899999999999999E-2</v>
      </c>
      <c r="F6553">
        <v>9.3799999999999994E-2</v>
      </c>
    </row>
    <row r="6554" spans="1:6" x14ac:dyDescent="0.3">
      <c r="A6554" t="s">
        <v>6589</v>
      </c>
      <c r="B6554" t="s">
        <v>53</v>
      </c>
      <c r="C6554">
        <v>2860000</v>
      </c>
      <c r="D6554">
        <v>244343.4</v>
      </c>
      <c r="E6554">
        <v>4.4000000000000003E-3</v>
      </c>
      <c r="F6554">
        <v>6.54E-2</v>
      </c>
    </row>
    <row r="6555" spans="1:6" x14ac:dyDescent="0.3">
      <c r="A6555" t="s">
        <v>6590</v>
      </c>
      <c r="B6555" t="s">
        <v>24</v>
      </c>
      <c r="C6555">
        <v>347000</v>
      </c>
      <c r="D6555">
        <v>1432848.9</v>
      </c>
      <c r="E6555">
        <v>4.9299999999999997E-2</v>
      </c>
      <c r="F6555">
        <v>5.1799999999999999E-2</v>
      </c>
    </row>
    <row r="6556" spans="1:6" x14ac:dyDescent="0.3">
      <c r="A6556" t="s">
        <v>6591</v>
      </c>
      <c r="B6556" t="s">
        <v>214</v>
      </c>
      <c r="C6556">
        <v>408000</v>
      </c>
      <c r="D6556">
        <v>6105.9</v>
      </c>
      <c r="E6556">
        <v>2.3E-2</v>
      </c>
      <c r="F6556">
        <v>7.5700000000000003E-2</v>
      </c>
    </row>
    <row r="6557" spans="1:6" x14ac:dyDescent="0.3">
      <c r="A6557" t="s">
        <v>6592</v>
      </c>
      <c r="B6557" t="s">
        <v>26</v>
      </c>
      <c r="C6557">
        <v>389000</v>
      </c>
      <c r="D6557">
        <v>222</v>
      </c>
      <c r="E6557">
        <v>3.6299999999999999E-2</v>
      </c>
      <c r="F6557">
        <v>0.1226</v>
      </c>
    </row>
    <row r="6558" spans="1:6" x14ac:dyDescent="0.3">
      <c r="A6558" t="s">
        <v>6593</v>
      </c>
      <c r="B6558" t="s">
        <v>62</v>
      </c>
      <c r="C6558">
        <v>352000</v>
      </c>
      <c r="D6558">
        <v>3064.8</v>
      </c>
      <c r="E6558">
        <v>4.0099999999999997E-2</v>
      </c>
      <c r="F6558">
        <v>4.3200000000000002E-2</v>
      </c>
    </row>
    <row r="6559" spans="1:6" x14ac:dyDescent="0.3">
      <c r="A6559" t="s">
        <v>6594</v>
      </c>
      <c r="B6559" t="s">
        <v>26</v>
      </c>
      <c r="C6559">
        <v>370000</v>
      </c>
      <c r="D6559">
        <v>74211.399999999994</v>
      </c>
      <c r="E6559">
        <v>1.55E-2</v>
      </c>
      <c r="F6559">
        <v>5.8500000000000003E-2</v>
      </c>
    </row>
    <row r="6560" spans="1:6" x14ac:dyDescent="0.3">
      <c r="A6560" t="s">
        <v>6595</v>
      </c>
      <c r="B6560" t="s">
        <v>53</v>
      </c>
      <c r="C6560">
        <v>522000</v>
      </c>
      <c r="D6560">
        <v>24158.7</v>
      </c>
      <c r="E6560">
        <v>5.21E-2</v>
      </c>
      <c r="F6560">
        <v>7.5899999999999995E-2</v>
      </c>
    </row>
    <row r="6561" spans="1:6" x14ac:dyDescent="0.3">
      <c r="A6561" t="s">
        <v>6596</v>
      </c>
      <c r="B6561" t="s">
        <v>88</v>
      </c>
      <c r="C6561">
        <v>364000</v>
      </c>
      <c r="D6561">
        <v>2175.6999999999998</v>
      </c>
      <c r="E6561">
        <v>3.6600000000000001E-2</v>
      </c>
      <c r="F6561">
        <v>9.3799999999999994E-2</v>
      </c>
    </row>
    <row r="6562" spans="1:6" x14ac:dyDescent="0.3">
      <c r="A6562" t="s">
        <v>6597</v>
      </c>
      <c r="B6562" t="s">
        <v>88</v>
      </c>
      <c r="C6562">
        <v>448000</v>
      </c>
      <c r="D6562">
        <v>360.8</v>
      </c>
      <c r="E6562">
        <v>5.8200000000000002E-2</v>
      </c>
      <c r="F6562">
        <v>5.0999999999999997E-2</v>
      </c>
    </row>
    <row r="6563" spans="1:6" x14ac:dyDescent="0.3">
      <c r="A6563" t="s">
        <v>6598</v>
      </c>
      <c r="B6563" t="s">
        <v>62</v>
      </c>
      <c r="C6563">
        <v>402000</v>
      </c>
      <c r="D6563">
        <v>798.1</v>
      </c>
      <c r="E6563">
        <v>1.4200000000000001E-2</v>
      </c>
      <c r="F6563">
        <v>6.54E-2</v>
      </c>
    </row>
    <row r="6564" spans="1:6" x14ac:dyDescent="0.3">
      <c r="A6564" t="s">
        <v>6599</v>
      </c>
      <c r="B6564" t="s">
        <v>26</v>
      </c>
      <c r="C6564">
        <v>468000</v>
      </c>
      <c r="D6564">
        <v>1669622.1</v>
      </c>
      <c r="E6564">
        <v>3.61E-2</v>
      </c>
      <c r="F6564">
        <v>5.1799999999999999E-2</v>
      </c>
    </row>
    <row r="6565" spans="1:6" x14ac:dyDescent="0.3">
      <c r="A6565" t="s">
        <v>6600</v>
      </c>
      <c r="B6565" t="s">
        <v>92</v>
      </c>
      <c r="C6565">
        <v>318000</v>
      </c>
      <c r="D6565">
        <v>1166.8</v>
      </c>
      <c r="E6565">
        <v>4.1799999999999997E-2</v>
      </c>
      <c r="F6565">
        <v>9.5100000000000004E-2</v>
      </c>
    </row>
    <row r="6566" spans="1:6" x14ac:dyDescent="0.3">
      <c r="A6566" t="s">
        <v>6601</v>
      </c>
      <c r="B6566" t="s">
        <v>88</v>
      </c>
      <c r="C6566">
        <v>336000</v>
      </c>
      <c r="D6566">
        <v>4140.1000000000004</v>
      </c>
      <c r="E6566">
        <v>1.9199999999999998E-2</v>
      </c>
      <c r="F6566">
        <v>0.1053</v>
      </c>
    </row>
    <row r="6567" spans="1:6" x14ac:dyDescent="0.3">
      <c r="A6567" t="s">
        <v>6602</v>
      </c>
      <c r="B6567" t="s">
        <v>195</v>
      </c>
      <c r="C6567">
        <v>334000</v>
      </c>
      <c r="D6567">
        <v>358.1</v>
      </c>
      <c r="E6567">
        <v>4.7300000000000002E-2</v>
      </c>
      <c r="F6567">
        <v>9.3799999999999994E-2</v>
      </c>
    </row>
    <row r="6568" spans="1:6" x14ac:dyDescent="0.3">
      <c r="A6568" t="s">
        <v>6603</v>
      </c>
      <c r="B6568" t="s">
        <v>26</v>
      </c>
      <c r="C6568">
        <v>338000</v>
      </c>
      <c r="D6568">
        <v>8520.4</v>
      </c>
      <c r="E6568">
        <v>2.3E-2</v>
      </c>
      <c r="F6568">
        <v>7.5899999999999995E-2</v>
      </c>
    </row>
    <row r="6569" spans="1:6" x14ac:dyDescent="0.3">
      <c r="A6569" t="s">
        <v>6604</v>
      </c>
      <c r="B6569" t="s">
        <v>26</v>
      </c>
      <c r="C6569">
        <v>285000</v>
      </c>
      <c r="D6569">
        <v>1078082</v>
      </c>
      <c r="E6569">
        <v>1.54E-2</v>
      </c>
      <c r="F6569">
        <v>4.6199999999999998E-2</v>
      </c>
    </row>
    <row r="6570" spans="1:6" x14ac:dyDescent="0.3">
      <c r="A6570" t="s">
        <v>6605</v>
      </c>
      <c r="B6570" t="s">
        <v>62</v>
      </c>
      <c r="C6570">
        <v>321000</v>
      </c>
      <c r="D6570">
        <v>186.7</v>
      </c>
      <c r="E6570">
        <v>1.7600000000000001E-2</v>
      </c>
      <c r="F6570">
        <v>5.8500000000000003E-2</v>
      </c>
    </row>
    <row r="6571" spans="1:6" x14ac:dyDescent="0.3">
      <c r="A6571" t="s">
        <v>6606</v>
      </c>
      <c r="B6571" t="s">
        <v>287</v>
      </c>
      <c r="C6571">
        <v>333000</v>
      </c>
      <c r="D6571">
        <v>18226.8</v>
      </c>
      <c r="F6571">
        <v>9.5100000000000004E-2</v>
      </c>
    </row>
    <row r="6572" spans="1:6" x14ac:dyDescent="0.3">
      <c r="A6572" t="s">
        <v>6607</v>
      </c>
      <c r="B6572" t="s">
        <v>41</v>
      </c>
      <c r="C6572">
        <v>397000</v>
      </c>
      <c r="D6572">
        <v>4892.5</v>
      </c>
      <c r="E6572">
        <v>3.6799999999999999E-2</v>
      </c>
      <c r="F6572">
        <v>9.3799999999999994E-2</v>
      </c>
    </row>
    <row r="6573" spans="1:6" x14ac:dyDescent="0.3">
      <c r="A6573" t="s">
        <v>6608</v>
      </c>
      <c r="B6573" t="s">
        <v>74</v>
      </c>
      <c r="C6573">
        <v>398000</v>
      </c>
      <c r="D6573">
        <v>22093</v>
      </c>
      <c r="E6573">
        <v>5.4899999999999997E-2</v>
      </c>
      <c r="F6573">
        <v>7.5899999999999995E-2</v>
      </c>
    </row>
    <row r="6574" spans="1:6" x14ac:dyDescent="0.3">
      <c r="A6574" t="s">
        <v>6609</v>
      </c>
      <c r="B6574" t="s">
        <v>88</v>
      </c>
      <c r="C6574">
        <v>343000</v>
      </c>
      <c r="D6574">
        <v>4273.8</v>
      </c>
      <c r="E6574">
        <v>6.08E-2</v>
      </c>
      <c r="F6574">
        <v>9.3799999999999994E-2</v>
      </c>
    </row>
    <row r="6575" spans="1:6" x14ac:dyDescent="0.3">
      <c r="A6575" t="s">
        <v>6610</v>
      </c>
      <c r="B6575" t="s">
        <v>41</v>
      </c>
      <c r="C6575">
        <v>555000</v>
      </c>
      <c r="D6575">
        <v>10563.7</v>
      </c>
      <c r="E6575">
        <v>2.4899999999999999E-2</v>
      </c>
      <c r="F6575">
        <v>7.5899999999999995E-2</v>
      </c>
    </row>
    <row r="6576" spans="1:6" x14ac:dyDescent="0.3">
      <c r="A6576" t="s">
        <v>6611</v>
      </c>
      <c r="B6576" t="s">
        <v>26</v>
      </c>
      <c r="C6576">
        <v>301000</v>
      </c>
      <c r="D6576">
        <v>443.7</v>
      </c>
      <c r="F6576">
        <v>5.1799999999999999E-2</v>
      </c>
    </row>
    <row r="6577" spans="1:6" x14ac:dyDescent="0.3">
      <c r="A6577" t="s">
        <v>6612</v>
      </c>
      <c r="B6577" t="s">
        <v>26</v>
      </c>
      <c r="C6577">
        <v>1010000</v>
      </c>
      <c r="D6577">
        <v>6089.8</v>
      </c>
      <c r="E6577">
        <v>1.55E-2</v>
      </c>
      <c r="F6577">
        <v>5.7599999999999998E-2</v>
      </c>
    </row>
    <row r="6578" spans="1:6" x14ac:dyDescent="0.3">
      <c r="A6578" t="s">
        <v>6613</v>
      </c>
      <c r="B6578" t="s">
        <v>81</v>
      </c>
      <c r="C6578">
        <v>526000</v>
      </c>
      <c r="D6578">
        <v>7239.8</v>
      </c>
      <c r="E6578">
        <v>3.5400000000000001E-2</v>
      </c>
      <c r="F6578">
        <v>0.15160000000000001</v>
      </c>
    </row>
    <row r="6579" spans="1:6" x14ac:dyDescent="0.3">
      <c r="A6579" t="s">
        <v>6614</v>
      </c>
      <c r="B6579" t="s">
        <v>24</v>
      </c>
      <c r="C6579">
        <v>322000</v>
      </c>
      <c r="D6579">
        <v>747</v>
      </c>
      <c r="E6579">
        <v>6.2E-2</v>
      </c>
      <c r="F6579">
        <v>0.11700000000000001</v>
      </c>
    </row>
    <row r="6580" spans="1:6" x14ac:dyDescent="0.3">
      <c r="A6580" t="s">
        <v>6615</v>
      </c>
      <c r="B6580" t="s">
        <v>26</v>
      </c>
      <c r="C6580">
        <v>324000</v>
      </c>
      <c r="D6580">
        <v>228420.4</v>
      </c>
      <c r="E6580">
        <v>5.2499999999999998E-2</v>
      </c>
      <c r="F6580">
        <v>4.3200000000000002E-2</v>
      </c>
    </row>
    <row r="6581" spans="1:6" x14ac:dyDescent="0.3">
      <c r="A6581" t="s">
        <v>6616</v>
      </c>
      <c r="B6581" t="s">
        <v>195</v>
      </c>
      <c r="C6581">
        <v>344000</v>
      </c>
      <c r="D6581">
        <v>24334.799999999999</v>
      </c>
      <c r="E6581">
        <v>3.4200000000000001E-2</v>
      </c>
      <c r="F6581">
        <v>7.5899999999999995E-2</v>
      </c>
    </row>
    <row r="6582" spans="1:6" x14ac:dyDescent="0.3">
      <c r="A6582" t="s">
        <v>6617</v>
      </c>
      <c r="B6582" t="s">
        <v>26</v>
      </c>
      <c r="C6582">
        <v>539000</v>
      </c>
      <c r="D6582">
        <v>36177.599999999999</v>
      </c>
      <c r="E6582">
        <v>1.9099999999999999E-2</v>
      </c>
      <c r="F6582">
        <v>5.8900000000000001E-2</v>
      </c>
    </row>
    <row r="6583" spans="1:6" x14ac:dyDescent="0.3">
      <c r="A6583" t="s">
        <v>6618</v>
      </c>
      <c r="B6583" t="s">
        <v>74</v>
      </c>
      <c r="C6583">
        <v>371000</v>
      </c>
      <c r="D6583">
        <v>7138.7</v>
      </c>
      <c r="E6583">
        <v>5.4600000000000003E-2</v>
      </c>
      <c r="F6583">
        <v>7.5899999999999995E-2</v>
      </c>
    </row>
    <row r="6584" spans="1:6" x14ac:dyDescent="0.3">
      <c r="A6584" t="s">
        <v>6619</v>
      </c>
      <c r="B6584" t="s">
        <v>26</v>
      </c>
      <c r="C6584">
        <v>485000</v>
      </c>
      <c r="D6584">
        <v>37620.300000000003</v>
      </c>
      <c r="E6584">
        <v>4.7100000000000003E-2</v>
      </c>
      <c r="F6584">
        <v>9.3799999999999994E-2</v>
      </c>
    </row>
    <row r="6585" spans="1:6" x14ac:dyDescent="0.3">
      <c r="A6585" t="s">
        <v>6620</v>
      </c>
      <c r="B6585" t="s">
        <v>32</v>
      </c>
      <c r="C6585">
        <v>316000</v>
      </c>
      <c r="D6585">
        <v>742157.9</v>
      </c>
      <c r="E6585">
        <v>1.01E-2</v>
      </c>
      <c r="F6585">
        <v>8.2199999999999995E-2</v>
      </c>
    </row>
    <row r="6586" spans="1:6" x14ac:dyDescent="0.3">
      <c r="A6586" t="s">
        <v>6621</v>
      </c>
      <c r="B6586" t="s">
        <v>50</v>
      </c>
      <c r="C6586">
        <v>514000</v>
      </c>
      <c r="D6586">
        <v>589104.80000000005</v>
      </c>
      <c r="E6586">
        <v>2.8299999999999999E-2</v>
      </c>
      <c r="F6586">
        <v>4.0899999999999999E-2</v>
      </c>
    </row>
    <row r="6587" spans="1:6" x14ac:dyDescent="0.3">
      <c r="A6587" t="s">
        <v>6622</v>
      </c>
      <c r="B6587" t="s">
        <v>92</v>
      </c>
      <c r="C6587">
        <v>335000</v>
      </c>
      <c r="D6587">
        <v>3933.5</v>
      </c>
      <c r="E6587">
        <v>2.63E-2</v>
      </c>
      <c r="F6587">
        <v>9.5100000000000004E-2</v>
      </c>
    </row>
    <row r="6588" spans="1:6" x14ac:dyDescent="0.3">
      <c r="A6588" t="s">
        <v>6623</v>
      </c>
      <c r="B6588" t="s">
        <v>28</v>
      </c>
      <c r="C6588">
        <v>356000</v>
      </c>
      <c r="D6588">
        <v>28563.5</v>
      </c>
      <c r="E6588">
        <v>6.1000000000000004E-3</v>
      </c>
      <c r="F6588">
        <v>0.1027</v>
      </c>
    </row>
    <row r="6589" spans="1:6" x14ac:dyDescent="0.3">
      <c r="A6589" t="s">
        <v>6624</v>
      </c>
      <c r="B6589" t="s">
        <v>24</v>
      </c>
      <c r="C6589">
        <v>356000</v>
      </c>
      <c r="D6589">
        <v>54498.400000000001</v>
      </c>
      <c r="E6589">
        <v>8.1600000000000006E-2</v>
      </c>
      <c r="F6589">
        <v>9.5100000000000004E-2</v>
      </c>
    </row>
    <row r="6590" spans="1:6" x14ac:dyDescent="0.3">
      <c r="A6590" t="s">
        <v>6625</v>
      </c>
      <c r="B6590" t="s">
        <v>88</v>
      </c>
      <c r="C6590">
        <v>531000</v>
      </c>
      <c r="D6590">
        <v>2634.3</v>
      </c>
      <c r="E6590">
        <v>5.4300000000000001E-2</v>
      </c>
      <c r="F6590">
        <v>0.11700000000000001</v>
      </c>
    </row>
    <row r="6591" spans="1:6" x14ac:dyDescent="0.3">
      <c r="A6591" t="s">
        <v>6626</v>
      </c>
      <c r="B6591" t="s">
        <v>53</v>
      </c>
      <c r="C6591">
        <v>605000</v>
      </c>
      <c r="D6591">
        <v>22863.8</v>
      </c>
      <c r="E6591">
        <v>0.10539999999999999</v>
      </c>
      <c r="F6591">
        <v>9.3799999999999994E-2</v>
      </c>
    </row>
    <row r="6592" spans="1:6" x14ac:dyDescent="0.3">
      <c r="A6592" t="s">
        <v>6627</v>
      </c>
      <c r="B6592" t="s">
        <v>81</v>
      </c>
      <c r="C6592">
        <v>322000</v>
      </c>
      <c r="D6592">
        <v>3449.5</v>
      </c>
      <c r="E6592">
        <v>4.1399999999999999E-2</v>
      </c>
      <c r="F6592">
        <v>7.5899999999999995E-2</v>
      </c>
    </row>
    <row r="6593" spans="1:6" x14ac:dyDescent="0.3">
      <c r="A6593" t="s">
        <v>6628</v>
      </c>
      <c r="B6593" t="s">
        <v>26</v>
      </c>
      <c r="C6593">
        <v>672000</v>
      </c>
      <c r="D6593">
        <v>482.9</v>
      </c>
      <c r="E6593">
        <v>6.6E-3</v>
      </c>
      <c r="F6593">
        <v>7.2999999999999995E-2</v>
      </c>
    </row>
    <row r="6594" spans="1:6" x14ac:dyDescent="0.3">
      <c r="A6594" t="s">
        <v>6629</v>
      </c>
      <c r="B6594" t="s">
        <v>62</v>
      </c>
      <c r="C6594">
        <v>102000</v>
      </c>
      <c r="D6594">
        <v>1114.4000000000001</v>
      </c>
      <c r="E6594">
        <v>1.1900000000000001E-2</v>
      </c>
      <c r="F6594">
        <v>5.8500000000000003E-2</v>
      </c>
    </row>
    <row r="6595" spans="1:6" x14ac:dyDescent="0.3">
      <c r="A6595" t="s">
        <v>6630</v>
      </c>
      <c r="B6595" t="s">
        <v>26</v>
      </c>
      <c r="C6595">
        <v>396000</v>
      </c>
      <c r="D6595">
        <v>6449.1</v>
      </c>
      <c r="E6595">
        <v>6.6799999999999998E-2</v>
      </c>
      <c r="F6595">
        <v>7.5899999999999995E-2</v>
      </c>
    </row>
    <row r="6596" spans="1:6" x14ac:dyDescent="0.3">
      <c r="A6596" t="s">
        <v>6631</v>
      </c>
      <c r="B6596" t="s">
        <v>214</v>
      </c>
      <c r="C6596">
        <v>449000</v>
      </c>
      <c r="D6596">
        <v>279572.7</v>
      </c>
      <c r="F6596">
        <v>4.0899999999999999E-2</v>
      </c>
    </row>
    <row r="6597" spans="1:6" x14ac:dyDescent="0.3">
      <c r="A6597" t="s">
        <v>6632</v>
      </c>
      <c r="B6597" t="s">
        <v>26</v>
      </c>
      <c r="C6597">
        <v>359000</v>
      </c>
      <c r="D6597">
        <v>1384017.7</v>
      </c>
      <c r="E6597">
        <v>5.5300000000000002E-2</v>
      </c>
      <c r="F6597">
        <v>5.1799999999999999E-2</v>
      </c>
    </row>
    <row r="6598" spans="1:6" x14ac:dyDescent="0.3">
      <c r="A6598" t="s">
        <v>6633</v>
      </c>
      <c r="B6598" t="s">
        <v>26</v>
      </c>
      <c r="C6598">
        <v>310000</v>
      </c>
      <c r="D6598">
        <v>4017.6</v>
      </c>
      <c r="E6598">
        <v>3.7600000000000001E-2</v>
      </c>
      <c r="F6598">
        <v>9.5100000000000004E-2</v>
      </c>
    </row>
    <row r="6599" spans="1:6" x14ac:dyDescent="0.3">
      <c r="A6599" t="s">
        <v>6634</v>
      </c>
      <c r="B6599" t="s">
        <v>26</v>
      </c>
      <c r="C6599">
        <v>340000</v>
      </c>
      <c r="D6599">
        <v>1422</v>
      </c>
      <c r="E6599">
        <v>2.9899999999999999E-2</v>
      </c>
      <c r="F6599">
        <v>7.5899999999999995E-2</v>
      </c>
    </row>
    <row r="6600" spans="1:6" x14ac:dyDescent="0.3">
      <c r="A6600" t="s">
        <v>6635</v>
      </c>
      <c r="B6600" t="s">
        <v>62</v>
      </c>
      <c r="C6600">
        <v>568000</v>
      </c>
      <c r="D6600">
        <v>363138.3</v>
      </c>
      <c r="E6600">
        <v>4.2500000000000003E-2</v>
      </c>
      <c r="F6600">
        <v>9.5100000000000004E-2</v>
      </c>
    </row>
    <row r="6601" spans="1:6" x14ac:dyDescent="0.3">
      <c r="A6601" t="s">
        <v>6636</v>
      </c>
      <c r="B6601" t="s">
        <v>88</v>
      </c>
      <c r="C6601">
        <v>899000</v>
      </c>
      <c r="D6601">
        <v>72564.399999999994</v>
      </c>
      <c r="E6601">
        <v>6.1600000000000002E-2</v>
      </c>
      <c r="F6601">
        <v>7.5899999999999995E-2</v>
      </c>
    </row>
    <row r="6602" spans="1:6" x14ac:dyDescent="0.3">
      <c r="A6602" t="s">
        <v>6637</v>
      </c>
      <c r="B6602" t="s">
        <v>71</v>
      </c>
      <c r="C6602">
        <v>316000</v>
      </c>
      <c r="D6602">
        <v>8424.1</v>
      </c>
      <c r="E6602">
        <v>5.04E-2</v>
      </c>
      <c r="F6602">
        <v>9.5100000000000004E-2</v>
      </c>
    </row>
    <row r="6603" spans="1:6" x14ac:dyDescent="0.3">
      <c r="A6603" t="s">
        <v>6638</v>
      </c>
      <c r="B6603" t="s">
        <v>74</v>
      </c>
      <c r="C6603">
        <v>455000</v>
      </c>
      <c r="D6603">
        <v>355732.9</v>
      </c>
      <c r="E6603">
        <v>1.37E-2</v>
      </c>
      <c r="F6603">
        <v>0.51390000000000002</v>
      </c>
    </row>
    <row r="6604" spans="1:6" x14ac:dyDescent="0.3">
      <c r="A6604" t="s">
        <v>6639</v>
      </c>
      <c r="B6604" t="s">
        <v>24</v>
      </c>
      <c r="C6604">
        <v>421000</v>
      </c>
      <c r="D6604">
        <v>4488.8</v>
      </c>
      <c r="E6604">
        <v>2.3599999999999999E-2</v>
      </c>
      <c r="F6604">
        <v>8.5400000000000004E-2</v>
      </c>
    </row>
    <row r="6605" spans="1:6" x14ac:dyDescent="0.3">
      <c r="A6605" t="s">
        <v>6640</v>
      </c>
      <c r="B6605" t="s">
        <v>287</v>
      </c>
      <c r="C6605">
        <v>350000</v>
      </c>
      <c r="D6605">
        <v>1884</v>
      </c>
      <c r="E6605">
        <v>7.3099999999999998E-2</v>
      </c>
      <c r="F6605">
        <v>7.5899999999999995E-2</v>
      </c>
    </row>
    <row r="6606" spans="1:6" x14ac:dyDescent="0.3">
      <c r="A6606" t="s">
        <v>6641</v>
      </c>
      <c r="B6606" t="s">
        <v>92</v>
      </c>
      <c r="C6606">
        <v>361000</v>
      </c>
      <c r="D6606">
        <v>3669.3</v>
      </c>
      <c r="E6606">
        <v>4.1000000000000003E-3</v>
      </c>
      <c r="F6606">
        <v>0.32419999999999999</v>
      </c>
    </row>
    <row r="6607" spans="1:6" x14ac:dyDescent="0.3">
      <c r="A6607" t="s">
        <v>6642</v>
      </c>
      <c r="B6607" t="s">
        <v>53</v>
      </c>
      <c r="C6607">
        <v>356000</v>
      </c>
      <c r="D6607">
        <v>4034.5</v>
      </c>
      <c r="E6607">
        <v>5.0200000000000002E-2</v>
      </c>
      <c r="F6607">
        <v>9.5100000000000004E-2</v>
      </c>
    </row>
    <row r="6608" spans="1:6" x14ac:dyDescent="0.3">
      <c r="A6608" t="s">
        <v>6643</v>
      </c>
      <c r="B6608" t="s">
        <v>195</v>
      </c>
      <c r="C6608">
        <v>332000</v>
      </c>
      <c r="D6608">
        <v>1802.3</v>
      </c>
      <c r="E6608">
        <v>2.3099999999999999E-2</v>
      </c>
      <c r="F6608">
        <v>4.0899999999999999E-2</v>
      </c>
    </row>
    <row r="6609" spans="1:6" x14ac:dyDescent="0.3">
      <c r="A6609" t="s">
        <v>6644</v>
      </c>
      <c r="B6609" t="s">
        <v>26</v>
      </c>
      <c r="C6609">
        <v>416000</v>
      </c>
      <c r="D6609">
        <v>8165.8</v>
      </c>
      <c r="E6609">
        <v>8.3400000000000002E-2</v>
      </c>
      <c r="F6609">
        <v>7.5899999999999995E-2</v>
      </c>
    </row>
    <row r="6610" spans="1:6" x14ac:dyDescent="0.3">
      <c r="A6610" t="s">
        <v>6645</v>
      </c>
      <c r="B6610" t="s">
        <v>53</v>
      </c>
      <c r="C6610">
        <v>319000</v>
      </c>
      <c r="D6610">
        <v>33472.400000000001</v>
      </c>
      <c r="E6610">
        <v>2.18E-2</v>
      </c>
      <c r="F6610">
        <v>0.1067</v>
      </c>
    </row>
    <row r="6611" spans="1:6" x14ac:dyDescent="0.3">
      <c r="A6611" t="s">
        <v>6646</v>
      </c>
      <c r="B6611" t="s">
        <v>53</v>
      </c>
      <c r="C6611">
        <v>886000</v>
      </c>
      <c r="D6611">
        <v>26733.599999999999</v>
      </c>
      <c r="E6611">
        <v>9.2200000000000004E-2</v>
      </c>
      <c r="F6611">
        <v>0.12720000000000001</v>
      </c>
    </row>
    <row r="6612" spans="1:6" x14ac:dyDescent="0.3">
      <c r="A6612" t="s">
        <v>6647</v>
      </c>
      <c r="B6612" t="s">
        <v>26</v>
      </c>
      <c r="C6612">
        <v>307000</v>
      </c>
      <c r="F6612">
        <v>7.5899999999999995E-2</v>
      </c>
    </row>
    <row r="6613" spans="1:6" x14ac:dyDescent="0.3">
      <c r="A6613" t="s">
        <v>6648</v>
      </c>
      <c r="B6613" t="s">
        <v>26</v>
      </c>
      <c r="C6613">
        <v>1180000</v>
      </c>
      <c r="F6613">
        <v>7.5899999999999995E-2</v>
      </c>
    </row>
    <row r="6614" spans="1:6" x14ac:dyDescent="0.3">
      <c r="A6614" t="s">
        <v>6649</v>
      </c>
      <c r="B6614" t="s">
        <v>26</v>
      </c>
      <c r="C6614">
        <v>316000</v>
      </c>
      <c r="F6614">
        <v>7.5899999999999995E-2</v>
      </c>
    </row>
    <row r="6615" spans="1:6" x14ac:dyDescent="0.3">
      <c r="A6615" t="s">
        <v>6650</v>
      </c>
      <c r="B6615" t="s">
        <v>26</v>
      </c>
      <c r="C6615">
        <v>335000</v>
      </c>
      <c r="D6615">
        <v>45894.5</v>
      </c>
      <c r="E6615">
        <v>3.1300000000000001E-2</v>
      </c>
      <c r="F6615">
        <v>9.5100000000000004E-2</v>
      </c>
    </row>
    <row r="6616" spans="1:6" x14ac:dyDescent="0.3">
      <c r="A6616" t="s">
        <v>6651</v>
      </c>
      <c r="B6616" t="s">
        <v>50</v>
      </c>
      <c r="C6616">
        <v>316000</v>
      </c>
      <c r="D6616">
        <v>1820.2</v>
      </c>
      <c r="E6616">
        <v>2.8299999999999999E-2</v>
      </c>
      <c r="F6616">
        <v>0.11700000000000001</v>
      </c>
    </row>
    <row r="6617" spans="1:6" x14ac:dyDescent="0.3">
      <c r="A6617" t="s">
        <v>6652</v>
      </c>
      <c r="B6617" t="s">
        <v>21</v>
      </c>
      <c r="C6617">
        <v>420000</v>
      </c>
      <c r="D6617">
        <v>60606.8</v>
      </c>
      <c r="E6617">
        <v>2.7799999999999998E-2</v>
      </c>
      <c r="F6617">
        <v>4.1200000000000001E-2</v>
      </c>
    </row>
    <row r="6618" spans="1:6" x14ac:dyDescent="0.3">
      <c r="A6618" t="s">
        <v>6653</v>
      </c>
      <c r="B6618" t="s">
        <v>92</v>
      </c>
      <c r="C6618">
        <v>331000</v>
      </c>
      <c r="D6618">
        <v>1488.9</v>
      </c>
      <c r="E6618">
        <v>2.1700000000000001E-2</v>
      </c>
      <c r="F6618">
        <v>0.1067</v>
      </c>
    </row>
    <row r="6619" spans="1:6" x14ac:dyDescent="0.3">
      <c r="A6619" t="s">
        <v>6654</v>
      </c>
      <c r="B6619" t="s">
        <v>214</v>
      </c>
      <c r="C6619">
        <v>357000</v>
      </c>
      <c r="D6619">
        <v>26423.599999999999</v>
      </c>
      <c r="E6619">
        <v>3.1800000000000002E-2</v>
      </c>
      <c r="F6619">
        <v>9.3799999999999994E-2</v>
      </c>
    </row>
    <row r="6620" spans="1:6" x14ac:dyDescent="0.3">
      <c r="A6620" t="s">
        <v>6655</v>
      </c>
      <c r="B6620" t="s">
        <v>28</v>
      </c>
      <c r="C6620">
        <v>397000</v>
      </c>
      <c r="D6620">
        <v>48650.7</v>
      </c>
      <c r="E6620">
        <v>1.37E-2</v>
      </c>
      <c r="F6620">
        <v>5.8900000000000001E-2</v>
      </c>
    </row>
    <row r="6621" spans="1:6" x14ac:dyDescent="0.3">
      <c r="A6621" t="s">
        <v>6656</v>
      </c>
      <c r="B6621" t="s">
        <v>35</v>
      </c>
      <c r="C6621">
        <v>331000</v>
      </c>
      <c r="D6621">
        <v>15723.9</v>
      </c>
      <c r="E6621">
        <v>3.2000000000000001E-2</v>
      </c>
      <c r="F6621">
        <v>7.5899999999999995E-2</v>
      </c>
    </row>
    <row r="6622" spans="1:6" x14ac:dyDescent="0.3">
      <c r="A6622" t="s">
        <v>6657</v>
      </c>
      <c r="B6622" t="s">
        <v>41</v>
      </c>
      <c r="C6622">
        <v>306000</v>
      </c>
      <c r="D6622">
        <v>1301.2</v>
      </c>
      <c r="E6622">
        <v>5.1999999999999998E-3</v>
      </c>
      <c r="F6622">
        <v>8.1100000000000005E-2</v>
      </c>
    </row>
    <row r="6623" spans="1:6" x14ac:dyDescent="0.3">
      <c r="A6623" t="s">
        <v>6658</v>
      </c>
      <c r="B6623" t="s">
        <v>88</v>
      </c>
      <c r="C6623">
        <v>419000</v>
      </c>
      <c r="D6623">
        <v>2483.4</v>
      </c>
      <c r="E6623">
        <v>1.8700000000000001E-2</v>
      </c>
      <c r="F6623">
        <v>0.13719999999999999</v>
      </c>
    </row>
    <row r="6624" spans="1:6" x14ac:dyDescent="0.3">
      <c r="A6624" t="s">
        <v>6659</v>
      </c>
      <c r="B6624" t="s">
        <v>50</v>
      </c>
      <c r="C6624">
        <v>310000</v>
      </c>
      <c r="D6624">
        <v>667.6</v>
      </c>
      <c r="E6624">
        <v>4.1099999999999998E-2</v>
      </c>
      <c r="F6624">
        <v>4.0899999999999999E-2</v>
      </c>
    </row>
    <row r="6625" spans="1:6" x14ac:dyDescent="0.3">
      <c r="A6625" t="s">
        <v>6660</v>
      </c>
      <c r="B6625" t="s">
        <v>26</v>
      </c>
      <c r="C6625">
        <v>415000</v>
      </c>
      <c r="D6625">
        <v>130056.2</v>
      </c>
      <c r="E6625">
        <v>3.6700000000000003E-2</v>
      </c>
      <c r="F6625">
        <v>9.5100000000000004E-2</v>
      </c>
    </row>
    <row r="6626" spans="1:6" x14ac:dyDescent="0.3">
      <c r="A6626" t="s">
        <v>6661</v>
      </c>
      <c r="B6626" t="s">
        <v>53</v>
      </c>
      <c r="C6626">
        <v>383000</v>
      </c>
      <c r="D6626">
        <v>697.3</v>
      </c>
      <c r="E6626">
        <v>3.5400000000000001E-2</v>
      </c>
      <c r="F6626">
        <v>7.5899999999999995E-2</v>
      </c>
    </row>
    <row r="6627" spans="1:6" x14ac:dyDescent="0.3">
      <c r="A6627" t="s">
        <v>6662</v>
      </c>
      <c r="B6627" t="s">
        <v>62</v>
      </c>
      <c r="C6627">
        <v>312000</v>
      </c>
      <c r="D6627">
        <v>1284.9000000000001</v>
      </c>
      <c r="E6627">
        <v>2.5899999999999999E-2</v>
      </c>
      <c r="F6627">
        <v>9.5100000000000004E-2</v>
      </c>
    </row>
    <row r="6628" spans="1:6" x14ac:dyDescent="0.3">
      <c r="A6628" t="s">
        <v>6663</v>
      </c>
      <c r="B6628" t="s">
        <v>26</v>
      </c>
      <c r="C6628">
        <v>397000</v>
      </c>
      <c r="D6628">
        <v>6065.2</v>
      </c>
      <c r="E6628">
        <v>1.9599999999999999E-2</v>
      </c>
      <c r="F6628">
        <v>8.5400000000000004E-2</v>
      </c>
    </row>
    <row r="6629" spans="1:6" x14ac:dyDescent="0.3">
      <c r="A6629" t="s">
        <v>6664</v>
      </c>
      <c r="B6629" t="s">
        <v>26</v>
      </c>
      <c r="C6629">
        <v>351000</v>
      </c>
      <c r="D6629">
        <v>419005.5</v>
      </c>
      <c r="E6629">
        <v>3.2599999999999997E-2</v>
      </c>
      <c r="F6629">
        <v>8.4500000000000006E-2</v>
      </c>
    </row>
    <row r="6630" spans="1:6" x14ac:dyDescent="0.3">
      <c r="A6630" t="s">
        <v>6665</v>
      </c>
      <c r="B6630" t="s">
        <v>50</v>
      </c>
      <c r="C6630">
        <v>310000</v>
      </c>
      <c r="D6630">
        <v>1988.4</v>
      </c>
      <c r="E6630">
        <v>6.2600000000000003E-2</v>
      </c>
      <c r="F6630">
        <v>7.5899999999999995E-2</v>
      </c>
    </row>
    <row r="6631" spans="1:6" x14ac:dyDescent="0.3">
      <c r="A6631" t="s">
        <v>6666</v>
      </c>
      <c r="B6631" t="s">
        <v>26</v>
      </c>
      <c r="C6631">
        <v>620000</v>
      </c>
      <c r="D6631">
        <v>1482.8</v>
      </c>
      <c r="E6631">
        <v>1.9900000000000001E-2</v>
      </c>
      <c r="F6631">
        <v>5.1700000000000003E-2</v>
      </c>
    </row>
    <row r="6632" spans="1:6" x14ac:dyDescent="0.3">
      <c r="A6632" t="s">
        <v>6667</v>
      </c>
      <c r="B6632" t="s">
        <v>92</v>
      </c>
      <c r="C6632">
        <v>403000</v>
      </c>
      <c r="D6632">
        <v>19294.400000000001</v>
      </c>
      <c r="E6632">
        <v>2.3900000000000001E-2</v>
      </c>
      <c r="F6632">
        <v>7.5899999999999995E-2</v>
      </c>
    </row>
    <row r="6633" spans="1:6" x14ac:dyDescent="0.3">
      <c r="A6633" t="s">
        <v>6668</v>
      </c>
      <c r="B6633" t="s">
        <v>74</v>
      </c>
      <c r="C6633">
        <v>479000</v>
      </c>
      <c r="D6633">
        <v>11651.9</v>
      </c>
      <c r="E6633">
        <v>1.84E-2</v>
      </c>
      <c r="F6633">
        <v>0.13100000000000001</v>
      </c>
    </row>
    <row r="6634" spans="1:6" x14ac:dyDescent="0.3">
      <c r="A6634" t="s">
        <v>6669</v>
      </c>
      <c r="B6634" t="s">
        <v>24</v>
      </c>
      <c r="C6634">
        <v>350000</v>
      </c>
      <c r="D6634">
        <v>112.6</v>
      </c>
      <c r="E6634">
        <v>3.0099999999999998E-2</v>
      </c>
      <c r="F6634">
        <v>0.13869999999999999</v>
      </c>
    </row>
    <row r="6635" spans="1:6" x14ac:dyDescent="0.3">
      <c r="A6635" t="s">
        <v>6670</v>
      </c>
      <c r="B6635" t="s">
        <v>214</v>
      </c>
      <c r="C6635">
        <v>313000</v>
      </c>
      <c r="D6635">
        <v>166718.1</v>
      </c>
      <c r="E6635">
        <v>5.04E-2</v>
      </c>
      <c r="F6635">
        <v>9.5100000000000004E-2</v>
      </c>
    </row>
    <row r="6636" spans="1:6" x14ac:dyDescent="0.3">
      <c r="A6636" t="s">
        <v>6671</v>
      </c>
      <c r="B6636" t="s">
        <v>195</v>
      </c>
      <c r="C6636">
        <v>320000</v>
      </c>
      <c r="D6636">
        <v>1470.6</v>
      </c>
      <c r="E6636">
        <v>2.29E-2</v>
      </c>
      <c r="F6636">
        <v>9.5100000000000004E-2</v>
      </c>
    </row>
    <row r="6637" spans="1:6" x14ac:dyDescent="0.3">
      <c r="A6637" t="s">
        <v>6672</v>
      </c>
      <c r="B6637" t="s">
        <v>26</v>
      </c>
      <c r="C6637">
        <v>371000</v>
      </c>
      <c r="D6637">
        <v>69708.600000000006</v>
      </c>
      <c r="E6637">
        <v>4.7699999999999999E-2</v>
      </c>
      <c r="F6637">
        <v>7.5899999999999995E-2</v>
      </c>
    </row>
    <row r="6638" spans="1:6" x14ac:dyDescent="0.3">
      <c r="A6638" t="s">
        <v>6673</v>
      </c>
      <c r="B6638" t="s">
        <v>92</v>
      </c>
      <c r="C6638">
        <v>312000</v>
      </c>
      <c r="D6638">
        <v>1903.9</v>
      </c>
      <c r="E6638">
        <v>9.9000000000000008E-3</v>
      </c>
      <c r="F6638">
        <v>6.54E-2</v>
      </c>
    </row>
    <row r="6639" spans="1:6" x14ac:dyDescent="0.3">
      <c r="A6639" t="s">
        <v>6674</v>
      </c>
      <c r="B6639" t="s">
        <v>21</v>
      </c>
      <c r="C6639">
        <v>383000</v>
      </c>
      <c r="D6639">
        <v>3158.9</v>
      </c>
      <c r="E6639">
        <v>3.27E-2</v>
      </c>
      <c r="F6639">
        <v>7.5899999999999995E-2</v>
      </c>
    </row>
    <row r="6640" spans="1:6" x14ac:dyDescent="0.3">
      <c r="A6640" t="s">
        <v>6675</v>
      </c>
      <c r="B6640" t="s">
        <v>62</v>
      </c>
      <c r="C6640">
        <v>312000</v>
      </c>
      <c r="D6640">
        <v>4412.7</v>
      </c>
      <c r="E6640">
        <v>7.2300000000000003E-2</v>
      </c>
      <c r="F6640">
        <v>7.5899999999999995E-2</v>
      </c>
    </row>
    <row r="6641" spans="1:6" x14ac:dyDescent="0.3">
      <c r="A6641" t="s">
        <v>6676</v>
      </c>
      <c r="B6641" t="s">
        <v>88</v>
      </c>
      <c r="C6641">
        <v>364000</v>
      </c>
      <c r="D6641">
        <v>1082.3</v>
      </c>
      <c r="E6641">
        <v>3.7100000000000001E-2</v>
      </c>
      <c r="F6641">
        <v>5.1700000000000003E-2</v>
      </c>
    </row>
    <row r="6642" spans="1:6" x14ac:dyDescent="0.3">
      <c r="A6642" t="s">
        <v>6677</v>
      </c>
      <c r="B6642" t="s">
        <v>62</v>
      </c>
      <c r="C6642">
        <v>689000</v>
      </c>
      <c r="D6642">
        <v>7438</v>
      </c>
      <c r="E6642">
        <v>2.9399999999999999E-2</v>
      </c>
      <c r="F6642">
        <v>7.5899999999999995E-2</v>
      </c>
    </row>
    <row r="6643" spans="1:6" x14ac:dyDescent="0.3">
      <c r="A6643" t="s">
        <v>6678</v>
      </c>
      <c r="B6643" t="s">
        <v>88</v>
      </c>
      <c r="C6643">
        <v>334000</v>
      </c>
      <c r="D6643">
        <v>266.5</v>
      </c>
      <c r="F6643">
        <v>9.5100000000000004E-2</v>
      </c>
    </row>
    <row r="6644" spans="1:6" x14ac:dyDescent="0.3">
      <c r="A6644" t="s">
        <v>6679</v>
      </c>
      <c r="B6644" t="s">
        <v>24</v>
      </c>
      <c r="C6644">
        <v>349000</v>
      </c>
      <c r="D6644">
        <v>30967.5</v>
      </c>
      <c r="E6644">
        <v>2.7699999999999999E-2</v>
      </c>
      <c r="F6644">
        <v>9.5100000000000004E-2</v>
      </c>
    </row>
    <row r="6645" spans="1:6" x14ac:dyDescent="0.3">
      <c r="A6645" t="s">
        <v>6680</v>
      </c>
      <c r="B6645" t="s">
        <v>41</v>
      </c>
      <c r="C6645">
        <v>731000</v>
      </c>
      <c r="D6645">
        <v>88704.4</v>
      </c>
      <c r="E6645">
        <v>0.1062</v>
      </c>
      <c r="F6645">
        <v>9.3799999999999994E-2</v>
      </c>
    </row>
    <row r="6646" spans="1:6" x14ac:dyDescent="0.3">
      <c r="A6646" t="s">
        <v>6681</v>
      </c>
      <c r="B6646" t="s">
        <v>195</v>
      </c>
      <c r="C6646">
        <v>352000</v>
      </c>
      <c r="D6646">
        <v>5945</v>
      </c>
      <c r="E6646">
        <v>1.6400000000000001E-2</v>
      </c>
      <c r="F6646">
        <v>8.5400000000000004E-2</v>
      </c>
    </row>
    <row r="6647" spans="1:6" x14ac:dyDescent="0.3">
      <c r="A6647" t="s">
        <v>6682</v>
      </c>
      <c r="B6647" t="s">
        <v>24</v>
      </c>
      <c r="C6647">
        <v>438000</v>
      </c>
      <c r="D6647">
        <v>17446.5</v>
      </c>
      <c r="E6647">
        <v>1.2699999999999999E-2</v>
      </c>
      <c r="F6647">
        <v>6.54E-2</v>
      </c>
    </row>
    <row r="6648" spans="1:6" x14ac:dyDescent="0.3">
      <c r="A6648" t="s">
        <v>6683</v>
      </c>
      <c r="B6648" t="s">
        <v>26</v>
      </c>
      <c r="C6648">
        <v>353000</v>
      </c>
      <c r="D6648">
        <v>2647.3</v>
      </c>
      <c r="E6648">
        <v>4.02E-2</v>
      </c>
      <c r="F6648">
        <v>9.3799999999999994E-2</v>
      </c>
    </row>
    <row r="6649" spans="1:6" x14ac:dyDescent="0.3">
      <c r="A6649" t="s">
        <v>6684</v>
      </c>
      <c r="B6649" t="s">
        <v>26</v>
      </c>
      <c r="C6649">
        <v>329000</v>
      </c>
      <c r="D6649">
        <v>5353.7</v>
      </c>
      <c r="E6649">
        <v>2.2700000000000001E-2</v>
      </c>
      <c r="F6649">
        <v>8.4500000000000006E-2</v>
      </c>
    </row>
    <row r="6650" spans="1:6" x14ac:dyDescent="0.3">
      <c r="A6650" t="s">
        <v>6685</v>
      </c>
      <c r="B6650" t="s">
        <v>71</v>
      </c>
      <c r="C6650">
        <v>308000</v>
      </c>
      <c r="D6650">
        <v>576.1</v>
      </c>
      <c r="E6650">
        <v>3.9699999999999999E-2</v>
      </c>
      <c r="F6650">
        <v>9.3799999999999994E-2</v>
      </c>
    </row>
    <row r="6651" spans="1:6" x14ac:dyDescent="0.3">
      <c r="A6651" t="s">
        <v>6686</v>
      </c>
      <c r="B6651" t="s">
        <v>88</v>
      </c>
      <c r="C6651">
        <v>415000</v>
      </c>
      <c r="D6651">
        <v>21711.599999999999</v>
      </c>
      <c r="E6651">
        <v>3.1199999999999999E-2</v>
      </c>
      <c r="F6651">
        <v>7.5899999999999995E-2</v>
      </c>
    </row>
    <row r="6652" spans="1:6" x14ac:dyDescent="0.3">
      <c r="A6652" t="s">
        <v>6687</v>
      </c>
      <c r="B6652" t="s">
        <v>24</v>
      </c>
      <c r="C6652">
        <v>621000</v>
      </c>
      <c r="D6652">
        <v>126127.9</v>
      </c>
      <c r="E6652">
        <v>0.1162</v>
      </c>
      <c r="F6652">
        <v>9.3799999999999994E-2</v>
      </c>
    </row>
    <row r="6653" spans="1:6" x14ac:dyDescent="0.3">
      <c r="A6653" t="s">
        <v>6688</v>
      </c>
      <c r="B6653" t="s">
        <v>214</v>
      </c>
      <c r="C6653">
        <v>480000</v>
      </c>
      <c r="D6653">
        <v>10546.1</v>
      </c>
      <c r="E6653">
        <v>5.0299999999999997E-2</v>
      </c>
      <c r="F6653">
        <v>5.1799999999999999E-2</v>
      </c>
    </row>
    <row r="6654" spans="1:6" x14ac:dyDescent="0.3">
      <c r="A6654" t="s">
        <v>6689</v>
      </c>
      <c r="B6654" t="s">
        <v>26</v>
      </c>
      <c r="C6654">
        <v>436000</v>
      </c>
      <c r="D6654">
        <v>55952.4</v>
      </c>
      <c r="E6654">
        <v>1.7600000000000001E-2</v>
      </c>
      <c r="F6654">
        <v>5.8500000000000003E-2</v>
      </c>
    </row>
    <row r="6655" spans="1:6" x14ac:dyDescent="0.3">
      <c r="A6655" t="s">
        <v>6690</v>
      </c>
      <c r="B6655" t="s">
        <v>81</v>
      </c>
      <c r="C6655">
        <v>348000</v>
      </c>
      <c r="D6655">
        <v>12929.4</v>
      </c>
      <c r="E6655">
        <v>3.04E-2</v>
      </c>
      <c r="F6655">
        <v>7.5899999999999995E-2</v>
      </c>
    </row>
    <row r="6656" spans="1:6" x14ac:dyDescent="0.3">
      <c r="A6656" t="s">
        <v>6691</v>
      </c>
      <c r="B6656" t="s">
        <v>41</v>
      </c>
      <c r="C6656">
        <v>353000</v>
      </c>
      <c r="D6656">
        <v>2060</v>
      </c>
      <c r="E6656">
        <v>2.3599999999999999E-2</v>
      </c>
      <c r="F6656">
        <v>9.5100000000000004E-2</v>
      </c>
    </row>
    <row r="6657" spans="1:6" x14ac:dyDescent="0.3">
      <c r="A6657" t="s">
        <v>6692</v>
      </c>
      <c r="B6657" t="s">
        <v>74</v>
      </c>
      <c r="C6657">
        <v>323000</v>
      </c>
      <c r="D6657">
        <v>416.4</v>
      </c>
      <c r="F6657">
        <v>9.5100000000000004E-2</v>
      </c>
    </row>
    <row r="6658" spans="1:6" x14ac:dyDescent="0.3">
      <c r="A6658" t="s">
        <v>6693</v>
      </c>
      <c r="B6658" t="s">
        <v>50</v>
      </c>
      <c r="C6658">
        <v>346000</v>
      </c>
      <c r="D6658">
        <v>4537.7</v>
      </c>
      <c r="E6658">
        <v>6.5199999999999994E-2</v>
      </c>
      <c r="F6658">
        <v>9.3799999999999994E-2</v>
      </c>
    </row>
    <row r="6659" spans="1:6" x14ac:dyDescent="0.3">
      <c r="A6659" t="s">
        <v>6694</v>
      </c>
      <c r="B6659" t="s">
        <v>74</v>
      </c>
      <c r="C6659">
        <v>365000</v>
      </c>
      <c r="D6659">
        <v>37067.300000000003</v>
      </c>
      <c r="E6659">
        <v>5.8799999999999998E-2</v>
      </c>
      <c r="F6659">
        <v>9.5100000000000004E-2</v>
      </c>
    </row>
    <row r="6660" spans="1:6" x14ac:dyDescent="0.3">
      <c r="A6660" t="s">
        <v>6695</v>
      </c>
      <c r="B6660" t="s">
        <v>71</v>
      </c>
      <c r="C6660">
        <v>308000</v>
      </c>
      <c r="D6660">
        <v>8934.7000000000007</v>
      </c>
      <c r="E6660">
        <v>3.5900000000000001E-2</v>
      </c>
      <c r="F6660">
        <v>9.5100000000000004E-2</v>
      </c>
    </row>
    <row r="6661" spans="1:6" x14ac:dyDescent="0.3">
      <c r="A6661" t="s">
        <v>6696</v>
      </c>
      <c r="B6661" t="s">
        <v>214</v>
      </c>
      <c r="C6661">
        <v>1140000</v>
      </c>
      <c r="D6661">
        <v>209249.7</v>
      </c>
      <c r="E6661">
        <v>1.7299999999999999E-2</v>
      </c>
      <c r="F6661">
        <v>4.6199999999999998E-2</v>
      </c>
    </row>
    <row r="6662" spans="1:6" x14ac:dyDescent="0.3">
      <c r="A6662" t="s">
        <v>6697</v>
      </c>
      <c r="B6662" t="s">
        <v>26</v>
      </c>
      <c r="C6662">
        <v>433000</v>
      </c>
      <c r="D6662">
        <v>449.8</v>
      </c>
      <c r="E6662">
        <v>2.7400000000000001E-2</v>
      </c>
      <c r="F6662">
        <v>5.0999999999999997E-2</v>
      </c>
    </row>
    <row r="6663" spans="1:6" x14ac:dyDescent="0.3">
      <c r="A6663" t="s">
        <v>6698</v>
      </c>
      <c r="B6663" t="s">
        <v>195</v>
      </c>
      <c r="C6663">
        <v>359000</v>
      </c>
      <c r="D6663">
        <v>6143.6</v>
      </c>
      <c r="E6663">
        <v>3.85E-2</v>
      </c>
      <c r="F6663">
        <v>4.1200000000000001E-2</v>
      </c>
    </row>
    <row r="6664" spans="1:6" x14ac:dyDescent="0.3">
      <c r="A6664" t="s">
        <v>6699</v>
      </c>
      <c r="B6664" t="s">
        <v>214</v>
      </c>
      <c r="C6664">
        <v>306000</v>
      </c>
      <c r="D6664">
        <v>677.9</v>
      </c>
      <c r="E6664">
        <v>1.4500000000000001E-2</v>
      </c>
      <c r="F6664">
        <v>7.2599999999999998E-2</v>
      </c>
    </row>
    <row r="6665" spans="1:6" x14ac:dyDescent="0.3">
      <c r="A6665" t="s">
        <v>6700</v>
      </c>
      <c r="B6665" t="s">
        <v>92</v>
      </c>
      <c r="C6665">
        <v>374000</v>
      </c>
      <c r="D6665">
        <v>22400.9</v>
      </c>
      <c r="E6665">
        <v>2.1399999999999999E-2</v>
      </c>
      <c r="F6665">
        <v>7.5899999999999995E-2</v>
      </c>
    </row>
    <row r="6666" spans="1:6" x14ac:dyDescent="0.3">
      <c r="A6666" t="s">
        <v>6701</v>
      </c>
      <c r="B6666" t="s">
        <v>26</v>
      </c>
      <c r="C6666">
        <v>354000</v>
      </c>
      <c r="D6666">
        <v>38007</v>
      </c>
      <c r="E6666">
        <v>2.6499999999999999E-2</v>
      </c>
      <c r="F6666">
        <v>5.1799999999999999E-2</v>
      </c>
    </row>
    <row r="6667" spans="1:6" x14ac:dyDescent="0.3">
      <c r="A6667" t="s">
        <v>6702</v>
      </c>
      <c r="B6667" t="s">
        <v>92</v>
      </c>
      <c r="C6667">
        <v>394000</v>
      </c>
      <c r="D6667">
        <v>1535.7</v>
      </c>
      <c r="E6667">
        <v>7.0000000000000001E-3</v>
      </c>
      <c r="F6667">
        <v>8.2199999999999995E-2</v>
      </c>
    </row>
    <row r="6668" spans="1:6" x14ac:dyDescent="0.3">
      <c r="A6668" t="s">
        <v>6703</v>
      </c>
      <c r="B6668" t="s">
        <v>92</v>
      </c>
      <c r="C6668">
        <v>454000</v>
      </c>
      <c r="D6668">
        <v>59727.6</v>
      </c>
      <c r="E6668">
        <v>1.9300000000000001E-2</v>
      </c>
      <c r="F6668">
        <v>7.5899999999999995E-2</v>
      </c>
    </row>
    <row r="6669" spans="1:6" x14ac:dyDescent="0.3">
      <c r="A6669" t="s">
        <v>6704</v>
      </c>
      <c r="B6669" t="s">
        <v>88</v>
      </c>
      <c r="C6669">
        <v>452000</v>
      </c>
      <c r="D6669">
        <v>11865.9</v>
      </c>
      <c r="E6669">
        <v>2.2599999999999999E-2</v>
      </c>
      <c r="F6669">
        <v>9.5100000000000004E-2</v>
      </c>
    </row>
    <row r="6670" spans="1:6" x14ac:dyDescent="0.3">
      <c r="A6670" t="s">
        <v>6705</v>
      </c>
      <c r="B6670" t="s">
        <v>81</v>
      </c>
      <c r="C6670">
        <v>298000</v>
      </c>
      <c r="D6670">
        <v>2309.4</v>
      </c>
      <c r="E6670">
        <v>2.53E-2</v>
      </c>
      <c r="F6670">
        <v>5.1799999999999999E-2</v>
      </c>
    </row>
    <row r="6671" spans="1:6" x14ac:dyDescent="0.3">
      <c r="A6671" t="s">
        <v>6706</v>
      </c>
      <c r="B6671" t="s">
        <v>41</v>
      </c>
      <c r="C6671">
        <v>320000</v>
      </c>
      <c r="D6671">
        <v>5280.3</v>
      </c>
      <c r="E6671">
        <v>3.2300000000000002E-2</v>
      </c>
      <c r="F6671">
        <v>6.4399999999999999E-2</v>
      </c>
    </row>
    <row r="6672" spans="1:6" x14ac:dyDescent="0.3">
      <c r="A6672" t="s">
        <v>6707</v>
      </c>
      <c r="B6672" t="s">
        <v>88</v>
      </c>
      <c r="C6672">
        <v>338000</v>
      </c>
      <c r="D6672">
        <v>250.1</v>
      </c>
      <c r="E6672">
        <v>6.2399999999999997E-2</v>
      </c>
      <c r="F6672">
        <v>0.44819999999999999</v>
      </c>
    </row>
    <row r="6673" spans="1:6" x14ac:dyDescent="0.3">
      <c r="A6673" t="s">
        <v>6708</v>
      </c>
      <c r="B6673" t="s">
        <v>62</v>
      </c>
      <c r="C6673">
        <v>632000</v>
      </c>
      <c r="D6673">
        <v>391369.7</v>
      </c>
      <c r="E6673">
        <v>1.55E-2</v>
      </c>
      <c r="F6673">
        <v>9.5000000000000001E-2</v>
      </c>
    </row>
    <row r="6674" spans="1:6" x14ac:dyDescent="0.3">
      <c r="A6674" t="s">
        <v>6709</v>
      </c>
      <c r="B6674" t="s">
        <v>62</v>
      </c>
      <c r="C6674">
        <v>360000</v>
      </c>
      <c r="D6674">
        <v>8815.7999999999993</v>
      </c>
      <c r="E6674">
        <v>7.4099999999999999E-2</v>
      </c>
      <c r="F6674">
        <v>7.5899999999999995E-2</v>
      </c>
    </row>
    <row r="6675" spans="1:6" x14ac:dyDescent="0.3">
      <c r="A6675" t="s">
        <v>6710</v>
      </c>
      <c r="B6675" t="s">
        <v>28</v>
      </c>
      <c r="C6675">
        <v>422000</v>
      </c>
      <c r="D6675">
        <v>977.3</v>
      </c>
      <c r="E6675">
        <v>2.24E-2</v>
      </c>
      <c r="F6675">
        <v>0.16880000000000001</v>
      </c>
    </row>
    <row r="6676" spans="1:6" x14ac:dyDescent="0.3">
      <c r="A6676" t="s">
        <v>6711</v>
      </c>
      <c r="B6676" t="s">
        <v>81</v>
      </c>
      <c r="C6676">
        <v>303000</v>
      </c>
      <c r="D6676">
        <v>828.8</v>
      </c>
      <c r="E6676">
        <v>2.5000000000000001E-2</v>
      </c>
      <c r="F6676">
        <v>9.5100000000000004E-2</v>
      </c>
    </row>
    <row r="6677" spans="1:6" x14ac:dyDescent="0.3">
      <c r="A6677" t="s">
        <v>6712</v>
      </c>
      <c r="B6677" t="s">
        <v>74</v>
      </c>
      <c r="C6677">
        <v>358000</v>
      </c>
      <c r="D6677">
        <v>3451</v>
      </c>
      <c r="E6677">
        <v>5.4699999999999999E-2</v>
      </c>
      <c r="F6677">
        <v>7.5899999999999995E-2</v>
      </c>
    </row>
    <row r="6678" spans="1:6" x14ac:dyDescent="0.3">
      <c r="A6678" t="s">
        <v>6713</v>
      </c>
      <c r="B6678" t="s">
        <v>88</v>
      </c>
      <c r="C6678">
        <v>580000</v>
      </c>
      <c r="D6678">
        <v>21070.5</v>
      </c>
      <c r="E6678">
        <v>2.0500000000000001E-2</v>
      </c>
      <c r="F6678">
        <v>0.13100000000000001</v>
      </c>
    </row>
    <row r="6679" spans="1:6" x14ac:dyDescent="0.3">
      <c r="A6679" t="s">
        <v>6714</v>
      </c>
      <c r="B6679" t="s">
        <v>62</v>
      </c>
      <c r="C6679">
        <v>334000</v>
      </c>
      <c r="D6679">
        <v>8877.2000000000007</v>
      </c>
      <c r="E6679">
        <v>1.17E-2</v>
      </c>
      <c r="F6679">
        <v>7.7499999999999999E-2</v>
      </c>
    </row>
    <row r="6680" spans="1:6" x14ac:dyDescent="0.3">
      <c r="A6680" t="s">
        <v>6715</v>
      </c>
      <c r="B6680" t="s">
        <v>88</v>
      </c>
      <c r="C6680">
        <v>548000</v>
      </c>
      <c r="D6680">
        <v>643.20000000000005</v>
      </c>
      <c r="E6680">
        <v>5.16E-2</v>
      </c>
      <c r="F6680">
        <v>9.3799999999999994E-2</v>
      </c>
    </row>
    <row r="6681" spans="1:6" x14ac:dyDescent="0.3">
      <c r="A6681" t="s">
        <v>6716</v>
      </c>
      <c r="B6681" t="s">
        <v>26</v>
      </c>
      <c r="C6681">
        <v>355000</v>
      </c>
      <c r="D6681">
        <v>1079.5999999999999</v>
      </c>
      <c r="E6681">
        <v>5.96E-2</v>
      </c>
      <c r="F6681">
        <v>7.5899999999999995E-2</v>
      </c>
    </row>
    <row r="6682" spans="1:6" x14ac:dyDescent="0.3">
      <c r="A6682" t="s">
        <v>6717</v>
      </c>
      <c r="B6682" t="s">
        <v>26</v>
      </c>
      <c r="C6682">
        <v>368000</v>
      </c>
      <c r="D6682">
        <v>18898.2</v>
      </c>
      <c r="E6682">
        <v>2.6100000000000002E-2</v>
      </c>
      <c r="F6682">
        <v>7.5899999999999995E-2</v>
      </c>
    </row>
    <row r="6683" spans="1:6" x14ac:dyDescent="0.3">
      <c r="A6683" t="s">
        <v>6718</v>
      </c>
      <c r="B6683" t="s">
        <v>26</v>
      </c>
      <c r="C6683">
        <v>395000</v>
      </c>
      <c r="D6683">
        <v>133072.20000000001</v>
      </c>
      <c r="E6683">
        <v>1.5900000000000001E-2</v>
      </c>
      <c r="F6683">
        <v>8.5400000000000004E-2</v>
      </c>
    </row>
    <row r="6684" spans="1:6" x14ac:dyDescent="0.3">
      <c r="A6684" t="s">
        <v>6719</v>
      </c>
      <c r="B6684" t="s">
        <v>92</v>
      </c>
      <c r="C6684">
        <v>689000</v>
      </c>
      <c r="D6684">
        <v>36377.9</v>
      </c>
      <c r="E6684">
        <v>9.7999999999999997E-3</v>
      </c>
      <c r="F6684">
        <v>6.54E-2</v>
      </c>
    </row>
    <row r="6685" spans="1:6" x14ac:dyDescent="0.3">
      <c r="A6685" t="s">
        <v>6720</v>
      </c>
      <c r="B6685" t="s">
        <v>41</v>
      </c>
      <c r="C6685">
        <v>325000</v>
      </c>
      <c r="D6685">
        <v>4007.2</v>
      </c>
      <c r="E6685">
        <v>4.36E-2</v>
      </c>
      <c r="F6685">
        <v>9.3799999999999994E-2</v>
      </c>
    </row>
    <row r="6686" spans="1:6" x14ac:dyDescent="0.3">
      <c r="A6686" t="s">
        <v>6721</v>
      </c>
      <c r="B6686" t="s">
        <v>32</v>
      </c>
      <c r="C6686">
        <v>373000</v>
      </c>
      <c r="D6686">
        <v>1185.9000000000001</v>
      </c>
      <c r="E6686">
        <v>1.0999999999999999E-2</v>
      </c>
      <c r="F6686">
        <v>6.54E-2</v>
      </c>
    </row>
    <row r="6687" spans="1:6" x14ac:dyDescent="0.3">
      <c r="A6687" t="s">
        <v>6722</v>
      </c>
      <c r="B6687" t="s">
        <v>287</v>
      </c>
      <c r="C6687">
        <v>327000</v>
      </c>
      <c r="D6687">
        <v>840.5</v>
      </c>
      <c r="E6687">
        <v>1.8200000000000001E-2</v>
      </c>
      <c r="F6687">
        <v>8.5400000000000004E-2</v>
      </c>
    </row>
    <row r="6688" spans="1:6" x14ac:dyDescent="0.3">
      <c r="A6688" t="s">
        <v>6723</v>
      </c>
      <c r="B6688" t="s">
        <v>26</v>
      </c>
      <c r="C6688">
        <v>403000</v>
      </c>
      <c r="D6688">
        <v>18229.2</v>
      </c>
      <c r="E6688">
        <v>1.3599999999999999E-2</v>
      </c>
      <c r="F6688">
        <v>9.3700000000000006E-2</v>
      </c>
    </row>
    <row r="6689" spans="1:6" x14ac:dyDescent="0.3">
      <c r="A6689" t="s">
        <v>6724</v>
      </c>
      <c r="B6689" t="s">
        <v>214</v>
      </c>
      <c r="C6689">
        <v>303000</v>
      </c>
      <c r="D6689">
        <v>1842.6</v>
      </c>
      <c r="E6689">
        <v>8.5000000000000006E-3</v>
      </c>
      <c r="F6689">
        <v>0.10150000000000001</v>
      </c>
    </row>
    <row r="6690" spans="1:6" x14ac:dyDescent="0.3">
      <c r="A6690" t="s">
        <v>6725</v>
      </c>
      <c r="B6690" t="s">
        <v>71</v>
      </c>
      <c r="C6690">
        <v>299000</v>
      </c>
      <c r="D6690">
        <v>56909.1</v>
      </c>
      <c r="E6690">
        <v>5.16E-2</v>
      </c>
      <c r="F6690">
        <v>9.5100000000000004E-2</v>
      </c>
    </row>
    <row r="6691" spans="1:6" x14ac:dyDescent="0.3">
      <c r="A6691" t="s">
        <v>6726</v>
      </c>
      <c r="B6691" t="s">
        <v>26</v>
      </c>
      <c r="C6691">
        <v>374000</v>
      </c>
      <c r="D6691">
        <v>120948.2</v>
      </c>
      <c r="E6691">
        <v>3.2800000000000003E-2</v>
      </c>
      <c r="F6691">
        <v>9.5100000000000004E-2</v>
      </c>
    </row>
    <row r="6692" spans="1:6" x14ac:dyDescent="0.3">
      <c r="A6692" t="s">
        <v>6727</v>
      </c>
      <c r="B6692" t="s">
        <v>28</v>
      </c>
      <c r="C6692">
        <v>384000</v>
      </c>
      <c r="D6692">
        <v>1623</v>
      </c>
      <c r="E6692">
        <v>3.7699999999999997E-2</v>
      </c>
      <c r="F6692">
        <v>7.5899999999999995E-2</v>
      </c>
    </row>
    <row r="6693" spans="1:6" x14ac:dyDescent="0.3">
      <c r="A6693" t="s">
        <v>6728</v>
      </c>
      <c r="B6693" t="s">
        <v>30</v>
      </c>
      <c r="C6693">
        <v>468000</v>
      </c>
      <c r="D6693">
        <v>159154.20000000001</v>
      </c>
      <c r="E6693">
        <v>4.8399999999999999E-2</v>
      </c>
      <c r="F6693">
        <v>7.5899999999999995E-2</v>
      </c>
    </row>
    <row r="6694" spans="1:6" x14ac:dyDescent="0.3">
      <c r="A6694" t="s">
        <v>6729</v>
      </c>
      <c r="B6694" t="s">
        <v>214</v>
      </c>
      <c r="C6694">
        <v>508000</v>
      </c>
      <c r="D6694">
        <v>254302.8</v>
      </c>
      <c r="E6694">
        <v>5.1799999999999999E-2</v>
      </c>
      <c r="F6694">
        <v>8.3299999999999999E-2</v>
      </c>
    </row>
    <row r="6695" spans="1:6" x14ac:dyDescent="0.3">
      <c r="A6695" t="s">
        <v>6730</v>
      </c>
      <c r="B6695" t="s">
        <v>26</v>
      </c>
      <c r="C6695">
        <v>415000</v>
      </c>
      <c r="D6695">
        <v>276325.3</v>
      </c>
      <c r="E6695">
        <v>3.0200000000000001E-2</v>
      </c>
      <c r="F6695">
        <v>7.5899999999999995E-2</v>
      </c>
    </row>
    <row r="6696" spans="1:6" x14ac:dyDescent="0.3">
      <c r="A6696" t="s">
        <v>6731</v>
      </c>
      <c r="B6696" t="s">
        <v>88</v>
      </c>
      <c r="C6696">
        <v>318000</v>
      </c>
      <c r="D6696">
        <v>3425.5</v>
      </c>
      <c r="E6696">
        <v>3.7600000000000001E-2</v>
      </c>
      <c r="F6696">
        <v>9.3799999999999994E-2</v>
      </c>
    </row>
    <row r="6697" spans="1:6" x14ac:dyDescent="0.3">
      <c r="A6697" t="s">
        <v>6732</v>
      </c>
      <c r="B6697" t="s">
        <v>88</v>
      </c>
      <c r="C6697">
        <v>993000</v>
      </c>
      <c r="D6697">
        <v>5368.7</v>
      </c>
      <c r="E6697">
        <v>3.1600000000000003E-2</v>
      </c>
      <c r="F6697">
        <v>9.3799999999999994E-2</v>
      </c>
    </row>
    <row r="6698" spans="1:6" x14ac:dyDescent="0.3">
      <c r="A6698" t="s">
        <v>6733</v>
      </c>
      <c r="B6698" t="s">
        <v>24</v>
      </c>
      <c r="C6698">
        <v>401000</v>
      </c>
      <c r="D6698">
        <v>4558.8</v>
      </c>
      <c r="E6698">
        <v>2.0899999999999998E-2</v>
      </c>
      <c r="F6698">
        <v>0.1067</v>
      </c>
    </row>
    <row r="6699" spans="1:6" x14ac:dyDescent="0.3">
      <c r="A6699" t="s">
        <v>6734</v>
      </c>
      <c r="B6699" t="s">
        <v>88</v>
      </c>
      <c r="C6699">
        <v>313000</v>
      </c>
      <c r="D6699">
        <v>1975.3</v>
      </c>
      <c r="E6699">
        <v>1.47E-2</v>
      </c>
      <c r="F6699">
        <v>0.1192</v>
      </c>
    </row>
    <row r="6700" spans="1:6" x14ac:dyDescent="0.3">
      <c r="A6700" t="s">
        <v>6735</v>
      </c>
      <c r="B6700" t="s">
        <v>26</v>
      </c>
      <c r="C6700">
        <v>464000</v>
      </c>
      <c r="D6700">
        <v>22764.2</v>
      </c>
      <c r="E6700">
        <v>2.1399999999999999E-2</v>
      </c>
      <c r="F6700">
        <v>4.6199999999999998E-2</v>
      </c>
    </row>
    <row r="6701" spans="1:6" x14ac:dyDescent="0.3">
      <c r="A6701" t="s">
        <v>6736</v>
      </c>
      <c r="B6701" t="s">
        <v>41</v>
      </c>
      <c r="C6701">
        <v>352000</v>
      </c>
      <c r="D6701">
        <v>6822.3</v>
      </c>
      <c r="E6701">
        <v>3.2099999999999997E-2</v>
      </c>
      <c r="F6701">
        <v>4.0899999999999999E-2</v>
      </c>
    </row>
    <row r="6702" spans="1:6" x14ac:dyDescent="0.3">
      <c r="A6702" t="s">
        <v>6737</v>
      </c>
      <c r="B6702" t="s">
        <v>26</v>
      </c>
      <c r="C6702">
        <v>301000</v>
      </c>
      <c r="D6702">
        <v>436582.3</v>
      </c>
      <c r="E6702">
        <v>5.5100000000000003E-2</v>
      </c>
      <c r="F6702">
        <v>9.5100000000000004E-2</v>
      </c>
    </row>
    <row r="6703" spans="1:6" x14ac:dyDescent="0.3">
      <c r="A6703" t="s">
        <v>6738</v>
      </c>
      <c r="B6703" t="s">
        <v>71</v>
      </c>
      <c r="C6703">
        <v>330000</v>
      </c>
      <c r="D6703">
        <v>5942.1</v>
      </c>
      <c r="E6703">
        <v>2.4299999999999999E-2</v>
      </c>
      <c r="F6703">
        <v>0.1053</v>
      </c>
    </row>
    <row r="6704" spans="1:6" x14ac:dyDescent="0.3">
      <c r="A6704" t="s">
        <v>6739</v>
      </c>
      <c r="B6704" t="s">
        <v>24</v>
      </c>
      <c r="C6704">
        <v>450000</v>
      </c>
      <c r="D6704">
        <v>6696.4</v>
      </c>
      <c r="E6704">
        <v>8.0100000000000005E-2</v>
      </c>
      <c r="F6704">
        <v>9.3799999999999994E-2</v>
      </c>
    </row>
    <row r="6705" spans="1:6" x14ac:dyDescent="0.3">
      <c r="A6705" t="s">
        <v>6740</v>
      </c>
      <c r="B6705" t="s">
        <v>26</v>
      </c>
      <c r="C6705">
        <v>304000</v>
      </c>
      <c r="D6705">
        <v>1609.6</v>
      </c>
      <c r="E6705">
        <v>4.0300000000000002E-2</v>
      </c>
      <c r="F6705">
        <v>9.5100000000000004E-2</v>
      </c>
    </row>
    <row r="6706" spans="1:6" x14ac:dyDescent="0.3">
      <c r="A6706" t="s">
        <v>6741</v>
      </c>
      <c r="B6706" t="s">
        <v>88</v>
      </c>
      <c r="C6706">
        <v>306000</v>
      </c>
      <c r="D6706">
        <v>614.79999999999995</v>
      </c>
      <c r="E6706">
        <v>9.4999999999999998E-3</v>
      </c>
      <c r="F6706">
        <v>0.10150000000000001</v>
      </c>
    </row>
    <row r="6707" spans="1:6" x14ac:dyDescent="0.3">
      <c r="A6707" t="s">
        <v>6742</v>
      </c>
      <c r="B6707" t="s">
        <v>26</v>
      </c>
      <c r="C6707">
        <v>369000</v>
      </c>
      <c r="D6707">
        <v>163222</v>
      </c>
      <c r="E6707">
        <v>5.1900000000000002E-2</v>
      </c>
      <c r="F6707">
        <v>9.5100000000000004E-2</v>
      </c>
    </row>
    <row r="6708" spans="1:6" x14ac:dyDescent="0.3">
      <c r="A6708" t="s">
        <v>6743</v>
      </c>
      <c r="B6708" t="s">
        <v>26</v>
      </c>
      <c r="C6708">
        <v>523000</v>
      </c>
      <c r="D6708">
        <v>619</v>
      </c>
      <c r="E6708">
        <v>1.2500000000000001E-2</v>
      </c>
      <c r="F6708">
        <v>0.1067</v>
      </c>
    </row>
    <row r="6709" spans="1:6" x14ac:dyDescent="0.3">
      <c r="A6709" t="s">
        <v>6744</v>
      </c>
      <c r="B6709" t="s">
        <v>26</v>
      </c>
      <c r="C6709">
        <v>313000</v>
      </c>
      <c r="D6709">
        <v>6651.6</v>
      </c>
      <c r="E6709">
        <v>1.6199999999999999E-2</v>
      </c>
      <c r="F6709">
        <v>0.1067</v>
      </c>
    </row>
    <row r="6710" spans="1:6" x14ac:dyDescent="0.3">
      <c r="A6710" t="s">
        <v>6745</v>
      </c>
      <c r="B6710" t="s">
        <v>74</v>
      </c>
      <c r="C6710">
        <v>893000</v>
      </c>
      <c r="D6710">
        <v>1806.2</v>
      </c>
      <c r="E6710">
        <v>1.5900000000000001E-2</v>
      </c>
      <c r="F6710">
        <v>0.1067</v>
      </c>
    </row>
    <row r="6711" spans="1:6" x14ac:dyDescent="0.3">
      <c r="A6711" t="s">
        <v>6746</v>
      </c>
      <c r="B6711" t="s">
        <v>30</v>
      </c>
      <c r="C6711">
        <v>523000</v>
      </c>
      <c r="D6711">
        <v>153080.4</v>
      </c>
      <c r="E6711">
        <v>1.0999999999999999E-2</v>
      </c>
      <c r="F6711">
        <v>5.8400000000000001E-2</v>
      </c>
    </row>
    <row r="6712" spans="1:6" x14ac:dyDescent="0.3">
      <c r="A6712" t="s">
        <v>6747</v>
      </c>
      <c r="B6712" t="s">
        <v>88</v>
      </c>
      <c r="C6712">
        <v>316000</v>
      </c>
      <c r="D6712">
        <v>11378.5</v>
      </c>
      <c r="E6712">
        <v>2.5499999999999998E-2</v>
      </c>
      <c r="F6712">
        <v>9.5100000000000004E-2</v>
      </c>
    </row>
    <row r="6713" spans="1:6" x14ac:dyDescent="0.3">
      <c r="A6713" t="s">
        <v>6748</v>
      </c>
      <c r="B6713" t="s">
        <v>26</v>
      </c>
      <c r="C6713">
        <v>571000</v>
      </c>
      <c r="D6713">
        <v>209343.3</v>
      </c>
      <c r="E6713">
        <v>5.1499999999999997E-2</v>
      </c>
      <c r="F6713">
        <v>9.5100000000000004E-2</v>
      </c>
    </row>
    <row r="6714" spans="1:6" x14ac:dyDescent="0.3">
      <c r="A6714" t="s">
        <v>6749</v>
      </c>
      <c r="B6714" t="s">
        <v>26</v>
      </c>
      <c r="C6714">
        <v>558000</v>
      </c>
      <c r="D6714">
        <v>77340.800000000003</v>
      </c>
      <c r="E6714">
        <v>8.2500000000000004E-2</v>
      </c>
      <c r="F6714">
        <v>7.5899999999999995E-2</v>
      </c>
    </row>
    <row r="6715" spans="1:6" x14ac:dyDescent="0.3">
      <c r="A6715" t="s">
        <v>6750</v>
      </c>
      <c r="B6715" t="s">
        <v>41</v>
      </c>
      <c r="C6715">
        <v>432000</v>
      </c>
      <c r="D6715">
        <v>172183.9</v>
      </c>
      <c r="E6715">
        <v>9.0800000000000006E-2</v>
      </c>
      <c r="F6715">
        <v>7.5899999999999995E-2</v>
      </c>
    </row>
    <row r="6716" spans="1:6" x14ac:dyDescent="0.3">
      <c r="A6716" t="s">
        <v>6751</v>
      </c>
      <c r="B6716" t="s">
        <v>214</v>
      </c>
      <c r="C6716">
        <v>785000</v>
      </c>
      <c r="D6716">
        <v>18665.3</v>
      </c>
      <c r="E6716">
        <v>1.12E-2</v>
      </c>
      <c r="F6716">
        <v>6.54E-2</v>
      </c>
    </row>
    <row r="6717" spans="1:6" x14ac:dyDescent="0.3">
      <c r="A6717" t="s">
        <v>6752</v>
      </c>
      <c r="B6717" t="s">
        <v>26</v>
      </c>
      <c r="C6717">
        <v>650000</v>
      </c>
      <c r="D6717">
        <v>661138.6</v>
      </c>
      <c r="E6717">
        <v>3.8199999999999998E-2</v>
      </c>
      <c r="F6717">
        <v>4.0899999999999999E-2</v>
      </c>
    </row>
    <row r="6718" spans="1:6" x14ac:dyDescent="0.3">
      <c r="A6718" t="s">
        <v>6753</v>
      </c>
      <c r="B6718" t="s">
        <v>26</v>
      </c>
      <c r="C6718">
        <v>307000</v>
      </c>
      <c r="D6718">
        <v>84316.7</v>
      </c>
      <c r="E6718">
        <v>3.2300000000000002E-2</v>
      </c>
      <c r="F6718">
        <v>9.5100000000000004E-2</v>
      </c>
    </row>
    <row r="6719" spans="1:6" x14ac:dyDescent="0.3">
      <c r="A6719" t="s">
        <v>6754</v>
      </c>
      <c r="B6719" t="s">
        <v>26</v>
      </c>
      <c r="C6719">
        <v>551000</v>
      </c>
      <c r="D6719">
        <v>3026</v>
      </c>
      <c r="E6719">
        <v>7.5700000000000003E-2</v>
      </c>
      <c r="F6719">
        <v>9.3799999999999994E-2</v>
      </c>
    </row>
    <row r="6720" spans="1:6" x14ac:dyDescent="0.3">
      <c r="A6720" t="s">
        <v>6755</v>
      </c>
      <c r="B6720" t="s">
        <v>24</v>
      </c>
      <c r="C6720">
        <v>403000</v>
      </c>
      <c r="D6720">
        <v>250488</v>
      </c>
      <c r="E6720">
        <v>2.06E-2</v>
      </c>
      <c r="F6720">
        <v>5.8500000000000003E-2</v>
      </c>
    </row>
    <row r="6721" spans="1:6" x14ac:dyDescent="0.3">
      <c r="A6721" t="s">
        <v>6756</v>
      </c>
      <c r="B6721" t="s">
        <v>214</v>
      </c>
      <c r="C6721">
        <v>414000</v>
      </c>
      <c r="D6721">
        <v>19034.7</v>
      </c>
      <c r="E6721">
        <v>2.06E-2</v>
      </c>
      <c r="F6721">
        <v>9.5000000000000001E-2</v>
      </c>
    </row>
    <row r="6722" spans="1:6" x14ac:dyDescent="0.3">
      <c r="A6722" t="s">
        <v>6757</v>
      </c>
      <c r="B6722" t="s">
        <v>71</v>
      </c>
      <c r="C6722">
        <v>337000</v>
      </c>
      <c r="D6722">
        <v>1641.9</v>
      </c>
      <c r="E6722">
        <v>1.5900000000000001E-2</v>
      </c>
      <c r="F6722">
        <v>5.7599999999999998E-2</v>
      </c>
    </row>
    <row r="6723" spans="1:6" x14ac:dyDescent="0.3">
      <c r="A6723" t="s">
        <v>6758</v>
      </c>
      <c r="B6723" t="s">
        <v>26</v>
      </c>
      <c r="C6723">
        <v>362000</v>
      </c>
      <c r="D6723">
        <v>711728.5</v>
      </c>
      <c r="E6723">
        <v>3.7400000000000003E-2</v>
      </c>
      <c r="F6723">
        <v>5.1799999999999999E-2</v>
      </c>
    </row>
    <row r="6724" spans="1:6" x14ac:dyDescent="0.3">
      <c r="A6724" t="s">
        <v>6759</v>
      </c>
      <c r="B6724" t="s">
        <v>26</v>
      </c>
      <c r="C6724">
        <v>323000</v>
      </c>
      <c r="D6724">
        <v>1623.8</v>
      </c>
      <c r="E6724">
        <v>1.9E-2</v>
      </c>
      <c r="F6724">
        <v>8.5400000000000004E-2</v>
      </c>
    </row>
    <row r="6725" spans="1:6" x14ac:dyDescent="0.3">
      <c r="A6725" t="s">
        <v>6760</v>
      </c>
      <c r="B6725" t="s">
        <v>81</v>
      </c>
      <c r="C6725">
        <v>408000</v>
      </c>
      <c r="D6725">
        <v>22730.5</v>
      </c>
      <c r="E6725">
        <v>4.7600000000000003E-2</v>
      </c>
      <c r="F6725">
        <v>7.5899999999999995E-2</v>
      </c>
    </row>
    <row r="6726" spans="1:6" x14ac:dyDescent="0.3">
      <c r="A6726" t="s">
        <v>6761</v>
      </c>
      <c r="B6726" t="s">
        <v>26</v>
      </c>
      <c r="C6726">
        <v>297000</v>
      </c>
      <c r="D6726">
        <v>10.5</v>
      </c>
      <c r="F6726">
        <v>5.1799999999999999E-2</v>
      </c>
    </row>
    <row r="6727" spans="1:6" x14ac:dyDescent="0.3">
      <c r="A6727" t="s">
        <v>6762</v>
      </c>
      <c r="B6727" t="s">
        <v>24</v>
      </c>
      <c r="C6727">
        <v>334000</v>
      </c>
      <c r="D6727">
        <v>585325.5</v>
      </c>
      <c r="E6727">
        <v>1.78E-2</v>
      </c>
      <c r="F6727">
        <v>0.2072</v>
      </c>
    </row>
    <row r="6728" spans="1:6" x14ac:dyDescent="0.3">
      <c r="A6728" t="s">
        <v>6763</v>
      </c>
      <c r="B6728" t="s">
        <v>62</v>
      </c>
      <c r="C6728">
        <v>636000</v>
      </c>
      <c r="D6728">
        <v>1263.5999999999999</v>
      </c>
      <c r="E6728">
        <v>3.85E-2</v>
      </c>
      <c r="F6728">
        <v>5.0999999999999997E-2</v>
      </c>
    </row>
    <row r="6729" spans="1:6" x14ac:dyDescent="0.3">
      <c r="A6729" t="s">
        <v>6764</v>
      </c>
      <c r="B6729" t="s">
        <v>214</v>
      </c>
      <c r="C6729">
        <v>526000</v>
      </c>
      <c r="D6729">
        <v>10802.9</v>
      </c>
      <c r="E6729">
        <v>5.7999999999999996E-3</v>
      </c>
      <c r="F6729">
        <v>6.54E-2</v>
      </c>
    </row>
    <row r="6730" spans="1:6" x14ac:dyDescent="0.3">
      <c r="A6730" t="s">
        <v>6765</v>
      </c>
      <c r="B6730" t="s">
        <v>88</v>
      </c>
      <c r="C6730">
        <v>347000</v>
      </c>
      <c r="D6730">
        <v>17721.900000000001</v>
      </c>
      <c r="E6730">
        <v>3.9600000000000003E-2</v>
      </c>
      <c r="F6730">
        <v>7.5899999999999995E-2</v>
      </c>
    </row>
    <row r="6731" spans="1:6" x14ac:dyDescent="0.3">
      <c r="A6731" t="s">
        <v>6766</v>
      </c>
      <c r="B6731" t="s">
        <v>30</v>
      </c>
      <c r="C6731">
        <v>603000</v>
      </c>
      <c r="D6731">
        <v>129288.7</v>
      </c>
      <c r="E6731">
        <v>1.4500000000000001E-2</v>
      </c>
      <c r="F6731">
        <v>5.8500000000000003E-2</v>
      </c>
    </row>
    <row r="6732" spans="1:6" x14ac:dyDescent="0.3">
      <c r="A6732" t="s">
        <v>6767</v>
      </c>
      <c r="B6732" t="s">
        <v>71</v>
      </c>
      <c r="C6732">
        <v>620000</v>
      </c>
      <c r="D6732">
        <v>243.7</v>
      </c>
      <c r="E6732">
        <v>1.18E-2</v>
      </c>
      <c r="F6732">
        <v>5.7599999999999998E-2</v>
      </c>
    </row>
    <row r="6733" spans="1:6" x14ac:dyDescent="0.3">
      <c r="A6733" t="s">
        <v>6768</v>
      </c>
      <c r="B6733" t="s">
        <v>81</v>
      </c>
      <c r="C6733">
        <v>303000</v>
      </c>
      <c r="D6733">
        <v>7095</v>
      </c>
      <c r="E6733">
        <v>2.18E-2</v>
      </c>
      <c r="F6733">
        <v>4.0899999999999999E-2</v>
      </c>
    </row>
    <row r="6734" spans="1:6" x14ac:dyDescent="0.3">
      <c r="A6734" t="s">
        <v>6769</v>
      </c>
      <c r="B6734" t="s">
        <v>26</v>
      </c>
      <c r="C6734">
        <v>302000</v>
      </c>
      <c r="D6734">
        <v>2048.4</v>
      </c>
      <c r="E6734">
        <v>2.3800000000000002E-2</v>
      </c>
      <c r="F6734">
        <v>7.5899999999999995E-2</v>
      </c>
    </row>
    <row r="6735" spans="1:6" x14ac:dyDescent="0.3">
      <c r="A6735" t="s">
        <v>6770</v>
      </c>
      <c r="B6735" t="s">
        <v>74</v>
      </c>
      <c r="C6735">
        <v>294000</v>
      </c>
      <c r="D6735">
        <v>12314.1</v>
      </c>
      <c r="E6735">
        <v>3.7400000000000003E-2</v>
      </c>
      <c r="F6735">
        <v>9.5100000000000004E-2</v>
      </c>
    </row>
    <row r="6736" spans="1:6" x14ac:dyDescent="0.3">
      <c r="A6736" t="s">
        <v>6771</v>
      </c>
      <c r="B6736" t="s">
        <v>26</v>
      </c>
      <c r="C6736">
        <v>301000</v>
      </c>
      <c r="F6736">
        <v>7.5899999999999995E-2</v>
      </c>
    </row>
    <row r="6737" spans="1:6" x14ac:dyDescent="0.3">
      <c r="A6737" t="s">
        <v>6772</v>
      </c>
      <c r="B6737" t="s">
        <v>21</v>
      </c>
      <c r="C6737">
        <v>384000</v>
      </c>
      <c r="D6737">
        <v>13468</v>
      </c>
      <c r="F6737">
        <v>4.0899999999999999E-2</v>
      </c>
    </row>
    <row r="6738" spans="1:6" x14ac:dyDescent="0.3">
      <c r="A6738" t="s">
        <v>6773</v>
      </c>
      <c r="B6738" t="s">
        <v>62</v>
      </c>
      <c r="C6738">
        <v>1680000</v>
      </c>
      <c r="D6738">
        <v>669851.69999999995</v>
      </c>
      <c r="E6738">
        <v>3.7400000000000003E-2</v>
      </c>
      <c r="F6738">
        <v>4.0899999999999999E-2</v>
      </c>
    </row>
    <row r="6739" spans="1:6" x14ac:dyDescent="0.3">
      <c r="A6739" t="s">
        <v>6774</v>
      </c>
      <c r="B6739" t="s">
        <v>88</v>
      </c>
      <c r="C6739">
        <v>302000</v>
      </c>
      <c r="D6739">
        <v>153.69999999999999</v>
      </c>
      <c r="E6739">
        <v>2.12E-2</v>
      </c>
      <c r="F6739">
        <v>5.8400000000000001E-2</v>
      </c>
    </row>
    <row r="6740" spans="1:6" x14ac:dyDescent="0.3">
      <c r="A6740" t="s">
        <v>6775</v>
      </c>
      <c r="B6740" t="s">
        <v>88</v>
      </c>
      <c r="C6740">
        <v>443000</v>
      </c>
      <c r="D6740">
        <v>16012.7</v>
      </c>
      <c r="E6740">
        <v>2.24E-2</v>
      </c>
      <c r="F6740">
        <v>6.4399999999999999E-2</v>
      </c>
    </row>
    <row r="6741" spans="1:6" x14ac:dyDescent="0.3">
      <c r="A6741" t="s">
        <v>6776</v>
      </c>
      <c r="B6741" t="s">
        <v>62</v>
      </c>
      <c r="C6741">
        <v>397000</v>
      </c>
      <c r="D6741">
        <v>52636.6</v>
      </c>
      <c r="E6741">
        <v>1.61E-2</v>
      </c>
      <c r="F6741">
        <v>0.1067</v>
      </c>
    </row>
    <row r="6742" spans="1:6" x14ac:dyDescent="0.3">
      <c r="A6742" t="s">
        <v>6777</v>
      </c>
      <c r="B6742" t="s">
        <v>88</v>
      </c>
      <c r="C6742">
        <v>310000</v>
      </c>
      <c r="F6742">
        <v>7.5899999999999995E-2</v>
      </c>
    </row>
    <row r="6743" spans="1:6" x14ac:dyDescent="0.3">
      <c r="A6743" t="s">
        <v>6778</v>
      </c>
      <c r="B6743" t="s">
        <v>21</v>
      </c>
      <c r="C6743">
        <v>447000</v>
      </c>
      <c r="D6743">
        <v>67162.5</v>
      </c>
      <c r="E6743">
        <v>6.3E-3</v>
      </c>
      <c r="F6743">
        <v>8.1100000000000005E-2</v>
      </c>
    </row>
    <row r="6744" spans="1:6" x14ac:dyDescent="0.3">
      <c r="A6744" t="s">
        <v>6779</v>
      </c>
      <c r="B6744" t="s">
        <v>71</v>
      </c>
      <c r="C6744">
        <v>301000</v>
      </c>
      <c r="D6744">
        <v>56406</v>
      </c>
      <c r="E6744">
        <v>2.9399999999999999E-2</v>
      </c>
      <c r="F6744">
        <v>9.5100000000000004E-2</v>
      </c>
    </row>
    <row r="6745" spans="1:6" x14ac:dyDescent="0.3">
      <c r="A6745" t="s">
        <v>6780</v>
      </c>
      <c r="B6745" t="s">
        <v>21</v>
      </c>
      <c r="C6745">
        <v>464000</v>
      </c>
      <c r="D6745">
        <v>2116.6999999999998</v>
      </c>
      <c r="E6745">
        <v>6.2899999999999998E-2</v>
      </c>
      <c r="F6745">
        <v>5.0999999999999997E-2</v>
      </c>
    </row>
    <row r="6746" spans="1:6" x14ac:dyDescent="0.3">
      <c r="A6746" t="s">
        <v>6781</v>
      </c>
      <c r="B6746" t="s">
        <v>88</v>
      </c>
      <c r="C6746">
        <v>579000</v>
      </c>
      <c r="D6746">
        <v>9925.1</v>
      </c>
      <c r="E6746">
        <v>1.77E-2</v>
      </c>
      <c r="F6746">
        <v>0.13100000000000001</v>
      </c>
    </row>
    <row r="6747" spans="1:6" x14ac:dyDescent="0.3">
      <c r="A6747" t="s">
        <v>6782</v>
      </c>
      <c r="B6747" t="s">
        <v>88</v>
      </c>
      <c r="C6747">
        <v>393000</v>
      </c>
      <c r="D6747">
        <v>2202.6</v>
      </c>
      <c r="E6747">
        <v>0.09</v>
      </c>
      <c r="F6747">
        <v>9.3799999999999994E-2</v>
      </c>
    </row>
    <row r="6748" spans="1:6" x14ac:dyDescent="0.3">
      <c r="A6748" t="s">
        <v>6783</v>
      </c>
      <c r="B6748" t="s">
        <v>21</v>
      </c>
      <c r="C6748">
        <v>519000</v>
      </c>
      <c r="D6748">
        <v>2829.3</v>
      </c>
      <c r="E6748">
        <v>2.29E-2</v>
      </c>
      <c r="F6748">
        <v>0.24970000000000001</v>
      </c>
    </row>
    <row r="6749" spans="1:6" x14ac:dyDescent="0.3">
      <c r="A6749" t="s">
        <v>6784</v>
      </c>
      <c r="B6749" t="s">
        <v>88</v>
      </c>
      <c r="C6749">
        <v>341000</v>
      </c>
      <c r="D6749">
        <v>3885.5</v>
      </c>
      <c r="F6749">
        <v>7.5899999999999995E-2</v>
      </c>
    </row>
    <row r="6750" spans="1:6" x14ac:dyDescent="0.3">
      <c r="A6750" t="s">
        <v>6785</v>
      </c>
      <c r="B6750" t="s">
        <v>26</v>
      </c>
      <c r="C6750">
        <v>826000</v>
      </c>
      <c r="D6750">
        <v>546952.4</v>
      </c>
      <c r="E6750">
        <v>1.37E-2</v>
      </c>
      <c r="F6750">
        <v>5.8500000000000003E-2</v>
      </c>
    </row>
    <row r="6751" spans="1:6" x14ac:dyDescent="0.3">
      <c r="A6751" t="s">
        <v>6786</v>
      </c>
      <c r="B6751" t="s">
        <v>24</v>
      </c>
      <c r="C6751">
        <v>300000</v>
      </c>
      <c r="D6751">
        <v>1089</v>
      </c>
      <c r="E6751">
        <v>4.4999999999999998E-2</v>
      </c>
      <c r="F6751">
        <v>9.5100000000000004E-2</v>
      </c>
    </row>
    <row r="6752" spans="1:6" x14ac:dyDescent="0.3">
      <c r="A6752" t="s">
        <v>6787</v>
      </c>
      <c r="B6752" t="s">
        <v>26</v>
      </c>
      <c r="C6752">
        <v>335000</v>
      </c>
      <c r="D6752">
        <v>1042.5999999999999</v>
      </c>
      <c r="E6752">
        <v>2.5399999999999999E-2</v>
      </c>
      <c r="F6752">
        <v>7.2499999999999995E-2</v>
      </c>
    </row>
    <row r="6753" spans="1:6" x14ac:dyDescent="0.3">
      <c r="A6753" t="s">
        <v>6788</v>
      </c>
      <c r="B6753" t="s">
        <v>41</v>
      </c>
      <c r="C6753">
        <v>321000</v>
      </c>
      <c r="D6753">
        <v>26317.4</v>
      </c>
      <c r="E6753">
        <v>9.11E-2</v>
      </c>
      <c r="F6753">
        <v>9.3799999999999994E-2</v>
      </c>
    </row>
    <row r="6754" spans="1:6" x14ac:dyDescent="0.3">
      <c r="A6754" t="s">
        <v>6789</v>
      </c>
      <c r="B6754" t="s">
        <v>32</v>
      </c>
      <c r="C6754">
        <v>709000</v>
      </c>
      <c r="D6754">
        <v>811.2</v>
      </c>
      <c r="E6754">
        <v>1.72E-2</v>
      </c>
      <c r="F6754">
        <v>5.7599999999999998E-2</v>
      </c>
    </row>
    <row r="6755" spans="1:6" x14ac:dyDescent="0.3">
      <c r="A6755" t="s">
        <v>6790</v>
      </c>
      <c r="B6755" t="s">
        <v>92</v>
      </c>
      <c r="C6755">
        <v>337000</v>
      </c>
      <c r="D6755">
        <v>17888.7</v>
      </c>
      <c r="E6755">
        <v>1.9699999999999999E-2</v>
      </c>
      <c r="F6755">
        <v>9.5100000000000004E-2</v>
      </c>
    </row>
    <row r="6756" spans="1:6" x14ac:dyDescent="0.3">
      <c r="A6756" t="s">
        <v>6791</v>
      </c>
      <c r="B6756" t="s">
        <v>74</v>
      </c>
      <c r="C6756">
        <v>289000</v>
      </c>
      <c r="D6756">
        <v>480.6</v>
      </c>
      <c r="E6756">
        <v>4.87E-2</v>
      </c>
      <c r="F6756">
        <v>7.5899999999999995E-2</v>
      </c>
    </row>
    <row r="6757" spans="1:6" x14ac:dyDescent="0.3">
      <c r="A6757" t="s">
        <v>6792</v>
      </c>
      <c r="B6757" t="s">
        <v>53</v>
      </c>
      <c r="C6757">
        <v>512000</v>
      </c>
      <c r="D6757">
        <v>18844.900000000001</v>
      </c>
      <c r="F6757">
        <v>7.5899999999999995E-2</v>
      </c>
    </row>
    <row r="6758" spans="1:6" x14ac:dyDescent="0.3">
      <c r="A6758" t="s">
        <v>6793</v>
      </c>
      <c r="B6758" t="s">
        <v>26</v>
      </c>
      <c r="C6758">
        <v>304000</v>
      </c>
      <c r="D6758">
        <v>3079.8</v>
      </c>
      <c r="E6758">
        <v>1.55E-2</v>
      </c>
      <c r="F6758">
        <v>0.22670000000000001</v>
      </c>
    </row>
    <row r="6759" spans="1:6" x14ac:dyDescent="0.3">
      <c r="A6759" t="s">
        <v>6794</v>
      </c>
      <c r="B6759" t="s">
        <v>88</v>
      </c>
      <c r="C6759">
        <v>313000</v>
      </c>
      <c r="D6759">
        <v>1084.3</v>
      </c>
      <c r="E6759">
        <v>3.9399999999999998E-2</v>
      </c>
      <c r="F6759">
        <v>9.3799999999999994E-2</v>
      </c>
    </row>
    <row r="6760" spans="1:6" x14ac:dyDescent="0.3">
      <c r="A6760" t="s">
        <v>6795</v>
      </c>
      <c r="B6760" t="s">
        <v>490</v>
      </c>
      <c r="C6760">
        <v>657000</v>
      </c>
      <c r="D6760">
        <v>13322</v>
      </c>
      <c r="E6760">
        <v>2.3099999999999999E-2</v>
      </c>
      <c r="F6760">
        <v>7.5899999999999995E-2</v>
      </c>
    </row>
    <row r="6761" spans="1:6" x14ac:dyDescent="0.3">
      <c r="A6761" t="s">
        <v>6796</v>
      </c>
      <c r="B6761" t="s">
        <v>26</v>
      </c>
      <c r="C6761">
        <v>316000</v>
      </c>
      <c r="D6761">
        <v>14310.5</v>
      </c>
      <c r="F6761">
        <v>5.0999999999999997E-2</v>
      </c>
    </row>
    <row r="6762" spans="1:6" x14ac:dyDescent="0.3">
      <c r="A6762" t="s">
        <v>6797</v>
      </c>
      <c r="B6762" t="s">
        <v>88</v>
      </c>
      <c r="C6762">
        <v>317000</v>
      </c>
      <c r="D6762">
        <v>1654.6</v>
      </c>
      <c r="E6762">
        <v>3.6400000000000002E-2</v>
      </c>
      <c r="F6762">
        <v>7.5899999999999995E-2</v>
      </c>
    </row>
    <row r="6763" spans="1:6" x14ac:dyDescent="0.3">
      <c r="A6763" t="s">
        <v>6798</v>
      </c>
      <c r="B6763" t="s">
        <v>26</v>
      </c>
      <c r="C6763">
        <v>421000</v>
      </c>
      <c r="D6763">
        <v>1065.7</v>
      </c>
      <c r="E6763">
        <v>3.1899999999999998E-2</v>
      </c>
      <c r="F6763">
        <v>7.5899999999999995E-2</v>
      </c>
    </row>
    <row r="6764" spans="1:6" x14ac:dyDescent="0.3">
      <c r="A6764" t="s">
        <v>6799</v>
      </c>
      <c r="B6764" t="s">
        <v>41</v>
      </c>
      <c r="C6764">
        <v>316000</v>
      </c>
      <c r="D6764">
        <v>37849.199999999997</v>
      </c>
      <c r="E6764">
        <v>3.27E-2</v>
      </c>
      <c r="F6764">
        <v>9.5100000000000004E-2</v>
      </c>
    </row>
    <row r="6765" spans="1:6" x14ac:dyDescent="0.3">
      <c r="A6765" t="s">
        <v>6800</v>
      </c>
      <c r="B6765" t="s">
        <v>214</v>
      </c>
      <c r="C6765">
        <v>392000</v>
      </c>
      <c r="D6765">
        <v>43652</v>
      </c>
      <c r="F6765">
        <v>4.0899999999999999E-2</v>
      </c>
    </row>
    <row r="6766" spans="1:6" x14ac:dyDescent="0.3">
      <c r="A6766" t="s">
        <v>6801</v>
      </c>
      <c r="B6766" t="s">
        <v>81</v>
      </c>
      <c r="C6766">
        <v>331000</v>
      </c>
      <c r="D6766">
        <v>113302.1</v>
      </c>
      <c r="E6766">
        <v>7.6600000000000001E-2</v>
      </c>
      <c r="F6766">
        <v>9.5100000000000004E-2</v>
      </c>
    </row>
    <row r="6767" spans="1:6" x14ac:dyDescent="0.3">
      <c r="A6767" t="s">
        <v>6802</v>
      </c>
      <c r="B6767" t="s">
        <v>26</v>
      </c>
      <c r="C6767">
        <v>297000</v>
      </c>
      <c r="D6767">
        <v>694.3</v>
      </c>
      <c r="E6767">
        <v>6.3299999999999995E-2</v>
      </c>
      <c r="F6767">
        <v>9.5100000000000004E-2</v>
      </c>
    </row>
    <row r="6768" spans="1:6" x14ac:dyDescent="0.3">
      <c r="A6768" t="s">
        <v>6803</v>
      </c>
      <c r="B6768" t="s">
        <v>287</v>
      </c>
      <c r="C6768">
        <v>478000</v>
      </c>
      <c r="D6768">
        <v>2363.9</v>
      </c>
      <c r="E6768">
        <v>3.3000000000000002E-2</v>
      </c>
      <c r="F6768">
        <v>4.0899999999999999E-2</v>
      </c>
    </row>
    <row r="6769" spans="1:6" x14ac:dyDescent="0.3">
      <c r="A6769" t="s">
        <v>6804</v>
      </c>
      <c r="B6769" t="s">
        <v>26</v>
      </c>
      <c r="C6769">
        <v>293000</v>
      </c>
      <c r="D6769">
        <v>6535</v>
      </c>
      <c r="F6769">
        <v>4.0899999999999999E-2</v>
      </c>
    </row>
    <row r="6770" spans="1:6" x14ac:dyDescent="0.3">
      <c r="A6770" t="s">
        <v>6805</v>
      </c>
      <c r="B6770" t="s">
        <v>50</v>
      </c>
      <c r="C6770">
        <v>292000</v>
      </c>
      <c r="D6770">
        <v>3578.2</v>
      </c>
      <c r="E6770">
        <v>1.7999999999999999E-2</v>
      </c>
      <c r="F6770">
        <v>0.1067</v>
      </c>
    </row>
    <row r="6771" spans="1:6" x14ac:dyDescent="0.3">
      <c r="A6771" t="s">
        <v>6806</v>
      </c>
      <c r="B6771" t="s">
        <v>26</v>
      </c>
      <c r="C6771">
        <v>343000</v>
      </c>
      <c r="D6771">
        <v>60477.5</v>
      </c>
      <c r="E6771">
        <v>1.4800000000000001E-2</v>
      </c>
      <c r="F6771">
        <v>7.3599999999999999E-2</v>
      </c>
    </row>
    <row r="6772" spans="1:6" x14ac:dyDescent="0.3">
      <c r="A6772" t="s">
        <v>6807</v>
      </c>
      <c r="B6772" t="s">
        <v>92</v>
      </c>
      <c r="C6772">
        <v>318000</v>
      </c>
      <c r="D6772">
        <v>44928.5</v>
      </c>
      <c r="E6772">
        <v>1.8499999999999999E-2</v>
      </c>
      <c r="F6772">
        <v>0.1067</v>
      </c>
    </row>
    <row r="6773" spans="1:6" x14ac:dyDescent="0.3">
      <c r="A6773" t="s">
        <v>6808</v>
      </c>
      <c r="B6773" t="s">
        <v>26</v>
      </c>
      <c r="C6773">
        <v>320000</v>
      </c>
      <c r="D6773">
        <v>8705</v>
      </c>
      <c r="E6773">
        <v>1.7899999999999999E-2</v>
      </c>
      <c r="F6773">
        <v>0.1067</v>
      </c>
    </row>
    <row r="6774" spans="1:6" x14ac:dyDescent="0.3">
      <c r="A6774" t="s">
        <v>6809</v>
      </c>
      <c r="B6774" t="s">
        <v>26</v>
      </c>
      <c r="C6774">
        <v>370000</v>
      </c>
      <c r="D6774">
        <v>33959.4</v>
      </c>
      <c r="E6774">
        <v>2.2599999999999999E-2</v>
      </c>
      <c r="F6774">
        <v>9.5000000000000001E-2</v>
      </c>
    </row>
    <row r="6775" spans="1:6" x14ac:dyDescent="0.3">
      <c r="A6775" t="s">
        <v>6810</v>
      </c>
      <c r="B6775" t="s">
        <v>26</v>
      </c>
      <c r="C6775">
        <v>426000</v>
      </c>
      <c r="D6775">
        <v>120509.2</v>
      </c>
      <c r="E6775">
        <v>7.5499999999999998E-2</v>
      </c>
      <c r="F6775">
        <v>9.5100000000000004E-2</v>
      </c>
    </row>
    <row r="6776" spans="1:6" x14ac:dyDescent="0.3">
      <c r="A6776" t="s">
        <v>6811</v>
      </c>
      <c r="B6776" t="s">
        <v>50</v>
      </c>
      <c r="C6776">
        <v>324000</v>
      </c>
      <c r="D6776">
        <v>13881.5</v>
      </c>
      <c r="E6776">
        <v>6.2E-2</v>
      </c>
      <c r="F6776">
        <v>7.5899999999999995E-2</v>
      </c>
    </row>
    <row r="6777" spans="1:6" x14ac:dyDescent="0.3">
      <c r="A6777" t="s">
        <v>6812</v>
      </c>
      <c r="B6777" t="s">
        <v>88</v>
      </c>
      <c r="C6777">
        <v>341000</v>
      </c>
      <c r="D6777">
        <v>5261.4</v>
      </c>
      <c r="E6777">
        <v>3.5400000000000001E-2</v>
      </c>
      <c r="F6777">
        <v>9.5100000000000004E-2</v>
      </c>
    </row>
    <row r="6778" spans="1:6" x14ac:dyDescent="0.3">
      <c r="A6778" t="s">
        <v>6813</v>
      </c>
      <c r="B6778" t="s">
        <v>26</v>
      </c>
      <c r="C6778">
        <v>511000</v>
      </c>
      <c r="D6778">
        <v>229966.8</v>
      </c>
      <c r="E6778">
        <v>4.0800000000000003E-2</v>
      </c>
      <c r="F6778">
        <v>4.0899999999999999E-2</v>
      </c>
    </row>
    <row r="6779" spans="1:6" x14ac:dyDescent="0.3">
      <c r="A6779" t="s">
        <v>6814</v>
      </c>
      <c r="B6779" t="s">
        <v>41</v>
      </c>
      <c r="C6779">
        <v>318000</v>
      </c>
      <c r="D6779">
        <v>477.3</v>
      </c>
      <c r="F6779">
        <v>9.3799999999999994E-2</v>
      </c>
    </row>
    <row r="6780" spans="1:6" x14ac:dyDescent="0.3">
      <c r="A6780" t="s">
        <v>6815</v>
      </c>
      <c r="B6780" t="s">
        <v>26</v>
      </c>
      <c r="C6780">
        <v>988000</v>
      </c>
      <c r="D6780">
        <v>794121.9</v>
      </c>
      <c r="E6780">
        <v>3.6600000000000001E-2</v>
      </c>
      <c r="F6780">
        <v>4.0899999999999999E-2</v>
      </c>
    </row>
    <row r="6781" spans="1:6" x14ac:dyDescent="0.3">
      <c r="A6781" t="s">
        <v>6816</v>
      </c>
      <c r="B6781" t="s">
        <v>21</v>
      </c>
      <c r="C6781">
        <v>613000</v>
      </c>
      <c r="D6781">
        <v>18118.5</v>
      </c>
      <c r="F6781">
        <v>4.0899999999999999E-2</v>
      </c>
    </row>
    <row r="6782" spans="1:6" x14ac:dyDescent="0.3">
      <c r="A6782" t="s">
        <v>6817</v>
      </c>
      <c r="B6782" t="s">
        <v>35</v>
      </c>
      <c r="C6782">
        <v>401000</v>
      </c>
      <c r="D6782">
        <v>16210.6</v>
      </c>
      <c r="E6782">
        <v>3.73E-2</v>
      </c>
      <c r="F6782">
        <v>7.5899999999999995E-2</v>
      </c>
    </row>
    <row r="6783" spans="1:6" x14ac:dyDescent="0.3">
      <c r="A6783" t="s">
        <v>6818</v>
      </c>
      <c r="B6783" t="s">
        <v>81</v>
      </c>
      <c r="C6783">
        <v>310000</v>
      </c>
      <c r="D6783">
        <v>21185.3</v>
      </c>
      <c r="E6783">
        <v>4.3700000000000003E-2</v>
      </c>
      <c r="F6783">
        <v>9.5100000000000004E-2</v>
      </c>
    </row>
    <row r="6784" spans="1:6" x14ac:dyDescent="0.3">
      <c r="A6784" t="s">
        <v>6819</v>
      </c>
      <c r="B6784" t="s">
        <v>74</v>
      </c>
      <c r="C6784">
        <v>326000</v>
      </c>
      <c r="D6784">
        <v>6340.5</v>
      </c>
      <c r="E6784">
        <v>0.10199999999999999</v>
      </c>
      <c r="F6784">
        <v>7.5899999999999995E-2</v>
      </c>
    </row>
    <row r="6785" spans="1:6" x14ac:dyDescent="0.3">
      <c r="A6785" t="s">
        <v>6820</v>
      </c>
      <c r="B6785" t="s">
        <v>26</v>
      </c>
      <c r="C6785">
        <v>322000</v>
      </c>
      <c r="D6785">
        <v>17971.8</v>
      </c>
      <c r="E6785">
        <v>1.8599999999999998E-2</v>
      </c>
      <c r="F6785">
        <v>8.5400000000000004E-2</v>
      </c>
    </row>
    <row r="6786" spans="1:6" x14ac:dyDescent="0.3">
      <c r="A6786" t="s">
        <v>6821</v>
      </c>
      <c r="B6786" t="s">
        <v>26</v>
      </c>
      <c r="C6786">
        <v>300000</v>
      </c>
      <c r="D6786">
        <v>138.69999999999999</v>
      </c>
      <c r="E6786">
        <v>1.0800000000000001E-2</v>
      </c>
      <c r="F6786">
        <v>0.27079999999999999</v>
      </c>
    </row>
    <row r="6787" spans="1:6" x14ac:dyDescent="0.3">
      <c r="A6787" t="s">
        <v>6822</v>
      </c>
      <c r="B6787" t="s">
        <v>88</v>
      </c>
      <c r="C6787">
        <v>528000</v>
      </c>
      <c r="D6787">
        <v>1201.2</v>
      </c>
      <c r="E6787">
        <v>6.88E-2</v>
      </c>
      <c r="F6787">
        <v>9.3799999999999994E-2</v>
      </c>
    </row>
    <row r="6788" spans="1:6" x14ac:dyDescent="0.3">
      <c r="A6788" t="s">
        <v>6823</v>
      </c>
      <c r="B6788" t="s">
        <v>81</v>
      </c>
      <c r="C6788">
        <v>304000</v>
      </c>
      <c r="D6788">
        <v>36039.599999999999</v>
      </c>
      <c r="E6788">
        <v>3.73E-2</v>
      </c>
      <c r="F6788">
        <v>9.5100000000000004E-2</v>
      </c>
    </row>
    <row r="6789" spans="1:6" x14ac:dyDescent="0.3">
      <c r="A6789" t="s">
        <v>6824</v>
      </c>
      <c r="B6789" t="s">
        <v>214</v>
      </c>
      <c r="C6789">
        <v>423000</v>
      </c>
      <c r="D6789">
        <v>58339.3</v>
      </c>
      <c r="E6789">
        <v>3.5099999999999999E-2</v>
      </c>
      <c r="F6789">
        <v>9.5100000000000004E-2</v>
      </c>
    </row>
    <row r="6790" spans="1:6" x14ac:dyDescent="0.3">
      <c r="A6790" t="s">
        <v>6825</v>
      </c>
      <c r="B6790" t="s">
        <v>26</v>
      </c>
      <c r="C6790">
        <v>307000</v>
      </c>
      <c r="D6790">
        <v>31469.200000000001</v>
      </c>
      <c r="E6790">
        <v>3.1600000000000003E-2</v>
      </c>
      <c r="F6790">
        <v>5.1799999999999999E-2</v>
      </c>
    </row>
    <row r="6791" spans="1:6" x14ac:dyDescent="0.3">
      <c r="A6791" t="s">
        <v>6826</v>
      </c>
      <c r="B6791" t="s">
        <v>92</v>
      </c>
      <c r="C6791">
        <v>594000</v>
      </c>
      <c r="D6791">
        <v>25132.3</v>
      </c>
      <c r="E6791">
        <v>1.1900000000000001E-2</v>
      </c>
      <c r="F6791">
        <v>7.3599999999999999E-2</v>
      </c>
    </row>
    <row r="6792" spans="1:6" x14ac:dyDescent="0.3">
      <c r="A6792" t="s">
        <v>6827</v>
      </c>
      <c r="B6792" t="s">
        <v>62</v>
      </c>
      <c r="C6792">
        <v>328000</v>
      </c>
      <c r="D6792">
        <v>625.29999999999995</v>
      </c>
      <c r="E6792">
        <v>1.5699999999999999E-2</v>
      </c>
      <c r="F6792">
        <v>0.1067</v>
      </c>
    </row>
    <row r="6793" spans="1:6" x14ac:dyDescent="0.3">
      <c r="A6793" t="s">
        <v>6828</v>
      </c>
      <c r="B6793" t="s">
        <v>214</v>
      </c>
      <c r="C6793">
        <v>299000</v>
      </c>
      <c r="D6793">
        <v>80326.899999999994</v>
      </c>
      <c r="E6793">
        <v>2.93E-2</v>
      </c>
      <c r="F6793">
        <v>9.5100000000000004E-2</v>
      </c>
    </row>
    <row r="6794" spans="1:6" x14ac:dyDescent="0.3">
      <c r="A6794" t="s">
        <v>6829</v>
      </c>
      <c r="B6794" t="s">
        <v>88</v>
      </c>
      <c r="C6794">
        <v>457000</v>
      </c>
      <c r="D6794">
        <v>239.7</v>
      </c>
      <c r="E6794">
        <v>0.1168</v>
      </c>
      <c r="F6794">
        <v>9.3799999999999994E-2</v>
      </c>
    </row>
    <row r="6795" spans="1:6" x14ac:dyDescent="0.3">
      <c r="A6795" t="s">
        <v>6830</v>
      </c>
      <c r="B6795" t="s">
        <v>32</v>
      </c>
      <c r="C6795">
        <v>297000</v>
      </c>
      <c r="D6795">
        <v>606.6</v>
      </c>
      <c r="E6795">
        <v>2.7000000000000001E-3</v>
      </c>
      <c r="F6795">
        <v>0.31879999999999997</v>
      </c>
    </row>
    <row r="6796" spans="1:6" x14ac:dyDescent="0.3">
      <c r="A6796" t="s">
        <v>6831</v>
      </c>
      <c r="B6796" t="s">
        <v>92</v>
      </c>
      <c r="C6796">
        <v>620000</v>
      </c>
      <c r="D6796">
        <v>13503.5</v>
      </c>
      <c r="E6796">
        <v>4.1799999999999997E-2</v>
      </c>
      <c r="F6796">
        <v>7.5899999999999995E-2</v>
      </c>
    </row>
    <row r="6797" spans="1:6" x14ac:dyDescent="0.3">
      <c r="A6797" t="s">
        <v>6832</v>
      </c>
      <c r="B6797" t="s">
        <v>88</v>
      </c>
      <c r="C6797">
        <v>544000</v>
      </c>
      <c r="D6797">
        <v>3028.4</v>
      </c>
      <c r="E6797">
        <v>6.8500000000000005E-2</v>
      </c>
      <c r="F6797">
        <v>9.3799999999999994E-2</v>
      </c>
    </row>
    <row r="6798" spans="1:6" x14ac:dyDescent="0.3">
      <c r="A6798" t="s">
        <v>6833</v>
      </c>
      <c r="B6798" t="s">
        <v>26</v>
      </c>
      <c r="C6798">
        <v>1040000</v>
      </c>
      <c r="D6798">
        <v>194036</v>
      </c>
      <c r="E6798">
        <v>2.3E-3</v>
      </c>
      <c r="F6798">
        <v>6.54E-2</v>
      </c>
    </row>
    <row r="6799" spans="1:6" x14ac:dyDescent="0.3">
      <c r="A6799" t="s">
        <v>6834</v>
      </c>
      <c r="B6799" t="s">
        <v>81</v>
      </c>
      <c r="C6799">
        <v>362000</v>
      </c>
      <c r="D6799">
        <v>27910.400000000001</v>
      </c>
      <c r="E6799">
        <v>1.49E-2</v>
      </c>
      <c r="F6799">
        <v>0.1067</v>
      </c>
    </row>
    <row r="6800" spans="1:6" x14ac:dyDescent="0.3">
      <c r="A6800" t="s">
        <v>6835</v>
      </c>
      <c r="B6800" t="s">
        <v>53</v>
      </c>
      <c r="C6800">
        <v>288000</v>
      </c>
      <c r="D6800">
        <v>1384.8</v>
      </c>
      <c r="E6800">
        <v>6.9400000000000003E-2</v>
      </c>
      <c r="F6800">
        <v>9.5100000000000004E-2</v>
      </c>
    </row>
    <row r="6801" spans="1:6" x14ac:dyDescent="0.3">
      <c r="A6801" t="s">
        <v>6836</v>
      </c>
      <c r="B6801" t="s">
        <v>88</v>
      </c>
      <c r="C6801">
        <v>297000</v>
      </c>
      <c r="D6801">
        <v>4044</v>
      </c>
      <c r="E6801">
        <v>6.7400000000000002E-2</v>
      </c>
      <c r="F6801">
        <v>9.5100000000000004E-2</v>
      </c>
    </row>
    <row r="6802" spans="1:6" x14ac:dyDescent="0.3">
      <c r="A6802" t="s">
        <v>6837</v>
      </c>
      <c r="B6802" t="s">
        <v>26</v>
      </c>
      <c r="C6802">
        <v>396000</v>
      </c>
      <c r="D6802">
        <v>17928.8</v>
      </c>
      <c r="E6802">
        <v>5.1799999999999999E-2</v>
      </c>
      <c r="F6802">
        <v>7.5899999999999995E-2</v>
      </c>
    </row>
    <row r="6803" spans="1:6" x14ac:dyDescent="0.3">
      <c r="A6803" t="s">
        <v>6838</v>
      </c>
      <c r="B6803" t="s">
        <v>92</v>
      </c>
      <c r="C6803">
        <v>297000</v>
      </c>
      <c r="D6803">
        <v>23223.1</v>
      </c>
      <c r="E6803">
        <v>3.2800000000000003E-2</v>
      </c>
      <c r="F6803">
        <v>9.5100000000000004E-2</v>
      </c>
    </row>
    <row r="6804" spans="1:6" x14ac:dyDescent="0.3">
      <c r="A6804" t="s">
        <v>6839</v>
      </c>
      <c r="B6804" t="s">
        <v>71</v>
      </c>
      <c r="C6804">
        <v>325000</v>
      </c>
      <c r="D6804">
        <v>1126.4000000000001</v>
      </c>
      <c r="E6804">
        <v>1.2800000000000001E-2</v>
      </c>
      <c r="F6804">
        <v>8.5400000000000004E-2</v>
      </c>
    </row>
    <row r="6805" spans="1:6" x14ac:dyDescent="0.3">
      <c r="A6805" t="s">
        <v>6840</v>
      </c>
      <c r="B6805" t="s">
        <v>74</v>
      </c>
      <c r="C6805">
        <v>353000</v>
      </c>
      <c r="D6805">
        <v>9602.2999999999993</v>
      </c>
      <c r="E6805">
        <v>5.1999999999999998E-2</v>
      </c>
      <c r="F6805">
        <v>7.5899999999999995E-2</v>
      </c>
    </row>
    <row r="6806" spans="1:6" x14ac:dyDescent="0.3">
      <c r="A6806" t="s">
        <v>6841</v>
      </c>
      <c r="B6806" t="s">
        <v>41</v>
      </c>
      <c r="C6806">
        <v>295000</v>
      </c>
      <c r="D6806">
        <v>6739.1</v>
      </c>
      <c r="E6806">
        <v>2.0299999999999999E-2</v>
      </c>
      <c r="F6806">
        <v>0.1067</v>
      </c>
    </row>
    <row r="6807" spans="1:6" x14ac:dyDescent="0.3">
      <c r="A6807" t="s">
        <v>6842</v>
      </c>
      <c r="B6807" t="s">
        <v>26</v>
      </c>
      <c r="C6807">
        <v>321000</v>
      </c>
      <c r="D6807">
        <v>216254.6</v>
      </c>
      <c r="E6807">
        <v>2.47E-2</v>
      </c>
      <c r="F6807">
        <v>5.1799999999999999E-2</v>
      </c>
    </row>
    <row r="6808" spans="1:6" x14ac:dyDescent="0.3">
      <c r="A6808" t="s">
        <v>6843</v>
      </c>
      <c r="B6808" t="s">
        <v>88</v>
      </c>
      <c r="C6808">
        <v>332000</v>
      </c>
      <c r="D6808">
        <v>122</v>
      </c>
      <c r="E6808">
        <v>1.38E-2</v>
      </c>
      <c r="F6808">
        <v>0.22670000000000001</v>
      </c>
    </row>
    <row r="6809" spans="1:6" x14ac:dyDescent="0.3">
      <c r="A6809" t="s">
        <v>6844</v>
      </c>
      <c r="B6809" t="s">
        <v>88</v>
      </c>
      <c r="C6809">
        <v>536000</v>
      </c>
      <c r="D6809">
        <v>33637.5</v>
      </c>
      <c r="E6809">
        <v>7.2700000000000001E-2</v>
      </c>
      <c r="F6809">
        <v>7.5899999999999995E-2</v>
      </c>
    </row>
    <row r="6810" spans="1:6" x14ac:dyDescent="0.3">
      <c r="A6810" t="s">
        <v>6845</v>
      </c>
      <c r="B6810" t="s">
        <v>26</v>
      </c>
      <c r="C6810">
        <v>312000</v>
      </c>
      <c r="D6810">
        <v>5923.5</v>
      </c>
      <c r="E6810">
        <v>4.4200000000000003E-2</v>
      </c>
      <c r="F6810">
        <v>7.5899999999999995E-2</v>
      </c>
    </row>
    <row r="6811" spans="1:6" x14ac:dyDescent="0.3">
      <c r="A6811" t="s">
        <v>6846</v>
      </c>
      <c r="B6811" t="s">
        <v>50</v>
      </c>
      <c r="C6811">
        <v>297000</v>
      </c>
      <c r="D6811">
        <v>263.7</v>
      </c>
      <c r="E6811">
        <v>7.7000000000000002E-3</v>
      </c>
      <c r="F6811">
        <v>8.2199999999999995E-2</v>
      </c>
    </row>
    <row r="6812" spans="1:6" x14ac:dyDescent="0.3">
      <c r="A6812" t="s">
        <v>6847</v>
      </c>
      <c r="B6812" t="s">
        <v>62</v>
      </c>
      <c r="C6812">
        <v>298000</v>
      </c>
      <c r="D6812">
        <v>10138.4</v>
      </c>
      <c r="E6812">
        <v>4.8300000000000003E-2</v>
      </c>
      <c r="F6812">
        <v>7.5899999999999995E-2</v>
      </c>
    </row>
    <row r="6813" spans="1:6" x14ac:dyDescent="0.3">
      <c r="A6813" t="s">
        <v>6848</v>
      </c>
      <c r="B6813" t="s">
        <v>81</v>
      </c>
      <c r="C6813">
        <v>297000</v>
      </c>
      <c r="D6813">
        <v>33887.9</v>
      </c>
      <c r="E6813">
        <v>2.75E-2</v>
      </c>
      <c r="F6813">
        <v>8.4500000000000006E-2</v>
      </c>
    </row>
    <row r="6814" spans="1:6" x14ac:dyDescent="0.3">
      <c r="A6814" t="s">
        <v>6849</v>
      </c>
      <c r="B6814" t="s">
        <v>24</v>
      </c>
      <c r="C6814">
        <v>286000</v>
      </c>
      <c r="D6814">
        <v>2900.2</v>
      </c>
      <c r="E6814">
        <v>2.7400000000000001E-2</v>
      </c>
      <c r="F6814">
        <v>9.5100000000000004E-2</v>
      </c>
    </row>
    <row r="6815" spans="1:6" x14ac:dyDescent="0.3">
      <c r="A6815" t="s">
        <v>6850</v>
      </c>
      <c r="B6815" t="s">
        <v>53</v>
      </c>
      <c r="C6815">
        <v>353000</v>
      </c>
      <c r="D6815">
        <v>3021.1</v>
      </c>
      <c r="E6815">
        <v>8.9800000000000005E-2</v>
      </c>
      <c r="F6815">
        <v>9.5100000000000004E-2</v>
      </c>
    </row>
    <row r="6816" spans="1:6" x14ac:dyDescent="0.3">
      <c r="A6816" t="s">
        <v>6851</v>
      </c>
      <c r="B6816" t="s">
        <v>88</v>
      </c>
      <c r="C6816">
        <v>355000</v>
      </c>
      <c r="D6816">
        <v>725.8</v>
      </c>
      <c r="E6816">
        <v>2.5600000000000001E-2</v>
      </c>
      <c r="F6816">
        <v>0.11700000000000001</v>
      </c>
    </row>
    <row r="6817" spans="1:6" x14ac:dyDescent="0.3">
      <c r="A6817" t="s">
        <v>6852</v>
      </c>
      <c r="B6817" t="s">
        <v>24</v>
      </c>
      <c r="C6817">
        <v>2650000</v>
      </c>
      <c r="D6817">
        <v>3422.4</v>
      </c>
      <c r="E6817">
        <v>1.17E-2</v>
      </c>
      <c r="F6817">
        <v>8.5400000000000004E-2</v>
      </c>
    </row>
    <row r="6818" spans="1:6" x14ac:dyDescent="0.3">
      <c r="A6818" t="s">
        <v>6853</v>
      </c>
      <c r="B6818" t="s">
        <v>490</v>
      </c>
      <c r="C6818">
        <v>304000</v>
      </c>
      <c r="D6818">
        <v>1023.9</v>
      </c>
      <c r="E6818">
        <v>2.47E-2</v>
      </c>
      <c r="F6818">
        <v>9.5100000000000004E-2</v>
      </c>
    </row>
    <row r="6819" spans="1:6" x14ac:dyDescent="0.3">
      <c r="A6819" t="s">
        <v>6854</v>
      </c>
      <c r="B6819" t="s">
        <v>214</v>
      </c>
      <c r="C6819">
        <v>359000</v>
      </c>
      <c r="D6819">
        <v>9920.2000000000007</v>
      </c>
      <c r="E6819">
        <v>3.7999999999999999E-2</v>
      </c>
      <c r="F6819">
        <v>7.5899999999999995E-2</v>
      </c>
    </row>
    <row r="6820" spans="1:6" x14ac:dyDescent="0.3">
      <c r="A6820" t="s">
        <v>6855</v>
      </c>
      <c r="B6820" t="s">
        <v>74</v>
      </c>
      <c r="C6820">
        <v>298000</v>
      </c>
      <c r="D6820">
        <v>4401.7</v>
      </c>
      <c r="E6820">
        <v>4.1399999999999999E-2</v>
      </c>
      <c r="F6820">
        <v>9.5100000000000004E-2</v>
      </c>
    </row>
    <row r="6821" spans="1:6" x14ac:dyDescent="0.3">
      <c r="A6821" t="s">
        <v>6856</v>
      </c>
      <c r="B6821" t="s">
        <v>41</v>
      </c>
      <c r="C6821">
        <v>719000</v>
      </c>
      <c r="D6821">
        <v>288.8</v>
      </c>
      <c r="E6821">
        <v>2.4199999999999999E-2</v>
      </c>
      <c r="F6821">
        <v>0.57140000000000002</v>
      </c>
    </row>
    <row r="6822" spans="1:6" x14ac:dyDescent="0.3">
      <c r="A6822" t="s">
        <v>6857</v>
      </c>
      <c r="B6822" t="s">
        <v>24</v>
      </c>
      <c r="C6822">
        <v>591000</v>
      </c>
      <c r="D6822">
        <v>24093.4</v>
      </c>
      <c r="E6822">
        <v>7.9799999999999996E-2</v>
      </c>
      <c r="F6822">
        <v>7.5899999999999995E-2</v>
      </c>
    </row>
    <row r="6823" spans="1:6" x14ac:dyDescent="0.3">
      <c r="A6823" t="s">
        <v>6858</v>
      </c>
      <c r="B6823" t="s">
        <v>21</v>
      </c>
      <c r="C6823">
        <v>362000</v>
      </c>
      <c r="D6823">
        <v>48572.5</v>
      </c>
      <c r="E6823">
        <v>5.3699999999999998E-2</v>
      </c>
      <c r="F6823">
        <v>7.5899999999999995E-2</v>
      </c>
    </row>
    <row r="6824" spans="1:6" x14ac:dyDescent="0.3">
      <c r="A6824" t="s">
        <v>6859</v>
      </c>
      <c r="B6824" t="s">
        <v>41</v>
      </c>
      <c r="C6824">
        <v>393000</v>
      </c>
      <c r="D6824">
        <v>2116.4</v>
      </c>
      <c r="E6824">
        <v>2.0400000000000001E-2</v>
      </c>
      <c r="F6824">
        <v>0.1053</v>
      </c>
    </row>
    <row r="6825" spans="1:6" x14ac:dyDescent="0.3">
      <c r="A6825" t="s">
        <v>6860</v>
      </c>
      <c r="B6825" t="s">
        <v>26</v>
      </c>
      <c r="C6825">
        <v>487000</v>
      </c>
      <c r="D6825">
        <v>32253.7</v>
      </c>
      <c r="E6825">
        <v>5.1900000000000002E-2</v>
      </c>
      <c r="F6825">
        <v>7.5899999999999995E-2</v>
      </c>
    </row>
    <row r="6826" spans="1:6" x14ac:dyDescent="0.3">
      <c r="A6826" t="s">
        <v>6861</v>
      </c>
      <c r="B6826" t="s">
        <v>26</v>
      </c>
      <c r="C6826">
        <v>473000</v>
      </c>
      <c r="D6826">
        <v>447315.4</v>
      </c>
      <c r="E6826">
        <v>4.3900000000000002E-2</v>
      </c>
      <c r="F6826">
        <v>9.5100000000000004E-2</v>
      </c>
    </row>
    <row r="6827" spans="1:6" x14ac:dyDescent="0.3">
      <c r="A6827" t="s">
        <v>6862</v>
      </c>
      <c r="B6827" t="s">
        <v>92</v>
      </c>
      <c r="C6827">
        <v>369000</v>
      </c>
      <c r="D6827">
        <v>2244.8000000000002</v>
      </c>
      <c r="E6827">
        <v>4.0800000000000003E-2</v>
      </c>
      <c r="F6827">
        <v>0.2545</v>
      </c>
    </row>
    <row r="6828" spans="1:6" x14ac:dyDescent="0.3">
      <c r="A6828" t="s">
        <v>6863</v>
      </c>
      <c r="B6828" t="s">
        <v>41</v>
      </c>
      <c r="C6828">
        <v>299000</v>
      </c>
      <c r="D6828">
        <v>134.19999999999999</v>
      </c>
      <c r="E6828">
        <v>4.7999999999999996E-3</v>
      </c>
      <c r="F6828">
        <v>0.1842</v>
      </c>
    </row>
    <row r="6829" spans="1:6" x14ac:dyDescent="0.3">
      <c r="A6829" t="s">
        <v>6864</v>
      </c>
      <c r="B6829" t="s">
        <v>81</v>
      </c>
      <c r="C6829">
        <v>475000</v>
      </c>
      <c r="D6829">
        <v>2693.5</v>
      </c>
      <c r="E6829">
        <v>2.06E-2</v>
      </c>
      <c r="F6829">
        <v>9.3799999999999994E-2</v>
      </c>
    </row>
    <row r="6830" spans="1:6" x14ac:dyDescent="0.3">
      <c r="A6830" t="s">
        <v>6865</v>
      </c>
      <c r="B6830" t="s">
        <v>92</v>
      </c>
      <c r="C6830">
        <v>295000</v>
      </c>
      <c r="D6830">
        <v>2545.9</v>
      </c>
      <c r="E6830">
        <v>1.9599999999999999E-2</v>
      </c>
      <c r="F6830">
        <v>9.5100000000000004E-2</v>
      </c>
    </row>
    <row r="6831" spans="1:6" x14ac:dyDescent="0.3">
      <c r="A6831" t="s">
        <v>6866</v>
      </c>
      <c r="B6831" t="s">
        <v>41</v>
      </c>
      <c r="C6831">
        <v>372000</v>
      </c>
      <c r="D6831">
        <v>24566.6</v>
      </c>
      <c r="E6831">
        <v>3.8399999999999997E-2</v>
      </c>
      <c r="F6831">
        <v>9.3799999999999994E-2</v>
      </c>
    </row>
    <row r="6832" spans="1:6" x14ac:dyDescent="0.3">
      <c r="A6832" t="s">
        <v>6867</v>
      </c>
      <c r="B6832" t="s">
        <v>53</v>
      </c>
      <c r="C6832">
        <v>412000</v>
      </c>
      <c r="D6832">
        <v>10293.5</v>
      </c>
      <c r="E6832">
        <v>5.1999999999999998E-2</v>
      </c>
      <c r="F6832">
        <v>9.3799999999999994E-2</v>
      </c>
    </row>
    <row r="6833" spans="1:6" x14ac:dyDescent="0.3">
      <c r="A6833" t="s">
        <v>6868</v>
      </c>
      <c r="B6833" t="s">
        <v>26</v>
      </c>
      <c r="C6833">
        <v>306000</v>
      </c>
      <c r="D6833">
        <v>18810.5</v>
      </c>
      <c r="E6833">
        <v>2.3699999999999999E-2</v>
      </c>
      <c r="F6833">
        <v>7.5899999999999995E-2</v>
      </c>
    </row>
    <row r="6834" spans="1:6" x14ac:dyDescent="0.3">
      <c r="A6834" t="s">
        <v>6869</v>
      </c>
      <c r="B6834" t="s">
        <v>26</v>
      </c>
      <c r="C6834">
        <v>452000</v>
      </c>
      <c r="D6834">
        <v>13470.3</v>
      </c>
      <c r="E6834">
        <v>1.2500000000000001E-2</v>
      </c>
      <c r="F6834">
        <v>9.3700000000000006E-2</v>
      </c>
    </row>
    <row r="6835" spans="1:6" x14ac:dyDescent="0.3">
      <c r="A6835" t="s">
        <v>6870</v>
      </c>
      <c r="B6835" t="s">
        <v>24</v>
      </c>
      <c r="C6835">
        <v>371000</v>
      </c>
      <c r="D6835">
        <v>5099.6000000000004</v>
      </c>
      <c r="E6835">
        <v>1.9400000000000001E-2</v>
      </c>
      <c r="F6835">
        <v>7.2599999999999998E-2</v>
      </c>
    </row>
    <row r="6836" spans="1:6" x14ac:dyDescent="0.3">
      <c r="A6836" t="s">
        <v>6871</v>
      </c>
      <c r="B6836" t="s">
        <v>26</v>
      </c>
      <c r="C6836">
        <v>319000</v>
      </c>
      <c r="D6836">
        <v>818.1</v>
      </c>
      <c r="E6836">
        <v>1.6E-2</v>
      </c>
      <c r="F6836">
        <v>0.13100000000000001</v>
      </c>
    </row>
    <row r="6837" spans="1:6" x14ac:dyDescent="0.3">
      <c r="A6837" t="s">
        <v>6872</v>
      </c>
      <c r="B6837" t="s">
        <v>24</v>
      </c>
      <c r="C6837">
        <v>297000</v>
      </c>
      <c r="D6837">
        <v>6792</v>
      </c>
      <c r="E6837">
        <v>6.3E-3</v>
      </c>
      <c r="F6837">
        <v>8.2199999999999995E-2</v>
      </c>
    </row>
    <row r="6838" spans="1:6" x14ac:dyDescent="0.3">
      <c r="A6838" t="s">
        <v>6873</v>
      </c>
      <c r="B6838" t="s">
        <v>26</v>
      </c>
      <c r="C6838">
        <v>421000</v>
      </c>
      <c r="D6838">
        <v>6423</v>
      </c>
      <c r="E6838">
        <v>1.6799999999999999E-2</v>
      </c>
      <c r="F6838">
        <v>4.8800000000000003E-2</v>
      </c>
    </row>
    <row r="6839" spans="1:6" x14ac:dyDescent="0.3">
      <c r="A6839" t="s">
        <v>6874</v>
      </c>
      <c r="B6839" t="s">
        <v>53</v>
      </c>
      <c r="C6839">
        <v>360000</v>
      </c>
      <c r="D6839">
        <v>24440.400000000001</v>
      </c>
      <c r="E6839">
        <v>8.0100000000000005E-2</v>
      </c>
      <c r="F6839">
        <v>7.5899999999999995E-2</v>
      </c>
    </row>
    <row r="6840" spans="1:6" x14ac:dyDescent="0.3">
      <c r="A6840" t="s">
        <v>6875</v>
      </c>
      <c r="B6840" t="s">
        <v>88</v>
      </c>
      <c r="C6840">
        <v>659000</v>
      </c>
      <c r="D6840">
        <v>891.9</v>
      </c>
      <c r="E6840">
        <v>6.2100000000000002E-2</v>
      </c>
      <c r="F6840">
        <v>9.3799999999999994E-2</v>
      </c>
    </row>
    <row r="6841" spans="1:6" x14ac:dyDescent="0.3">
      <c r="A6841" t="s">
        <v>6876</v>
      </c>
      <c r="B6841" t="s">
        <v>53</v>
      </c>
      <c r="C6841">
        <v>376000</v>
      </c>
      <c r="D6841">
        <v>453.7</v>
      </c>
      <c r="E6841">
        <v>1.9E-2</v>
      </c>
      <c r="F6841">
        <v>5.7599999999999998E-2</v>
      </c>
    </row>
    <row r="6842" spans="1:6" x14ac:dyDescent="0.3">
      <c r="A6842" t="s">
        <v>6877</v>
      </c>
      <c r="B6842" t="s">
        <v>88</v>
      </c>
      <c r="C6842">
        <v>538000</v>
      </c>
      <c r="D6842">
        <v>4461.5</v>
      </c>
      <c r="E6842">
        <v>2.2700000000000001E-2</v>
      </c>
      <c r="F6842">
        <v>0.11700000000000001</v>
      </c>
    </row>
    <row r="6843" spans="1:6" x14ac:dyDescent="0.3">
      <c r="A6843" t="s">
        <v>6878</v>
      </c>
      <c r="B6843" t="s">
        <v>214</v>
      </c>
      <c r="C6843">
        <v>410000</v>
      </c>
      <c r="D6843">
        <v>5704.6</v>
      </c>
      <c r="E6843">
        <v>3.1800000000000002E-2</v>
      </c>
      <c r="F6843">
        <v>9.5100000000000004E-2</v>
      </c>
    </row>
    <row r="6844" spans="1:6" x14ac:dyDescent="0.3">
      <c r="A6844" t="s">
        <v>6879</v>
      </c>
      <c r="B6844" t="s">
        <v>214</v>
      </c>
      <c r="C6844">
        <v>1710000</v>
      </c>
      <c r="D6844">
        <v>47306.5</v>
      </c>
      <c r="E6844">
        <v>1.11E-2</v>
      </c>
      <c r="F6844">
        <v>8.1100000000000005E-2</v>
      </c>
    </row>
    <row r="6845" spans="1:6" x14ac:dyDescent="0.3">
      <c r="A6845" t="s">
        <v>6880</v>
      </c>
      <c r="B6845" t="s">
        <v>88</v>
      </c>
      <c r="C6845">
        <v>345000</v>
      </c>
      <c r="D6845">
        <v>90732.1</v>
      </c>
      <c r="E6845">
        <v>2.0899999999999998E-2</v>
      </c>
      <c r="F6845">
        <v>7.5899999999999995E-2</v>
      </c>
    </row>
    <row r="6846" spans="1:6" x14ac:dyDescent="0.3">
      <c r="A6846" t="s">
        <v>6881</v>
      </c>
      <c r="B6846" t="s">
        <v>26</v>
      </c>
      <c r="C6846">
        <v>321000</v>
      </c>
      <c r="D6846">
        <v>31053</v>
      </c>
      <c r="E6846">
        <v>1.35E-2</v>
      </c>
      <c r="F6846">
        <v>4.8800000000000003E-2</v>
      </c>
    </row>
    <row r="6847" spans="1:6" x14ac:dyDescent="0.3">
      <c r="A6847" t="s">
        <v>6882</v>
      </c>
      <c r="B6847" t="s">
        <v>53</v>
      </c>
      <c r="C6847">
        <v>2500000</v>
      </c>
      <c r="D6847">
        <v>2256.6</v>
      </c>
      <c r="E6847">
        <v>7.4000000000000003E-3</v>
      </c>
      <c r="F6847">
        <v>8.1100000000000005E-2</v>
      </c>
    </row>
    <row r="6848" spans="1:6" x14ac:dyDescent="0.3">
      <c r="A6848" t="s">
        <v>6883</v>
      </c>
      <c r="B6848" t="s">
        <v>74</v>
      </c>
      <c r="C6848">
        <v>361000</v>
      </c>
      <c r="D6848">
        <v>8746.7000000000007</v>
      </c>
      <c r="E6848">
        <v>1.54E-2</v>
      </c>
      <c r="F6848">
        <v>4.6199999999999998E-2</v>
      </c>
    </row>
    <row r="6849" spans="1:6" x14ac:dyDescent="0.3">
      <c r="A6849" t="s">
        <v>6884</v>
      </c>
      <c r="B6849" t="s">
        <v>41</v>
      </c>
      <c r="C6849">
        <v>862000</v>
      </c>
      <c r="D6849">
        <v>1462.9</v>
      </c>
      <c r="E6849">
        <v>2.98E-2</v>
      </c>
      <c r="F6849">
        <v>0.38319999999999999</v>
      </c>
    </row>
    <row r="6850" spans="1:6" x14ac:dyDescent="0.3">
      <c r="A6850" t="s">
        <v>6885</v>
      </c>
      <c r="B6850" t="s">
        <v>26</v>
      </c>
      <c r="C6850">
        <v>836000</v>
      </c>
      <c r="D6850">
        <v>125225.60000000001</v>
      </c>
      <c r="E6850">
        <v>2.2800000000000001E-2</v>
      </c>
      <c r="F6850">
        <v>6.7199999999999996E-2</v>
      </c>
    </row>
    <row r="6851" spans="1:6" x14ac:dyDescent="0.3">
      <c r="A6851" t="s">
        <v>6886</v>
      </c>
      <c r="B6851" t="s">
        <v>195</v>
      </c>
      <c r="C6851">
        <v>313000</v>
      </c>
      <c r="D6851">
        <v>2626.9</v>
      </c>
      <c r="E6851">
        <v>5.5399999999999998E-2</v>
      </c>
      <c r="F6851">
        <v>9.5100000000000004E-2</v>
      </c>
    </row>
    <row r="6852" spans="1:6" x14ac:dyDescent="0.3">
      <c r="A6852" t="s">
        <v>6887</v>
      </c>
      <c r="B6852" t="s">
        <v>53</v>
      </c>
      <c r="C6852">
        <v>321000</v>
      </c>
      <c r="D6852">
        <v>7014.7</v>
      </c>
      <c r="E6852">
        <v>5.6800000000000003E-2</v>
      </c>
      <c r="F6852">
        <v>7.5899999999999995E-2</v>
      </c>
    </row>
    <row r="6853" spans="1:6" x14ac:dyDescent="0.3">
      <c r="A6853" t="s">
        <v>6888</v>
      </c>
      <c r="B6853" t="s">
        <v>287</v>
      </c>
      <c r="C6853">
        <v>316000</v>
      </c>
      <c r="D6853">
        <v>18897.8</v>
      </c>
      <c r="E6853">
        <v>3.3500000000000002E-2</v>
      </c>
      <c r="F6853">
        <v>7.5899999999999995E-2</v>
      </c>
    </row>
    <row r="6854" spans="1:6" x14ac:dyDescent="0.3">
      <c r="A6854" t="s">
        <v>6889</v>
      </c>
      <c r="B6854" t="s">
        <v>88</v>
      </c>
      <c r="C6854">
        <v>334000</v>
      </c>
      <c r="D6854">
        <v>461.7</v>
      </c>
      <c r="E6854">
        <v>4.9299999999999997E-2</v>
      </c>
      <c r="F6854">
        <v>0.1241</v>
      </c>
    </row>
    <row r="6855" spans="1:6" x14ac:dyDescent="0.3">
      <c r="A6855" t="s">
        <v>6890</v>
      </c>
      <c r="B6855" t="s">
        <v>88</v>
      </c>
      <c r="C6855">
        <v>623000</v>
      </c>
      <c r="D6855">
        <v>2479.4</v>
      </c>
      <c r="E6855">
        <v>0.1492</v>
      </c>
      <c r="F6855">
        <v>9.3799999999999994E-2</v>
      </c>
    </row>
    <row r="6856" spans="1:6" x14ac:dyDescent="0.3">
      <c r="A6856" t="s">
        <v>6891</v>
      </c>
      <c r="B6856" t="s">
        <v>26</v>
      </c>
      <c r="C6856">
        <v>511000</v>
      </c>
      <c r="D6856">
        <v>150951.20000000001</v>
      </c>
      <c r="E6856">
        <v>1.7899999999999999E-2</v>
      </c>
      <c r="F6856">
        <v>4.6199999999999998E-2</v>
      </c>
    </row>
    <row r="6857" spans="1:6" x14ac:dyDescent="0.3">
      <c r="A6857" t="s">
        <v>6892</v>
      </c>
      <c r="B6857" t="s">
        <v>26</v>
      </c>
      <c r="C6857">
        <v>296000</v>
      </c>
      <c r="D6857">
        <v>890.3</v>
      </c>
      <c r="E6857">
        <v>2.3800000000000002E-2</v>
      </c>
      <c r="F6857">
        <v>0.11700000000000001</v>
      </c>
    </row>
    <row r="6858" spans="1:6" x14ac:dyDescent="0.3">
      <c r="A6858" t="s">
        <v>6893</v>
      </c>
      <c r="B6858" t="s">
        <v>26</v>
      </c>
      <c r="C6858">
        <v>334000</v>
      </c>
      <c r="D6858">
        <v>7602.5</v>
      </c>
      <c r="E6858">
        <v>4.19E-2</v>
      </c>
      <c r="F6858">
        <v>9.3799999999999994E-2</v>
      </c>
    </row>
    <row r="6859" spans="1:6" x14ac:dyDescent="0.3">
      <c r="A6859" t="s">
        <v>6894</v>
      </c>
      <c r="B6859" t="s">
        <v>26</v>
      </c>
      <c r="C6859">
        <v>315000</v>
      </c>
      <c r="D6859">
        <v>9780.4</v>
      </c>
      <c r="E6859">
        <v>9.4000000000000004E-3</v>
      </c>
      <c r="F6859">
        <v>6.54E-2</v>
      </c>
    </row>
    <row r="6860" spans="1:6" x14ac:dyDescent="0.3">
      <c r="A6860" t="s">
        <v>6895</v>
      </c>
      <c r="B6860" t="s">
        <v>74</v>
      </c>
      <c r="C6860">
        <v>290000</v>
      </c>
      <c r="D6860">
        <v>2468.4</v>
      </c>
      <c r="E6860">
        <v>3.4700000000000002E-2</v>
      </c>
      <c r="F6860">
        <v>7.5899999999999995E-2</v>
      </c>
    </row>
    <row r="6861" spans="1:6" x14ac:dyDescent="0.3">
      <c r="A6861" t="s">
        <v>6896</v>
      </c>
      <c r="B6861" t="s">
        <v>50</v>
      </c>
      <c r="C6861">
        <v>300000</v>
      </c>
      <c r="D6861">
        <v>271637.7</v>
      </c>
      <c r="E6861">
        <v>1.5100000000000001E-2</v>
      </c>
      <c r="F6861">
        <v>9.5000000000000001E-2</v>
      </c>
    </row>
    <row r="6862" spans="1:6" x14ac:dyDescent="0.3">
      <c r="A6862" t="s">
        <v>6897</v>
      </c>
      <c r="B6862" t="s">
        <v>24</v>
      </c>
      <c r="C6862">
        <v>333000</v>
      </c>
      <c r="D6862">
        <v>4737.8999999999996</v>
      </c>
      <c r="E6862">
        <v>5.4999999999999997E-3</v>
      </c>
      <c r="F6862">
        <v>6.54E-2</v>
      </c>
    </row>
    <row r="6863" spans="1:6" x14ac:dyDescent="0.3">
      <c r="A6863" t="s">
        <v>6898</v>
      </c>
      <c r="B6863" t="s">
        <v>74</v>
      </c>
      <c r="C6863">
        <v>338000</v>
      </c>
      <c r="D6863">
        <v>56940.2</v>
      </c>
      <c r="E6863">
        <v>2.0299999999999999E-2</v>
      </c>
      <c r="F6863">
        <v>7.5899999999999995E-2</v>
      </c>
    </row>
    <row r="6864" spans="1:6" x14ac:dyDescent="0.3">
      <c r="A6864" t="s">
        <v>6899</v>
      </c>
      <c r="B6864" t="s">
        <v>26</v>
      </c>
      <c r="C6864">
        <v>313000</v>
      </c>
      <c r="D6864">
        <v>460.1</v>
      </c>
      <c r="E6864">
        <v>2.1399999999999999E-2</v>
      </c>
      <c r="F6864">
        <v>9.5100000000000004E-2</v>
      </c>
    </row>
    <row r="6865" spans="1:6" x14ac:dyDescent="0.3">
      <c r="A6865" t="s">
        <v>6900</v>
      </c>
      <c r="B6865" t="s">
        <v>26</v>
      </c>
      <c r="C6865">
        <v>338000</v>
      </c>
      <c r="D6865">
        <v>11897.9</v>
      </c>
      <c r="E6865">
        <v>5.1299999999999998E-2</v>
      </c>
      <c r="F6865">
        <v>7.5899999999999995E-2</v>
      </c>
    </row>
    <row r="6866" spans="1:6" x14ac:dyDescent="0.3">
      <c r="A6866" t="s">
        <v>6901</v>
      </c>
      <c r="B6866" t="s">
        <v>214</v>
      </c>
      <c r="C6866">
        <v>489000</v>
      </c>
      <c r="D6866">
        <v>13803.9</v>
      </c>
      <c r="E6866">
        <v>4.8999999999999998E-3</v>
      </c>
      <c r="F6866">
        <v>8.2199999999999995E-2</v>
      </c>
    </row>
    <row r="6867" spans="1:6" x14ac:dyDescent="0.3">
      <c r="A6867" t="s">
        <v>6902</v>
      </c>
      <c r="B6867" t="s">
        <v>88</v>
      </c>
      <c r="C6867">
        <v>532000</v>
      </c>
      <c r="D6867">
        <v>999.9</v>
      </c>
      <c r="E6867">
        <v>3.9899999999999998E-2</v>
      </c>
      <c r="F6867">
        <v>9.3799999999999994E-2</v>
      </c>
    </row>
    <row r="6868" spans="1:6" x14ac:dyDescent="0.3">
      <c r="A6868" t="s">
        <v>6903</v>
      </c>
      <c r="B6868" t="s">
        <v>88</v>
      </c>
      <c r="C6868">
        <v>619000</v>
      </c>
      <c r="D6868">
        <v>4426.8999999999996</v>
      </c>
      <c r="E6868">
        <v>4.4299999999999999E-2</v>
      </c>
      <c r="F6868">
        <v>9.3799999999999994E-2</v>
      </c>
    </row>
    <row r="6869" spans="1:6" x14ac:dyDescent="0.3">
      <c r="A6869" t="s">
        <v>6904</v>
      </c>
      <c r="B6869" t="s">
        <v>26</v>
      </c>
      <c r="C6869">
        <v>464000</v>
      </c>
      <c r="D6869">
        <v>9671.2999999999993</v>
      </c>
      <c r="E6869">
        <v>7.3200000000000001E-2</v>
      </c>
      <c r="F6869">
        <v>5.1799999999999999E-2</v>
      </c>
    </row>
    <row r="6870" spans="1:6" x14ac:dyDescent="0.3">
      <c r="A6870" t="s">
        <v>6905</v>
      </c>
      <c r="B6870" t="s">
        <v>88</v>
      </c>
      <c r="C6870">
        <v>293000</v>
      </c>
      <c r="D6870">
        <v>32.200000000000003</v>
      </c>
      <c r="E6870">
        <v>3.7000000000000002E-3</v>
      </c>
      <c r="F6870">
        <v>0.28470000000000001</v>
      </c>
    </row>
    <row r="6871" spans="1:6" x14ac:dyDescent="0.3">
      <c r="A6871" t="s">
        <v>6906</v>
      </c>
      <c r="B6871" t="s">
        <v>88</v>
      </c>
      <c r="C6871">
        <v>370000</v>
      </c>
      <c r="D6871">
        <v>16417.099999999999</v>
      </c>
      <c r="E6871">
        <v>4.8000000000000001E-2</v>
      </c>
      <c r="F6871">
        <v>7.5899999999999995E-2</v>
      </c>
    </row>
    <row r="6872" spans="1:6" x14ac:dyDescent="0.3">
      <c r="A6872" t="s">
        <v>6907</v>
      </c>
      <c r="B6872" t="s">
        <v>26</v>
      </c>
      <c r="C6872">
        <v>305000</v>
      </c>
      <c r="D6872">
        <v>3655.3</v>
      </c>
      <c r="E6872">
        <v>1.61E-2</v>
      </c>
      <c r="F6872">
        <v>4.8800000000000003E-2</v>
      </c>
    </row>
    <row r="6873" spans="1:6" x14ac:dyDescent="0.3">
      <c r="A6873" t="s">
        <v>6908</v>
      </c>
      <c r="B6873" t="s">
        <v>490</v>
      </c>
      <c r="C6873">
        <v>350000</v>
      </c>
      <c r="D6873">
        <v>2325.1999999999998</v>
      </c>
      <c r="E6873">
        <v>1.6500000000000001E-2</v>
      </c>
      <c r="F6873">
        <v>0.1067</v>
      </c>
    </row>
    <row r="6874" spans="1:6" x14ac:dyDescent="0.3">
      <c r="A6874" t="s">
        <v>6909</v>
      </c>
      <c r="B6874" t="s">
        <v>88</v>
      </c>
      <c r="C6874">
        <v>301000</v>
      </c>
      <c r="D6874">
        <v>18849.8</v>
      </c>
      <c r="E6874">
        <v>3.2000000000000001E-2</v>
      </c>
      <c r="F6874">
        <v>9.5100000000000004E-2</v>
      </c>
    </row>
    <row r="6875" spans="1:6" x14ac:dyDescent="0.3">
      <c r="A6875" t="s">
        <v>6910</v>
      </c>
      <c r="B6875" t="s">
        <v>41</v>
      </c>
      <c r="C6875">
        <v>292000</v>
      </c>
      <c r="D6875">
        <v>568.20000000000005</v>
      </c>
      <c r="E6875">
        <v>2.41E-2</v>
      </c>
      <c r="F6875">
        <v>0.11700000000000001</v>
      </c>
    </row>
    <row r="6876" spans="1:6" x14ac:dyDescent="0.3">
      <c r="A6876" t="s">
        <v>6911</v>
      </c>
      <c r="B6876" t="s">
        <v>81</v>
      </c>
      <c r="C6876">
        <v>296000</v>
      </c>
      <c r="D6876">
        <v>6887</v>
      </c>
      <c r="E6876">
        <v>1.4E-2</v>
      </c>
      <c r="F6876">
        <v>0.19650000000000001</v>
      </c>
    </row>
    <row r="6877" spans="1:6" x14ac:dyDescent="0.3">
      <c r="A6877" t="s">
        <v>6912</v>
      </c>
      <c r="B6877" t="s">
        <v>26</v>
      </c>
      <c r="C6877">
        <v>283000</v>
      </c>
      <c r="D6877">
        <v>3501.3</v>
      </c>
      <c r="E6877">
        <v>9.9000000000000008E-3</v>
      </c>
      <c r="F6877">
        <v>6.59E-2</v>
      </c>
    </row>
    <row r="6878" spans="1:6" x14ac:dyDescent="0.3">
      <c r="A6878" t="s">
        <v>6913</v>
      </c>
      <c r="B6878" t="s">
        <v>88</v>
      </c>
      <c r="C6878">
        <v>297000</v>
      </c>
      <c r="D6878">
        <v>2042</v>
      </c>
      <c r="E6878">
        <v>3.49E-2</v>
      </c>
      <c r="F6878">
        <v>9.3799999999999994E-2</v>
      </c>
    </row>
    <row r="6879" spans="1:6" x14ac:dyDescent="0.3">
      <c r="A6879" t="s">
        <v>6914</v>
      </c>
      <c r="B6879" t="s">
        <v>214</v>
      </c>
      <c r="C6879">
        <v>332000</v>
      </c>
      <c r="D6879">
        <v>9057.4</v>
      </c>
      <c r="E6879">
        <v>9.2999999999999992E-3</v>
      </c>
      <c r="F6879">
        <v>6.54E-2</v>
      </c>
    </row>
    <row r="6880" spans="1:6" x14ac:dyDescent="0.3">
      <c r="A6880" t="s">
        <v>6915</v>
      </c>
      <c r="B6880" t="s">
        <v>35</v>
      </c>
      <c r="C6880">
        <v>313000</v>
      </c>
      <c r="D6880">
        <v>24757.599999999999</v>
      </c>
      <c r="E6880">
        <v>3.4700000000000002E-2</v>
      </c>
      <c r="F6880">
        <v>9.5100000000000004E-2</v>
      </c>
    </row>
    <row r="6881" spans="1:6" x14ac:dyDescent="0.3">
      <c r="A6881" t="s">
        <v>6916</v>
      </c>
      <c r="B6881" t="s">
        <v>214</v>
      </c>
      <c r="C6881">
        <v>292000</v>
      </c>
      <c r="D6881">
        <v>20285.099999999999</v>
      </c>
      <c r="E6881">
        <v>1.8800000000000001E-2</v>
      </c>
      <c r="F6881">
        <v>6.1600000000000002E-2</v>
      </c>
    </row>
    <row r="6882" spans="1:6" x14ac:dyDescent="0.3">
      <c r="A6882" t="s">
        <v>6917</v>
      </c>
      <c r="B6882" t="s">
        <v>490</v>
      </c>
      <c r="C6882">
        <v>306000</v>
      </c>
      <c r="D6882">
        <v>10494.4</v>
      </c>
      <c r="E6882">
        <v>7.1000000000000004E-3</v>
      </c>
      <c r="F6882">
        <v>0.10150000000000001</v>
      </c>
    </row>
    <row r="6883" spans="1:6" x14ac:dyDescent="0.3">
      <c r="A6883" t="s">
        <v>6918</v>
      </c>
      <c r="B6883" t="s">
        <v>26</v>
      </c>
      <c r="C6883">
        <v>432000</v>
      </c>
      <c r="D6883">
        <v>157046.20000000001</v>
      </c>
      <c r="E6883">
        <v>3.2199999999999999E-2</v>
      </c>
      <c r="F6883">
        <v>4.3200000000000002E-2</v>
      </c>
    </row>
    <row r="6884" spans="1:6" x14ac:dyDescent="0.3">
      <c r="A6884" t="s">
        <v>6919</v>
      </c>
      <c r="B6884" t="s">
        <v>26</v>
      </c>
      <c r="C6884">
        <v>383000</v>
      </c>
      <c r="D6884">
        <v>45054.1</v>
      </c>
      <c r="E6884">
        <v>2.5100000000000001E-2</v>
      </c>
      <c r="F6884">
        <v>4.0899999999999999E-2</v>
      </c>
    </row>
    <row r="6885" spans="1:6" x14ac:dyDescent="0.3">
      <c r="A6885" t="s">
        <v>6920</v>
      </c>
      <c r="B6885" t="s">
        <v>81</v>
      </c>
      <c r="C6885">
        <v>326000</v>
      </c>
      <c r="D6885">
        <v>263.2</v>
      </c>
      <c r="E6885">
        <v>3.32E-2</v>
      </c>
      <c r="F6885">
        <v>7.5899999999999995E-2</v>
      </c>
    </row>
    <row r="6886" spans="1:6" x14ac:dyDescent="0.3">
      <c r="A6886" t="s">
        <v>6921</v>
      </c>
      <c r="B6886" t="s">
        <v>92</v>
      </c>
      <c r="C6886">
        <v>289000</v>
      </c>
      <c r="D6886">
        <v>173.4</v>
      </c>
      <c r="E6886">
        <v>1.6400000000000001E-2</v>
      </c>
      <c r="F6886">
        <v>0.1067</v>
      </c>
    </row>
    <row r="6887" spans="1:6" x14ac:dyDescent="0.3">
      <c r="A6887" t="s">
        <v>6922</v>
      </c>
      <c r="B6887" t="s">
        <v>26</v>
      </c>
      <c r="C6887">
        <v>347000</v>
      </c>
      <c r="D6887">
        <v>24651.7</v>
      </c>
      <c r="E6887">
        <v>4.8899999999999999E-2</v>
      </c>
      <c r="F6887">
        <v>6.7199999999999996E-2</v>
      </c>
    </row>
    <row r="6888" spans="1:6" x14ac:dyDescent="0.3">
      <c r="A6888" t="s">
        <v>6923</v>
      </c>
      <c r="B6888" t="s">
        <v>26</v>
      </c>
      <c r="C6888">
        <v>303000</v>
      </c>
      <c r="D6888">
        <v>88077.3</v>
      </c>
      <c r="E6888">
        <v>1.11E-2</v>
      </c>
      <c r="F6888">
        <v>6.54E-2</v>
      </c>
    </row>
    <row r="6889" spans="1:6" x14ac:dyDescent="0.3">
      <c r="A6889" t="s">
        <v>6924</v>
      </c>
      <c r="B6889" t="s">
        <v>24</v>
      </c>
      <c r="C6889">
        <v>417000</v>
      </c>
      <c r="D6889">
        <v>231.5</v>
      </c>
      <c r="E6889">
        <v>4.7300000000000002E-2</v>
      </c>
      <c r="F6889">
        <v>5.0999999999999997E-2</v>
      </c>
    </row>
    <row r="6890" spans="1:6" x14ac:dyDescent="0.3">
      <c r="A6890" t="s">
        <v>6925</v>
      </c>
      <c r="B6890" t="s">
        <v>26</v>
      </c>
      <c r="C6890">
        <v>398000</v>
      </c>
      <c r="D6890">
        <v>241419.2</v>
      </c>
      <c r="E6890">
        <v>3.3700000000000001E-2</v>
      </c>
      <c r="F6890">
        <v>7.5899999999999995E-2</v>
      </c>
    </row>
    <row r="6891" spans="1:6" x14ac:dyDescent="0.3">
      <c r="A6891" t="s">
        <v>6926</v>
      </c>
      <c r="B6891" t="s">
        <v>53</v>
      </c>
      <c r="C6891">
        <v>340000</v>
      </c>
      <c r="D6891">
        <v>11114.7</v>
      </c>
      <c r="E6891">
        <v>1.32E-2</v>
      </c>
      <c r="F6891">
        <v>6.6100000000000006E-2</v>
      </c>
    </row>
    <row r="6892" spans="1:6" x14ac:dyDescent="0.3">
      <c r="A6892" t="s">
        <v>6927</v>
      </c>
      <c r="B6892" t="s">
        <v>92</v>
      </c>
      <c r="C6892">
        <v>294000</v>
      </c>
      <c r="D6892">
        <v>532</v>
      </c>
      <c r="E6892">
        <v>7.5200000000000003E-2</v>
      </c>
      <c r="F6892">
        <v>9.98E-2</v>
      </c>
    </row>
    <row r="6893" spans="1:6" x14ac:dyDescent="0.3">
      <c r="A6893" t="s">
        <v>6928</v>
      </c>
      <c r="B6893" t="s">
        <v>26</v>
      </c>
      <c r="C6893">
        <v>383000</v>
      </c>
      <c r="D6893">
        <v>221110.39999999999</v>
      </c>
      <c r="E6893">
        <v>1.7399999999999999E-2</v>
      </c>
      <c r="F6893">
        <v>0.1469</v>
      </c>
    </row>
    <row r="6894" spans="1:6" x14ac:dyDescent="0.3">
      <c r="A6894" t="s">
        <v>6929</v>
      </c>
      <c r="B6894" t="s">
        <v>26</v>
      </c>
      <c r="C6894">
        <v>309000</v>
      </c>
      <c r="D6894">
        <v>1692.9</v>
      </c>
      <c r="E6894">
        <v>5.3999999999999999E-2</v>
      </c>
      <c r="F6894">
        <v>0.11840000000000001</v>
      </c>
    </row>
    <row r="6895" spans="1:6" x14ac:dyDescent="0.3">
      <c r="A6895" t="s">
        <v>6930</v>
      </c>
      <c r="B6895" t="s">
        <v>26</v>
      </c>
      <c r="C6895">
        <v>294000</v>
      </c>
      <c r="D6895">
        <v>7125.2</v>
      </c>
      <c r="E6895">
        <v>5.5E-2</v>
      </c>
      <c r="F6895">
        <v>9.5100000000000004E-2</v>
      </c>
    </row>
    <row r="6896" spans="1:6" x14ac:dyDescent="0.3">
      <c r="A6896" t="s">
        <v>6931</v>
      </c>
      <c r="B6896" t="s">
        <v>81</v>
      </c>
      <c r="C6896">
        <v>332000</v>
      </c>
      <c r="D6896">
        <v>380363.7</v>
      </c>
      <c r="E6896">
        <v>3.5000000000000001E-3</v>
      </c>
      <c r="F6896">
        <v>8.2199999999999995E-2</v>
      </c>
    </row>
    <row r="6897" spans="1:6" x14ac:dyDescent="0.3">
      <c r="A6897" t="s">
        <v>6932</v>
      </c>
      <c r="B6897" t="s">
        <v>24</v>
      </c>
      <c r="C6897">
        <v>615000</v>
      </c>
      <c r="D6897">
        <v>47902.1</v>
      </c>
      <c r="E6897">
        <v>6.7699999999999996E-2</v>
      </c>
      <c r="F6897">
        <v>7.5899999999999995E-2</v>
      </c>
    </row>
    <row r="6898" spans="1:6" x14ac:dyDescent="0.3">
      <c r="A6898" t="s">
        <v>6933</v>
      </c>
      <c r="B6898" t="s">
        <v>41</v>
      </c>
      <c r="C6898">
        <v>400000</v>
      </c>
      <c r="D6898">
        <v>1651.9</v>
      </c>
      <c r="E6898">
        <v>4.6899999999999997E-2</v>
      </c>
      <c r="F6898">
        <v>0.65329999999999999</v>
      </c>
    </row>
    <row r="6899" spans="1:6" x14ac:dyDescent="0.3">
      <c r="A6899" t="s">
        <v>6934</v>
      </c>
      <c r="B6899" t="s">
        <v>92</v>
      </c>
      <c r="C6899">
        <v>295000</v>
      </c>
      <c r="D6899">
        <v>41329.1</v>
      </c>
      <c r="E6899">
        <v>2.52E-2</v>
      </c>
      <c r="F6899">
        <v>9.5100000000000004E-2</v>
      </c>
    </row>
    <row r="6900" spans="1:6" x14ac:dyDescent="0.3">
      <c r="A6900" t="s">
        <v>6935</v>
      </c>
      <c r="B6900" t="s">
        <v>88</v>
      </c>
      <c r="C6900">
        <v>300000</v>
      </c>
      <c r="D6900">
        <v>6350.5</v>
      </c>
      <c r="E6900">
        <v>2.1100000000000001E-2</v>
      </c>
      <c r="F6900">
        <v>0.1053</v>
      </c>
    </row>
    <row r="6901" spans="1:6" x14ac:dyDescent="0.3">
      <c r="A6901" t="s">
        <v>6936</v>
      </c>
      <c r="B6901" t="s">
        <v>26</v>
      </c>
      <c r="C6901">
        <v>785000</v>
      </c>
      <c r="D6901">
        <v>40961.9</v>
      </c>
      <c r="E6901">
        <v>2.3300000000000001E-2</v>
      </c>
      <c r="F6901">
        <v>4.0899999999999999E-2</v>
      </c>
    </row>
    <row r="6902" spans="1:6" x14ac:dyDescent="0.3">
      <c r="A6902" t="s">
        <v>6937</v>
      </c>
      <c r="B6902" t="s">
        <v>88</v>
      </c>
      <c r="C6902">
        <v>705000</v>
      </c>
      <c r="D6902">
        <v>213532.7</v>
      </c>
      <c r="E6902">
        <v>5.5300000000000002E-2</v>
      </c>
      <c r="F6902">
        <v>7.5899999999999995E-2</v>
      </c>
    </row>
    <row r="6903" spans="1:6" x14ac:dyDescent="0.3">
      <c r="A6903" t="s">
        <v>6938</v>
      </c>
      <c r="B6903" t="s">
        <v>88</v>
      </c>
      <c r="C6903">
        <v>370000</v>
      </c>
      <c r="D6903">
        <v>11714.5</v>
      </c>
      <c r="E6903">
        <v>2.8899999999999999E-2</v>
      </c>
      <c r="F6903">
        <v>9.3799999999999994E-2</v>
      </c>
    </row>
    <row r="6904" spans="1:6" x14ac:dyDescent="0.3">
      <c r="A6904" t="s">
        <v>6939</v>
      </c>
      <c r="B6904" t="s">
        <v>26</v>
      </c>
      <c r="C6904">
        <v>389000</v>
      </c>
      <c r="D6904">
        <v>42221.3</v>
      </c>
      <c r="E6904">
        <v>2.7799999999999998E-2</v>
      </c>
      <c r="F6904">
        <v>7.5899999999999995E-2</v>
      </c>
    </row>
    <row r="6905" spans="1:6" x14ac:dyDescent="0.3">
      <c r="A6905" t="s">
        <v>6940</v>
      </c>
      <c r="B6905" t="s">
        <v>62</v>
      </c>
      <c r="C6905">
        <v>326000</v>
      </c>
      <c r="D6905">
        <v>18731.8</v>
      </c>
      <c r="E6905">
        <v>2.9600000000000001E-2</v>
      </c>
      <c r="F6905">
        <v>9.5100000000000004E-2</v>
      </c>
    </row>
    <row r="6906" spans="1:6" x14ac:dyDescent="0.3">
      <c r="A6906" t="s">
        <v>6941</v>
      </c>
      <c r="B6906" t="s">
        <v>81</v>
      </c>
      <c r="C6906">
        <v>376000</v>
      </c>
      <c r="D6906">
        <v>148118.70000000001</v>
      </c>
      <c r="E6906">
        <v>1.9300000000000001E-2</v>
      </c>
      <c r="F6906">
        <v>5.8500000000000003E-2</v>
      </c>
    </row>
    <row r="6907" spans="1:6" x14ac:dyDescent="0.3">
      <c r="A6907" t="s">
        <v>6942</v>
      </c>
      <c r="B6907" t="s">
        <v>26</v>
      </c>
      <c r="C6907">
        <v>584000</v>
      </c>
      <c r="D6907">
        <v>717826.3</v>
      </c>
      <c r="E6907">
        <v>4.3700000000000003E-2</v>
      </c>
      <c r="F6907">
        <v>4.0899999999999999E-2</v>
      </c>
    </row>
    <row r="6908" spans="1:6" x14ac:dyDescent="0.3">
      <c r="A6908" t="s">
        <v>6943</v>
      </c>
      <c r="B6908" t="s">
        <v>41</v>
      </c>
      <c r="C6908">
        <v>859000</v>
      </c>
      <c r="D6908">
        <v>285.39999999999998</v>
      </c>
      <c r="E6908">
        <v>1.23E-2</v>
      </c>
      <c r="F6908">
        <v>0.49819999999999998</v>
      </c>
    </row>
    <row r="6909" spans="1:6" x14ac:dyDescent="0.3">
      <c r="A6909" t="s">
        <v>6944</v>
      </c>
      <c r="B6909" t="s">
        <v>26</v>
      </c>
      <c r="C6909">
        <v>303000</v>
      </c>
      <c r="D6909">
        <v>10936.1</v>
      </c>
      <c r="E6909">
        <v>2.4199999999999999E-2</v>
      </c>
      <c r="F6909">
        <v>6.7199999999999996E-2</v>
      </c>
    </row>
    <row r="6910" spans="1:6" x14ac:dyDescent="0.3">
      <c r="A6910" t="s">
        <v>6945</v>
      </c>
      <c r="B6910" t="s">
        <v>71</v>
      </c>
      <c r="C6910">
        <v>310000</v>
      </c>
      <c r="D6910">
        <v>28</v>
      </c>
      <c r="E6910">
        <v>2.3699999999999999E-2</v>
      </c>
      <c r="F6910">
        <v>0.40260000000000001</v>
      </c>
    </row>
    <row r="6911" spans="1:6" x14ac:dyDescent="0.3">
      <c r="A6911" t="s">
        <v>6946</v>
      </c>
      <c r="B6911" t="s">
        <v>195</v>
      </c>
      <c r="C6911">
        <v>355000</v>
      </c>
      <c r="D6911">
        <v>25834.1</v>
      </c>
      <c r="E6911">
        <v>1.7000000000000001E-2</v>
      </c>
      <c r="F6911">
        <v>5.8500000000000003E-2</v>
      </c>
    </row>
    <row r="6912" spans="1:6" x14ac:dyDescent="0.3">
      <c r="A6912" t="s">
        <v>6947</v>
      </c>
      <c r="B6912" t="s">
        <v>74</v>
      </c>
      <c r="C6912">
        <v>285000</v>
      </c>
      <c r="D6912">
        <v>5225</v>
      </c>
      <c r="E6912">
        <v>2.12E-2</v>
      </c>
      <c r="F6912">
        <v>9.5100000000000004E-2</v>
      </c>
    </row>
    <row r="6913" spans="1:6" x14ac:dyDescent="0.3">
      <c r="A6913" t="s">
        <v>6948</v>
      </c>
      <c r="B6913" t="s">
        <v>32</v>
      </c>
      <c r="C6913">
        <v>514000</v>
      </c>
      <c r="D6913">
        <v>7398.8</v>
      </c>
      <c r="E6913">
        <v>2.3E-2</v>
      </c>
      <c r="F6913">
        <v>8.5400000000000004E-2</v>
      </c>
    </row>
    <row r="6914" spans="1:6" x14ac:dyDescent="0.3">
      <c r="A6914" t="s">
        <v>6949</v>
      </c>
      <c r="B6914" t="s">
        <v>81</v>
      </c>
      <c r="C6914">
        <v>325000</v>
      </c>
      <c r="D6914">
        <v>40816.699999999997</v>
      </c>
      <c r="E6914">
        <v>1.9300000000000001E-2</v>
      </c>
      <c r="F6914">
        <v>5.1799999999999999E-2</v>
      </c>
    </row>
    <row r="6915" spans="1:6" x14ac:dyDescent="0.3">
      <c r="A6915" t="s">
        <v>6950</v>
      </c>
      <c r="B6915" t="s">
        <v>21</v>
      </c>
      <c r="C6915">
        <v>331000</v>
      </c>
      <c r="D6915">
        <v>14711.7</v>
      </c>
      <c r="E6915">
        <v>1.0699999999999999E-2</v>
      </c>
      <c r="F6915">
        <v>9.11E-2</v>
      </c>
    </row>
    <row r="6916" spans="1:6" x14ac:dyDescent="0.3">
      <c r="A6916" t="s">
        <v>6951</v>
      </c>
      <c r="B6916" t="s">
        <v>26</v>
      </c>
      <c r="C6916">
        <v>302000</v>
      </c>
      <c r="D6916">
        <v>2920.2</v>
      </c>
      <c r="E6916">
        <v>4.4499999999999998E-2</v>
      </c>
      <c r="F6916">
        <v>7.5899999999999995E-2</v>
      </c>
    </row>
    <row r="6917" spans="1:6" x14ac:dyDescent="0.3">
      <c r="A6917" t="s">
        <v>6952</v>
      </c>
      <c r="B6917" t="s">
        <v>53</v>
      </c>
      <c r="C6917">
        <v>329000</v>
      </c>
      <c r="D6917">
        <v>2761.7</v>
      </c>
      <c r="E6917">
        <v>3.1199999999999999E-2</v>
      </c>
      <c r="F6917">
        <v>9.5100000000000004E-2</v>
      </c>
    </row>
    <row r="6918" spans="1:6" x14ac:dyDescent="0.3">
      <c r="A6918" t="s">
        <v>6953</v>
      </c>
      <c r="B6918" t="s">
        <v>195</v>
      </c>
      <c r="C6918">
        <v>302000</v>
      </c>
      <c r="D6918">
        <v>245</v>
      </c>
      <c r="E6918">
        <v>2.46E-2</v>
      </c>
      <c r="F6918">
        <v>9.98E-2</v>
      </c>
    </row>
    <row r="6919" spans="1:6" x14ac:dyDescent="0.3">
      <c r="A6919" t="s">
        <v>6954</v>
      </c>
      <c r="B6919" t="s">
        <v>92</v>
      </c>
      <c r="C6919">
        <v>300000</v>
      </c>
      <c r="D6919">
        <v>22124.3</v>
      </c>
      <c r="E6919">
        <v>2.1100000000000001E-2</v>
      </c>
      <c r="F6919">
        <v>0.1067</v>
      </c>
    </row>
    <row r="6920" spans="1:6" x14ac:dyDescent="0.3">
      <c r="A6920" t="s">
        <v>6955</v>
      </c>
      <c r="B6920" t="s">
        <v>26</v>
      </c>
      <c r="C6920">
        <v>1050000</v>
      </c>
      <c r="D6920">
        <v>516484.3</v>
      </c>
      <c r="E6920">
        <v>3.4299999999999997E-2</v>
      </c>
      <c r="F6920">
        <v>4.0899999999999999E-2</v>
      </c>
    </row>
    <row r="6921" spans="1:6" x14ac:dyDescent="0.3">
      <c r="A6921" t="s">
        <v>6956</v>
      </c>
      <c r="B6921" t="s">
        <v>26</v>
      </c>
      <c r="C6921">
        <v>287000</v>
      </c>
      <c r="D6921">
        <v>677.1</v>
      </c>
      <c r="E6921">
        <v>3.0099999999999998E-2</v>
      </c>
      <c r="F6921">
        <v>0.13250000000000001</v>
      </c>
    </row>
    <row r="6922" spans="1:6" x14ac:dyDescent="0.3">
      <c r="A6922" t="s">
        <v>6957</v>
      </c>
      <c r="B6922" t="s">
        <v>490</v>
      </c>
      <c r="C6922">
        <v>282000</v>
      </c>
      <c r="D6922">
        <v>389.4</v>
      </c>
      <c r="E6922">
        <v>1.7100000000000001E-2</v>
      </c>
      <c r="F6922">
        <v>5.8500000000000003E-2</v>
      </c>
    </row>
    <row r="6923" spans="1:6" x14ac:dyDescent="0.3">
      <c r="A6923" t="s">
        <v>6958</v>
      </c>
      <c r="B6923" t="s">
        <v>24</v>
      </c>
      <c r="C6923">
        <v>335000</v>
      </c>
      <c r="D6923">
        <v>10127.4</v>
      </c>
      <c r="E6923">
        <v>7.6700000000000004E-2</v>
      </c>
      <c r="F6923">
        <v>9.5100000000000004E-2</v>
      </c>
    </row>
    <row r="6924" spans="1:6" x14ac:dyDescent="0.3">
      <c r="A6924" t="s">
        <v>6959</v>
      </c>
      <c r="B6924" t="s">
        <v>81</v>
      </c>
      <c r="C6924">
        <v>712000</v>
      </c>
      <c r="D6924">
        <v>146017.20000000001</v>
      </c>
      <c r="E6924">
        <v>3.61E-2</v>
      </c>
      <c r="F6924">
        <v>4.0899999999999999E-2</v>
      </c>
    </row>
    <row r="6925" spans="1:6" x14ac:dyDescent="0.3">
      <c r="A6925" t="s">
        <v>6960</v>
      </c>
      <c r="B6925" t="s">
        <v>24</v>
      </c>
      <c r="C6925">
        <v>329000</v>
      </c>
      <c r="D6925">
        <v>135164</v>
      </c>
      <c r="E6925">
        <v>2.3900000000000001E-2</v>
      </c>
      <c r="F6925">
        <v>9.5100000000000004E-2</v>
      </c>
    </row>
    <row r="6926" spans="1:6" x14ac:dyDescent="0.3">
      <c r="A6926" t="s">
        <v>6961</v>
      </c>
      <c r="B6926" t="s">
        <v>26</v>
      </c>
      <c r="C6926">
        <v>319000</v>
      </c>
      <c r="D6926">
        <v>129736.2</v>
      </c>
      <c r="E6926">
        <v>1.7500000000000002E-2</v>
      </c>
      <c r="F6926">
        <v>4.6199999999999998E-2</v>
      </c>
    </row>
    <row r="6927" spans="1:6" x14ac:dyDescent="0.3">
      <c r="A6927" t="s">
        <v>6962</v>
      </c>
      <c r="B6927" t="s">
        <v>26</v>
      </c>
      <c r="C6927">
        <v>315000</v>
      </c>
      <c r="D6927">
        <v>7275.6</v>
      </c>
      <c r="E6927">
        <v>3.0099999999999998E-2</v>
      </c>
      <c r="F6927">
        <v>7.5899999999999995E-2</v>
      </c>
    </row>
    <row r="6928" spans="1:6" x14ac:dyDescent="0.3">
      <c r="A6928" t="s">
        <v>6963</v>
      </c>
      <c r="B6928" t="s">
        <v>26</v>
      </c>
      <c r="C6928">
        <v>280000</v>
      </c>
      <c r="D6928">
        <v>14048.7</v>
      </c>
      <c r="E6928">
        <v>2.0400000000000001E-2</v>
      </c>
      <c r="F6928">
        <v>5.8500000000000003E-2</v>
      </c>
    </row>
    <row r="6929" spans="1:6" x14ac:dyDescent="0.3">
      <c r="A6929" t="s">
        <v>6964</v>
      </c>
      <c r="B6929" t="s">
        <v>88</v>
      </c>
      <c r="C6929">
        <v>357000</v>
      </c>
      <c r="D6929">
        <v>5755.1</v>
      </c>
      <c r="E6929">
        <v>5.7200000000000001E-2</v>
      </c>
      <c r="F6929">
        <v>9.3799999999999994E-2</v>
      </c>
    </row>
    <row r="6930" spans="1:6" x14ac:dyDescent="0.3">
      <c r="A6930" t="s">
        <v>6965</v>
      </c>
      <c r="B6930" t="s">
        <v>92</v>
      </c>
      <c r="C6930">
        <v>584000</v>
      </c>
      <c r="D6930">
        <v>320778.8</v>
      </c>
      <c r="E6930">
        <v>2.2200000000000001E-2</v>
      </c>
      <c r="F6930">
        <v>7.5899999999999995E-2</v>
      </c>
    </row>
    <row r="6931" spans="1:6" x14ac:dyDescent="0.3">
      <c r="A6931" t="s">
        <v>6966</v>
      </c>
      <c r="B6931" t="s">
        <v>74</v>
      </c>
      <c r="C6931">
        <v>307000</v>
      </c>
      <c r="D6931">
        <v>9968.2999999999993</v>
      </c>
      <c r="E6931">
        <v>6.8099999999999994E-2</v>
      </c>
      <c r="F6931">
        <v>7.5899999999999995E-2</v>
      </c>
    </row>
    <row r="6932" spans="1:6" x14ac:dyDescent="0.3">
      <c r="A6932" t="s">
        <v>6967</v>
      </c>
      <c r="B6932" t="s">
        <v>74</v>
      </c>
      <c r="C6932">
        <v>309000</v>
      </c>
      <c r="D6932">
        <v>15873.2</v>
      </c>
      <c r="E6932">
        <v>5.9499999999999997E-2</v>
      </c>
      <c r="F6932">
        <v>7.5899999999999995E-2</v>
      </c>
    </row>
    <row r="6933" spans="1:6" x14ac:dyDescent="0.3">
      <c r="A6933" t="s">
        <v>6968</v>
      </c>
      <c r="B6933" t="s">
        <v>26</v>
      </c>
      <c r="C6933">
        <v>290000</v>
      </c>
      <c r="D6933">
        <v>2849.6</v>
      </c>
      <c r="E6933">
        <v>1.38E-2</v>
      </c>
      <c r="F6933">
        <v>0.1192</v>
      </c>
    </row>
    <row r="6934" spans="1:6" x14ac:dyDescent="0.3">
      <c r="A6934" t="s">
        <v>6969</v>
      </c>
      <c r="B6934" t="s">
        <v>50</v>
      </c>
      <c r="C6934">
        <v>410000</v>
      </c>
      <c r="D6934">
        <v>342018.1</v>
      </c>
      <c r="E6934">
        <v>1.3299999999999999E-2</v>
      </c>
      <c r="F6934">
        <v>5.8400000000000001E-2</v>
      </c>
    </row>
    <row r="6935" spans="1:6" x14ac:dyDescent="0.3">
      <c r="A6935" t="s">
        <v>6970</v>
      </c>
      <c r="B6935" t="s">
        <v>195</v>
      </c>
      <c r="C6935">
        <v>288000</v>
      </c>
      <c r="D6935">
        <v>1024</v>
      </c>
      <c r="E6935">
        <v>8.7599999999999997E-2</v>
      </c>
      <c r="F6935">
        <v>7.5899999999999995E-2</v>
      </c>
    </row>
    <row r="6936" spans="1:6" x14ac:dyDescent="0.3">
      <c r="A6936" t="s">
        <v>6971</v>
      </c>
      <c r="B6936" t="s">
        <v>74</v>
      </c>
      <c r="C6936">
        <v>277000</v>
      </c>
      <c r="D6936">
        <v>11352.1</v>
      </c>
      <c r="E6936">
        <v>4.3299999999999998E-2</v>
      </c>
      <c r="F6936">
        <v>9.5100000000000004E-2</v>
      </c>
    </row>
    <row r="6937" spans="1:6" x14ac:dyDescent="0.3">
      <c r="A6937" t="s">
        <v>6972</v>
      </c>
      <c r="B6937" t="s">
        <v>24</v>
      </c>
      <c r="C6937">
        <v>513000</v>
      </c>
      <c r="D6937">
        <v>16824</v>
      </c>
      <c r="E6937">
        <v>1.72E-2</v>
      </c>
      <c r="F6937">
        <v>5.8500000000000003E-2</v>
      </c>
    </row>
    <row r="6938" spans="1:6" x14ac:dyDescent="0.3">
      <c r="A6938" t="s">
        <v>6973</v>
      </c>
      <c r="B6938" t="s">
        <v>88</v>
      </c>
      <c r="C6938">
        <v>533000</v>
      </c>
      <c r="D6938">
        <v>413</v>
      </c>
      <c r="E6938">
        <v>4.2599999999999999E-2</v>
      </c>
      <c r="F6938">
        <v>7.5899999999999995E-2</v>
      </c>
    </row>
    <row r="6939" spans="1:6" x14ac:dyDescent="0.3">
      <c r="A6939" t="s">
        <v>6974</v>
      </c>
      <c r="B6939" t="s">
        <v>26</v>
      </c>
      <c r="C6939">
        <v>462000</v>
      </c>
      <c r="D6939">
        <v>9502.6</v>
      </c>
      <c r="E6939">
        <v>1.8700000000000001E-2</v>
      </c>
      <c r="F6939">
        <v>4.6199999999999998E-2</v>
      </c>
    </row>
    <row r="6940" spans="1:6" x14ac:dyDescent="0.3">
      <c r="A6940" t="s">
        <v>6975</v>
      </c>
      <c r="B6940" t="s">
        <v>24</v>
      </c>
      <c r="C6940">
        <v>460000</v>
      </c>
      <c r="D6940">
        <v>10264.5</v>
      </c>
      <c r="E6940">
        <v>3.0300000000000001E-2</v>
      </c>
      <c r="F6940">
        <v>7.5899999999999995E-2</v>
      </c>
    </row>
    <row r="6941" spans="1:6" x14ac:dyDescent="0.3">
      <c r="A6941" t="s">
        <v>6976</v>
      </c>
      <c r="B6941" t="s">
        <v>195</v>
      </c>
      <c r="C6941">
        <v>467000</v>
      </c>
      <c r="D6941">
        <v>46158.7</v>
      </c>
      <c r="E6941">
        <v>6.93E-2</v>
      </c>
      <c r="F6941">
        <v>7.5899999999999995E-2</v>
      </c>
    </row>
    <row r="6942" spans="1:6" x14ac:dyDescent="0.3">
      <c r="A6942" t="s">
        <v>6977</v>
      </c>
      <c r="B6942" t="s">
        <v>92</v>
      </c>
      <c r="C6942">
        <v>316000</v>
      </c>
      <c r="D6942">
        <v>336.7</v>
      </c>
      <c r="E6942">
        <v>3.8100000000000002E-2</v>
      </c>
      <c r="F6942">
        <v>9.98E-2</v>
      </c>
    </row>
    <row r="6943" spans="1:6" x14ac:dyDescent="0.3">
      <c r="A6943" t="s">
        <v>6978</v>
      </c>
      <c r="B6943" t="s">
        <v>88</v>
      </c>
      <c r="C6943">
        <v>846000</v>
      </c>
      <c r="D6943">
        <v>64199.1</v>
      </c>
      <c r="E6943">
        <v>2.8899999999999999E-2</v>
      </c>
      <c r="F6943">
        <v>9.3799999999999994E-2</v>
      </c>
    </row>
    <row r="6944" spans="1:6" x14ac:dyDescent="0.3">
      <c r="A6944" t="s">
        <v>6979</v>
      </c>
      <c r="B6944" t="s">
        <v>92</v>
      </c>
      <c r="C6944">
        <v>349000</v>
      </c>
      <c r="D6944">
        <v>5189.8999999999996</v>
      </c>
      <c r="E6944">
        <v>4.1700000000000001E-2</v>
      </c>
      <c r="F6944">
        <v>7.5899999999999995E-2</v>
      </c>
    </row>
    <row r="6945" spans="1:6" x14ac:dyDescent="0.3">
      <c r="A6945" t="s">
        <v>6980</v>
      </c>
      <c r="B6945" t="s">
        <v>81</v>
      </c>
      <c r="C6945">
        <v>288000</v>
      </c>
      <c r="D6945">
        <v>318.5</v>
      </c>
      <c r="E6945">
        <v>2.4500000000000001E-2</v>
      </c>
      <c r="F6945">
        <v>0.1226</v>
      </c>
    </row>
    <row r="6946" spans="1:6" x14ac:dyDescent="0.3">
      <c r="A6946" t="s">
        <v>6981</v>
      </c>
      <c r="B6946" t="s">
        <v>53</v>
      </c>
      <c r="C6946">
        <v>377000</v>
      </c>
      <c r="D6946">
        <v>75710.7</v>
      </c>
      <c r="E6946">
        <v>7.2900000000000006E-2</v>
      </c>
      <c r="F6946">
        <v>5.0999999999999997E-2</v>
      </c>
    </row>
    <row r="6947" spans="1:6" x14ac:dyDescent="0.3">
      <c r="A6947" t="s">
        <v>6982</v>
      </c>
      <c r="B6947" t="s">
        <v>26</v>
      </c>
      <c r="C6947">
        <v>321000</v>
      </c>
      <c r="D6947">
        <v>100339.7</v>
      </c>
      <c r="E6947">
        <v>3.8300000000000001E-2</v>
      </c>
      <c r="F6947">
        <v>5.1799999999999999E-2</v>
      </c>
    </row>
    <row r="6948" spans="1:6" x14ac:dyDescent="0.3">
      <c r="A6948" t="s">
        <v>6983</v>
      </c>
      <c r="B6948" t="s">
        <v>26</v>
      </c>
      <c r="C6948">
        <v>343000</v>
      </c>
      <c r="D6948">
        <v>35858.300000000003</v>
      </c>
      <c r="E6948">
        <v>0.04</v>
      </c>
      <c r="F6948">
        <v>4.0899999999999999E-2</v>
      </c>
    </row>
    <row r="6949" spans="1:6" x14ac:dyDescent="0.3">
      <c r="A6949" t="s">
        <v>6984</v>
      </c>
      <c r="B6949" t="s">
        <v>50</v>
      </c>
      <c r="C6949">
        <v>340000</v>
      </c>
      <c r="D6949">
        <v>14766.3</v>
      </c>
      <c r="E6949">
        <v>3.1600000000000003E-2</v>
      </c>
      <c r="F6949">
        <v>7.5899999999999995E-2</v>
      </c>
    </row>
    <row r="6950" spans="1:6" x14ac:dyDescent="0.3">
      <c r="A6950" t="s">
        <v>6985</v>
      </c>
      <c r="B6950" t="s">
        <v>41</v>
      </c>
      <c r="C6950">
        <v>401000</v>
      </c>
      <c r="D6950">
        <v>38676.1</v>
      </c>
      <c r="E6950">
        <v>7.9699999999999993E-2</v>
      </c>
      <c r="F6950">
        <v>9.3799999999999994E-2</v>
      </c>
    </row>
    <row r="6951" spans="1:6" x14ac:dyDescent="0.3">
      <c r="A6951" t="s">
        <v>6986</v>
      </c>
      <c r="B6951" t="s">
        <v>24</v>
      </c>
      <c r="C6951">
        <v>369000</v>
      </c>
      <c r="D6951">
        <v>1480.3</v>
      </c>
      <c r="E6951">
        <v>1.37E-2</v>
      </c>
      <c r="F6951">
        <v>0.1067</v>
      </c>
    </row>
    <row r="6952" spans="1:6" x14ac:dyDescent="0.3">
      <c r="A6952" t="s">
        <v>6987</v>
      </c>
      <c r="B6952" t="s">
        <v>62</v>
      </c>
      <c r="C6952">
        <v>286000</v>
      </c>
      <c r="D6952">
        <v>1287</v>
      </c>
      <c r="E6952">
        <v>2.1299999999999999E-2</v>
      </c>
      <c r="F6952">
        <v>0.1709</v>
      </c>
    </row>
    <row r="6953" spans="1:6" x14ac:dyDescent="0.3">
      <c r="A6953" t="s">
        <v>6988</v>
      </c>
      <c r="B6953" t="s">
        <v>26</v>
      </c>
      <c r="C6953">
        <v>330000</v>
      </c>
      <c r="D6953">
        <v>8362.1</v>
      </c>
      <c r="E6953">
        <v>1.84E-2</v>
      </c>
      <c r="F6953">
        <v>5.1799999999999999E-2</v>
      </c>
    </row>
    <row r="6954" spans="1:6" x14ac:dyDescent="0.3">
      <c r="A6954" t="s">
        <v>6989</v>
      </c>
      <c r="B6954" t="s">
        <v>26</v>
      </c>
      <c r="C6954">
        <v>426000</v>
      </c>
      <c r="D6954">
        <v>279785.2</v>
      </c>
      <c r="E6954">
        <v>2.1700000000000001E-2</v>
      </c>
      <c r="F6954">
        <v>5.8500000000000003E-2</v>
      </c>
    </row>
    <row r="6955" spans="1:6" x14ac:dyDescent="0.3">
      <c r="A6955" t="s">
        <v>6990</v>
      </c>
      <c r="B6955" t="s">
        <v>88</v>
      </c>
      <c r="C6955">
        <v>342000</v>
      </c>
      <c r="D6955">
        <v>222.9</v>
      </c>
      <c r="E6955">
        <v>4.41E-2</v>
      </c>
      <c r="F6955">
        <v>9.3799999999999994E-2</v>
      </c>
    </row>
    <row r="6956" spans="1:6" x14ac:dyDescent="0.3">
      <c r="A6956" t="s">
        <v>6991</v>
      </c>
      <c r="B6956" t="s">
        <v>88</v>
      </c>
      <c r="C6956">
        <v>425000</v>
      </c>
      <c r="D6956">
        <v>19505</v>
      </c>
      <c r="E6956">
        <v>3.1800000000000002E-2</v>
      </c>
      <c r="F6956">
        <v>9.5100000000000004E-2</v>
      </c>
    </row>
    <row r="6957" spans="1:6" x14ac:dyDescent="0.3">
      <c r="A6957" t="s">
        <v>6992</v>
      </c>
      <c r="B6957" t="s">
        <v>26</v>
      </c>
      <c r="C6957">
        <v>327000</v>
      </c>
      <c r="D6957">
        <v>10064.5</v>
      </c>
      <c r="E6957">
        <v>7.5999999999999998E-2</v>
      </c>
      <c r="F6957">
        <v>9.5100000000000004E-2</v>
      </c>
    </row>
    <row r="6958" spans="1:6" x14ac:dyDescent="0.3">
      <c r="A6958" t="s">
        <v>6993</v>
      </c>
      <c r="B6958" t="s">
        <v>92</v>
      </c>
      <c r="C6958">
        <v>284000</v>
      </c>
      <c r="D6958">
        <v>36488.1</v>
      </c>
      <c r="E6958">
        <v>5.7000000000000002E-3</v>
      </c>
      <c r="F6958">
        <v>0.15390000000000001</v>
      </c>
    </row>
    <row r="6959" spans="1:6" x14ac:dyDescent="0.3">
      <c r="A6959" t="s">
        <v>6994</v>
      </c>
      <c r="B6959" t="s">
        <v>26</v>
      </c>
      <c r="C6959">
        <v>312000</v>
      </c>
      <c r="D6959">
        <v>29218.5</v>
      </c>
      <c r="E6959">
        <v>4.36E-2</v>
      </c>
      <c r="F6959">
        <v>4.0899999999999999E-2</v>
      </c>
    </row>
    <row r="6960" spans="1:6" x14ac:dyDescent="0.3">
      <c r="A6960" t="s">
        <v>6995</v>
      </c>
      <c r="B6960" t="s">
        <v>92</v>
      </c>
      <c r="C6960">
        <v>295000</v>
      </c>
      <c r="D6960">
        <v>4841.2</v>
      </c>
      <c r="E6960">
        <v>2.9399999999999999E-2</v>
      </c>
      <c r="F6960">
        <v>4.0899999999999999E-2</v>
      </c>
    </row>
    <row r="6961" spans="1:6" x14ac:dyDescent="0.3">
      <c r="A6961" t="s">
        <v>6996</v>
      </c>
      <c r="B6961" t="s">
        <v>26</v>
      </c>
      <c r="C6961">
        <v>324000</v>
      </c>
      <c r="D6961">
        <v>16174.2</v>
      </c>
      <c r="E6961">
        <v>1.9E-2</v>
      </c>
      <c r="F6961">
        <v>5.8500000000000003E-2</v>
      </c>
    </row>
    <row r="6962" spans="1:6" x14ac:dyDescent="0.3">
      <c r="A6962" t="s">
        <v>6997</v>
      </c>
      <c r="B6962" t="s">
        <v>26</v>
      </c>
      <c r="C6962">
        <v>291000</v>
      </c>
      <c r="D6962">
        <v>15471.7</v>
      </c>
      <c r="E6962">
        <v>3.4599999999999999E-2</v>
      </c>
      <c r="F6962">
        <v>7.5899999999999995E-2</v>
      </c>
    </row>
    <row r="6963" spans="1:6" x14ac:dyDescent="0.3">
      <c r="A6963" t="s">
        <v>6998</v>
      </c>
      <c r="B6963" t="s">
        <v>88</v>
      </c>
      <c r="C6963">
        <v>295000</v>
      </c>
      <c r="D6963">
        <v>716.4</v>
      </c>
      <c r="E6963">
        <v>2.93E-2</v>
      </c>
      <c r="F6963">
        <v>9.5100000000000004E-2</v>
      </c>
    </row>
    <row r="6964" spans="1:6" x14ac:dyDescent="0.3">
      <c r="A6964" t="s">
        <v>6999</v>
      </c>
      <c r="B6964" t="s">
        <v>62</v>
      </c>
      <c r="C6964">
        <v>518000</v>
      </c>
      <c r="D6964">
        <v>3361.6</v>
      </c>
      <c r="E6964">
        <v>3.0200000000000001E-2</v>
      </c>
      <c r="F6964">
        <v>9.5100000000000004E-2</v>
      </c>
    </row>
    <row r="6965" spans="1:6" x14ac:dyDescent="0.3">
      <c r="A6965" t="s">
        <v>7000</v>
      </c>
      <c r="B6965" t="s">
        <v>88</v>
      </c>
      <c r="C6965">
        <v>343000</v>
      </c>
      <c r="D6965">
        <v>544.5</v>
      </c>
      <c r="E6965">
        <v>1.72E-2</v>
      </c>
      <c r="F6965">
        <v>0.2064</v>
      </c>
    </row>
    <row r="6966" spans="1:6" x14ac:dyDescent="0.3">
      <c r="A6966" t="s">
        <v>7001</v>
      </c>
      <c r="B6966" t="s">
        <v>287</v>
      </c>
      <c r="C6966">
        <v>301000</v>
      </c>
      <c r="D6966">
        <v>5416.7</v>
      </c>
      <c r="E6966">
        <v>1.2800000000000001E-2</v>
      </c>
      <c r="F6966">
        <v>5.8500000000000003E-2</v>
      </c>
    </row>
    <row r="6967" spans="1:6" x14ac:dyDescent="0.3">
      <c r="A6967" t="s">
        <v>7002</v>
      </c>
      <c r="B6967" t="s">
        <v>26</v>
      </c>
      <c r="C6967">
        <v>399000</v>
      </c>
      <c r="D6967">
        <v>15657.6</v>
      </c>
      <c r="E6967">
        <v>3.85E-2</v>
      </c>
      <c r="F6967">
        <v>7.5899999999999995E-2</v>
      </c>
    </row>
    <row r="6968" spans="1:6" x14ac:dyDescent="0.3">
      <c r="A6968" t="s">
        <v>7003</v>
      </c>
      <c r="B6968" t="s">
        <v>41</v>
      </c>
      <c r="C6968">
        <v>382000</v>
      </c>
      <c r="D6968">
        <v>9980.7000000000007</v>
      </c>
      <c r="E6968">
        <v>2.6599999999999999E-2</v>
      </c>
      <c r="F6968">
        <v>9.98E-2</v>
      </c>
    </row>
    <row r="6969" spans="1:6" x14ac:dyDescent="0.3">
      <c r="A6969" t="s">
        <v>7004</v>
      </c>
      <c r="B6969" t="s">
        <v>32</v>
      </c>
      <c r="C6969">
        <v>331000</v>
      </c>
      <c r="D6969">
        <v>56113.3</v>
      </c>
      <c r="E6969">
        <v>1.5699999999999999E-2</v>
      </c>
      <c r="F6969">
        <v>5.8500000000000003E-2</v>
      </c>
    </row>
    <row r="6970" spans="1:6" x14ac:dyDescent="0.3">
      <c r="A6970" t="s">
        <v>7005</v>
      </c>
      <c r="B6970" t="s">
        <v>88</v>
      </c>
      <c r="C6970">
        <v>289000</v>
      </c>
      <c r="D6970">
        <v>7477.6</v>
      </c>
      <c r="E6970">
        <v>1.9599999999999999E-2</v>
      </c>
      <c r="F6970">
        <v>0.1067</v>
      </c>
    </row>
    <row r="6971" spans="1:6" x14ac:dyDescent="0.3">
      <c r="A6971" t="s">
        <v>7006</v>
      </c>
      <c r="B6971" t="s">
        <v>92</v>
      </c>
      <c r="C6971">
        <v>299000</v>
      </c>
      <c r="D6971">
        <v>1656.5</v>
      </c>
      <c r="E6971">
        <v>2.8000000000000001E-2</v>
      </c>
      <c r="F6971">
        <v>0.1066</v>
      </c>
    </row>
    <row r="6972" spans="1:6" x14ac:dyDescent="0.3">
      <c r="A6972" t="s">
        <v>7007</v>
      </c>
      <c r="B6972" t="s">
        <v>35</v>
      </c>
      <c r="C6972">
        <v>376000</v>
      </c>
      <c r="D6972">
        <v>1276.2</v>
      </c>
      <c r="E6972">
        <v>3.0000000000000001E-3</v>
      </c>
      <c r="F6972">
        <v>8.2199999999999995E-2</v>
      </c>
    </row>
    <row r="6973" spans="1:6" x14ac:dyDescent="0.3">
      <c r="A6973" t="s">
        <v>7008</v>
      </c>
      <c r="B6973" t="s">
        <v>26</v>
      </c>
      <c r="C6973">
        <v>419000</v>
      </c>
      <c r="D6973">
        <v>20459.2</v>
      </c>
      <c r="E6973">
        <v>7.9500000000000001E-2</v>
      </c>
      <c r="F6973">
        <v>7.5899999999999995E-2</v>
      </c>
    </row>
    <row r="6974" spans="1:6" x14ac:dyDescent="0.3">
      <c r="A6974" t="s">
        <v>7009</v>
      </c>
      <c r="B6974" t="s">
        <v>62</v>
      </c>
      <c r="C6974">
        <v>387000</v>
      </c>
      <c r="D6974">
        <v>10645.7</v>
      </c>
      <c r="E6974">
        <v>4.7600000000000003E-2</v>
      </c>
      <c r="F6974">
        <v>7.5899999999999995E-2</v>
      </c>
    </row>
    <row r="6975" spans="1:6" x14ac:dyDescent="0.3">
      <c r="A6975" t="s">
        <v>7010</v>
      </c>
      <c r="B6975" t="s">
        <v>88</v>
      </c>
      <c r="C6975">
        <v>317000</v>
      </c>
      <c r="D6975">
        <v>424.3</v>
      </c>
      <c r="E6975">
        <v>4.5100000000000001E-2</v>
      </c>
      <c r="F6975">
        <v>0.1241</v>
      </c>
    </row>
    <row r="6976" spans="1:6" x14ac:dyDescent="0.3">
      <c r="A6976" t="s">
        <v>7011</v>
      </c>
      <c r="B6976" t="s">
        <v>24</v>
      </c>
      <c r="C6976">
        <v>304000</v>
      </c>
      <c r="D6976">
        <v>5554.2</v>
      </c>
      <c r="E6976">
        <v>3.7400000000000003E-2</v>
      </c>
      <c r="F6976">
        <v>9.5100000000000004E-2</v>
      </c>
    </row>
    <row r="6977" spans="1:6" x14ac:dyDescent="0.3">
      <c r="A6977" t="s">
        <v>7012</v>
      </c>
      <c r="B6977" t="s">
        <v>21</v>
      </c>
      <c r="C6977">
        <v>330000</v>
      </c>
      <c r="D6977">
        <v>31721.3</v>
      </c>
      <c r="E6977">
        <v>5.1999999999999998E-3</v>
      </c>
      <c r="F6977">
        <v>8.1100000000000005E-2</v>
      </c>
    </row>
    <row r="6978" spans="1:6" x14ac:dyDescent="0.3">
      <c r="A6978" t="s">
        <v>7013</v>
      </c>
      <c r="B6978" t="s">
        <v>50</v>
      </c>
      <c r="C6978">
        <v>309000</v>
      </c>
      <c r="D6978">
        <v>2890.9</v>
      </c>
      <c r="E6978">
        <v>9.7000000000000003E-3</v>
      </c>
      <c r="F6978">
        <v>0.1187</v>
      </c>
    </row>
    <row r="6979" spans="1:6" x14ac:dyDescent="0.3">
      <c r="A6979" t="s">
        <v>7014</v>
      </c>
      <c r="B6979" t="s">
        <v>26</v>
      </c>
      <c r="C6979">
        <v>283000</v>
      </c>
      <c r="D6979">
        <v>450388.5</v>
      </c>
      <c r="E6979">
        <v>7.3599999999999999E-2</v>
      </c>
      <c r="F6979">
        <v>9.5100000000000004E-2</v>
      </c>
    </row>
    <row r="6980" spans="1:6" x14ac:dyDescent="0.3">
      <c r="A6980" t="s">
        <v>7015</v>
      </c>
      <c r="B6980" t="s">
        <v>92</v>
      </c>
      <c r="C6980">
        <v>413000</v>
      </c>
      <c r="D6980">
        <v>59139.5</v>
      </c>
      <c r="E6980">
        <v>2.3199999999999998E-2</v>
      </c>
      <c r="F6980">
        <v>8.5400000000000004E-2</v>
      </c>
    </row>
    <row r="6981" spans="1:6" x14ac:dyDescent="0.3">
      <c r="A6981" t="s">
        <v>7016</v>
      </c>
      <c r="B6981" t="s">
        <v>88</v>
      </c>
      <c r="C6981">
        <v>763000</v>
      </c>
      <c r="D6981">
        <v>141148.9</v>
      </c>
      <c r="E6981">
        <v>6.3299999999999995E-2</v>
      </c>
      <c r="F6981">
        <v>7.5899999999999995E-2</v>
      </c>
    </row>
    <row r="6982" spans="1:6" x14ac:dyDescent="0.3">
      <c r="A6982" t="s">
        <v>7017</v>
      </c>
      <c r="B6982" t="s">
        <v>74</v>
      </c>
      <c r="C6982">
        <v>274000</v>
      </c>
      <c r="D6982">
        <v>2842.8</v>
      </c>
      <c r="E6982">
        <v>0.11990000000000001</v>
      </c>
      <c r="F6982">
        <v>7.5899999999999995E-2</v>
      </c>
    </row>
    <row r="6983" spans="1:6" x14ac:dyDescent="0.3">
      <c r="A6983" t="s">
        <v>7018</v>
      </c>
      <c r="B6983" t="s">
        <v>88</v>
      </c>
      <c r="C6983">
        <v>319000</v>
      </c>
      <c r="D6983">
        <v>68.2</v>
      </c>
      <c r="E6983">
        <v>4.3900000000000002E-2</v>
      </c>
      <c r="F6983">
        <v>9.3799999999999994E-2</v>
      </c>
    </row>
    <row r="6984" spans="1:6" x14ac:dyDescent="0.3">
      <c r="A6984" t="s">
        <v>7019</v>
      </c>
      <c r="B6984" t="s">
        <v>35</v>
      </c>
      <c r="C6984">
        <v>406000</v>
      </c>
      <c r="D6984">
        <v>5802.5</v>
      </c>
      <c r="E6984">
        <v>2.1499999999999998E-2</v>
      </c>
      <c r="F6984">
        <v>8.5400000000000004E-2</v>
      </c>
    </row>
    <row r="6985" spans="1:6" x14ac:dyDescent="0.3">
      <c r="A6985" t="s">
        <v>7020</v>
      </c>
      <c r="B6985" t="s">
        <v>88</v>
      </c>
      <c r="C6985">
        <v>378000</v>
      </c>
      <c r="D6985">
        <v>2527.1</v>
      </c>
      <c r="E6985">
        <v>8.2000000000000007E-3</v>
      </c>
      <c r="F6985">
        <v>8.2199999999999995E-2</v>
      </c>
    </row>
    <row r="6986" spans="1:6" x14ac:dyDescent="0.3">
      <c r="A6986" t="s">
        <v>7021</v>
      </c>
      <c r="B6986" t="s">
        <v>41</v>
      </c>
      <c r="C6986">
        <v>458000</v>
      </c>
      <c r="D6986">
        <v>157.69999999999999</v>
      </c>
      <c r="E6986">
        <v>3.2899999999999999E-2</v>
      </c>
      <c r="F6986">
        <v>0.13589999999999999</v>
      </c>
    </row>
    <row r="6987" spans="1:6" x14ac:dyDescent="0.3">
      <c r="A6987" t="s">
        <v>7022</v>
      </c>
      <c r="B6987" t="s">
        <v>26</v>
      </c>
      <c r="C6987">
        <v>307000</v>
      </c>
      <c r="D6987">
        <v>2808</v>
      </c>
      <c r="E6987">
        <v>2.6700000000000002E-2</v>
      </c>
      <c r="F6987">
        <v>7.5899999999999995E-2</v>
      </c>
    </row>
    <row r="6988" spans="1:6" x14ac:dyDescent="0.3">
      <c r="A6988" t="s">
        <v>7023</v>
      </c>
      <c r="B6988" t="s">
        <v>50</v>
      </c>
      <c r="C6988">
        <v>365000</v>
      </c>
      <c r="D6988">
        <v>371.1</v>
      </c>
      <c r="E6988">
        <v>3.3599999999999998E-2</v>
      </c>
      <c r="F6988">
        <v>9.3799999999999994E-2</v>
      </c>
    </row>
    <row r="6989" spans="1:6" x14ac:dyDescent="0.3">
      <c r="A6989" t="s">
        <v>7024</v>
      </c>
      <c r="B6989" t="s">
        <v>26</v>
      </c>
      <c r="C6989">
        <v>297000</v>
      </c>
      <c r="D6989">
        <v>16145.8</v>
      </c>
      <c r="E6989">
        <v>3.8899999999999997E-2</v>
      </c>
      <c r="F6989">
        <v>5.1799999999999999E-2</v>
      </c>
    </row>
    <row r="6990" spans="1:6" x14ac:dyDescent="0.3">
      <c r="A6990" t="s">
        <v>7025</v>
      </c>
      <c r="B6990" t="s">
        <v>26</v>
      </c>
      <c r="C6990">
        <v>281000</v>
      </c>
      <c r="D6990">
        <v>17755.900000000001</v>
      </c>
      <c r="F6990">
        <v>5.1799999999999999E-2</v>
      </c>
    </row>
    <row r="6991" spans="1:6" x14ac:dyDescent="0.3">
      <c r="A6991" t="s">
        <v>7026</v>
      </c>
      <c r="B6991" t="s">
        <v>41</v>
      </c>
      <c r="C6991">
        <v>413000</v>
      </c>
      <c r="D6991">
        <v>659.2</v>
      </c>
      <c r="E6991">
        <v>1.21E-2</v>
      </c>
      <c r="F6991">
        <v>0.13089999999999999</v>
      </c>
    </row>
    <row r="6992" spans="1:6" x14ac:dyDescent="0.3">
      <c r="A6992" t="s">
        <v>7027</v>
      </c>
      <c r="B6992" t="s">
        <v>26</v>
      </c>
      <c r="C6992">
        <v>348000</v>
      </c>
      <c r="D6992">
        <v>2736</v>
      </c>
      <c r="E6992">
        <v>3.0800000000000001E-2</v>
      </c>
      <c r="F6992">
        <v>9.3799999999999994E-2</v>
      </c>
    </row>
    <row r="6993" spans="1:6" x14ac:dyDescent="0.3">
      <c r="A6993" t="s">
        <v>7028</v>
      </c>
      <c r="B6993" t="s">
        <v>32</v>
      </c>
      <c r="C6993">
        <v>493000</v>
      </c>
      <c r="D6993">
        <v>1508426.3</v>
      </c>
      <c r="E6993">
        <v>1.2200000000000001E-2</v>
      </c>
      <c r="F6993">
        <v>7.3599999999999999E-2</v>
      </c>
    </row>
    <row r="6994" spans="1:6" x14ac:dyDescent="0.3">
      <c r="A6994" t="s">
        <v>7029</v>
      </c>
      <c r="B6994" t="s">
        <v>41</v>
      </c>
      <c r="C6994">
        <v>559000</v>
      </c>
      <c r="D6994">
        <v>7559.5</v>
      </c>
      <c r="E6994">
        <v>2.92E-2</v>
      </c>
      <c r="F6994">
        <v>5.0999999999999997E-2</v>
      </c>
    </row>
    <row r="6995" spans="1:6" x14ac:dyDescent="0.3">
      <c r="A6995" t="s">
        <v>7030</v>
      </c>
      <c r="B6995" t="s">
        <v>26</v>
      </c>
      <c r="C6995">
        <v>286000</v>
      </c>
      <c r="D6995">
        <v>112.3</v>
      </c>
      <c r="E6995">
        <v>1.6899999999999998E-2</v>
      </c>
      <c r="F6995">
        <v>0.2266</v>
      </c>
    </row>
    <row r="6996" spans="1:6" x14ac:dyDescent="0.3">
      <c r="A6996" t="s">
        <v>7031</v>
      </c>
      <c r="B6996" t="s">
        <v>92</v>
      </c>
      <c r="C6996">
        <v>369000</v>
      </c>
      <c r="D6996">
        <v>2205.6</v>
      </c>
      <c r="E6996">
        <v>2.7199999999999998E-2</v>
      </c>
      <c r="F6996">
        <v>9.5100000000000004E-2</v>
      </c>
    </row>
    <row r="6997" spans="1:6" x14ac:dyDescent="0.3">
      <c r="A6997" t="s">
        <v>7032</v>
      </c>
      <c r="B6997" t="s">
        <v>88</v>
      </c>
      <c r="C6997">
        <v>303000</v>
      </c>
      <c r="D6997">
        <v>1215.3</v>
      </c>
      <c r="E6997">
        <v>5.6399999999999999E-2</v>
      </c>
      <c r="F6997">
        <v>7.5899999999999995E-2</v>
      </c>
    </row>
    <row r="6998" spans="1:6" x14ac:dyDescent="0.3">
      <c r="A6998" t="s">
        <v>7033</v>
      </c>
      <c r="B6998" t="s">
        <v>53</v>
      </c>
      <c r="C6998">
        <v>544000</v>
      </c>
      <c r="D6998">
        <v>157358.39999999999</v>
      </c>
      <c r="E6998">
        <v>3.09E-2</v>
      </c>
      <c r="F6998">
        <v>5.1799999999999999E-2</v>
      </c>
    </row>
    <row r="6999" spans="1:6" x14ac:dyDescent="0.3">
      <c r="A6999" t="s">
        <v>7034</v>
      </c>
      <c r="B6999" t="s">
        <v>62</v>
      </c>
      <c r="C6999">
        <v>568000</v>
      </c>
      <c r="D6999">
        <v>201536.4</v>
      </c>
      <c r="E6999">
        <v>2.1600000000000001E-2</v>
      </c>
      <c r="F6999">
        <v>7.5700000000000003E-2</v>
      </c>
    </row>
    <row r="7000" spans="1:6" x14ac:dyDescent="0.3">
      <c r="A7000" t="s">
        <v>7035</v>
      </c>
      <c r="B7000" t="s">
        <v>26</v>
      </c>
      <c r="C7000">
        <v>287000</v>
      </c>
      <c r="D7000">
        <v>6276.5</v>
      </c>
      <c r="E7000">
        <v>4.2299999999999997E-2</v>
      </c>
      <c r="F7000">
        <v>7.5899999999999995E-2</v>
      </c>
    </row>
    <row r="7001" spans="1:6" x14ac:dyDescent="0.3">
      <c r="A7001" t="s">
        <v>7036</v>
      </c>
      <c r="B7001" t="s">
        <v>88</v>
      </c>
      <c r="C7001">
        <v>278000</v>
      </c>
      <c r="D7001">
        <v>41048.800000000003</v>
      </c>
      <c r="E7001">
        <v>5.0099999999999999E-2</v>
      </c>
      <c r="F7001">
        <v>9.5100000000000004E-2</v>
      </c>
    </row>
    <row r="7002" spans="1:6" x14ac:dyDescent="0.3">
      <c r="A7002" t="s">
        <v>7037</v>
      </c>
      <c r="B7002" t="s">
        <v>41</v>
      </c>
      <c r="C7002">
        <v>890000</v>
      </c>
      <c r="D7002">
        <v>730.8</v>
      </c>
      <c r="E7002">
        <v>1.01E-2</v>
      </c>
      <c r="F7002">
        <v>8.1100000000000005E-2</v>
      </c>
    </row>
    <row r="7003" spans="1:6" x14ac:dyDescent="0.3">
      <c r="A7003" t="s">
        <v>7038</v>
      </c>
      <c r="B7003" t="s">
        <v>41</v>
      </c>
      <c r="C7003">
        <v>975000</v>
      </c>
      <c r="D7003">
        <v>1149.2</v>
      </c>
      <c r="E7003">
        <v>4.0899999999999999E-2</v>
      </c>
      <c r="F7003">
        <v>0.15160000000000001</v>
      </c>
    </row>
    <row r="7004" spans="1:6" x14ac:dyDescent="0.3">
      <c r="A7004" t="s">
        <v>7039</v>
      </c>
      <c r="B7004" t="s">
        <v>88</v>
      </c>
      <c r="C7004">
        <v>356000</v>
      </c>
      <c r="D7004">
        <v>540.70000000000005</v>
      </c>
      <c r="E7004">
        <v>0.04</v>
      </c>
      <c r="F7004">
        <v>9.3799999999999994E-2</v>
      </c>
    </row>
    <row r="7005" spans="1:6" x14ac:dyDescent="0.3">
      <c r="A7005" t="s">
        <v>7040</v>
      </c>
      <c r="B7005" t="s">
        <v>88</v>
      </c>
      <c r="C7005">
        <v>344000</v>
      </c>
      <c r="D7005">
        <v>4137.6000000000004</v>
      </c>
      <c r="E7005">
        <v>6.0699999999999997E-2</v>
      </c>
      <c r="F7005">
        <v>9.3799999999999994E-2</v>
      </c>
    </row>
    <row r="7006" spans="1:6" x14ac:dyDescent="0.3">
      <c r="A7006" t="s">
        <v>7041</v>
      </c>
      <c r="B7006" t="s">
        <v>88</v>
      </c>
      <c r="C7006">
        <v>402000</v>
      </c>
      <c r="D7006">
        <v>6440.3</v>
      </c>
      <c r="E7006">
        <v>1.2E-2</v>
      </c>
      <c r="F7006">
        <v>9.1700000000000004E-2</v>
      </c>
    </row>
    <row r="7007" spans="1:6" x14ac:dyDescent="0.3">
      <c r="A7007" t="s">
        <v>7042</v>
      </c>
      <c r="B7007" t="s">
        <v>74</v>
      </c>
      <c r="C7007">
        <v>273000</v>
      </c>
      <c r="D7007">
        <v>1554</v>
      </c>
      <c r="E7007">
        <v>2.5700000000000001E-2</v>
      </c>
      <c r="F7007">
        <v>9.5100000000000004E-2</v>
      </c>
    </row>
    <row r="7008" spans="1:6" x14ac:dyDescent="0.3">
      <c r="A7008" t="s">
        <v>7043</v>
      </c>
      <c r="B7008" t="s">
        <v>26</v>
      </c>
      <c r="C7008">
        <v>308000</v>
      </c>
      <c r="D7008">
        <v>450.3</v>
      </c>
      <c r="E7008">
        <v>2.76E-2</v>
      </c>
      <c r="F7008">
        <v>0.59909999999999997</v>
      </c>
    </row>
    <row r="7009" spans="1:6" x14ac:dyDescent="0.3">
      <c r="A7009" t="s">
        <v>7044</v>
      </c>
      <c r="B7009" t="s">
        <v>81</v>
      </c>
      <c r="C7009">
        <v>317000</v>
      </c>
      <c r="D7009">
        <v>503064.3</v>
      </c>
      <c r="E7009">
        <v>4.6100000000000002E-2</v>
      </c>
      <c r="F7009">
        <v>5.1799999999999999E-2</v>
      </c>
    </row>
    <row r="7010" spans="1:6" x14ac:dyDescent="0.3">
      <c r="A7010" t="s">
        <v>7045</v>
      </c>
      <c r="B7010" t="s">
        <v>26</v>
      </c>
      <c r="C7010">
        <v>263000</v>
      </c>
      <c r="D7010">
        <v>120314.9</v>
      </c>
      <c r="E7010">
        <v>4.6899999999999997E-2</v>
      </c>
      <c r="F7010">
        <v>6.7199999999999996E-2</v>
      </c>
    </row>
    <row r="7011" spans="1:6" x14ac:dyDescent="0.3">
      <c r="A7011" t="s">
        <v>7046</v>
      </c>
      <c r="B7011" t="s">
        <v>74</v>
      </c>
      <c r="C7011">
        <v>443000</v>
      </c>
      <c r="D7011">
        <v>7691.1</v>
      </c>
      <c r="E7011">
        <v>4.9399999999999999E-2</v>
      </c>
      <c r="F7011">
        <v>7.5899999999999995E-2</v>
      </c>
    </row>
    <row r="7012" spans="1:6" x14ac:dyDescent="0.3">
      <c r="A7012" t="s">
        <v>7047</v>
      </c>
      <c r="B7012" t="s">
        <v>53</v>
      </c>
      <c r="C7012">
        <v>282000</v>
      </c>
      <c r="D7012">
        <v>38.200000000000003</v>
      </c>
      <c r="E7012">
        <v>8.0000000000000004E-4</v>
      </c>
      <c r="F7012">
        <v>0.26569999999999999</v>
      </c>
    </row>
    <row r="7013" spans="1:6" x14ac:dyDescent="0.3">
      <c r="A7013" t="s">
        <v>7048</v>
      </c>
      <c r="B7013" t="s">
        <v>26</v>
      </c>
      <c r="C7013">
        <v>415000</v>
      </c>
      <c r="D7013">
        <v>47574.3</v>
      </c>
      <c r="E7013">
        <v>3.4799999999999998E-2</v>
      </c>
      <c r="F7013">
        <v>7.5899999999999995E-2</v>
      </c>
    </row>
    <row r="7014" spans="1:6" x14ac:dyDescent="0.3">
      <c r="A7014" t="s">
        <v>7049</v>
      </c>
      <c r="B7014" t="s">
        <v>26</v>
      </c>
      <c r="C7014">
        <v>277000</v>
      </c>
      <c r="D7014">
        <v>40252.9</v>
      </c>
      <c r="E7014">
        <v>6.9000000000000006E-2</v>
      </c>
      <c r="F7014">
        <v>9.5100000000000004E-2</v>
      </c>
    </row>
    <row r="7015" spans="1:6" x14ac:dyDescent="0.3">
      <c r="A7015" t="s">
        <v>7050</v>
      </c>
      <c r="B7015" t="s">
        <v>26</v>
      </c>
      <c r="C7015">
        <v>299000</v>
      </c>
      <c r="D7015">
        <v>6144.2</v>
      </c>
      <c r="E7015">
        <v>3.6700000000000003E-2</v>
      </c>
      <c r="F7015">
        <v>7.5899999999999995E-2</v>
      </c>
    </row>
    <row r="7016" spans="1:6" x14ac:dyDescent="0.3">
      <c r="A7016" t="s">
        <v>7051</v>
      </c>
      <c r="B7016" t="s">
        <v>92</v>
      </c>
      <c r="C7016">
        <v>343000</v>
      </c>
      <c r="D7016">
        <v>8837.6</v>
      </c>
      <c r="E7016">
        <v>3.0200000000000001E-2</v>
      </c>
      <c r="F7016">
        <v>9.5100000000000004E-2</v>
      </c>
    </row>
    <row r="7017" spans="1:6" x14ac:dyDescent="0.3">
      <c r="A7017" t="s">
        <v>7052</v>
      </c>
      <c r="B7017" t="s">
        <v>214</v>
      </c>
      <c r="C7017">
        <v>309000</v>
      </c>
      <c r="D7017">
        <v>85189.1</v>
      </c>
      <c r="E7017">
        <v>4.0399999999999998E-2</v>
      </c>
      <c r="F7017">
        <v>0.1535</v>
      </c>
    </row>
    <row r="7018" spans="1:6" x14ac:dyDescent="0.3">
      <c r="A7018" t="s">
        <v>7053</v>
      </c>
      <c r="B7018" t="s">
        <v>53</v>
      </c>
      <c r="C7018">
        <v>398000</v>
      </c>
      <c r="D7018">
        <v>163.9</v>
      </c>
      <c r="F7018">
        <v>7.5899999999999995E-2</v>
      </c>
    </row>
    <row r="7019" spans="1:6" x14ac:dyDescent="0.3">
      <c r="A7019" t="s">
        <v>7054</v>
      </c>
      <c r="B7019" t="s">
        <v>41</v>
      </c>
      <c r="C7019">
        <v>302000</v>
      </c>
      <c r="D7019">
        <v>7525.3</v>
      </c>
      <c r="F7019">
        <v>5.1799999999999999E-2</v>
      </c>
    </row>
    <row r="7020" spans="1:6" x14ac:dyDescent="0.3">
      <c r="A7020" t="s">
        <v>7055</v>
      </c>
      <c r="B7020" t="s">
        <v>62</v>
      </c>
      <c r="C7020">
        <v>292000</v>
      </c>
      <c r="D7020">
        <v>15764.8</v>
      </c>
      <c r="E7020">
        <v>3.73E-2</v>
      </c>
      <c r="F7020">
        <v>7.5899999999999995E-2</v>
      </c>
    </row>
    <row r="7021" spans="1:6" x14ac:dyDescent="0.3">
      <c r="A7021" t="s">
        <v>7056</v>
      </c>
      <c r="B7021" t="s">
        <v>88</v>
      </c>
      <c r="C7021">
        <v>313000</v>
      </c>
      <c r="D7021">
        <v>938.4</v>
      </c>
      <c r="E7021">
        <v>0.10050000000000001</v>
      </c>
      <c r="F7021">
        <v>5.1799999999999999E-2</v>
      </c>
    </row>
    <row r="7022" spans="1:6" x14ac:dyDescent="0.3">
      <c r="A7022" t="s">
        <v>7057</v>
      </c>
      <c r="B7022" t="s">
        <v>41</v>
      </c>
      <c r="C7022">
        <v>307000</v>
      </c>
      <c r="D7022">
        <v>749.1</v>
      </c>
      <c r="E7022">
        <v>3.1800000000000002E-2</v>
      </c>
      <c r="F7022">
        <v>9.5100000000000004E-2</v>
      </c>
    </row>
    <row r="7023" spans="1:6" x14ac:dyDescent="0.3">
      <c r="A7023" t="s">
        <v>7058</v>
      </c>
      <c r="B7023" t="s">
        <v>26</v>
      </c>
      <c r="C7023">
        <v>304000</v>
      </c>
      <c r="D7023">
        <v>865.7</v>
      </c>
      <c r="E7023">
        <v>2.18E-2</v>
      </c>
      <c r="F7023">
        <v>0.13250000000000001</v>
      </c>
    </row>
    <row r="7024" spans="1:6" x14ac:dyDescent="0.3">
      <c r="A7024" t="s">
        <v>7059</v>
      </c>
      <c r="B7024" t="s">
        <v>74</v>
      </c>
      <c r="C7024">
        <v>368000</v>
      </c>
      <c r="D7024">
        <v>1407.2</v>
      </c>
      <c r="E7024">
        <v>4.24E-2</v>
      </c>
      <c r="F7024">
        <v>7.5899999999999995E-2</v>
      </c>
    </row>
    <row r="7025" spans="1:6" x14ac:dyDescent="0.3">
      <c r="A7025" t="s">
        <v>7060</v>
      </c>
      <c r="B7025" t="s">
        <v>92</v>
      </c>
      <c r="C7025">
        <v>530000</v>
      </c>
      <c r="D7025">
        <v>27571.200000000001</v>
      </c>
      <c r="E7025">
        <v>1.41E-2</v>
      </c>
      <c r="F7025">
        <v>7.3599999999999999E-2</v>
      </c>
    </row>
    <row r="7026" spans="1:6" x14ac:dyDescent="0.3">
      <c r="A7026" t="s">
        <v>7061</v>
      </c>
      <c r="B7026" t="s">
        <v>195</v>
      </c>
      <c r="C7026">
        <v>620000</v>
      </c>
      <c r="D7026">
        <v>1145.5</v>
      </c>
      <c r="E7026">
        <v>1.9900000000000001E-2</v>
      </c>
      <c r="F7026">
        <v>0.2064</v>
      </c>
    </row>
    <row r="7027" spans="1:6" x14ac:dyDescent="0.3">
      <c r="A7027" t="s">
        <v>7062</v>
      </c>
      <c r="B7027" t="s">
        <v>32</v>
      </c>
      <c r="C7027">
        <v>293000</v>
      </c>
      <c r="D7027">
        <v>113.6</v>
      </c>
      <c r="E7027">
        <v>5.4399999999999997E-2</v>
      </c>
      <c r="F7027">
        <v>7.5899999999999995E-2</v>
      </c>
    </row>
    <row r="7028" spans="1:6" x14ac:dyDescent="0.3">
      <c r="A7028" t="s">
        <v>7063</v>
      </c>
      <c r="B7028" t="s">
        <v>26</v>
      </c>
      <c r="C7028">
        <v>355000</v>
      </c>
      <c r="D7028">
        <v>19989.099999999999</v>
      </c>
      <c r="E7028">
        <v>8.0100000000000005E-2</v>
      </c>
      <c r="F7028">
        <v>7.5899999999999995E-2</v>
      </c>
    </row>
    <row r="7029" spans="1:6" x14ac:dyDescent="0.3">
      <c r="A7029" t="s">
        <v>7064</v>
      </c>
      <c r="B7029" t="s">
        <v>88</v>
      </c>
      <c r="C7029">
        <v>301000</v>
      </c>
      <c r="D7029">
        <v>1943.2</v>
      </c>
      <c r="E7029">
        <v>3.73E-2</v>
      </c>
      <c r="F7029">
        <v>0.11700000000000001</v>
      </c>
    </row>
    <row r="7030" spans="1:6" x14ac:dyDescent="0.3">
      <c r="A7030" t="s">
        <v>7065</v>
      </c>
      <c r="B7030" t="s">
        <v>74</v>
      </c>
      <c r="C7030">
        <v>502000</v>
      </c>
      <c r="D7030">
        <v>1029.4000000000001</v>
      </c>
      <c r="E7030">
        <v>3.4700000000000002E-2</v>
      </c>
      <c r="F7030">
        <v>9.3799999999999994E-2</v>
      </c>
    </row>
    <row r="7031" spans="1:6" x14ac:dyDescent="0.3">
      <c r="A7031" t="s">
        <v>7066</v>
      </c>
      <c r="B7031" t="s">
        <v>92</v>
      </c>
      <c r="C7031">
        <v>300000</v>
      </c>
      <c r="D7031">
        <v>2735.4</v>
      </c>
      <c r="E7031">
        <v>2.9499999999999998E-2</v>
      </c>
      <c r="F7031">
        <v>9.98E-2</v>
      </c>
    </row>
    <row r="7032" spans="1:6" x14ac:dyDescent="0.3">
      <c r="A7032" t="s">
        <v>7067</v>
      </c>
      <c r="B7032" t="s">
        <v>50</v>
      </c>
      <c r="C7032">
        <v>543000</v>
      </c>
      <c r="D7032">
        <v>424028.5</v>
      </c>
      <c r="E7032">
        <v>3.8399999999999997E-2</v>
      </c>
      <c r="F7032">
        <v>7.5899999999999995E-2</v>
      </c>
    </row>
    <row r="7033" spans="1:6" x14ac:dyDescent="0.3">
      <c r="A7033" t="s">
        <v>7068</v>
      </c>
      <c r="B7033" t="s">
        <v>26</v>
      </c>
      <c r="C7033">
        <v>361000</v>
      </c>
      <c r="D7033">
        <v>1481</v>
      </c>
      <c r="E7033">
        <v>3.3000000000000002E-2</v>
      </c>
      <c r="F7033">
        <v>9.3799999999999994E-2</v>
      </c>
    </row>
    <row r="7034" spans="1:6" x14ac:dyDescent="0.3">
      <c r="A7034" t="s">
        <v>7069</v>
      </c>
      <c r="B7034" t="s">
        <v>88</v>
      </c>
      <c r="C7034">
        <v>368000</v>
      </c>
      <c r="D7034">
        <v>3081.6</v>
      </c>
      <c r="E7034">
        <v>2.63E-2</v>
      </c>
      <c r="F7034">
        <v>7.5899999999999995E-2</v>
      </c>
    </row>
    <row r="7035" spans="1:6" x14ac:dyDescent="0.3">
      <c r="A7035" t="s">
        <v>7070</v>
      </c>
      <c r="B7035" t="s">
        <v>88</v>
      </c>
      <c r="C7035">
        <v>514000</v>
      </c>
      <c r="D7035">
        <v>358.3</v>
      </c>
      <c r="E7035">
        <v>8.3199999999999996E-2</v>
      </c>
      <c r="F7035">
        <v>9.3799999999999994E-2</v>
      </c>
    </row>
    <row r="7036" spans="1:6" x14ac:dyDescent="0.3">
      <c r="A7036" t="s">
        <v>7071</v>
      </c>
      <c r="B7036" t="s">
        <v>24</v>
      </c>
      <c r="C7036">
        <v>396000</v>
      </c>
      <c r="D7036">
        <v>3864.6</v>
      </c>
      <c r="E7036">
        <v>4.7500000000000001E-2</v>
      </c>
      <c r="F7036">
        <v>9.3799999999999994E-2</v>
      </c>
    </row>
    <row r="7037" spans="1:6" x14ac:dyDescent="0.3">
      <c r="A7037" t="s">
        <v>7072</v>
      </c>
      <c r="B7037" t="s">
        <v>287</v>
      </c>
      <c r="C7037">
        <v>435000</v>
      </c>
      <c r="D7037">
        <v>451806.9</v>
      </c>
      <c r="E7037">
        <v>1.8200000000000001E-2</v>
      </c>
      <c r="F7037">
        <v>8.5400000000000004E-2</v>
      </c>
    </row>
    <row r="7038" spans="1:6" x14ac:dyDescent="0.3">
      <c r="A7038" t="s">
        <v>7073</v>
      </c>
      <c r="B7038" t="s">
        <v>88</v>
      </c>
      <c r="C7038">
        <v>362000</v>
      </c>
      <c r="D7038">
        <v>1057.9000000000001</v>
      </c>
      <c r="E7038">
        <v>3.7999999999999999E-2</v>
      </c>
      <c r="F7038">
        <v>7.5899999999999995E-2</v>
      </c>
    </row>
    <row r="7039" spans="1:6" x14ac:dyDescent="0.3">
      <c r="A7039" t="s">
        <v>7074</v>
      </c>
      <c r="B7039" t="s">
        <v>62</v>
      </c>
      <c r="C7039">
        <v>457000</v>
      </c>
      <c r="D7039">
        <v>28395.4</v>
      </c>
      <c r="E7039">
        <v>4.1700000000000001E-2</v>
      </c>
      <c r="F7039">
        <v>9.5100000000000004E-2</v>
      </c>
    </row>
    <row r="7040" spans="1:6" x14ac:dyDescent="0.3">
      <c r="A7040" t="s">
        <v>7075</v>
      </c>
      <c r="B7040" t="s">
        <v>88</v>
      </c>
      <c r="C7040">
        <v>333000</v>
      </c>
      <c r="D7040">
        <v>406.7</v>
      </c>
      <c r="E7040">
        <v>4.0800000000000003E-2</v>
      </c>
      <c r="F7040">
        <v>9.5000000000000001E-2</v>
      </c>
    </row>
    <row r="7041" spans="1:6" x14ac:dyDescent="0.3">
      <c r="A7041" t="s">
        <v>7076</v>
      </c>
      <c r="B7041" t="s">
        <v>24</v>
      </c>
      <c r="C7041">
        <v>379000</v>
      </c>
      <c r="D7041">
        <v>6100.1</v>
      </c>
      <c r="E7041">
        <v>9.5200000000000007E-2</v>
      </c>
      <c r="F7041">
        <v>0.44829999999999998</v>
      </c>
    </row>
    <row r="7042" spans="1:6" x14ac:dyDescent="0.3">
      <c r="A7042" t="s">
        <v>7077</v>
      </c>
      <c r="B7042" t="s">
        <v>88</v>
      </c>
      <c r="C7042">
        <v>275000</v>
      </c>
      <c r="D7042">
        <v>1570.8</v>
      </c>
      <c r="E7042">
        <v>4.3299999999999998E-2</v>
      </c>
      <c r="F7042">
        <v>0.11700000000000001</v>
      </c>
    </row>
    <row r="7043" spans="1:6" x14ac:dyDescent="0.3">
      <c r="A7043" t="s">
        <v>7078</v>
      </c>
      <c r="B7043" t="s">
        <v>24</v>
      </c>
      <c r="C7043">
        <v>361000</v>
      </c>
      <c r="D7043">
        <v>1127.0999999999999</v>
      </c>
      <c r="E7043">
        <v>1.04E-2</v>
      </c>
      <c r="F7043">
        <v>7.2599999999999998E-2</v>
      </c>
    </row>
    <row r="7044" spans="1:6" x14ac:dyDescent="0.3">
      <c r="A7044" t="s">
        <v>7079</v>
      </c>
      <c r="B7044" t="s">
        <v>287</v>
      </c>
      <c r="C7044">
        <v>376000</v>
      </c>
      <c r="D7044">
        <v>1344</v>
      </c>
      <c r="E7044">
        <v>1.15E-2</v>
      </c>
      <c r="F7044">
        <v>8.1100000000000005E-2</v>
      </c>
    </row>
    <row r="7045" spans="1:6" x14ac:dyDescent="0.3">
      <c r="A7045" t="s">
        <v>7080</v>
      </c>
      <c r="B7045" t="s">
        <v>41</v>
      </c>
      <c r="C7045">
        <v>361000</v>
      </c>
      <c r="D7045">
        <v>3061.2</v>
      </c>
      <c r="E7045">
        <v>2.75E-2</v>
      </c>
      <c r="F7045">
        <v>0.62709999999999999</v>
      </c>
    </row>
    <row r="7046" spans="1:6" x14ac:dyDescent="0.3">
      <c r="A7046" t="s">
        <v>7081</v>
      </c>
      <c r="B7046" t="s">
        <v>24</v>
      </c>
      <c r="C7046">
        <v>348000</v>
      </c>
      <c r="D7046">
        <v>7160.5</v>
      </c>
      <c r="E7046">
        <v>8.43E-2</v>
      </c>
      <c r="F7046">
        <v>7.5899999999999995E-2</v>
      </c>
    </row>
    <row r="7047" spans="1:6" x14ac:dyDescent="0.3">
      <c r="A7047" t="s">
        <v>7082</v>
      </c>
      <c r="B7047" t="s">
        <v>26</v>
      </c>
      <c r="C7047">
        <v>513000</v>
      </c>
      <c r="D7047">
        <v>185015.1</v>
      </c>
      <c r="E7047">
        <v>0.01</v>
      </c>
      <c r="F7047">
        <v>6.54E-2</v>
      </c>
    </row>
    <row r="7048" spans="1:6" x14ac:dyDescent="0.3">
      <c r="A7048" t="s">
        <v>7083</v>
      </c>
      <c r="B7048" t="s">
        <v>81</v>
      </c>
      <c r="C7048">
        <v>316000</v>
      </c>
      <c r="D7048">
        <v>3160.5</v>
      </c>
      <c r="E7048">
        <v>1.95E-2</v>
      </c>
      <c r="F7048">
        <v>0.187</v>
      </c>
    </row>
    <row r="7049" spans="1:6" x14ac:dyDescent="0.3">
      <c r="A7049" t="s">
        <v>7084</v>
      </c>
      <c r="B7049" t="s">
        <v>26</v>
      </c>
      <c r="C7049">
        <v>334000</v>
      </c>
      <c r="D7049">
        <v>4788.7</v>
      </c>
      <c r="E7049">
        <v>1.9800000000000002E-2</v>
      </c>
      <c r="F7049">
        <v>8.5400000000000004E-2</v>
      </c>
    </row>
    <row r="7050" spans="1:6" x14ac:dyDescent="0.3">
      <c r="A7050" t="s">
        <v>7085</v>
      </c>
      <c r="B7050" t="s">
        <v>53</v>
      </c>
      <c r="C7050">
        <v>275000</v>
      </c>
      <c r="D7050">
        <v>2620.3000000000002</v>
      </c>
      <c r="E7050">
        <v>7.3599999999999999E-2</v>
      </c>
      <c r="F7050">
        <v>9.5100000000000004E-2</v>
      </c>
    </row>
    <row r="7051" spans="1:6" x14ac:dyDescent="0.3">
      <c r="A7051" t="s">
        <v>7086</v>
      </c>
      <c r="B7051" t="s">
        <v>26</v>
      </c>
      <c r="C7051">
        <v>1580000</v>
      </c>
      <c r="D7051">
        <v>46131.1</v>
      </c>
      <c r="E7051">
        <v>1.3299999999999999E-2</v>
      </c>
      <c r="F7051">
        <v>5.7599999999999998E-2</v>
      </c>
    </row>
    <row r="7052" spans="1:6" x14ac:dyDescent="0.3">
      <c r="A7052" t="s">
        <v>7087</v>
      </c>
      <c r="B7052" t="s">
        <v>92</v>
      </c>
      <c r="C7052">
        <v>279000</v>
      </c>
      <c r="D7052">
        <v>3603.4</v>
      </c>
      <c r="E7052">
        <v>2.4299999999999999E-2</v>
      </c>
      <c r="F7052">
        <v>0.13250000000000001</v>
      </c>
    </row>
    <row r="7053" spans="1:6" x14ac:dyDescent="0.3">
      <c r="A7053" t="s">
        <v>7088</v>
      </c>
      <c r="B7053" t="s">
        <v>62</v>
      </c>
      <c r="C7053">
        <v>1660000</v>
      </c>
      <c r="D7053">
        <v>280009.90000000002</v>
      </c>
      <c r="E7053">
        <v>1.7500000000000002E-2</v>
      </c>
      <c r="F7053">
        <v>5.7599999999999998E-2</v>
      </c>
    </row>
    <row r="7054" spans="1:6" x14ac:dyDescent="0.3">
      <c r="A7054" t="s">
        <v>7089</v>
      </c>
      <c r="B7054" t="s">
        <v>88</v>
      </c>
      <c r="C7054">
        <v>275000</v>
      </c>
      <c r="D7054">
        <v>199.4</v>
      </c>
      <c r="E7054">
        <v>6.1699999999999998E-2</v>
      </c>
      <c r="F7054">
        <v>0.11700000000000001</v>
      </c>
    </row>
    <row r="7055" spans="1:6" x14ac:dyDescent="0.3">
      <c r="A7055" t="s">
        <v>7090</v>
      </c>
      <c r="B7055" t="s">
        <v>24</v>
      </c>
      <c r="C7055">
        <v>342000</v>
      </c>
      <c r="D7055">
        <v>2179.4</v>
      </c>
      <c r="E7055">
        <v>7.51E-2</v>
      </c>
      <c r="F7055">
        <v>9.3799999999999994E-2</v>
      </c>
    </row>
    <row r="7056" spans="1:6" x14ac:dyDescent="0.3">
      <c r="A7056" t="s">
        <v>7091</v>
      </c>
      <c r="B7056" t="s">
        <v>287</v>
      </c>
      <c r="C7056">
        <v>405000</v>
      </c>
      <c r="D7056">
        <v>16356.7</v>
      </c>
      <c r="E7056">
        <v>7.7999999999999996E-3</v>
      </c>
      <c r="F7056">
        <v>0.1187</v>
      </c>
    </row>
    <row r="7057" spans="1:6" x14ac:dyDescent="0.3">
      <c r="A7057" t="s">
        <v>7092</v>
      </c>
      <c r="B7057" t="s">
        <v>74</v>
      </c>
      <c r="C7057">
        <v>319000</v>
      </c>
      <c r="D7057">
        <v>3479.9</v>
      </c>
      <c r="E7057">
        <v>3.3399999999999999E-2</v>
      </c>
      <c r="F7057">
        <v>7.5899999999999995E-2</v>
      </c>
    </row>
    <row r="7058" spans="1:6" x14ac:dyDescent="0.3">
      <c r="A7058" t="s">
        <v>7093</v>
      </c>
      <c r="B7058" t="s">
        <v>214</v>
      </c>
      <c r="C7058">
        <v>457000</v>
      </c>
      <c r="D7058">
        <v>12265.8</v>
      </c>
      <c r="E7058">
        <v>6.6E-3</v>
      </c>
      <c r="F7058">
        <v>6.54E-2</v>
      </c>
    </row>
    <row r="7059" spans="1:6" x14ac:dyDescent="0.3">
      <c r="A7059" t="s">
        <v>7094</v>
      </c>
      <c r="B7059" t="s">
        <v>71</v>
      </c>
      <c r="C7059">
        <v>364000</v>
      </c>
      <c r="D7059">
        <v>32134.3</v>
      </c>
      <c r="E7059">
        <v>3.5999999999999997E-2</v>
      </c>
      <c r="F7059">
        <v>7.5899999999999995E-2</v>
      </c>
    </row>
    <row r="7060" spans="1:6" x14ac:dyDescent="0.3">
      <c r="A7060" t="s">
        <v>7095</v>
      </c>
      <c r="B7060" t="s">
        <v>26</v>
      </c>
      <c r="C7060">
        <v>287000</v>
      </c>
      <c r="D7060">
        <v>143</v>
      </c>
      <c r="E7060">
        <v>2.75E-2</v>
      </c>
      <c r="F7060">
        <v>9.5100000000000004E-2</v>
      </c>
    </row>
    <row r="7061" spans="1:6" x14ac:dyDescent="0.3">
      <c r="A7061" t="s">
        <v>7096</v>
      </c>
      <c r="B7061" t="s">
        <v>92</v>
      </c>
      <c r="C7061">
        <v>277000</v>
      </c>
      <c r="D7061">
        <v>158.5</v>
      </c>
      <c r="E7061">
        <v>3.0099999999999998E-2</v>
      </c>
      <c r="F7061">
        <v>9.5100000000000004E-2</v>
      </c>
    </row>
    <row r="7062" spans="1:6" x14ac:dyDescent="0.3">
      <c r="A7062" t="s">
        <v>7097</v>
      </c>
      <c r="B7062" t="s">
        <v>26</v>
      </c>
      <c r="C7062">
        <v>375000</v>
      </c>
      <c r="D7062">
        <v>20563.2</v>
      </c>
      <c r="E7062">
        <v>6.6100000000000006E-2</v>
      </c>
      <c r="F7062">
        <v>9.3799999999999994E-2</v>
      </c>
    </row>
    <row r="7063" spans="1:6" x14ac:dyDescent="0.3">
      <c r="A7063" t="s">
        <v>7098</v>
      </c>
      <c r="B7063" t="s">
        <v>88</v>
      </c>
      <c r="C7063">
        <v>350000</v>
      </c>
      <c r="D7063">
        <v>10113.200000000001</v>
      </c>
      <c r="E7063">
        <v>6.2100000000000002E-2</v>
      </c>
      <c r="F7063">
        <v>9.3799999999999994E-2</v>
      </c>
    </row>
    <row r="7064" spans="1:6" x14ac:dyDescent="0.3">
      <c r="A7064" t="s">
        <v>7099</v>
      </c>
      <c r="B7064" t="s">
        <v>26</v>
      </c>
      <c r="C7064">
        <v>344000</v>
      </c>
      <c r="D7064">
        <v>160692.70000000001</v>
      </c>
      <c r="E7064">
        <v>3.2599999999999997E-2</v>
      </c>
      <c r="F7064">
        <v>7.5899999999999995E-2</v>
      </c>
    </row>
    <row r="7065" spans="1:6" x14ac:dyDescent="0.3">
      <c r="A7065" t="s">
        <v>7100</v>
      </c>
      <c r="B7065" t="s">
        <v>88</v>
      </c>
      <c r="C7065">
        <v>557000</v>
      </c>
      <c r="D7065">
        <v>3620</v>
      </c>
      <c r="E7065">
        <v>7.1199999999999999E-2</v>
      </c>
      <c r="F7065">
        <v>9.3799999999999994E-2</v>
      </c>
    </row>
    <row r="7066" spans="1:6" x14ac:dyDescent="0.3">
      <c r="A7066" t="s">
        <v>7101</v>
      </c>
      <c r="B7066" t="s">
        <v>26</v>
      </c>
      <c r="C7066">
        <v>330000</v>
      </c>
      <c r="D7066">
        <v>25347.1</v>
      </c>
      <c r="E7066">
        <v>4.1000000000000003E-3</v>
      </c>
      <c r="F7066">
        <v>6.54E-2</v>
      </c>
    </row>
    <row r="7067" spans="1:6" x14ac:dyDescent="0.3">
      <c r="A7067" t="s">
        <v>7102</v>
      </c>
      <c r="B7067" t="s">
        <v>214</v>
      </c>
      <c r="C7067">
        <v>372000</v>
      </c>
      <c r="D7067">
        <v>593.20000000000005</v>
      </c>
      <c r="E7067">
        <v>1.8800000000000001E-2</v>
      </c>
      <c r="F7067">
        <v>8.5400000000000004E-2</v>
      </c>
    </row>
    <row r="7068" spans="1:6" x14ac:dyDescent="0.3">
      <c r="A7068" t="s">
        <v>7103</v>
      </c>
      <c r="B7068" t="s">
        <v>53</v>
      </c>
      <c r="C7068">
        <v>306000</v>
      </c>
      <c r="D7068">
        <v>6348.6</v>
      </c>
      <c r="E7068">
        <v>2.7000000000000001E-3</v>
      </c>
      <c r="F7068">
        <v>8.2199999999999995E-2</v>
      </c>
    </row>
    <row r="7069" spans="1:6" x14ac:dyDescent="0.3">
      <c r="A7069" t="s">
        <v>7104</v>
      </c>
      <c r="B7069" t="s">
        <v>88</v>
      </c>
      <c r="C7069">
        <v>348000</v>
      </c>
      <c r="D7069">
        <v>7910.3</v>
      </c>
      <c r="E7069">
        <v>0.1038</v>
      </c>
      <c r="F7069">
        <v>9.3799999999999994E-2</v>
      </c>
    </row>
    <row r="7070" spans="1:6" x14ac:dyDescent="0.3">
      <c r="A7070" t="s">
        <v>7105</v>
      </c>
      <c r="B7070" t="s">
        <v>88</v>
      </c>
      <c r="C7070">
        <v>282000</v>
      </c>
      <c r="D7070">
        <v>321.10000000000002</v>
      </c>
      <c r="E7070">
        <v>3.15E-2</v>
      </c>
      <c r="F7070">
        <v>7.5899999999999995E-2</v>
      </c>
    </row>
    <row r="7071" spans="1:6" x14ac:dyDescent="0.3">
      <c r="A7071" t="s">
        <v>7106</v>
      </c>
      <c r="B7071" t="s">
        <v>195</v>
      </c>
      <c r="C7071">
        <v>285000</v>
      </c>
      <c r="D7071">
        <v>16051.6</v>
      </c>
      <c r="E7071">
        <v>3.9399999999999998E-2</v>
      </c>
      <c r="F7071">
        <v>9.3799999999999994E-2</v>
      </c>
    </row>
    <row r="7072" spans="1:6" x14ac:dyDescent="0.3">
      <c r="A7072" t="s">
        <v>7107</v>
      </c>
      <c r="B7072" t="s">
        <v>287</v>
      </c>
      <c r="C7072">
        <v>277000</v>
      </c>
      <c r="D7072">
        <v>3889.5</v>
      </c>
      <c r="E7072">
        <v>3.5499999999999997E-2</v>
      </c>
      <c r="F7072">
        <v>0.30099999999999999</v>
      </c>
    </row>
    <row r="7073" spans="1:6" x14ac:dyDescent="0.3">
      <c r="A7073" t="s">
        <v>7108</v>
      </c>
      <c r="B7073" t="s">
        <v>26</v>
      </c>
      <c r="C7073">
        <v>366000</v>
      </c>
      <c r="D7073">
        <v>12744.7</v>
      </c>
      <c r="E7073">
        <v>6.6000000000000003E-2</v>
      </c>
      <c r="F7073">
        <v>5.0999999999999997E-2</v>
      </c>
    </row>
    <row r="7074" spans="1:6" x14ac:dyDescent="0.3">
      <c r="A7074" t="s">
        <v>7109</v>
      </c>
      <c r="B7074" t="s">
        <v>26</v>
      </c>
      <c r="C7074">
        <v>518000</v>
      </c>
      <c r="D7074">
        <v>94033.1</v>
      </c>
      <c r="E7074">
        <v>1.9099999999999999E-2</v>
      </c>
      <c r="F7074">
        <v>4.6199999999999998E-2</v>
      </c>
    </row>
    <row r="7075" spans="1:6" x14ac:dyDescent="0.3">
      <c r="A7075" t="s">
        <v>7110</v>
      </c>
      <c r="B7075" t="s">
        <v>81</v>
      </c>
      <c r="C7075">
        <v>281000</v>
      </c>
      <c r="D7075">
        <v>135615.29999999999</v>
      </c>
      <c r="E7075">
        <v>5.7700000000000001E-2</v>
      </c>
      <c r="F7075">
        <v>5.1799999999999999E-2</v>
      </c>
    </row>
    <row r="7076" spans="1:6" x14ac:dyDescent="0.3">
      <c r="A7076" t="s">
        <v>7111</v>
      </c>
      <c r="B7076" t="s">
        <v>88</v>
      </c>
      <c r="C7076">
        <v>292000</v>
      </c>
      <c r="D7076">
        <v>548.5</v>
      </c>
      <c r="E7076">
        <v>1.34E-2</v>
      </c>
      <c r="F7076">
        <v>6.8199999999999997E-2</v>
      </c>
    </row>
    <row r="7077" spans="1:6" x14ac:dyDescent="0.3">
      <c r="A7077" t="s">
        <v>7112</v>
      </c>
      <c r="B7077" t="s">
        <v>32</v>
      </c>
      <c r="C7077">
        <v>390000</v>
      </c>
      <c r="D7077">
        <v>3817.5</v>
      </c>
      <c r="E7077">
        <v>1.52E-2</v>
      </c>
      <c r="F7077">
        <v>5.8500000000000003E-2</v>
      </c>
    </row>
    <row r="7078" spans="1:6" x14ac:dyDescent="0.3">
      <c r="A7078" t="s">
        <v>7113</v>
      </c>
      <c r="B7078" t="s">
        <v>35</v>
      </c>
      <c r="C7078">
        <v>353000</v>
      </c>
      <c r="D7078">
        <v>10.4</v>
      </c>
      <c r="E7078">
        <v>5.2999999999999999E-2</v>
      </c>
      <c r="F7078">
        <v>0.24099999999999999</v>
      </c>
    </row>
    <row r="7079" spans="1:6" x14ac:dyDescent="0.3">
      <c r="A7079" t="s">
        <v>7114</v>
      </c>
      <c r="B7079" t="s">
        <v>214</v>
      </c>
      <c r="C7079">
        <v>401000</v>
      </c>
      <c r="D7079">
        <v>1377.6</v>
      </c>
      <c r="E7079">
        <v>2.3300000000000001E-2</v>
      </c>
      <c r="F7079">
        <v>7.5899999999999995E-2</v>
      </c>
    </row>
    <row r="7080" spans="1:6" x14ac:dyDescent="0.3">
      <c r="A7080" t="s">
        <v>7115</v>
      </c>
      <c r="B7080" t="s">
        <v>92</v>
      </c>
      <c r="C7080">
        <v>355000</v>
      </c>
      <c r="D7080">
        <v>17322.5</v>
      </c>
      <c r="E7080">
        <v>1.9800000000000002E-2</v>
      </c>
      <c r="F7080">
        <v>7.5899999999999995E-2</v>
      </c>
    </row>
    <row r="7081" spans="1:6" x14ac:dyDescent="0.3">
      <c r="A7081" t="s">
        <v>7116</v>
      </c>
      <c r="B7081" t="s">
        <v>92</v>
      </c>
      <c r="C7081">
        <v>286000</v>
      </c>
      <c r="D7081">
        <v>6672.3</v>
      </c>
      <c r="E7081">
        <v>1.5100000000000001E-2</v>
      </c>
      <c r="F7081">
        <v>0.1067</v>
      </c>
    </row>
    <row r="7082" spans="1:6" x14ac:dyDescent="0.3">
      <c r="A7082" t="s">
        <v>7117</v>
      </c>
      <c r="B7082" t="s">
        <v>24</v>
      </c>
      <c r="C7082">
        <v>376000</v>
      </c>
      <c r="D7082">
        <v>7639.1</v>
      </c>
      <c r="E7082">
        <v>2.7900000000000001E-2</v>
      </c>
      <c r="F7082">
        <v>7.5899999999999995E-2</v>
      </c>
    </row>
    <row r="7083" spans="1:6" x14ac:dyDescent="0.3">
      <c r="A7083" t="s">
        <v>7118</v>
      </c>
      <c r="B7083" t="s">
        <v>41</v>
      </c>
      <c r="C7083">
        <v>303000</v>
      </c>
      <c r="D7083">
        <v>887.1</v>
      </c>
      <c r="E7083">
        <v>1.24E-2</v>
      </c>
      <c r="F7083">
        <v>5.1999999999999998E-2</v>
      </c>
    </row>
    <row r="7084" spans="1:6" x14ac:dyDescent="0.3">
      <c r="A7084" t="s">
        <v>7119</v>
      </c>
      <c r="B7084" t="s">
        <v>26</v>
      </c>
      <c r="C7084">
        <v>319000</v>
      </c>
      <c r="D7084">
        <v>30025.4</v>
      </c>
      <c r="E7084">
        <v>1.9400000000000001E-2</v>
      </c>
      <c r="F7084">
        <v>0.1067</v>
      </c>
    </row>
    <row r="7085" spans="1:6" x14ac:dyDescent="0.3">
      <c r="A7085" t="s">
        <v>7120</v>
      </c>
      <c r="B7085" t="s">
        <v>26</v>
      </c>
      <c r="C7085">
        <v>402000</v>
      </c>
      <c r="D7085">
        <v>112921</v>
      </c>
      <c r="E7085">
        <v>4.3999999999999997E-2</v>
      </c>
      <c r="F7085">
        <v>7.5899999999999995E-2</v>
      </c>
    </row>
    <row r="7086" spans="1:6" x14ac:dyDescent="0.3">
      <c r="A7086" t="s">
        <v>7121</v>
      </c>
      <c r="B7086" t="s">
        <v>21</v>
      </c>
      <c r="C7086">
        <v>302000</v>
      </c>
      <c r="D7086">
        <v>590.4</v>
      </c>
      <c r="E7086">
        <v>2.1700000000000001E-2</v>
      </c>
      <c r="F7086">
        <v>9.3700000000000006E-2</v>
      </c>
    </row>
    <row r="7087" spans="1:6" x14ac:dyDescent="0.3">
      <c r="A7087" t="s">
        <v>7122</v>
      </c>
      <c r="B7087" t="s">
        <v>41</v>
      </c>
      <c r="C7087">
        <v>472000</v>
      </c>
      <c r="D7087">
        <v>5377.6</v>
      </c>
      <c r="E7087">
        <v>2.7300000000000001E-2</v>
      </c>
      <c r="F7087">
        <v>9.3799999999999994E-2</v>
      </c>
    </row>
    <row r="7088" spans="1:6" x14ac:dyDescent="0.3">
      <c r="A7088" t="s">
        <v>7123</v>
      </c>
      <c r="B7088" t="s">
        <v>21</v>
      </c>
      <c r="C7088">
        <v>345000</v>
      </c>
      <c r="D7088">
        <v>90127.5</v>
      </c>
      <c r="E7088">
        <v>3.5499999999999997E-2</v>
      </c>
      <c r="F7088">
        <v>7.5899999999999995E-2</v>
      </c>
    </row>
    <row r="7089" spans="1:6" x14ac:dyDescent="0.3">
      <c r="A7089" t="s">
        <v>7124</v>
      </c>
      <c r="B7089" t="s">
        <v>21</v>
      </c>
      <c r="C7089">
        <v>273000</v>
      </c>
      <c r="D7089">
        <v>2418.6</v>
      </c>
      <c r="E7089">
        <v>2.4299999999999999E-2</v>
      </c>
      <c r="F7089">
        <v>4.0899999999999999E-2</v>
      </c>
    </row>
    <row r="7090" spans="1:6" x14ac:dyDescent="0.3">
      <c r="A7090" t="s">
        <v>7125</v>
      </c>
      <c r="B7090" t="s">
        <v>81</v>
      </c>
      <c r="C7090">
        <v>305000</v>
      </c>
      <c r="D7090">
        <v>82.5</v>
      </c>
      <c r="F7090">
        <v>5.0999999999999997E-2</v>
      </c>
    </row>
    <row r="7091" spans="1:6" x14ac:dyDescent="0.3">
      <c r="A7091" t="s">
        <v>7126</v>
      </c>
      <c r="B7091" t="s">
        <v>26</v>
      </c>
      <c r="C7091">
        <v>290000</v>
      </c>
      <c r="D7091">
        <v>23495.1</v>
      </c>
      <c r="E7091">
        <v>3.5999999999999997E-2</v>
      </c>
      <c r="F7091">
        <v>7.5899999999999995E-2</v>
      </c>
    </row>
    <row r="7092" spans="1:6" x14ac:dyDescent="0.3">
      <c r="A7092" t="s">
        <v>7127</v>
      </c>
      <c r="B7092" t="s">
        <v>88</v>
      </c>
      <c r="C7092">
        <v>466000</v>
      </c>
      <c r="D7092">
        <v>12326.5</v>
      </c>
      <c r="E7092">
        <v>3.9199999999999999E-2</v>
      </c>
      <c r="F7092">
        <v>9.3799999999999994E-2</v>
      </c>
    </row>
    <row r="7093" spans="1:6" x14ac:dyDescent="0.3">
      <c r="A7093" t="s">
        <v>7128</v>
      </c>
      <c r="B7093" t="s">
        <v>26</v>
      </c>
      <c r="C7093">
        <v>276000</v>
      </c>
      <c r="D7093">
        <v>961</v>
      </c>
      <c r="E7093">
        <v>2.8000000000000001E-2</v>
      </c>
      <c r="F7093">
        <v>9.5100000000000004E-2</v>
      </c>
    </row>
    <row r="7094" spans="1:6" x14ac:dyDescent="0.3">
      <c r="A7094" t="s">
        <v>7129</v>
      </c>
      <c r="B7094" t="s">
        <v>32</v>
      </c>
      <c r="C7094">
        <v>318000</v>
      </c>
      <c r="D7094">
        <v>6146.7</v>
      </c>
      <c r="E7094">
        <v>7.1999999999999998E-3</v>
      </c>
      <c r="F7094">
        <v>0.18859999999999999</v>
      </c>
    </row>
    <row r="7095" spans="1:6" x14ac:dyDescent="0.3">
      <c r="A7095" t="s">
        <v>7130</v>
      </c>
      <c r="B7095" t="s">
        <v>88</v>
      </c>
      <c r="C7095">
        <v>368000</v>
      </c>
      <c r="D7095">
        <v>1205.5</v>
      </c>
      <c r="E7095">
        <v>8.0600000000000005E-2</v>
      </c>
      <c r="F7095">
        <v>9.3799999999999994E-2</v>
      </c>
    </row>
    <row r="7096" spans="1:6" x14ac:dyDescent="0.3">
      <c r="A7096" t="s">
        <v>7131</v>
      </c>
      <c r="B7096" t="s">
        <v>214</v>
      </c>
      <c r="C7096">
        <v>315000</v>
      </c>
      <c r="D7096">
        <v>50929.3</v>
      </c>
      <c r="E7096">
        <v>1.3299999999999999E-2</v>
      </c>
      <c r="F7096">
        <v>5.4899999999999997E-2</v>
      </c>
    </row>
    <row r="7097" spans="1:6" x14ac:dyDescent="0.3">
      <c r="A7097" t="s">
        <v>7132</v>
      </c>
      <c r="B7097" t="s">
        <v>92</v>
      </c>
      <c r="C7097">
        <v>276000</v>
      </c>
      <c r="D7097">
        <v>792.7</v>
      </c>
      <c r="E7097">
        <v>2.5999999999999999E-2</v>
      </c>
      <c r="F7097">
        <v>0.2064</v>
      </c>
    </row>
    <row r="7098" spans="1:6" x14ac:dyDescent="0.3">
      <c r="A7098" t="s">
        <v>7133</v>
      </c>
      <c r="B7098" t="s">
        <v>26</v>
      </c>
      <c r="C7098">
        <v>363000</v>
      </c>
      <c r="D7098">
        <v>2298.9</v>
      </c>
      <c r="E7098">
        <v>2.35E-2</v>
      </c>
      <c r="F7098">
        <v>9.3799999999999994E-2</v>
      </c>
    </row>
    <row r="7099" spans="1:6" x14ac:dyDescent="0.3">
      <c r="A7099" t="s">
        <v>7134</v>
      </c>
      <c r="B7099" t="s">
        <v>21</v>
      </c>
      <c r="C7099">
        <v>345000</v>
      </c>
      <c r="D7099">
        <v>144409.29999999999</v>
      </c>
      <c r="E7099">
        <v>1.3899999999999999E-2</v>
      </c>
      <c r="F7099">
        <v>6.6100000000000006E-2</v>
      </c>
    </row>
    <row r="7100" spans="1:6" x14ac:dyDescent="0.3">
      <c r="A7100" t="s">
        <v>7135</v>
      </c>
      <c r="B7100" t="s">
        <v>26</v>
      </c>
      <c r="C7100">
        <v>324000</v>
      </c>
      <c r="D7100">
        <v>933.7</v>
      </c>
      <c r="E7100">
        <v>1.2200000000000001E-2</v>
      </c>
      <c r="F7100">
        <v>6.54E-2</v>
      </c>
    </row>
    <row r="7101" spans="1:6" x14ac:dyDescent="0.3">
      <c r="A7101" t="s">
        <v>7136</v>
      </c>
      <c r="B7101" t="s">
        <v>81</v>
      </c>
      <c r="C7101">
        <v>276000</v>
      </c>
      <c r="D7101">
        <v>4882.3</v>
      </c>
      <c r="E7101">
        <v>8.2299999999999998E-2</v>
      </c>
      <c r="F7101">
        <v>9.5100000000000004E-2</v>
      </c>
    </row>
    <row r="7102" spans="1:6" x14ac:dyDescent="0.3">
      <c r="A7102" t="s">
        <v>7137</v>
      </c>
      <c r="B7102" t="s">
        <v>26</v>
      </c>
      <c r="C7102">
        <v>2260000</v>
      </c>
      <c r="D7102">
        <v>24201.7</v>
      </c>
      <c r="E7102">
        <v>3.8E-3</v>
      </c>
      <c r="F7102">
        <v>8.1100000000000005E-2</v>
      </c>
    </row>
    <row r="7103" spans="1:6" x14ac:dyDescent="0.3">
      <c r="A7103" t="s">
        <v>7138</v>
      </c>
      <c r="B7103" t="s">
        <v>62</v>
      </c>
      <c r="C7103">
        <v>574000</v>
      </c>
      <c r="D7103">
        <v>23951.5</v>
      </c>
      <c r="E7103">
        <v>1.43E-2</v>
      </c>
      <c r="F7103">
        <v>6.5699999999999995E-2</v>
      </c>
    </row>
    <row r="7104" spans="1:6" x14ac:dyDescent="0.3">
      <c r="A7104" t="s">
        <v>7139</v>
      </c>
      <c r="B7104" t="s">
        <v>24</v>
      </c>
      <c r="C7104">
        <v>275000</v>
      </c>
      <c r="D7104">
        <v>11927.7</v>
      </c>
      <c r="E7104">
        <v>2.5700000000000001E-2</v>
      </c>
      <c r="F7104">
        <v>9.5100000000000004E-2</v>
      </c>
    </row>
    <row r="7105" spans="1:6" x14ac:dyDescent="0.3">
      <c r="A7105" t="s">
        <v>7140</v>
      </c>
      <c r="B7105" t="s">
        <v>92</v>
      </c>
      <c r="C7105">
        <v>278000</v>
      </c>
      <c r="D7105">
        <v>2073.6999999999998</v>
      </c>
      <c r="E7105">
        <v>1.5800000000000002E-2</v>
      </c>
      <c r="F7105">
        <v>0.38679999999999998</v>
      </c>
    </row>
    <row r="7106" spans="1:6" x14ac:dyDescent="0.3">
      <c r="A7106" t="s">
        <v>7141</v>
      </c>
      <c r="B7106" t="s">
        <v>214</v>
      </c>
      <c r="C7106">
        <v>924000</v>
      </c>
      <c r="D7106">
        <v>35194.400000000001</v>
      </c>
      <c r="E7106">
        <v>3.3000000000000002E-2</v>
      </c>
      <c r="F7106">
        <v>5.0999999999999997E-2</v>
      </c>
    </row>
    <row r="7107" spans="1:6" x14ac:dyDescent="0.3">
      <c r="A7107" t="s">
        <v>7142</v>
      </c>
      <c r="B7107" t="s">
        <v>26</v>
      </c>
      <c r="C7107">
        <v>329000</v>
      </c>
      <c r="D7107">
        <v>47519.9</v>
      </c>
      <c r="E7107">
        <v>6.9800000000000001E-2</v>
      </c>
      <c r="F7107">
        <v>9.5100000000000004E-2</v>
      </c>
    </row>
    <row r="7108" spans="1:6" x14ac:dyDescent="0.3">
      <c r="A7108" t="s">
        <v>7143</v>
      </c>
      <c r="B7108" t="s">
        <v>71</v>
      </c>
      <c r="C7108">
        <v>392000</v>
      </c>
      <c r="D7108">
        <v>6728.1</v>
      </c>
      <c r="E7108">
        <v>4.6600000000000003E-2</v>
      </c>
      <c r="F7108">
        <v>9.3799999999999994E-2</v>
      </c>
    </row>
    <row r="7109" spans="1:6" x14ac:dyDescent="0.3">
      <c r="A7109" t="s">
        <v>7144</v>
      </c>
      <c r="B7109" t="s">
        <v>214</v>
      </c>
      <c r="C7109">
        <v>305000</v>
      </c>
      <c r="D7109">
        <v>10498.7</v>
      </c>
      <c r="E7109">
        <v>4.0800000000000003E-2</v>
      </c>
      <c r="F7109">
        <v>9.5100000000000004E-2</v>
      </c>
    </row>
    <row r="7110" spans="1:6" x14ac:dyDescent="0.3">
      <c r="A7110" t="s">
        <v>7145</v>
      </c>
      <c r="B7110" t="s">
        <v>26</v>
      </c>
      <c r="C7110">
        <v>328000</v>
      </c>
      <c r="D7110">
        <v>9890.7000000000007</v>
      </c>
      <c r="E7110">
        <v>2.53E-2</v>
      </c>
      <c r="F7110">
        <v>6.7199999999999996E-2</v>
      </c>
    </row>
    <row r="7111" spans="1:6" x14ac:dyDescent="0.3">
      <c r="A7111" t="s">
        <v>7146</v>
      </c>
      <c r="B7111" t="s">
        <v>26</v>
      </c>
      <c r="C7111">
        <v>724000</v>
      </c>
      <c r="D7111">
        <v>183329.6</v>
      </c>
      <c r="E7111">
        <v>3.5799999999999998E-2</v>
      </c>
      <c r="F7111">
        <v>7.5899999999999995E-2</v>
      </c>
    </row>
    <row r="7112" spans="1:6" x14ac:dyDescent="0.3">
      <c r="A7112" t="s">
        <v>7147</v>
      </c>
      <c r="B7112" t="s">
        <v>88</v>
      </c>
      <c r="C7112">
        <v>340000</v>
      </c>
      <c r="D7112">
        <v>498.7</v>
      </c>
      <c r="E7112">
        <v>5.7799999999999997E-2</v>
      </c>
      <c r="F7112">
        <v>7.5899999999999995E-2</v>
      </c>
    </row>
    <row r="7113" spans="1:6" x14ac:dyDescent="0.3">
      <c r="A7113" t="s">
        <v>7148</v>
      </c>
      <c r="B7113" t="s">
        <v>81</v>
      </c>
      <c r="C7113">
        <v>307000</v>
      </c>
      <c r="D7113">
        <v>6487.7</v>
      </c>
      <c r="E7113">
        <v>1.89E-2</v>
      </c>
      <c r="F7113">
        <v>6.08E-2</v>
      </c>
    </row>
    <row r="7114" spans="1:6" x14ac:dyDescent="0.3">
      <c r="A7114" t="s">
        <v>7149</v>
      </c>
      <c r="B7114" t="s">
        <v>26</v>
      </c>
      <c r="C7114">
        <v>273000</v>
      </c>
      <c r="D7114">
        <v>482.9</v>
      </c>
      <c r="E7114">
        <v>2.8500000000000001E-2</v>
      </c>
      <c r="F7114">
        <v>5.1799999999999999E-2</v>
      </c>
    </row>
    <row r="7115" spans="1:6" x14ac:dyDescent="0.3">
      <c r="A7115" t="s">
        <v>7150</v>
      </c>
      <c r="B7115" t="s">
        <v>71</v>
      </c>
      <c r="C7115">
        <v>291000</v>
      </c>
      <c r="D7115">
        <v>3161.9</v>
      </c>
      <c r="E7115">
        <v>3.6299999999999999E-2</v>
      </c>
      <c r="F7115">
        <v>7.5899999999999995E-2</v>
      </c>
    </row>
    <row r="7116" spans="1:6" x14ac:dyDescent="0.3">
      <c r="A7116" t="s">
        <v>7151</v>
      </c>
      <c r="B7116" t="s">
        <v>26</v>
      </c>
      <c r="C7116">
        <v>314000</v>
      </c>
      <c r="D7116">
        <v>1449.8</v>
      </c>
      <c r="E7116">
        <v>3.0200000000000001E-2</v>
      </c>
      <c r="F7116">
        <v>5.1799999999999999E-2</v>
      </c>
    </row>
    <row r="7117" spans="1:6" x14ac:dyDescent="0.3">
      <c r="A7117" t="s">
        <v>7152</v>
      </c>
      <c r="B7117" t="s">
        <v>195</v>
      </c>
      <c r="C7117">
        <v>273000</v>
      </c>
      <c r="D7117">
        <v>1349.7</v>
      </c>
      <c r="E7117">
        <v>4.1999999999999997E-3</v>
      </c>
      <c r="F7117">
        <v>6.54E-2</v>
      </c>
    </row>
    <row r="7118" spans="1:6" x14ac:dyDescent="0.3">
      <c r="A7118" t="s">
        <v>7153</v>
      </c>
      <c r="B7118" t="s">
        <v>71</v>
      </c>
      <c r="C7118">
        <v>285000</v>
      </c>
      <c r="D7118">
        <v>525799.1</v>
      </c>
      <c r="E7118">
        <v>1.0699999999999999E-2</v>
      </c>
      <c r="F7118">
        <v>7.3599999999999999E-2</v>
      </c>
    </row>
    <row r="7119" spans="1:6" x14ac:dyDescent="0.3">
      <c r="A7119" t="s">
        <v>7154</v>
      </c>
      <c r="B7119" t="s">
        <v>26</v>
      </c>
      <c r="C7119">
        <v>316000</v>
      </c>
      <c r="D7119">
        <v>322398.40000000002</v>
      </c>
      <c r="E7119">
        <v>1.1900000000000001E-2</v>
      </c>
      <c r="F7119">
        <v>4.6199999999999998E-2</v>
      </c>
    </row>
    <row r="7120" spans="1:6" x14ac:dyDescent="0.3">
      <c r="A7120" t="s">
        <v>7155</v>
      </c>
      <c r="B7120" t="s">
        <v>24</v>
      </c>
      <c r="C7120">
        <v>298000</v>
      </c>
      <c r="D7120">
        <v>700564.9</v>
      </c>
      <c r="E7120">
        <v>2.5899999999999999E-2</v>
      </c>
      <c r="F7120">
        <v>8.4500000000000006E-2</v>
      </c>
    </row>
    <row r="7121" spans="1:6" x14ac:dyDescent="0.3">
      <c r="A7121" t="s">
        <v>7156</v>
      </c>
      <c r="B7121" t="s">
        <v>195</v>
      </c>
      <c r="C7121">
        <v>309000</v>
      </c>
      <c r="D7121">
        <v>1192</v>
      </c>
      <c r="E7121">
        <v>1.38E-2</v>
      </c>
      <c r="F7121">
        <v>8.5400000000000004E-2</v>
      </c>
    </row>
    <row r="7122" spans="1:6" x14ac:dyDescent="0.3">
      <c r="A7122" t="s">
        <v>7157</v>
      </c>
      <c r="B7122" t="s">
        <v>21</v>
      </c>
      <c r="C7122">
        <v>334000</v>
      </c>
      <c r="D7122">
        <v>7947.6</v>
      </c>
      <c r="E7122">
        <v>4.7600000000000003E-2</v>
      </c>
      <c r="F7122">
        <v>7.5899999999999995E-2</v>
      </c>
    </row>
    <row r="7123" spans="1:6" x14ac:dyDescent="0.3">
      <c r="A7123" t="s">
        <v>7158</v>
      </c>
      <c r="B7123" t="s">
        <v>62</v>
      </c>
      <c r="C7123">
        <v>304000</v>
      </c>
      <c r="D7123">
        <v>20923.3</v>
      </c>
      <c r="E7123">
        <v>2.5999999999999999E-2</v>
      </c>
      <c r="F7123">
        <v>5.1799999999999999E-2</v>
      </c>
    </row>
    <row r="7124" spans="1:6" x14ac:dyDescent="0.3">
      <c r="A7124" t="s">
        <v>7159</v>
      </c>
      <c r="B7124" t="s">
        <v>26</v>
      </c>
      <c r="C7124">
        <v>403000</v>
      </c>
      <c r="D7124">
        <v>110.4</v>
      </c>
      <c r="E7124">
        <v>5.2699999999999997E-2</v>
      </c>
      <c r="F7124">
        <v>9.3799999999999994E-2</v>
      </c>
    </row>
    <row r="7125" spans="1:6" x14ac:dyDescent="0.3">
      <c r="A7125" t="s">
        <v>7160</v>
      </c>
      <c r="B7125" t="s">
        <v>26</v>
      </c>
      <c r="C7125">
        <v>284000</v>
      </c>
      <c r="D7125">
        <v>1158.2</v>
      </c>
      <c r="E7125">
        <v>2.9100000000000001E-2</v>
      </c>
      <c r="F7125">
        <v>9.5100000000000004E-2</v>
      </c>
    </row>
    <row r="7126" spans="1:6" x14ac:dyDescent="0.3">
      <c r="A7126" t="s">
        <v>7161</v>
      </c>
      <c r="B7126" t="s">
        <v>41</v>
      </c>
      <c r="C7126">
        <v>490000</v>
      </c>
      <c r="D7126">
        <v>11.8</v>
      </c>
      <c r="E7126">
        <v>1.67E-2</v>
      </c>
      <c r="F7126">
        <v>0.45760000000000001</v>
      </c>
    </row>
    <row r="7127" spans="1:6" x14ac:dyDescent="0.3">
      <c r="A7127" t="s">
        <v>7162</v>
      </c>
      <c r="B7127" t="s">
        <v>26</v>
      </c>
      <c r="C7127">
        <v>470000</v>
      </c>
      <c r="D7127">
        <v>12730</v>
      </c>
      <c r="E7127">
        <v>5.3900000000000003E-2</v>
      </c>
      <c r="F7127">
        <v>7.5899999999999995E-2</v>
      </c>
    </row>
    <row r="7128" spans="1:6" x14ac:dyDescent="0.3">
      <c r="A7128" t="s">
        <v>7163</v>
      </c>
      <c r="B7128" t="s">
        <v>26</v>
      </c>
      <c r="C7128">
        <v>273000</v>
      </c>
      <c r="D7128">
        <v>721.3</v>
      </c>
      <c r="E7128">
        <v>1.17E-2</v>
      </c>
      <c r="F7128">
        <v>8.2199999999999995E-2</v>
      </c>
    </row>
    <row r="7129" spans="1:6" x14ac:dyDescent="0.3">
      <c r="A7129" t="s">
        <v>7164</v>
      </c>
      <c r="B7129" t="s">
        <v>92</v>
      </c>
      <c r="C7129">
        <v>302000</v>
      </c>
      <c r="D7129">
        <v>6019.5</v>
      </c>
      <c r="E7129">
        <v>3.7900000000000003E-2</v>
      </c>
      <c r="F7129">
        <v>7.5899999999999995E-2</v>
      </c>
    </row>
    <row r="7130" spans="1:6" x14ac:dyDescent="0.3">
      <c r="A7130" t="s">
        <v>7165</v>
      </c>
      <c r="B7130" t="s">
        <v>26</v>
      </c>
      <c r="C7130">
        <v>460000</v>
      </c>
      <c r="D7130">
        <v>106891.2</v>
      </c>
      <c r="E7130">
        <v>3.5700000000000003E-2</v>
      </c>
      <c r="F7130">
        <v>7.5899999999999995E-2</v>
      </c>
    </row>
    <row r="7131" spans="1:6" x14ac:dyDescent="0.3">
      <c r="A7131" t="s">
        <v>7166</v>
      </c>
      <c r="B7131" t="s">
        <v>81</v>
      </c>
      <c r="C7131">
        <v>555000</v>
      </c>
      <c r="D7131">
        <v>26039.8</v>
      </c>
      <c r="E7131">
        <v>2.6800000000000001E-2</v>
      </c>
      <c r="F7131">
        <v>7.5899999999999995E-2</v>
      </c>
    </row>
    <row r="7132" spans="1:6" x14ac:dyDescent="0.3">
      <c r="A7132" t="s">
        <v>7167</v>
      </c>
      <c r="B7132" t="s">
        <v>214</v>
      </c>
      <c r="C7132">
        <v>311000</v>
      </c>
      <c r="D7132">
        <v>2833.9</v>
      </c>
      <c r="E7132">
        <v>2.3900000000000001E-2</v>
      </c>
      <c r="F7132">
        <v>7.5899999999999995E-2</v>
      </c>
    </row>
    <row r="7133" spans="1:6" x14ac:dyDescent="0.3">
      <c r="A7133" t="s">
        <v>7168</v>
      </c>
      <c r="B7133" t="s">
        <v>88</v>
      </c>
      <c r="C7133">
        <v>393000</v>
      </c>
      <c r="D7133">
        <v>620.1</v>
      </c>
      <c r="E7133">
        <v>1.44E-2</v>
      </c>
      <c r="F7133">
        <v>5.7599999999999998E-2</v>
      </c>
    </row>
    <row r="7134" spans="1:6" x14ac:dyDescent="0.3">
      <c r="A7134" t="s">
        <v>7169</v>
      </c>
      <c r="B7134" t="s">
        <v>41</v>
      </c>
      <c r="C7134">
        <v>555000</v>
      </c>
      <c r="D7134">
        <v>1824.9</v>
      </c>
      <c r="E7134">
        <v>8.9800000000000005E-2</v>
      </c>
      <c r="F7134">
        <v>7.5899999999999995E-2</v>
      </c>
    </row>
    <row r="7135" spans="1:6" x14ac:dyDescent="0.3">
      <c r="A7135" t="s">
        <v>7170</v>
      </c>
      <c r="B7135" t="s">
        <v>41</v>
      </c>
      <c r="C7135">
        <v>279000</v>
      </c>
      <c r="D7135">
        <v>708.9</v>
      </c>
      <c r="E7135">
        <v>3.7900000000000003E-2</v>
      </c>
      <c r="F7135">
        <v>0.30099999999999999</v>
      </c>
    </row>
    <row r="7136" spans="1:6" x14ac:dyDescent="0.3">
      <c r="A7136" t="s">
        <v>7171</v>
      </c>
      <c r="B7136" t="s">
        <v>21</v>
      </c>
      <c r="C7136">
        <v>273000</v>
      </c>
      <c r="D7136">
        <v>26317.5</v>
      </c>
      <c r="E7136">
        <v>5.7799999999999997E-2</v>
      </c>
      <c r="F7136">
        <v>8.4500000000000006E-2</v>
      </c>
    </row>
    <row r="7137" spans="1:6" x14ac:dyDescent="0.3">
      <c r="A7137" t="s">
        <v>7172</v>
      </c>
      <c r="B7137" t="s">
        <v>26</v>
      </c>
      <c r="C7137">
        <v>296000</v>
      </c>
      <c r="D7137">
        <v>4087.2</v>
      </c>
      <c r="E7137">
        <v>4.24E-2</v>
      </c>
      <c r="F7137">
        <v>9.5100000000000004E-2</v>
      </c>
    </row>
    <row r="7138" spans="1:6" x14ac:dyDescent="0.3">
      <c r="A7138" t="s">
        <v>7173</v>
      </c>
      <c r="B7138" t="s">
        <v>24</v>
      </c>
      <c r="C7138">
        <v>408000</v>
      </c>
      <c r="D7138">
        <v>23982.6</v>
      </c>
      <c r="E7138">
        <v>2.1700000000000001E-2</v>
      </c>
      <c r="F7138">
        <v>8.5400000000000004E-2</v>
      </c>
    </row>
    <row r="7139" spans="1:6" x14ac:dyDescent="0.3">
      <c r="A7139" t="s">
        <v>7174</v>
      </c>
      <c r="B7139" t="s">
        <v>41</v>
      </c>
      <c r="C7139">
        <v>286000</v>
      </c>
      <c r="D7139">
        <v>26.2</v>
      </c>
      <c r="E7139">
        <v>7.4999999999999997E-3</v>
      </c>
      <c r="F7139">
        <v>0.20949999999999999</v>
      </c>
    </row>
    <row r="7140" spans="1:6" x14ac:dyDescent="0.3">
      <c r="A7140" t="s">
        <v>7175</v>
      </c>
      <c r="B7140" t="s">
        <v>53</v>
      </c>
      <c r="C7140">
        <v>422000</v>
      </c>
      <c r="D7140">
        <v>917.3</v>
      </c>
      <c r="E7140">
        <v>6.7000000000000004E-2</v>
      </c>
      <c r="F7140">
        <v>9.3799999999999994E-2</v>
      </c>
    </row>
    <row r="7141" spans="1:6" x14ac:dyDescent="0.3">
      <c r="A7141" t="s">
        <v>7176</v>
      </c>
      <c r="B7141" t="s">
        <v>62</v>
      </c>
      <c r="C7141">
        <v>559000</v>
      </c>
      <c r="D7141">
        <v>3022.6</v>
      </c>
      <c r="E7141">
        <v>1.5100000000000001E-2</v>
      </c>
      <c r="F7141">
        <v>0.17119999999999999</v>
      </c>
    </row>
    <row r="7142" spans="1:6" x14ac:dyDescent="0.3">
      <c r="A7142" t="s">
        <v>7177</v>
      </c>
      <c r="B7142" t="s">
        <v>62</v>
      </c>
      <c r="C7142">
        <v>386000</v>
      </c>
      <c r="D7142">
        <v>24278.6</v>
      </c>
      <c r="E7142">
        <v>6.8599999999999994E-2</v>
      </c>
      <c r="F7142">
        <v>7.5899999999999995E-2</v>
      </c>
    </row>
    <row r="7143" spans="1:6" x14ac:dyDescent="0.3">
      <c r="A7143" t="s">
        <v>7178</v>
      </c>
      <c r="B7143" t="s">
        <v>81</v>
      </c>
      <c r="C7143">
        <v>312000</v>
      </c>
      <c r="D7143">
        <v>13783.9</v>
      </c>
      <c r="E7143">
        <v>3.4799999999999998E-2</v>
      </c>
      <c r="F7143">
        <v>7.5899999999999995E-2</v>
      </c>
    </row>
    <row r="7144" spans="1:6" x14ac:dyDescent="0.3">
      <c r="A7144" t="s">
        <v>7179</v>
      </c>
      <c r="B7144" t="s">
        <v>26</v>
      </c>
      <c r="C7144">
        <v>267000</v>
      </c>
      <c r="D7144">
        <v>8827.6</v>
      </c>
      <c r="E7144">
        <v>3.0099999999999998E-2</v>
      </c>
      <c r="F7144">
        <v>9.5100000000000004E-2</v>
      </c>
    </row>
    <row r="7145" spans="1:6" x14ac:dyDescent="0.3">
      <c r="A7145" t="s">
        <v>7180</v>
      </c>
      <c r="B7145" t="s">
        <v>24</v>
      </c>
      <c r="C7145">
        <v>312000</v>
      </c>
      <c r="D7145">
        <v>9697.5</v>
      </c>
      <c r="E7145">
        <v>7.6399999999999996E-2</v>
      </c>
      <c r="F7145">
        <v>9.3799999999999994E-2</v>
      </c>
    </row>
    <row r="7146" spans="1:6" x14ac:dyDescent="0.3">
      <c r="A7146" t="s">
        <v>7181</v>
      </c>
      <c r="B7146" t="s">
        <v>26</v>
      </c>
      <c r="C7146">
        <v>270000</v>
      </c>
      <c r="D7146">
        <v>3374.1</v>
      </c>
      <c r="E7146">
        <v>5.0900000000000001E-2</v>
      </c>
      <c r="F7146">
        <v>9.5100000000000004E-2</v>
      </c>
    </row>
    <row r="7147" spans="1:6" x14ac:dyDescent="0.3">
      <c r="A7147" t="s">
        <v>7182</v>
      </c>
      <c r="B7147" t="s">
        <v>26</v>
      </c>
      <c r="C7147">
        <v>345000</v>
      </c>
      <c r="D7147">
        <v>11806.2</v>
      </c>
      <c r="E7147">
        <v>1.9699999999999999E-2</v>
      </c>
      <c r="F7147">
        <v>5.7599999999999998E-2</v>
      </c>
    </row>
    <row r="7148" spans="1:6" x14ac:dyDescent="0.3">
      <c r="A7148" t="s">
        <v>7183</v>
      </c>
      <c r="B7148" t="s">
        <v>214</v>
      </c>
      <c r="C7148">
        <v>274000</v>
      </c>
      <c r="D7148">
        <v>488.2</v>
      </c>
      <c r="E7148">
        <v>4.9099999999999998E-2</v>
      </c>
      <c r="F7148">
        <v>9.5100000000000004E-2</v>
      </c>
    </row>
    <row r="7149" spans="1:6" x14ac:dyDescent="0.3">
      <c r="A7149" t="s">
        <v>7184</v>
      </c>
      <c r="B7149" t="s">
        <v>88</v>
      </c>
      <c r="C7149">
        <v>338000</v>
      </c>
      <c r="D7149">
        <v>1490.3</v>
      </c>
      <c r="E7149">
        <v>5.0500000000000003E-2</v>
      </c>
      <c r="F7149">
        <v>6.7199999999999996E-2</v>
      </c>
    </row>
    <row r="7150" spans="1:6" x14ac:dyDescent="0.3">
      <c r="A7150" t="s">
        <v>7185</v>
      </c>
      <c r="B7150" t="s">
        <v>74</v>
      </c>
      <c r="C7150">
        <v>344000</v>
      </c>
      <c r="D7150">
        <v>5216.1000000000004</v>
      </c>
      <c r="E7150">
        <v>5.7799999999999997E-2</v>
      </c>
      <c r="F7150">
        <v>7.5899999999999995E-2</v>
      </c>
    </row>
    <row r="7151" spans="1:6" x14ac:dyDescent="0.3">
      <c r="A7151" t="s">
        <v>7186</v>
      </c>
      <c r="B7151" t="s">
        <v>26</v>
      </c>
      <c r="C7151">
        <v>428000</v>
      </c>
      <c r="D7151">
        <v>10568.2</v>
      </c>
      <c r="E7151">
        <v>2.0299999999999999E-2</v>
      </c>
      <c r="F7151">
        <v>0.1053</v>
      </c>
    </row>
    <row r="7152" spans="1:6" x14ac:dyDescent="0.3">
      <c r="A7152" t="s">
        <v>7187</v>
      </c>
      <c r="B7152" t="s">
        <v>26</v>
      </c>
      <c r="C7152">
        <v>299000</v>
      </c>
      <c r="D7152">
        <v>1640.3</v>
      </c>
      <c r="E7152">
        <v>9.9000000000000008E-3</v>
      </c>
      <c r="F7152">
        <v>8.2199999999999995E-2</v>
      </c>
    </row>
    <row r="7153" spans="1:6" x14ac:dyDescent="0.3">
      <c r="A7153" t="s">
        <v>7188</v>
      </c>
      <c r="B7153" t="s">
        <v>74</v>
      </c>
      <c r="C7153">
        <v>284000</v>
      </c>
      <c r="D7153">
        <v>9792.7999999999993</v>
      </c>
      <c r="E7153">
        <v>5.2699999999999997E-2</v>
      </c>
      <c r="F7153">
        <v>9.5100000000000004E-2</v>
      </c>
    </row>
    <row r="7154" spans="1:6" x14ac:dyDescent="0.3">
      <c r="A7154" t="s">
        <v>7189</v>
      </c>
      <c r="B7154" t="s">
        <v>26</v>
      </c>
      <c r="C7154">
        <v>269000</v>
      </c>
      <c r="D7154">
        <v>406030.3</v>
      </c>
      <c r="E7154">
        <v>5.0500000000000003E-2</v>
      </c>
      <c r="F7154">
        <v>8.4500000000000006E-2</v>
      </c>
    </row>
    <row r="7155" spans="1:6" x14ac:dyDescent="0.3">
      <c r="A7155" t="s">
        <v>7190</v>
      </c>
      <c r="B7155" t="s">
        <v>26</v>
      </c>
      <c r="C7155">
        <v>274000</v>
      </c>
      <c r="D7155">
        <v>4332.8</v>
      </c>
      <c r="E7155">
        <v>6.0400000000000002E-2</v>
      </c>
      <c r="F7155">
        <v>9.5100000000000004E-2</v>
      </c>
    </row>
    <row r="7156" spans="1:6" x14ac:dyDescent="0.3">
      <c r="A7156" t="s">
        <v>7191</v>
      </c>
      <c r="B7156" t="s">
        <v>74</v>
      </c>
      <c r="C7156">
        <v>408000</v>
      </c>
      <c r="D7156">
        <v>71657.399999999994</v>
      </c>
      <c r="E7156">
        <v>2.92E-2</v>
      </c>
      <c r="F7156">
        <v>9.5100000000000004E-2</v>
      </c>
    </row>
    <row r="7157" spans="1:6" x14ac:dyDescent="0.3">
      <c r="A7157" t="s">
        <v>7192</v>
      </c>
      <c r="B7157" t="s">
        <v>71</v>
      </c>
      <c r="C7157">
        <v>337000</v>
      </c>
      <c r="D7157">
        <v>70343.3</v>
      </c>
      <c r="E7157">
        <v>2.9899999999999999E-2</v>
      </c>
      <c r="F7157">
        <v>7.5899999999999995E-2</v>
      </c>
    </row>
    <row r="7158" spans="1:6" x14ac:dyDescent="0.3">
      <c r="A7158" t="s">
        <v>7193</v>
      </c>
      <c r="B7158" t="s">
        <v>41</v>
      </c>
      <c r="C7158">
        <v>303000</v>
      </c>
      <c r="D7158">
        <v>6025.7</v>
      </c>
      <c r="E7158">
        <v>2.18E-2</v>
      </c>
      <c r="F7158">
        <v>5.0999999999999997E-2</v>
      </c>
    </row>
    <row r="7159" spans="1:6" x14ac:dyDescent="0.3">
      <c r="A7159" t="s">
        <v>7194</v>
      </c>
      <c r="B7159" t="s">
        <v>21</v>
      </c>
      <c r="C7159">
        <v>271000</v>
      </c>
      <c r="D7159">
        <v>7164.2</v>
      </c>
      <c r="E7159">
        <v>3.1800000000000002E-2</v>
      </c>
      <c r="F7159">
        <v>5.1799999999999999E-2</v>
      </c>
    </row>
    <row r="7160" spans="1:6" x14ac:dyDescent="0.3">
      <c r="A7160" t="s">
        <v>7195</v>
      </c>
      <c r="B7160" t="s">
        <v>26</v>
      </c>
      <c r="C7160">
        <v>293000</v>
      </c>
      <c r="D7160">
        <v>90244.5</v>
      </c>
      <c r="E7160">
        <v>6.4000000000000001E-2</v>
      </c>
      <c r="F7160">
        <v>8.4500000000000006E-2</v>
      </c>
    </row>
    <row r="7161" spans="1:6" x14ac:dyDescent="0.3">
      <c r="A7161" t="s">
        <v>7196</v>
      </c>
      <c r="B7161" t="s">
        <v>26</v>
      </c>
      <c r="C7161">
        <v>398000</v>
      </c>
      <c r="D7161">
        <v>3796</v>
      </c>
      <c r="E7161">
        <v>4.36E-2</v>
      </c>
      <c r="F7161">
        <v>9.5100000000000004E-2</v>
      </c>
    </row>
    <row r="7162" spans="1:6" x14ac:dyDescent="0.3">
      <c r="A7162" t="s">
        <v>7197</v>
      </c>
      <c r="B7162" t="s">
        <v>74</v>
      </c>
      <c r="C7162">
        <v>488000</v>
      </c>
      <c r="D7162">
        <v>101883</v>
      </c>
      <c r="E7162">
        <v>3.3000000000000002E-2</v>
      </c>
      <c r="F7162">
        <v>7.5899999999999995E-2</v>
      </c>
    </row>
    <row r="7163" spans="1:6" x14ac:dyDescent="0.3">
      <c r="A7163" t="s">
        <v>7198</v>
      </c>
      <c r="B7163" t="s">
        <v>24</v>
      </c>
      <c r="C7163">
        <v>330000</v>
      </c>
      <c r="D7163">
        <v>12228.7</v>
      </c>
      <c r="E7163">
        <v>3.2000000000000001E-2</v>
      </c>
      <c r="F7163">
        <v>7.5899999999999995E-2</v>
      </c>
    </row>
    <row r="7164" spans="1:6" x14ac:dyDescent="0.3">
      <c r="A7164" t="s">
        <v>7199</v>
      </c>
      <c r="B7164" t="s">
        <v>53</v>
      </c>
      <c r="C7164">
        <v>279000</v>
      </c>
      <c r="D7164">
        <v>6857.3</v>
      </c>
      <c r="E7164">
        <v>1.47E-2</v>
      </c>
      <c r="F7164">
        <v>0.22939999999999999</v>
      </c>
    </row>
    <row r="7165" spans="1:6" x14ac:dyDescent="0.3">
      <c r="A7165" t="s">
        <v>7200</v>
      </c>
      <c r="B7165" t="s">
        <v>214</v>
      </c>
      <c r="C7165">
        <v>279000</v>
      </c>
      <c r="D7165">
        <v>214680</v>
      </c>
      <c r="E7165">
        <v>2.7300000000000001E-2</v>
      </c>
      <c r="F7165">
        <v>5.1799999999999999E-2</v>
      </c>
    </row>
    <row r="7166" spans="1:6" x14ac:dyDescent="0.3">
      <c r="A7166" t="s">
        <v>7201</v>
      </c>
      <c r="B7166" t="s">
        <v>26</v>
      </c>
      <c r="C7166">
        <v>1600000</v>
      </c>
      <c r="D7166">
        <v>7225.3</v>
      </c>
      <c r="E7166">
        <v>3.8100000000000002E-2</v>
      </c>
      <c r="F7166">
        <v>6.7199999999999996E-2</v>
      </c>
    </row>
    <row r="7167" spans="1:6" x14ac:dyDescent="0.3">
      <c r="A7167" t="s">
        <v>7202</v>
      </c>
      <c r="B7167" t="s">
        <v>92</v>
      </c>
      <c r="C7167">
        <v>273000</v>
      </c>
      <c r="D7167">
        <v>364.7</v>
      </c>
      <c r="E7167">
        <v>1.6199999999999999E-2</v>
      </c>
      <c r="F7167">
        <v>5.8500000000000003E-2</v>
      </c>
    </row>
    <row r="7168" spans="1:6" x14ac:dyDescent="0.3">
      <c r="A7168" t="s">
        <v>7203</v>
      </c>
      <c r="B7168" t="s">
        <v>214</v>
      </c>
      <c r="C7168">
        <v>269000</v>
      </c>
      <c r="D7168">
        <v>8805.6</v>
      </c>
      <c r="E7168">
        <v>6.0000000000000001E-3</v>
      </c>
      <c r="F7168">
        <v>8.2199999999999995E-2</v>
      </c>
    </row>
    <row r="7169" spans="1:6" x14ac:dyDescent="0.3">
      <c r="A7169" t="s">
        <v>7204</v>
      </c>
      <c r="B7169" t="s">
        <v>35</v>
      </c>
      <c r="C7169">
        <v>301000</v>
      </c>
      <c r="D7169">
        <v>1008.2</v>
      </c>
      <c r="E7169">
        <v>3.1899999999999998E-2</v>
      </c>
      <c r="F7169">
        <v>7.5899999999999995E-2</v>
      </c>
    </row>
    <row r="7170" spans="1:6" x14ac:dyDescent="0.3">
      <c r="A7170" t="s">
        <v>7205</v>
      </c>
      <c r="B7170" t="s">
        <v>26</v>
      </c>
      <c r="C7170">
        <v>293000</v>
      </c>
      <c r="D7170">
        <v>22619.1</v>
      </c>
      <c r="E7170">
        <v>2.1700000000000001E-2</v>
      </c>
      <c r="F7170">
        <v>8.4500000000000006E-2</v>
      </c>
    </row>
    <row r="7171" spans="1:6" x14ac:dyDescent="0.3">
      <c r="A7171" t="s">
        <v>7206</v>
      </c>
      <c r="B7171" t="s">
        <v>92</v>
      </c>
      <c r="C7171">
        <v>270000</v>
      </c>
      <c r="D7171">
        <v>8061.1</v>
      </c>
      <c r="E7171">
        <v>2.8899999999999999E-2</v>
      </c>
      <c r="F7171">
        <v>5.1799999999999999E-2</v>
      </c>
    </row>
    <row r="7172" spans="1:6" x14ac:dyDescent="0.3">
      <c r="A7172" t="s">
        <v>7207</v>
      </c>
      <c r="B7172" t="s">
        <v>26</v>
      </c>
      <c r="C7172">
        <v>340000</v>
      </c>
      <c r="D7172">
        <v>78.099999999999994</v>
      </c>
      <c r="E7172">
        <v>0.01</v>
      </c>
      <c r="F7172">
        <v>0.39279999999999998</v>
      </c>
    </row>
    <row r="7173" spans="1:6" x14ac:dyDescent="0.3">
      <c r="A7173" t="s">
        <v>7208</v>
      </c>
      <c r="B7173" t="s">
        <v>195</v>
      </c>
      <c r="C7173">
        <v>283000</v>
      </c>
      <c r="D7173">
        <v>1258.2</v>
      </c>
      <c r="E7173">
        <v>3.6200000000000003E-2</v>
      </c>
      <c r="F7173">
        <v>9.3799999999999994E-2</v>
      </c>
    </row>
    <row r="7174" spans="1:6" x14ac:dyDescent="0.3">
      <c r="A7174" t="s">
        <v>7209</v>
      </c>
      <c r="B7174" t="s">
        <v>62</v>
      </c>
      <c r="C7174">
        <v>294000</v>
      </c>
      <c r="D7174">
        <v>98152</v>
      </c>
      <c r="E7174">
        <v>1.49E-2</v>
      </c>
      <c r="F7174">
        <v>5.8500000000000003E-2</v>
      </c>
    </row>
    <row r="7175" spans="1:6" x14ac:dyDescent="0.3">
      <c r="A7175" t="s">
        <v>7210</v>
      </c>
      <c r="B7175" t="s">
        <v>88</v>
      </c>
      <c r="C7175">
        <v>306000</v>
      </c>
      <c r="D7175">
        <v>385</v>
      </c>
      <c r="E7175">
        <v>1.2800000000000001E-2</v>
      </c>
      <c r="F7175">
        <v>0.1176</v>
      </c>
    </row>
    <row r="7176" spans="1:6" x14ac:dyDescent="0.3">
      <c r="A7176" t="s">
        <v>7211</v>
      </c>
      <c r="B7176" t="s">
        <v>26</v>
      </c>
      <c r="C7176">
        <v>277000</v>
      </c>
      <c r="D7176">
        <v>4122.1000000000004</v>
      </c>
      <c r="E7176">
        <v>5.8799999999999998E-2</v>
      </c>
      <c r="F7176">
        <v>9.5100000000000004E-2</v>
      </c>
    </row>
    <row r="7177" spans="1:6" x14ac:dyDescent="0.3">
      <c r="A7177" t="s">
        <v>7212</v>
      </c>
      <c r="B7177" t="s">
        <v>26</v>
      </c>
      <c r="C7177">
        <v>462000</v>
      </c>
      <c r="D7177">
        <v>268648.90000000002</v>
      </c>
      <c r="E7177">
        <v>1.67E-2</v>
      </c>
      <c r="F7177">
        <v>8.5400000000000004E-2</v>
      </c>
    </row>
    <row r="7178" spans="1:6" x14ac:dyDescent="0.3">
      <c r="A7178" t="s">
        <v>7213</v>
      </c>
      <c r="B7178" t="s">
        <v>30</v>
      </c>
      <c r="C7178">
        <v>322000</v>
      </c>
      <c r="D7178">
        <v>8068.4</v>
      </c>
      <c r="E7178">
        <v>3.15E-2</v>
      </c>
      <c r="F7178">
        <v>6.7199999999999996E-2</v>
      </c>
    </row>
    <row r="7179" spans="1:6" x14ac:dyDescent="0.3">
      <c r="A7179" t="s">
        <v>7214</v>
      </c>
      <c r="B7179" t="s">
        <v>24</v>
      </c>
      <c r="C7179">
        <v>307000</v>
      </c>
      <c r="D7179">
        <v>110894.3</v>
      </c>
      <c r="E7179">
        <v>3.8699999999999998E-2</v>
      </c>
      <c r="F7179">
        <v>9.5100000000000004E-2</v>
      </c>
    </row>
    <row r="7180" spans="1:6" x14ac:dyDescent="0.3">
      <c r="A7180" t="s">
        <v>7215</v>
      </c>
      <c r="B7180" t="s">
        <v>28</v>
      </c>
      <c r="C7180">
        <v>313000</v>
      </c>
      <c r="D7180">
        <v>1097.5999999999999</v>
      </c>
      <c r="E7180">
        <v>3.9699999999999999E-2</v>
      </c>
      <c r="F7180">
        <v>9.5100000000000004E-2</v>
      </c>
    </row>
    <row r="7181" spans="1:6" x14ac:dyDescent="0.3">
      <c r="A7181" t="s">
        <v>7216</v>
      </c>
      <c r="B7181" t="s">
        <v>92</v>
      </c>
      <c r="C7181">
        <v>308000</v>
      </c>
      <c r="D7181">
        <v>1966.6</v>
      </c>
      <c r="E7181">
        <v>5.0000000000000001E-3</v>
      </c>
      <c r="F7181">
        <v>6.54E-2</v>
      </c>
    </row>
    <row r="7182" spans="1:6" x14ac:dyDescent="0.3">
      <c r="A7182" t="s">
        <v>7217</v>
      </c>
      <c r="B7182" t="s">
        <v>41</v>
      </c>
      <c r="C7182">
        <v>323000</v>
      </c>
      <c r="D7182">
        <v>80386.8</v>
      </c>
      <c r="E7182">
        <v>2.5600000000000001E-2</v>
      </c>
      <c r="F7182">
        <v>5.1799999999999999E-2</v>
      </c>
    </row>
    <row r="7183" spans="1:6" x14ac:dyDescent="0.3">
      <c r="A7183" t="s">
        <v>7218</v>
      </c>
      <c r="B7183" t="s">
        <v>92</v>
      </c>
      <c r="C7183">
        <v>276000</v>
      </c>
      <c r="D7183">
        <v>8124.7</v>
      </c>
      <c r="E7183">
        <v>1.0200000000000001E-2</v>
      </c>
      <c r="F7183">
        <v>8.2199999999999995E-2</v>
      </c>
    </row>
    <row r="7184" spans="1:6" x14ac:dyDescent="0.3">
      <c r="A7184" t="s">
        <v>7219</v>
      </c>
      <c r="B7184" t="s">
        <v>81</v>
      </c>
      <c r="C7184">
        <v>301000</v>
      </c>
      <c r="D7184">
        <v>3087.9</v>
      </c>
      <c r="E7184">
        <v>2.5999999999999999E-2</v>
      </c>
      <c r="F7184">
        <v>7.5899999999999995E-2</v>
      </c>
    </row>
    <row r="7185" spans="1:6" x14ac:dyDescent="0.3">
      <c r="A7185" t="s">
        <v>7220</v>
      </c>
      <c r="B7185" t="s">
        <v>26</v>
      </c>
      <c r="C7185">
        <v>385000</v>
      </c>
      <c r="D7185">
        <v>7858.7</v>
      </c>
      <c r="E7185">
        <v>0.1072</v>
      </c>
      <c r="F7185">
        <v>7.5899999999999995E-2</v>
      </c>
    </row>
    <row r="7186" spans="1:6" x14ac:dyDescent="0.3">
      <c r="A7186" t="s">
        <v>7221</v>
      </c>
      <c r="B7186" t="s">
        <v>74</v>
      </c>
      <c r="C7186">
        <v>326000</v>
      </c>
      <c r="D7186">
        <v>9012.1</v>
      </c>
      <c r="E7186">
        <v>3.4799999999999998E-2</v>
      </c>
      <c r="F7186">
        <v>9.5100000000000004E-2</v>
      </c>
    </row>
    <row r="7187" spans="1:6" x14ac:dyDescent="0.3">
      <c r="A7187" t="s">
        <v>7222</v>
      </c>
      <c r="B7187" t="s">
        <v>21</v>
      </c>
      <c r="C7187">
        <v>305000</v>
      </c>
      <c r="D7187">
        <v>27051.8</v>
      </c>
      <c r="E7187">
        <v>3.0200000000000001E-2</v>
      </c>
      <c r="F7187">
        <v>9.3799999999999994E-2</v>
      </c>
    </row>
    <row r="7188" spans="1:6" x14ac:dyDescent="0.3">
      <c r="A7188" t="s">
        <v>7223</v>
      </c>
      <c r="B7188" t="s">
        <v>26</v>
      </c>
      <c r="C7188">
        <v>298000</v>
      </c>
      <c r="D7188">
        <v>1766.5</v>
      </c>
      <c r="E7188">
        <v>4.2900000000000001E-2</v>
      </c>
      <c r="F7188">
        <v>7.5899999999999995E-2</v>
      </c>
    </row>
    <row r="7189" spans="1:6" x14ac:dyDescent="0.3">
      <c r="A7189" t="s">
        <v>7224</v>
      </c>
      <c r="B7189" t="s">
        <v>26</v>
      </c>
      <c r="C7189">
        <v>386000</v>
      </c>
      <c r="D7189">
        <v>11268.4</v>
      </c>
      <c r="E7189">
        <v>3.3E-3</v>
      </c>
      <c r="F7189">
        <v>6.54E-2</v>
      </c>
    </row>
    <row r="7190" spans="1:6" x14ac:dyDescent="0.3">
      <c r="A7190" t="s">
        <v>7225</v>
      </c>
      <c r="B7190" t="s">
        <v>214</v>
      </c>
      <c r="C7190">
        <v>342000</v>
      </c>
      <c r="D7190">
        <v>11780.3</v>
      </c>
      <c r="E7190">
        <v>1.1900000000000001E-2</v>
      </c>
      <c r="F7190">
        <v>6.4699999999999994E-2</v>
      </c>
    </row>
    <row r="7191" spans="1:6" x14ac:dyDescent="0.3">
      <c r="A7191" t="s">
        <v>7226</v>
      </c>
      <c r="B7191" t="s">
        <v>26</v>
      </c>
      <c r="C7191">
        <v>291000</v>
      </c>
      <c r="D7191">
        <v>51329.599999999999</v>
      </c>
      <c r="E7191">
        <v>3.3099999999999997E-2</v>
      </c>
      <c r="F7191">
        <v>9.5100000000000004E-2</v>
      </c>
    </row>
    <row r="7192" spans="1:6" x14ac:dyDescent="0.3">
      <c r="A7192" t="s">
        <v>7227</v>
      </c>
      <c r="B7192" t="s">
        <v>88</v>
      </c>
      <c r="C7192">
        <v>332000</v>
      </c>
      <c r="D7192">
        <v>223.1</v>
      </c>
      <c r="E7192">
        <v>6.08E-2</v>
      </c>
      <c r="F7192">
        <v>9.3799999999999994E-2</v>
      </c>
    </row>
    <row r="7193" spans="1:6" x14ac:dyDescent="0.3">
      <c r="A7193" t="s">
        <v>7228</v>
      </c>
      <c r="B7193" t="s">
        <v>26</v>
      </c>
      <c r="C7193">
        <v>401000</v>
      </c>
      <c r="D7193">
        <v>7367.4</v>
      </c>
      <c r="E7193">
        <v>2.5000000000000001E-2</v>
      </c>
      <c r="F7193">
        <v>7.5899999999999995E-2</v>
      </c>
    </row>
    <row r="7194" spans="1:6" x14ac:dyDescent="0.3">
      <c r="A7194" t="s">
        <v>7229</v>
      </c>
      <c r="B7194" t="s">
        <v>88</v>
      </c>
      <c r="C7194">
        <v>262000</v>
      </c>
      <c r="D7194">
        <v>5817.3</v>
      </c>
      <c r="E7194">
        <v>4.4200000000000003E-2</v>
      </c>
      <c r="F7194">
        <v>9.5100000000000004E-2</v>
      </c>
    </row>
    <row r="7195" spans="1:6" x14ac:dyDescent="0.3">
      <c r="A7195" t="s">
        <v>7230</v>
      </c>
      <c r="B7195" t="s">
        <v>26</v>
      </c>
      <c r="C7195">
        <v>367000</v>
      </c>
      <c r="D7195">
        <v>151088.5</v>
      </c>
      <c r="E7195">
        <v>1.72E-2</v>
      </c>
      <c r="F7195">
        <v>5.8500000000000003E-2</v>
      </c>
    </row>
    <row r="7196" spans="1:6" x14ac:dyDescent="0.3">
      <c r="A7196" t="s">
        <v>7231</v>
      </c>
      <c r="B7196" t="s">
        <v>26</v>
      </c>
      <c r="C7196">
        <v>352000</v>
      </c>
      <c r="D7196">
        <v>16370.5</v>
      </c>
      <c r="E7196">
        <v>2.3E-2</v>
      </c>
      <c r="F7196">
        <v>7.5899999999999995E-2</v>
      </c>
    </row>
    <row r="7197" spans="1:6" x14ac:dyDescent="0.3">
      <c r="A7197" t="s">
        <v>7232</v>
      </c>
      <c r="B7197" t="s">
        <v>26</v>
      </c>
      <c r="C7197">
        <v>617000</v>
      </c>
      <c r="D7197">
        <v>6294.8</v>
      </c>
      <c r="E7197">
        <v>1.1999999999999999E-3</v>
      </c>
      <c r="F7197">
        <v>0.223</v>
      </c>
    </row>
    <row r="7198" spans="1:6" x14ac:dyDescent="0.3">
      <c r="A7198" t="s">
        <v>7233</v>
      </c>
      <c r="B7198" t="s">
        <v>41</v>
      </c>
      <c r="C7198">
        <v>430000</v>
      </c>
      <c r="D7198">
        <v>5643.9</v>
      </c>
      <c r="E7198">
        <v>0.04</v>
      </c>
      <c r="F7198">
        <v>9.3799999999999994E-2</v>
      </c>
    </row>
    <row r="7199" spans="1:6" x14ac:dyDescent="0.3">
      <c r="A7199" t="s">
        <v>7234</v>
      </c>
      <c r="B7199" t="s">
        <v>50</v>
      </c>
      <c r="C7199">
        <v>578000</v>
      </c>
      <c r="D7199">
        <v>349351</v>
      </c>
      <c r="E7199">
        <v>5.1499999999999997E-2</v>
      </c>
      <c r="F7199">
        <v>9.3799999999999994E-2</v>
      </c>
    </row>
    <row r="7200" spans="1:6" x14ac:dyDescent="0.3">
      <c r="A7200" t="s">
        <v>7235</v>
      </c>
      <c r="B7200" t="s">
        <v>88</v>
      </c>
      <c r="C7200">
        <v>419000</v>
      </c>
      <c r="D7200">
        <v>2425.6999999999998</v>
      </c>
      <c r="E7200">
        <v>5.4899999999999997E-2</v>
      </c>
      <c r="F7200">
        <v>9.3799999999999994E-2</v>
      </c>
    </row>
    <row r="7201" spans="1:6" x14ac:dyDescent="0.3">
      <c r="A7201" t="s">
        <v>7236</v>
      </c>
      <c r="B7201" t="s">
        <v>74</v>
      </c>
      <c r="C7201">
        <v>279000</v>
      </c>
      <c r="D7201">
        <v>4104.3999999999996</v>
      </c>
      <c r="E7201">
        <v>3.9699999999999999E-2</v>
      </c>
      <c r="F7201">
        <v>7.5899999999999995E-2</v>
      </c>
    </row>
    <row r="7202" spans="1:6" x14ac:dyDescent="0.3">
      <c r="A7202" t="s">
        <v>7237</v>
      </c>
      <c r="B7202" t="s">
        <v>287</v>
      </c>
      <c r="C7202">
        <v>272000</v>
      </c>
      <c r="D7202">
        <v>867.7</v>
      </c>
      <c r="E7202">
        <v>4.2200000000000001E-2</v>
      </c>
      <c r="F7202">
        <v>7.5899999999999995E-2</v>
      </c>
    </row>
    <row r="7203" spans="1:6" x14ac:dyDescent="0.3">
      <c r="A7203" t="s">
        <v>7238</v>
      </c>
      <c r="B7203" t="s">
        <v>214</v>
      </c>
      <c r="C7203">
        <v>428000</v>
      </c>
      <c r="D7203">
        <v>3923.1</v>
      </c>
      <c r="F7203">
        <v>4.0899999999999999E-2</v>
      </c>
    </row>
    <row r="7204" spans="1:6" x14ac:dyDescent="0.3">
      <c r="A7204" t="s">
        <v>7239</v>
      </c>
      <c r="B7204" t="s">
        <v>26</v>
      </c>
      <c r="C7204">
        <v>438000</v>
      </c>
      <c r="D7204">
        <v>26871.9</v>
      </c>
      <c r="E7204">
        <v>3.6200000000000003E-2</v>
      </c>
      <c r="F7204">
        <v>7.5899999999999995E-2</v>
      </c>
    </row>
    <row r="7205" spans="1:6" x14ac:dyDescent="0.3">
      <c r="A7205" t="s">
        <v>7240</v>
      </c>
      <c r="B7205" t="s">
        <v>41</v>
      </c>
      <c r="C7205">
        <v>425000</v>
      </c>
      <c r="D7205">
        <v>120.2</v>
      </c>
      <c r="E7205">
        <v>1.54E-2</v>
      </c>
      <c r="F7205">
        <v>9.0300000000000005E-2</v>
      </c>
    </row>
    <row r="7206" spans="1:6" x14ac:dyDescent="0.3">
      <c r="A7206" t="s">
        <v>7241</v>
      </c>
      <c r="B7206" t="s">
        <v>26</v>
      </c>
      <c r="C7206">
        <v>514000</v>
      </c>
      <c r="D7206">
        <v>1453.6</v>
      </c>
      <c r="E7206">
        <v>1.7299999999999999E-2</v>
      </c>
      <c r="F7206">
        <v>4.6199999999999998E-2</v>
      </c>
    </row>
    <row r="7207" spans="1:6" x14ac:dyDescent="0.3">
      <c r="A7207" t="s">
        <v>7242</v>
      </c>
      <c r="B7207" t="s">
        <v>287</v>
      </c>
      <c r="C7207">
        <v>276000</v>
      </c>
      <c r="D7207">
        <v>876.4</v>
      </c>
      <c r="E7207">
        <v>7.6E-3</v>
      </c>
      <c r="F7207">
        <v>0.18890000000000001</v>
      </c>
    </row>
    <row r="7208" spans="1:6" x14ac:dyDescent="0.3">
      <c r="A7208" t="s">
        <v>7243</v>
      </c>
      <c r="B7208" t="s">
        <v>88</v>
      </c>
      <c r="C7208">
        <v>273000</v>
      </c>
      <c r="D7208">
        <v>874.2</v>
      </c>
      <c r="E7208">
        <v>2.07E-2</v>
      </c>
      <c r="F7208">
        <v>0.13100000000000001</v>
      </c>
    </row>
    <row r="7209" spans="1:6" x14ac:dyDescent="0.3">
      <c r="A7209" t="s">
        <v>7244</v>
      </c>
      <c r="B7209" t="s">
        <v>88</v>
      </c>
      <c r="C7209">
        <v>335000</v>
      </c>
      <c r="D7209">
        <v>4002.8</v>
      </c>
      <c r="E7209">
        <v>3.9699999999999999E-2</v>
      </c>
      <c r="F7209">
        <v>9.3799999999999994E-2</v>
      </c>
    </row>
    <row r="7210" spans="1:6" x14ac:dyDescent="0.3">
      <c r="A7210" t="s">
        <v>7245</v>
      </c>
      <c r="B7210" t="s">
        <v>71</v>
      </c>
      <c r="C7210">
        <v>285000</v>
      </c>
      <c r="D7210">
        <v>38620.300000000003</v>
      </c>
      <c r="E7210">
        <v>1.54E-2</v>
      </c>
      <c r="F7210">
        <v>5.8500000000000003E-2</v>
      </c>
    </row>
    <row r="7211" spans="1:6" x14ac:dyDescent="0.3">
      <c r="A7211" t="s">
        <v>7246</v>
      </c>
      <c r="B7211" t="s">
        <v>53</v>
      </c>
      <c r="C7211">
        <v>273000</v>
      </c>
      <c r="D7211">
        <v>6694.4</v>
      </c>
      <c r="E7211">
        <v>1.6400000000000001E-2</v>
      </c>
      <c r="F7211">
        <v>5.8500000000000003E-2</v>
      </c>
    </row>
    <row r="7212" spans="1:6" x14ac:dyDescent="0.3">
      <c r="A7212" t="s">
        <v>7247</v>
      </c>
      <c r="B7212" t="s">
        <v>26</v>
      </c>
      <c r="C7212">
        <v>376000</v>
      </c>
      <c r="D7212">
        <v>59249.7</v>
      </c>
      <c r="E7212">
        <v>1.8499999999999999E-2</v>
      </c>
      <c r="F7212">
        <v>0.1067</v>
      </c>
    </row>
    <row r="7213" spans="1:6" x14ac:dyDescent="0.3">
      <c r="A7213" t="s">
        <v>7248</v>
      </c>
      <c r="B7213" t="s">
        <v>32</v>
      </c>
      <c r="C7213">
        <v>452000</v>
      </c>
      <c r="F7213">
        <v>7.5899999999999995E-2</v>
      </c>
    </row>
    <row r="7214" spans="1:6" x14ac:dyDescent="0.3">
      <c r="A7214" t="s">
        <v>7249</v>
      </c>
      <c r="B7214" t="s">
        <v>88</v>
      </c>
      <c r="C7214">
        <v>1060000</v>
      </c>
      <c r="D7214">
        <v>15497.2</v>
      </c>
      <c r="E7214">
        <v>0.10440000000000001</v>
      </c>
      <c r="F7214">
        <v>9.3799999999999994E-2</v>
      </c>
    </row>
    <row r="7215" spans="1:6" x14ac:dyDescent="0.3">
      <c r="A7215" t="s">
        <v>7250</v>
      </c>
      <c r="B7215" t="s">
        <v>24</v>
      </c>
      <c r="C7215">
        <v>328000</v>
      </c>
      <c r="D7215">
        <v>8674.6</v>
      </c>
      <c r="E7215">
        <v>1.15E-2</v>
      </c>
      <c r="F7215">
        <v>0.13270000000000001</v>
      </c>
    </row>
    <row r="7216" spans="1:6" x14ac:dyDescent="0.3">
      <c r="A7216" t="s">
        <v>7251</v>
      </c>
      <c r="B7216" t="s">
        <v>71</v>
      </c>
      <c r="C7216">
        <v>418000</v>
      </c>
      <c r="D7216">
        <v>48841.7</v>
      </c>
      <c r="E7216">
        <v>4.9200000000000001E-2</v>
      </c>
      <c r="F7216">
        <v>9.3799999999999994E-2</v>
      </c>
    </row>
    <row r="7217" spans="1:6" x14ac:dyDescent="0.3">
      <c r="A7217" t="s">
        <v>7252</v>
      </c>
      <c r="B7217" t="s">
        <v>26</v>
      </c>
      <c r="C7217">
        <v>293000</v>
      </c>
      <c r="D7217">
        <v>276670</v>
      </c>
      <c r="E7217">
        <v>1.9E-2</v>
      </c>
      <c r="F7217">
        <v>5.1799999999999999E-2</v>
      </c>
    </row>
    <row r="7218" spans="1:6" x14ac:dyDescent="0.3">
      <c r="A7218" t="s">
        <v>7253</v>
      </c>
      <c r="B7218" t="s">
        <v>62</v>
      </c>
      <c r="C7218">
        <v>395000</v>
      </c>
      <c r="D7218">
        <v>88864.9</v>
      </c>
      <c r="E7218">
        <v>1.95E-2</v>
      </c>
      <c r="F7218">
        <v>4.8800000000000003E-2</v>
      </c>
    </row>
    <row r="7219" spans="1:6" x14ac:dyDescent="0.3">
      <c r="A7219" t="s">
        <v>7254</v>
      </c>
      <c r="B7219" t="s">
        <v>30</v>
      </c>
      <c r="C7219">
        <v>380000</v>
      </c>
      <c r="D7219">
        <v>21028.5</v>
      </c>
      <c r="E7219">
        <v>1.04E-2</v>
      </c>
      <c r="F7219">
        <v>8.2199999999999995E-2</v>
      </c>
    </row>
    <row r="7220" spans="1:6" x14ac:dyDescent="0.3">
      <c r="A7220" t="s">
        <v>7255</v>
      </c>
      <c r="B7220" t="s">
        <v>88</v>
      </c>
      <c r="C7220">
        <v>598000</v>
      </c>
      <c r="D7220">
        <v>2521.1999999999998</v>
      </c>
      <c r="E7220">
        <v>7.6E-3</v>
      </c>
      <c r="F7220">
        <v>8.6599999999999996E-2</v>
      </c>
    </row>
    <row r="7221" spans="1:6" x14ac:dyDescent="0.3">
      <c r="A7221" t="s">
        <v>7256</v>
      </c>
      <c r="B7221" t="s">
        <v>26</v>
      </c>
      <c r="C7221">
        <v>475000</v>
      </c>
      <c r="D7221">
        <v>25208.9</v>
      </c>
      <c r="E7221">
        <v>2.8500000000000001E-2</v>
      </c>
      <c r="F7221">
        <v>9.5100000000000004E-2</v>
      </c>
    </row>
    <row r="7222" spans="1:6" x14ac:dyDescent="0.3">
      <c r="A7222" t="s">
        <v>7257</v>
      </c>
      <c r="B7222" t="s">
        <v>53</v>
      </c>
      <c r="C7222">
        <v>282000</v>
      </c>
      <c r="D7222">
        <v>104258.6</v>
      </c>
      <c r="F7222">
        <v>4.0899999999999999E-2</v>
      </c>
    </row>
    <row r="7223" spans="1:6" x14ac:dyDescent="0.3">
      <c r="A7223" t="s">
        <v>7258</v>
      </c>
      <c r="B7223" t="s">
        <v>24</v>
      </c>
      <c r="C7223">
        <v>341000</v>
      </c>
      <c r="D7223">
        <v>73027.7</v>
      </c>
      <c r="E7223">
        <v>3.2199999999999999E-2</v>
      </c>
      <c r="F7223">
        <v>7.5899999999999995E-2</v>
      </c>
    </row>
    <row r="7224" spans="1:6" x14ac:dyDescent="0.3">
      <c r="A7224" t="s">
        <v>7259</v>
      </c>
      <c r="B7224" t="s">
        <v>81</v>
      </c>
      <c r="C7224">
        <v>374000</v>
      </c>
      <c r="D7224">
        <v>11931.7</v>
      </c>
      <c r="E7224">
        <v>5.2999999999999999E-2</v>
      </c>
      <c r="F7224">
        <v>7.5899999999999995E-2</v>
      </c>
    </row>
    <row r="7225" spans="1:6" x14ac:dyDescent="0.3">
      <c r="A7225" t="s">
        <v>7260</v>
      </c>
      <c r="B7225" t="s">
        <v>214</v>
      </c>
      <c r="C7225">
        <v>293000</v>
      </c>
      <c r="D7225">
        <v>2242</v>
      </c>
      <c r="E7225">
        <v>1.12E-2</v>
      </c>
      <c r="F7225">
        <v>6.54E-2</v>
      </c>
    </row>
    <row r="7226" spans="1:6" x14ac:dyDescent="0.3">
      <c r="A7226" t="s">
        <v>7261</v>
      </c>
      <c r="B7226" t="s">
        <v>74</v>
      </c>
      <c r="C7226">
        <v>277000</v>
      </c>
      <c r="D7226">
        <v>382.7</v>
      </c>
      <c r="E7226">
        <v>2.9100000000000001E-2</v>
      </c>
      <c r="F7226">
        <v>9.3799999999999994E-2</v>
      </c>
    </row>
    <row r="7227" spans="1:6" x14ac:dyDescent="0.3">
      <c r="A7227" t="s">
        <v>7262</v>
      </c>
      <c r="B7227" t="s">
        <v>26</v>
      </c>
      <c r="C7227">
        <v>1270000</v>
      </c>
      <c r="D7227">
        <v>54982.9</v>
      </c>
      <c r="E7227">
        <v>2.5399999999999999E-2</v>
      </c>
      <c r="F7227">
        <v>4.0899999999999999E-2</v>
      </c>
    </row>
    <row r="7228" spans="1:6" x14ac:dyDescent="0.3">
      <c r="A7228" t="s">
        <v>7263</v>
      </c>
      <c r="B7228" t="s">
        <v>26</v>
      </c>
      <c r="C7228">
        <v>287000</v>
      </c>
      <c r="D7228">
        <v>1758.8</v>
      </c>
      <c r="F7228">
        <v>9.5100000000000004E-2</v>
      </c>
    </row>
    <row r="7229" spans="1:6" x14ac:dyDescent="0.3">
      <c r="A7229" t="s">
        <v>7264</v>
      </c>
      <c r="B7229" t="s">
        <v>53</v>
      </c>
      <c r="C7229">
        <v>323000</v>
      </c>
      <c r="D7229">
        <v>13930.9</v>
      </c>
      <c r="E7229">
        <v>3.1E-2</v>
      </c>
      <c r="F7229">
        <v>0.2545</v>
      </c>
    </row>
    <row r="7230" spans="1:6" x14ac:dyDescent="0.3">
      <c r="A7230" t="s">
        <v>7265</v>
      </c>
      <c r="B7230" t="s">
        <v>214</v>
      </c>
      <c r="C7230">
        <v>286000</v>
      </c>
      <c r="D7230">
        <v>878.9</v>
      </c>
      <c r="E7230">
        <v>1.0800000000000001E-2</v>
      </c>
      <c r="F7230">
        <v>0.14710000000000001</v>
      </c>
    </row>
    <row r="7231" spans="1:6" x14ac:dyDescent="0.3">
      <c r="A7231" t="s">
        <v>7266</v>
      </c>
      <c r="B7231" t="s">
        <v>26</v>
      </c>
      <c r="C7231">
        <v>288000</v>
      </c>
      <c r="D7231">
        <v>5470.3</v>
      </c>
      <c r="E7231">
        <v>3.9100000000000003E-2</v>
      </c>
      <c r="F7231">
        <v>7.5899999999999995E-2</v>
      </c>
    </row>
    <row r="7232" spans="1:6" x14ac:dyDescent="0.3">
      <c r="A7232" t="s">
        <v>7267</v>
      </c>
      <c r="B7232" t="s">
        <v>26</v>
      </c>
      <c r="C7232">
        <v>388000</v>
      </c>
      <c r="D7232">
        <v>413683.9</v>
      </c>
      <c r="E7232">
        <v>4.0899999999999999E-2</v>
      </c>
      <c r="F7232">
        <v>4.0899999999999999E-2</v>
      </c>
    </row>
    <row r="7233" spans="1:6" x14ac:dyDescent="0.3">
      <c r="A7233" t="s">
        <v>7268</v>
      </c>
      <c r="B7233" t="s">
        <v>53</v>
      </c>
      <c r="C7233">
        <v>268000</v>
      </c>
      <c r="D7233">
        <v>1500.8</v>
      </c>
      <c r="E7233">
        <v>8.3999999999999995E-3</v>
      </c>
      <c r="F7233">
        <v>0.1953</v>
      </c>
    </row>
    <row r="7234" spans="1:6" x14ac:dyDescent="0.3">
      <c r="A7234" t="s">
        <v>7269</v>
      </c>
      <c r="B7234" t="s">
        <v>32</v>
      </c>
      <c r="C7234">
        <v>292000</v>
      </c>
      <c r="D7234">
        <v>3160.3</v>
      </c>
      <c r="E7234">
        <v>1.8700000000000001E-2</v>
      </c>
      <c r="F7234">
        <v>8.5400000000000004E-2</v>
      </c>
    </row>
    <row r="7235" spans="1:6" x14ac:dyDescent="0.3">
      <c r="A7235" t="s">
        <v>7270</v>
      </c>
      <c r="B7235" t="s">
        <v>195</v>
      </c>
      <c r="C7235">
        <v>1200000</v>
      </c>
      <c r="D7235">
        <v>1235.2</v>
      </c>
      <c r="E7235">
        <v>3.6700000000000003E-2</v>
      </c>
      <c r="F7235">
        <v>4.0899999999999999E-2</v>
      </c>
    </row>
    <row r="7236" spans="1:6" x14ac:dyDescent="0.3">
      <c r="A7236" t="s">
        <v>7271</v>
      </c>
      <c r="B7236" t="s">
        <v>26</v>
      </c>
      <c r="C7236">
        <v>339000</v>
      </c>
      <c r="D7236">
        <v>255443.4</v>
      </c>
      <c r="E7236">
        <v>4.4499999999999998E-2</v>
      </c>
      <c r="F7236">
        <v>5.1799999999999999E-2</v>
      </c>
    </row>
    <row r="7237" spans="1:6" x14ac:dyDescent="0.3">
      <c r="A7237" t="s">
        <v>7272</v>
      </c>
      <c r="B7237" t="s">
        <v>41</v>
      </c>
      <c r="C7237">
        <v>313000</v>
      </c>
      <c r="D7237">
        <v>2969.4</v>
      </c>
      <c r="E7237">
        <v>1.4999999999999999E-2</v>
      </c>
      <c r="F7237">
        <v>0.1303</v>
      </c>
    </row>
    <row r="7238" spans="1:6" x14ac:dyDescent="0.3">
      <c r="A7238" t="s">
        <v>7273</v>
      </c>
      <c r="B7238" t="s">
        <v>74</v>
      </c>
      <c r="C7238">
        <v>264000</v>
      </c>
      <c r="D7238">
        <v>1250.4000000000001</v>
      </c>
      <c r="E7238">
        <v>7.1300000000000002E-2</v>
      </c>
      <c r="F7238">
        <v>9.3799999999999994E-2</v>
      </c>
    </row>
    <row r="7239" spans="1:6" x14ac:dyDescent="0.3">
      <c r="A7239" t="s">
        <v>7274</v>
      </c>
      <c r="B7239" t="s">
        <v>26</v>
      </c>
      <c r="C7239">
        <v>335000</v>
      </c>
      <c r="D7239">
        <v>2235.4</v>
      </c>
      <c r="E7239">
        <v>3.6200000000000003E-2</v>
      </c>
      <c r="F7239">
        <v>7.5899999999999995E-2</v>
      </c>
    </row>
    <row r="7240" spans="1:6" x14ac:dyDescent="0.3">
      <c r="A7240" t="s">
        <v>7275</v>
      </c>
      <c r="B7240" t="s">
        <v>35</v>
      </c>
      <c r="C7240">
        <v>350000</v>
      </c>
      <c r="D7240">
        <v>9852.2999999999993</v>
      </c>
      <c r="E7240">
        <v>2.1000000000000001E-2</v>
      </c>
      <c r="F7240">
        <v>4.0899999999999999E-2</v>
      </c>
    </row>
    <row r="7241" spans="1:6" x14ac:dyDescent="0.3">
      <c r="A7241" t="s">
        <v>7276</v>
      </c>
      <c r="B7241" t="s">
        <v>62</v>
      </c>
      <c r="C7241">
        <v>298000</v>
      </c>
      <c r="D7241">
        <v>8054.1</v>
      </c>
      <c r="E7241">
        <v>3.8399999999999997E-2</v>
      </c>
      <c r="F7241">
        <v>7.5899999999999995E-2</v>
      </c>
    </row>
    <row r="7242" spans="1:6" x14ac:dyDescent="0.3">
      <c r="A7242" t="s">
        <v>7277</v>
      </c>
      <c r="B7242" t="s">
        <v>41</v>
      </c>
      <c r="C7242">
        <v>283000</v>
      </c>
      <c r="D7242">
        <v>315.3</v>
      </c>
      <c r="E7242">
        <v>1.1299999999999999E-2</v>
      </c>
      <c r="F7242">
        <v>8.1100000000000005E-2</v>
      </c>
    </row>
    <row r="7243" spans="1:6" x14ac:dyDescent="0.3">
      <c r="A7243" t="s">
        <v>7278</v>
      </c>
      <c r="B7243" t="s">
        <v>287</v>
      </c>
      <c r="C7243">
        <v>312000</v>
      </c>
      <c r="D7243">
        <v>79375.899999999994</v>
      </c>
      <c r="E7243">
        <v>1.49E-2</v>
      </c>
      <c r="F7243">
        <v>0.1067</v>
      </c>
    </row>
    <row r="7244" spans="1:6" x14ac:dyDescent="0.3">
      <c r="A7244" t="s">
        <v>7279</v>
      </c>
      <c r="B7244" t="s">
        <v>26</v>
      </c>
      <c r="C7244">
        <v>399000</v>
      </c>
      <c r="D7244">
        <v>7043.9</v>
      </c>
      <c r="E7244">
        <v>2.9600000000000001E-2</v>
      </c>
      <c r="F7244">
        <v>0.1066</v>
      </c>
    </row>
    <row r="7245" spans="1:6" x14ac:dyDescent="0.3">
      <c r="A7245" t="s">
        <v>7280</v>
      </c>
      <c r="B7245" t="s">
        <v>71</v>
      </c>
      <c r="C7245">
        <v>333000</v>
      </c>
      <c r="D7245">
        <v>18444.2</v>
      </c>
      <c r="E7245">
        <v>3.4000000000000002E-2</v>
      </c>
      <c r="F7245">
        <v>9.3799999999999994E-2</v>
      </c>
    </row>
    <row r="7246" spans="1:6" x14ac:dyDescent="0.3">
      <c r="A7246" t="s">
        <v>7281</v>
      </c>
      <c r="B7246" t="s">
        <v>26</v>
      </c>
      <c r="C7246">
        <v>454000</v>
      </c>
      <c r="D7246">
        <v>194923.5</v>
      </c>
      <c r="E7246">
        <v>2.1600000000000001E-2</v>
      </c>
      <c r="F7246">
        <v>8.5400000000000004E-2</v>
      </c>
    </row>
    <row r="7247" spans="1:6" x14ac:dyDescent="0.3">
      <c r="A7247" t="s">
        <v>7282</v>
      </c>
      <c r="B7247" t="s">
        <v>74</v>
      </c>
      <c r="C7247">
        <v>275000</v>
      </c>
      <c r="D7247">
        <v>159102.70000000001</v>
      </c>
      <c r="E7247">
        <v>1.8800000000000001E-2</v>
      </c>
      <c r="F7247">
        <v>9.5100000000000004E-2</v>
      </c>
    </row>
    <row r="7248" spans="1:6" x14ac:dyDescent="0.3">
      <c r="A7248" t="s">
        <v>7283</v>
      </c>
      <c r="B7248" t="s">
        <v>24</v>
      </c>
      <c r="C7248">
        <v>307000</v>
      </c>
      <c r="D7248">
        <v>23411.7</v>
      </c>
      <c r="E7248">
        <v>2.12E-2</v>
      </c>
      <c r="F7248">
        <v>9.5100000000000004E-2</v>
      </c>
    </row>
    <row r="7249" spans="1:6" x14ac:dyDescent="0.3">
      <c r="A7249" t="s">
        <v>7284</v>
      </c>
      <c r="B7249" t="s">
        <v>71</v>
      </c>
      <c r="C7249">
        <v>302000</v>
      </c>
      <c r="D7249">
        <v>563.70000000000005</v>
      </c>
      <c r="E7249">
        <v>6.0100000000000001E-2</v>
      </c>
      <c r="F7249">
        <v>9.3799999999999994E-2</v>
      </c>
    </row>
    <row r="7250" spans="1:6" x14ac:dyDescent="0.3">
      <c r="A7250" t="s">
        <v>7285</v>
      </c>
      <c r="B7250" t="s">
        <v>88</v>
      </c>
      <c r="C7250">
        <v>455000</v>
      </c>
      <c r="D7250">
        <v>3965.5</v>
      </c>
      <c r="F7250">
        <v>4.3200000000000002E-2</v>
      </c>
    </row>
    <row r="7251" spans="1:6" x14ac:dyDescent="0.3">
      <c r="A7251" t="s">
        <v>7286</v>
      </c>
      <c r="B7251" t="s">
        <v>88</v>
      </c>
      <c r="C7251">
        <v>337000</v>
      </c>
      <c r="D7251">
        <v>1990.8</v>
      </c>
      <c r="E7251">
        <v>2.75E-2</v>
      </c>
      <c r="F7251">
        <v>7.5899999999999995E-2</v>
      </c>
    </row>
    <row r="7252" spans="1:6" x14ac:dyDescent="0.3">
      <c r="A7252" t="s">
        <v>7287</v>
      </c>
      <c r="B7252" t="s">
        <v>32</v>
      </c>
      <c r="C7252">
        <v>466000</v>
      </c>
      <c r="D7252">
        <v>155799</v>
      </c>
      <c r="E7252">
        <v>1.3899999999999999E-2</v>
      </c>
      <c r="F7252">
        <v>8.2199999999999995E-2</v>
      </c>
    </row>
    <row r="7253" spans="1:6" x14ac:dyDescent="0.3">
      <c r="A7253" t="s">
        <v>7288</v>
      </c>
      <c r="B7253" t="s">
        <v>26</v>
      </c>
      <c r="C7253">
        <v>262000</v>
      </c>
      <c r="D7253">
        <v>213255.1</v>
      </c>
      <c r="E7253">
        <v>3.6400000000000002E-2</v>
      </c>
      <c r="F7253">
        <v>9.5100000000000004E-2</v>
      </c>
    </row>
    <row r="7254" spans="1:6" x14ac:dyDescent="0.3">
      <c r="A7254" t="s">
        <v>7289</v>
      </c>
      <c r="B7254" t="s">
        <v>24</v>
      </c>
      <c r="C7254">
        <v>262000</v>
      </c>
      <c r="D7254">
        <v>245.9</v>
      </c>
      <c r="E7254">
        <v>2.5600000000000001E-2</v>
      </c>
      <c r="F7254">
        <v>9.5100000000000004E-2</v>
      </c>
    </row>
    <row r="7255" spans="1:6" x14ac:dyDescent="0.3">
      <c r="A7255" t="s">
        <v>7290</v>
      </c>
      <c r="B7255" t="s">
        <v>30</v>
      </c>
      <c r="C7255">
        <v>291000</v>
      </c>
      <c r="D7255">
        <v>18753.099999999999</v>
      </c>
      <c r="E7255">
        <v>6.4000000000000003E-3</v>
      </c>
      <c r="F7255">
        <v>8.2199999999999995E-2</v>
      </c>
    </row>
    <row r="7256" spans="1:6" x14ac:dyDescent="0.3">
      <c r="A7256" t="s">
        <v>7291</v>
      </c>
      <c r="B7256" t="s">
        <v>74</v>
      </c>
      <c r="C7256">
        <v>1060000</v>
      </c>
      <c r="D7256">
        <v>850.9</v>
      </c>
      <c r="E7256">
        <v>1.4200000000000001E-2</v>
      </c>
      <c r="F7256">
        <v>4.6199999999999998E-2</v>
      </c>
    </row>
    <row r="7257" spans="1:6" x14ac:dyDescent="0.3">
      <c r="A7257" t="s">
        <v>7292</v>
      </c>
      <c r="B7257" t="s">
        <v>490</v>
      </c>
      <c r="C7257">
        <v>449000</v>
      </c>
      <c r="D7257">
        <v>108709.1</v>
      </c>
      <c r="E7257">
        <v>7.6E-3</v>
      </c>
      <c r="F7257">
        <v>8.2199999999999995E-2</v>
      </c>
    </row>
    <row r="7258" spans="1:6" x14ac:dyDescent="0.3">
      <c r="A7258" t="s">
        <v>7293</v>
      </c>
      <c r="B7258" t="s">
        <v>88</v>
      </c>
      <c r="C7258">
        <v>272000</v>
      </c>
      <c r="D7258">
        <v>1006.5</v>
      </c>
      <c r="E7258">
        <v>5.57E-2</v>
      </c>
      <c r="F7258">
        <v>7.5899999999999995E-2</v>
      </c>
    </row>
    <row r="7259" spans="1:6" x14ac:dyDescent="0.3">
      <c r="A7259" t="s">
        <v>7294</v>
      </c>
      <c r="B7259" t="s">
        <v>88</v>
      </c>
      <c r="C7259">
        <v>311000</v>
      </c>
      <c r="D7259">
        <v>13773.9</v>
      </c>
      <c r="E7259">
        <v>4.6100000000000002E-2</v>
      </c>
      <c r="F7259">
        <v>7.5899999999999995E-2</v>
      </c>
    </row>
    <row r="7260" spans="1:6" x14ac:dyDescent="0.3">
      <c r="A7260" t="s">
        <v>7295</v>
      </c>
      <c r="B7260" t="s">
        <v>214</v>
      </c>
      <c r="C7260">
        <v>269000</v>
      </c>
      <c r="D7260">
        <v>576.70000000000005</v>
      </c>
      <c r="E7260">
        <v>2.2700000000000001E-2</v>
      </c>
      <c r="F7260">
        <v>9.5100000000000004E-2</v>
      </c>
    </row>
    <row r="7261" spans="1:6" x14ac:dyDescent="0.3">
      <c r="A7261" t="s">
        <v>7296</v>
      </c>
      <c r="B7261" t="s">
        <v>287</v>
      </c>
      <c r="C7261">
        <v>303000</v>
      </c>
      <c r="D7261">
        <v>1012.9</v>
      </c>
      <c r="E7261">
        <v>1.9199999999999998E-2</v>
      </c>
      <c r="F7261">
        <v>8.5400000000000004E-2</v>
      </c>
    </row>
    <row r="7262" spans="1:6" x14ac:dyDescent="0.3">
      <c r="A7262" t="s">
        <v>7297</v>
      </c>
      <c r="B7262" t="s">
        <v>214</v>
      </c>
      <c r="C7262">
        <v>291000</v>
      </c>
      <c r="D7262">
        <v>3827.4</v>
      </c>
      <c r="E7262">
        <v>3.5000000000000001E-3</v>
      </c>
      <c r="F7262">
        <v>8.2100000000000006E-2</v>
      </c>
    </row>
    <row r="7263" spans="1:6" x14ac:dyDescent="0.3">
      <c r="A7263" t="s">
        <v>7298</v>
      </c>
      <c r="B7263" t="s">
        <v>26</v>
      </c>
      <c r="C7263">
        <v>262000</v>
      </c>
      <c r="D7263">
        <v>1170.7</v>
      </c>
      <c r="E7263">
        <v>9.7999999999999997E-3</v>
      </c>
      <c r="F7263">
        <v>8.2199999999999995E-2</v>
      </c>
    </row>
    <row r="7264" spans="1:6" x14ac:dyDescent="0.3">
      <c r="A7264" t="s">
        <v>7299</v>
      </c>
      <c r="B7264" t="s">
        <v>214</v>
      </c>
      <c r="C7264">
        <v>295000</v>
      </c>
      <c r="D7264">
        <v>10521.6</v>
      </c>
      <c r="E7264">
        <v>1.6199999999999999E-2</v>
      </c>
      <c r="F7264">
        <v>8.5400000000000004E-2</v>
      </c>
    </row>
    <row r="7265" spans="1:6" x14ac:dyDescent="0.3">
      <c r="A7265" t="s">
        <v>7300</v>
      </c>
      <c r="B7265" t="s">
        <v>41</v>
      </c>
      <c r="C7265">
        <v>449000</v>
      </c>
      <c r="D7265">
        <v>24469.5</v>
      </c>
      <c r="E7265">
        <v>6.7299999999999999E-2</v>
      </c>
      <c r="F7265">
        <v>9.3799999999999994E-2</v>
      </c>
    </row>
    <row r="7266" spans="1:6" x14ac:dyDescent="0.3">
      <c r="A7266" t="s">
        <v>7301</v>
      </c>
      <c r="B7266" t="s">
        <v>88</v>
      </c>
      <c r="C7266">
        <v>262000</v>
      </c>
      <c r="D7266">
        <v>723.3</v>
      </c>
      <c r="E7266">
        <v>2.47E-2</v>
      </c>
      <c r="F7266">
        <v>0.11700000000000001</v>
      </c>
    </row>
    <row r="7267" spans="1:6" x14ac:dyDescent="0.3">
      <c r="A7267" t="s">
        <v>7302</v>
      </c>
      <c r="B7267" t="s">
        <v>26</v>
      </c>
      <c r="C7267">
        <v>278000</v>
      </c>
      <c r="D7267">
        <v>13184.8</v>
      </c>
      <c r="E7267">
        <v>2.8500000000000001E-2</v>
      </c>
      <c r="F7267">
        <v>9.5100000000000004E-2</v>
      </c>
    </row>
    <row r="7268" spans="1:6" x14ac:dyDescent="0.3">
      <c r="A7268" t="s">
        <v>7303</v>
      </c>
      <c r="B7268" t="s">
        <v>26</v>
      </c>
      <c r="C7268">
        <v>282000</v>
      </c>
      <c r="D7268">
        <v>43723.3</v>
      </c>
      <c r="E7268">
        <v>4.1099999999999998E-2</v>
      </c>
      <c r="F7268">
        <v>5.4600000000000003E-2</v>
      </c>
    </row>
    <row r="7269" spans="1:6" x14ac:dyDescent="0.3">
      <c r="A7269" t="s">
        <v>7304</v>
      </c>
      <c r="B7269" t="s">
        <v>92</v>
      </c>
      <c r="C7269">
        <v>279000</v>
      </c>
      <c r="D7269">
        <v>4033.5</v>
      </c>
      <c r="E7269">
        <v>2.7400000000000001E-2</v>
      </c>
      <c r="F7269">
        <v>4.0899999999999999E-2</v>
      </c>
    </row>
    <row r="7270" spans="1:6" x14ac:dyDescent="0.3">
      <c r="A7270" t="s">
        <v>7305</v>
      </c>
      <c r="B7270" t="s">
        <v>30</v>
      </c>
      <c r="C7270">
        <v>389000</v>
      </c>
      <c r="D7270">
        <v>57040.9</v>
      </c>
      <c r="E7270">
        <v>2.23E-2</v>
      </c>
      <c r="F7270">
        <v>8.5400000000000004E-2</v>
      </c>
    </row>
    <row r="7271" spans="1:6" x14ac:dyDescent="0.3">
      <c r="A7271" t="s">
        <v>7306</v>
      </c>
      <c r="B7271" t="s">
        <v>62</v>
      </c>
      <c r="C7271">
        <v>483000</v>
      </c>
      <c r="D7271">
        <v>511.9</v>
      </c>
      <c r="E7271">
        <v>5.8400000000000001E-2</v>
      </c>
      <c r="F7271">
        <v>9.98E-2</v>
      </c>
    </row>
    <row r="7272" spans="1:6" x14ac:dyDescent="0.3">
      <c r="A7272" t="s">
        <v>7307</v>
      </c>
      <c r="B7272" t="s">
        <v>92</v>
      </c>
      <c r="C7272">
        <v>276000</v>
      </c>
      <c r="D7272">
        <v>36984.9</v>
      </c>
      <c r="E7272">
        <v>5.1999999999999998E-2</v>
      </c>
      <c r="F7272">
        <v>9.5100000000000004E-2</v>
      </c>
    </row>
    <row r="7273" spans="1:6" x14ac:dyDescent="0.3">
      <c r="A7273" t="s">
        <v>7308</v>
      </c>
      <c r="B7273" t="s">
        <v>50</v>
      </c>
      <c r="C7273">
        <v>269000</v>
      </c>
      <c r="D7273">
        <v>4071</v>
      </c>
      <c r="E7273">
        <v>7.0000000000000001E-3</v>
      </c>
      <c r="F7273">
        <v>8.2199999999999995E-2</v>
      </c>
    </row>
    <row r="7274" spans="1:6" x14ac:dyDescent="0.3">
      <c r="A7274" t="s">
        <v>7309</v>
      </c>
      <c r="B7274" t="s">
        <v>30</v>
      </c>
      <c r="C7274">
        <v>264000</v>
      </c>
      <c r="D7274">
        <v>44882</v>
      </c>
      <c r="E7274">
        <v>3.5900000000000001E-2</v>
      </c>
      <c r="F7274">
        <v>8.4500000000000006E-2</v>
      </c>
    </row>
    <row r="7275" spans="1:6" x14ac:dyDescent="0.3">
      <c r="A7275" t="s">
        <v>7310</v>
      </c>
      <c r="B7275" t="s">
        <v>32</v>
      </c>
      <c r="C7275">
        <v>688000</v>
      </c>
      <c r="D7275">
        <v>5850.3</v>
      </c>
      <c r="E7275">
        <v>1.5100000000000001E-2</v>
      </c>
      <c r="F7275">
        <v>4.6199999999999998E-2</v>
      </c>
    </row>
    <row r="7276" spans="1:6" x14ac:dyDescent="0.3">
      <c r="A7276" t="s">
        <v>7311</v>
      </c>
      <c r="B7276" t="s">
        <v>88</v>
      </c>
      <c r="C7276">
        <v>273000</v>
      </c>
      <c r="D7276">
        <v>4659.1000000000004</v>
      </c>
      <c r="E7276">
        <v>1.54E-2</v>
      </c>
      <c r="F7276">
        <v>0.38679999999999998</v>
      </c>
    </row>
    <row r="7277" spans="1:6" x14ac:dyDescent="0.3">
      <c r="A7277" t="s">
        <v>7312</v>
      </c>
      <c r="B7277" t="s">
        <v>41</v>
      </c>
      <c r="C7277">
        <v>909000</v>
      </c>
      <c r="D7277">
        <v>12736.9</v>
      </c>
      <c r="E7277">
        <v>0.12479999999999999</v>
      </c>
      <c r="F7277">
        <v>9.3799999999999994E-2</v>
      </c>
    </row>
    <row r="7278" spans="1:6" x14ac:dyDescent="0.3">
      <c r="A7278" t="s">
        <v>7313</v>
      </c>
      <c r="B7278" t="s">
        <v>88</v>
      </c>
      <c r="C7278">
        <v>342000</v>
      </c>
      <c r="D7278">
        <v>2106.9</v>
      </c>
      <c r="E7278">
        <v>3.0300000000000001E-2</v>
      </c>
      <c r="F7278">
        <v>9.3799999999999994E-2</v>
      </c>
    </row>
    <row r="7279" spans="1:6" x14ac:dyDescent="0.3">
      <c r="A7279" t="s">
        <v>7314</v>
      </c>
      <c r="B7279" t="s">
        <v>50</v>
      </c>
      <c r="C7279">
        <v>319000</v>
      </c>
      <c r="D7279">
        <v>11854.9</v>
      </c>
      <c r="E7279">
        <v>5.62E-2</v>
      </c>
      <c r="F7279">
        <v>9.3799999999999994E-2</v>
      </c>
    </row>
    <row r="7280" spans="1:6" x14ac:dyDescent="0.3">
      <c r="A7280" t="s">
        <v>7315</v>
      </c>
      <c r="B7280" t="s">
        <v>62</v>
      </c>
      <c r="C7280">
        <v>275000</v>
      </c>
      <c r="D7280">
        <v>58.2</v>
      </c>
      <c r="E7280">
        <v>8.2000000000000007E-3</v>
      </c>
      <c r="F7280">
        <v>8.2199999999999995E-2</v>
      </c>
    </row>
    <row r="7281" spans="1:6" x14ac:dyDescent="0.3">
      <c r="A7281" t="s">
        <v>7316</v>
      </c>
      <c r="B7281" t="s">
        <v>62</v>
      </c>
      <c r="C7281">
        <v>272000</v>
      </c>
      <c r="D7281">
        <v>2124.8000000000002</v>
      </c>
      <c r="E7281">
        <v>1.4999999999999999E-2</v>
      </c>
      <c r="F7281">
        <v>5.7599999999999998E-2</v>
      </c>
    </row>
    <row r="7282" spans="1:6" x14ac:dyDescent="0.3">
      <c r="A7282" t="s">
        <v>7317</v>
      </c>
      <c r="B7282" t="s">
        <v>26</v>
      </c>
      <c r="C7282">
        <v>268000</v>
      </c>
      <c r="D7282">
        <v>8258.1</v>
      </c>
      <c r="E7282">
        <v>1.83E-2</v>
      </c>
      <c r="F7282">
        <v>9.5000000000000001E-2</v>
      </c>
    </row>
    <row r="7283" spans="1:6" x14ac:dyDescent="0.3">
      <c r="A7283" t="s">
        <v>7318</v>
      </c>
      <c r="B7283" t="s">
        <v>26</v>
      </c>
      <c r="C7283">
        <v>264000</v>
      </c>
      <c r="D7283">
        <v>811.5</v>
      </c>
      <c r="E7283">
        <v>5.3800000000000001E-2</v>
      </c>
      <c r="F7283">
        <v>5.4600000000000003E-2</v>
      </c>
    </row>
    <row r="7284" spans="1:6" x14ac:dyDescent="0.3">
      <c r="A7284" t="s">
        <v>7319</v>
      </c>
      <c r="B7284" t="s">
        <v>26</v>
      </c>
      <c r="C7284">
        <v>358000</v>
      </c>
      <c r="D7284">
        <v>28456.6</v>
      </c>
      <c r="E7284">
        <v>2.9899999999999999E-2</v>
      </c>
      <c r="F7284">
        <v>7.5899999999999995E-2</v>
      </c>
    </row>
    <row r="7285" spans="1:6" x14ac:dyDescent="0.3">
      <c r="A7285" t="s">
        <v>7320</v>
      </c>
      <c r="B7285" t="s">
        <v>214</v>
      </c>
      <c r="C7285">
        <v>642000</v>
      </c>
      <c r="D7285">
        <v>114956.3</v>
      </c>
      <c r="F7285">
        <v>4.0899999999999999E-2</v>
      </c>
    </row>
    <row r="7286" spans="1:6" x14ac:dyDescent="0.3">
      <c r="A7286" t="s">
        <v>7321</v>
      </c>
      <c r="B7286" t="s">
        <v>26</v>
      </c>
      <c r="C7286">
        <v>302000</v>
      </c>
      <c r="D7286">
        <v>1583.7</v>
      </c>
      <c r="E7286">
        <v>3.2300000000000002E-2</v>
      </c>
      <c r="F7286">
        <v>9.3799999999999994E-2</v>
      </c>
    </row>
    <row r="7287" spans="1:6" x14ac:dyDescent="0.3">
      <c r="A7287" t="s">
        <v>7322</v>
      </c>
      <c r="B7287" t="s">
        <v>26</v>
      </c>
      <c r="C7287">
        <v>376000</v>
      </c>
      <c r="D7287">
        <v>70504.100000000006</v>
      </c>
      <c r="E7287">
        <v>6.4500000000000002E-2</v>
      </c>
      <c r="F7287">
        <v>7.5899999999999995E-2</v>
      </c>
    </row>
    <row r="7288" spans="1:6" x14ac:dyDescent="0.3">
      <c r="A7288" t="s">
        <v>7323</v>
      </c>
      <c r="B7288" t="s">
        <v>88</v>
      </c>
      <c r="C7288">
        <v>291000</v>
      </c>
      <c r="D7288">
        <v>316.5</v>
      </c>
      <c r="E7288">
        <v>3.1199999999999999E-2</v>
      </c>
      <c r="F7288">
        <v>0.1226</v>
      </c>
    </row>
    <row r="7289" spans="1:6" x14ac:dyDescent="0.3">
      <c r="A7289" t="s">
        <v>7324</v>
      </c>
      <c r="B7289" t="s">
        <v>50</v>
      </c>
      <c r="C7289">
        <v>263000</v>
      </c>
      <c r="D7289">
        <v>3492033.2</v>
      </c>
      <c r="E7289">
        <v>1.3100000000000001E-2</v>
      </c>
      <c r="F7289">
        <v>5.8500000000000003E-2</v>
      </c>
    </row>
    <row r="7290" spans="1:6" x14ac:dyDescent="0.3">
      <c r="A7290" t="s">
        <v>7325</v>
      </c>
      <c r="B7290" t="s">
        <v>26</v>
      </c>
      <c r="C7290">
        <v>350000</v>
      </c>
      <c r="D7290">
        <v>12629.8</v>
      </c>
      <c r="E7290">
        <v>1.78E-2</v>
      </c>
      <c r="F7290">
        <v>8.5400000000000004E-2</v>
      </c>
    </row>
    <row r="7291" spans="1:6" x14ac:dyDescent="0.3">
      <c r="A7291" t="s">
        <v>7326</v>
      </c>
      <c r="B7291" t="s">
        <v>214</v>
      </c>
      <c r="C7291">
        <v>386000</v>
      </c>
      <c r="D7291">
        <v>8133.5</v>
      </c>
      <c r="E7291">
        <v>1.72E-2</v>
      </c>
      <c r="F7291">
        <v>5.8500000000000003E-2</v>
      </c>
    </row>
    <row r="7292" spans="1:6" x14ac:dyDescent="0.3">
      <c r="A7292" t="s">
        <v>7327</v>
      </c>
      <c r="B7292" t="s">
        <v>81</v>
      </c>
      <c r="C7292">
        <v>331000</v>
      </c>
      <c r="D7292">
        <v>19668.400000000001</v>
      </c>
      <c r="E7292">
        <v>3.0599999999999999E-2</v>
      </c>
      <c r="F7292">
        <v>9.3799999999999994E-2</v>
      </c>
    </row>
    <row r="7293" spans="1:6" x14ac:dyDescent="0.3">
      <c r="A7293" t="s">
        <v>7328</v>
      </c>
      <c r="B7293" t="s">
        <v>62</v>
      </c>
      <c r="C7293">
        <v>336000</v>
      </c>
      <c r="D7293">
        <v>2554.3000000000002</v>
      </c>
      <c r="E7293">
        <v>4.2299999999999997E-2</v>
      </c>
      <c r="F7293">
        <v>7.5899999999999995E-2</v>
      </c>
    </row>
    <row r="7294" spans="1:6" x14ac:dyDescent="0.3">
      <c r="A7294" t="s">
        <v>7329</v>
      </c>
      <c r="B7294" t="s">
        <v>92</v>
      </c>
      <c r="C7294">
        <v>529000</v>
      </c>
      <c r="D7294">
        <v>28525</v>
      </c>
      <c r="E7294">
        <v>3.1300000000000001E-2</v>
      </c>
      <c r="F7294">
        <v>5.3800000000000001E-2</v>
      </c>
    </row>
    <row r="7295" spans="1:6" x14ac:dyDescent="0.3">
      <c r="A7295" t="s">
        <v>7330</v>
      </c>
      <c r="B7295" t="s">
        <v>71</v>
      </c>
      <c r="C7295">
        <v>283000</v>
      </c>
      <c r="D7295">
        <v>1171.2</v>
      </c>
      <c r="E7295">
        <v>2.4400000000000002E-2</v>
      </c>
      <c r="F7295">
        <v>0.1066</v>
      </c>
    </row>
    <row r="7296" spans="1:6" x14ac:dyDescent="0.3">
      <c r="A7296" t="s">
        <v>7331</v>
      </c>
      <c r="B7296" t="s">
        <v>50</v>
      </c>
      <c r="C7296">
        <v>329000</v>
      </c>
      <c r="D7296">
        <v>402.5</v>
      </c>
      <c r="E7296">
        <v>4.36E-2</v>
      </c>
      <c r="F7296">
        <v>7.5899999999999995E-2</v>
      </c>
    </row>
    <row r="7297" spans="1:6" x14ac:dyDescent="0.3">
      <c r="A7297" t="s">
        <v>7332</v>
      </c>
      <c r="B7297" t="s">
        <v>88</v>
      </c>
      <c r="C7297">
        <v>338000</v>
      </c>
      <c r="D7297">
        <v>1363.8</v>
      </c>
      <c r="E7297">
        <v>5.16E-2</v>
      </c>
      <c r="F7297">
        <v>9.3799999999999994E-2</v>
      </c>
    </row>
    <row r="7298" spans="1:6" x14ac:dyDescent="0.3">
      <c r="A7298" t="s">
        <v>7333</v>
      </c>
      <c r="B7298" t="s">
        <v>287</v>
      </c>
      <c r="C7298">
        <v>263000</v>
      </c>
      <c r="D7298">
        <v>863.4</v>
      </c>
      <c r="E7298">
        <v>1.3299999999999999E-2</v>
      </c>
      <c r="F7298">
        <v>0.1067</v>
      </c>
    </row>
    <row r="7299" spans="1:6" x14ac:dyDescent="0.3">
      <c r="A7299" t="s">
        <v>7334</v>
      </c>
      <c r="B7299" t="s">
        <v>24</v>
      </c>
      <c r="C7299">
        <v>454000</v>
      </c>
      <c r="D7299">
        <v>906</v>
      </c>
      <c r="E7299">
        <v>1.4500000000000001E-2</v>
      </c>
      <c r="F7299">
        <v>0.1013</v>
      </c>
    </row>
    <row r="7300" spans="1:6" x14ac:dyDescent="0.3">
      <c r="A7300" t="s">
        <v>7335</v>
      </c>
      <c r="B7300" t="s">
        <v>53</v>
      </c>
      <c r="C7300">
        <v>339000</v>
      </c>
      <c r="D7300">
        <v>1327.9</v>
      </c>
      <c r="E7300">
        <v>7.7200000000000005E-2</v>
      </c>
      <c r="F7300">
        <v>9.3799999999999994E-2</v>
      </c>
    </row>
    <row r="7301" spans="1:6" x14ac:dyDescent="0.3">
      <c r="A7301" t="s">
        <v>7336</v>
      </c>
      <c r="B7301" t="s">
        <v>35</v>
      </c>
      <c r="C7301">
        <v>257000</v>
      </c>
      <c r="D7301">
        <v>88</v>
      </c>
      <c r="E7301">
        <v>2.46E-2</v>
      </c>
      <c r="F7301">
        <v>7.5899999999999995E-2</v>
      </c>
    </row>
    <row r="7302" spans="1:6" x14ac:dyDescent="0.3">
      <c r="A7302" t="s">
        <v>7337</v>
      </c>
      <c r="B7302" t="s">
        <v>26</v>
      </c>
      <c r="C7302">
        <v>388000</v>
      </c>
      <c r="D7302">
        <v>9125.6</v>
      </c>
      <c r="E7302">
        <v>2.47E-2</v>
      </c>
      <c r="F7302">
        <v>7.5899999999999995E-2</v>
      </c>
    </row>
    <row r="7303" spans="1:6" x14ac:dyDescent="0.3">
      <c r="A7303" t="s">
        <v>7338</v>
      </c>
      <c r="B7303" t="s">
        <v>24</v>
      </c>
      <c r="C7303">
        <v>1130000</v>
      </c>
      <c r="D7303">
        <v>106047.6</v>
      </c>
      <c r="E7303">
        <v>2.7900000000000001E-2</v>
      </c>
      <c r="F7303">
        <v>7.5899999999999995E-2</v>
      </c>
    </row>
    <row r="7304" spans="1:6" x14ac:dyDescent="0.3">
      <c r="A7304" t="s">
        <v>7339</v>
      </c>
      <c r="B7304" t="s">
        <v>74</v>
      </c>
      <c r="C7304">
        <v>259000</v>
      </c>
      <c r="D7304">
        <v>75.900000000000006</v>
      </c>
      <c r="E7304">
        <v>1.34E-2</v>
      </c>
      <c r="F7304">
        <v>8.14E-2</v>
      </c>
    </row>
    <row r="7305" spans="1:6" x14ac:dyDescent="0.3">
      <c r="A7305" t="s">
        <v>7340</v>
      </c>
      <c r="B7305" t="s">
        <v>26</v>
      </c>
      <c r="C7305">
        <v>272000</v>
      </c>
      <c r="D7305">
        <v>4749.8999999999996</v>
      </c>
      <c r="E7305">
        <v>3.2399999999999998E-2</v>
      </c>
      <c r="F7305">
        <v>9.5100000000000004E-2</v>
      </c>
    </row>
    <row r="7306" spans="1:6" x14ac:dyDescent="0.3">
      <c r="A7306" t="s">
        <v>7341</v>
      </c>
      <c r="B7306" t="s">
        <v>214</v>
      </c>
      <c r="C7306">
        <v>332000</v>
      </c>
      <c r="D7306">
        <v>5908.4</v>
      </c>
      <c r="E7306">
        <v>6.7500000000000004E-2</v>
      </c>
      <c r="F7306">
        <v>7.5899999999999995E-2</v>
      </c>
    </row>
    <row r="7307" spans="1:6" x14ac:dyDescent="0.3">
      <c r="A7307" t="s">
        <v>7342</v>
      </c>
      <c r="B7307" t="s">
        <v>92</v>
      </c>
      <c r="C7307">
        <v>1030000</v>
      </c>
      <c r="D7307">
        <v>28983</v>
      </c>
      <c r="F7307">
        <v>7.5899999999999995E-2</v>
      </c>
    </row>
    <row r="7308" spans="1:6" x14ac:dyDescent="0.3">
      <c r="A7308" t="s">
        <v>7343</v>
      </c>
      <c r="B7308" t="s">
        <v>26</v>
      </c>
      <c r="C7308">
        <v>350000</v>
      </c>
      <c r="D7308">
        <v>56585.7</v>
      </c>
      <c r="E7308">
        <v>3.39E-2</v>
      </c>
      <c r="F7308">
        <v>7.5899999999999995E-2</v>
      </c>
    </row>
    <row r="7309" spans="1:6" x14ac:dyDescent="0.3">
      <c r="A7309" t="s">
        <v>7344</v>
      </c>
      <c r="B7309" t="s">
        <v>26</v>
      </c>
      <c r="C7309">
        <v>407000</v>
      </c>
      <c r="D7309">
        <v>78484</v>
      </c>
      <c r="E7309">
        <v>2.0500000000000001E-2</v>
      </c>
      <c r="F7309">
        <v>4.0899999999999999E-2</v>
      </c>
    </row>
    <row r="7310" spans="1:6" x14ac:dyDescent="0.3">
      <c r="A7310" t="s">
        <v>7345</v>
      </c>
      <c r="B7310" t="s">
        <v>41</v>
      </c>
      <c r="C7310">
        <v>254000</v>
      </c>
      <c r="D7310">
        <v>1940.6</v>
      </c>
      <c r="E7310">
        <v>3.3799999999999997E-2</v>
      </c>
      <c r="F7310">
        <v>9.5100000000000004E-2</v>
      </c>
    </row>
    <row r="7311" spans="1:6" x14ac:dyDescent="0.3">
      <c r="A7311" t="s">
        <v>7346</v>
      </c>
      <c r="B7311" t="s">
        <v>62</v>
      </c>
      <c r="C7311">
        <v>351000</v>
      </c>
      <c r="D7311">
        <v>231981.2</v>
      </c>
      <c r="E7311">
        <v>1.7500000000000002E-2</v>
      </c>
      <c r="F7311">
        <v>5.8500000000000003E-2</v>
      </c>
    </row>
    <row r="7312" spans="1:6" x14ac:dyDescent="0.3">
      <c r="A7312" t="s">
        <v>7347</v>
      </c>
      <c r="B7312" t="s">
        <v>26</v>
      </c>
      <c r="C7312">
        <v>268000</v>
      </c>
      <c r="D7312">
        <v>2928.1</v>
      </c>
      <c r="E7312">
        <v>1.6799999999999999E-2</v>
      </c>
      <c r="F7312">
        <v>4.6199999999999998E-2</v>
      </c>
    </row>
    <row r="7313" spans="1:6" x14ac:dyDescent="0.3">
      <c r="A7313" t="s">
        <v>7348</v>
      </c>
      <c r="B7313" t="s">
        <v>92</v>
      </c>
      <c r="C7313">
        <v>300000</v>
      </c>
      <c r="D7313">
        <v>276.10000000000002</v>
      </c>
      <c r="E7313">
        <v>2.1600000000000001E-2</v>
      </c>
      <c r="F7313">
        <v>9.3799999999999994E-2</v>
      </c>
    </row>
    <row r="7314" spans="1:6" x14ac:dyDescent="0.3">
      <c r="A7314" t="s">
        <v>7349</v>
      </c>
      <c r="B7314" t="s">
        <v>74</v>
      </c>
      <c r="C7314">
        <v>278000</v>
      </c>
      <c r="D7314">
        <v>28568.1</v>
      </c>
      <c r="F7314">
        <v>9.5100000000000004E-2</v>
      </c>
    </row>
    <row r="7315" spans="1:6" x14ac:dyDescent="0.3">
      <c r="A7315" t="s">
        <v>7350</v>
      </c>
      <c r="B7315" t="s">
        <v>41</v>
      </c>
      <c r="C7315">
        <v>411000</v>
      </c>
      <c r="D7315">
        <v>43673.5</v>
      </c>
      <c r="E7315">
        <v>5.4800000000000001E-2</v>
      </c>
      <c r="F7315">
        <v>9.5100000000000004E-2</v>
      </c>
    </row>
    <row r="7316" spans="1:6" x14ac:dyDescent="0.3">
      <c r="A7316" t="s">
        <v>7351</v>
      </c>
      <c r="B7316" t="s">
        <v>30</v>
      </c>
      <c r="C7316">
        <v>283000</v>
      </c>
      <c r="D7316">
        <v>3434.2</v>
      </c>
      <c r="E7316">
        <v>6.1999999999999998E-3</v>
      </c>
      <c r="F7316">
        <v>8.2199999999999995E-2</v>
      </c>
    </row>
    <row r="7317" spans="1:6" x14ac:dyDescent="0.3">
      <c r="A7317" t="s">
        <v>7352</v>
      </c>
      <c r="B7317" t="s">
        <v>41</v>
      </c>
      <c r="C7317">
        <v>264000</v>
      </c>
      <c r="D7317">
        <v>695270.6</v>
      </c>
      <c r="E7317">
        <v>1.21E-2</v>
      </c>
      <c r="F7317">
        <v>5.8500000000000003E-2</v>
      </c>
    </row>
    <row r="7318" spans="1:6" x14ac:dyDescent="0.3">
      <c r="A7318" t="s">
        <v>7353</v>
      </c>
      <c r="B7318" t="s">
        <v>214</v>
      </c>
      <c r="C7318">
        <v>389000</v>
      </c>
      <c r="D7318">
        <v>458.3</v>
      </c>
      <c r="E7318">
        <v>6.4999999999999997E-3</v>
      </c>
      <c r="F7318">
        <v>9.0300000000000005E-2</v>
      </c>
    </row>
    <row r="7319" spans="1:6" x14ac:dyDescent="0.3">
      <c r="A7319" t="s">
        <v>7354</v>
      </c>
      <c r="B7319" t="s">
        <v>50</v>
      </c>
      <c r="C7319">
        <v>385000</v>
      </c>
      <c r="D7319">
        <v>3672.4</v>
      </c>
      <c r="E7319">
        <v>2.46E-2</v>
      </c>
      <c r="F7319">
        <v>9.3799999999999994E-2</v>
      </c>
    </row>
    <row r="7320" spans="1:6" x14ac:dyDescent="0.3">
      <c r="A7320" t="s">
        <v>7355</v>
      </c>
      <c r="B7320" t="s">
        <v>88</v>
      </c>
      <c r="C7320">
        <v>594000</v>
      </c>
      <c r="D7320">
        <v>1413.1</v>
      </c>
      <c r="E7320">
        <v>5.7599999999999998E-2</v>
      </c>
      <c r="F7320">
        <v>9.3799999999999994E-2</v>
      </c>
    </row>
    <row r="7321" spans="1:6" x14ac:dyDescent="0.3">
      <c r="A7321" t="s">
        <v>7356</v>
      </c>
      <c r="B7321" t="s">
        <v>287</v>
      </c>
      <c r="C7321">
        <v>266000</v>
      </c>
      <c r="D7321">
        <v>14261.8</v>
      </c>
      <c r="E7321">
        <v>2.4E-2</v>
      </c>
      <c r="F7321">
        <v>0.17100000000000001</v>
      </c>
    </row>
    <row r="7322" spans="1:6" x14ac:dyDescent="0.3">
      <c r="A7322" t="s">
        <v>7357</v>
      </c>
      <c r="B7322" t="s">
        <v>50</v>
      </c>
      <c r="C7322">
        <v>268000</v>
      </c>
      <c r="D7322">
        <v>57.6</v>
      </c>
      <c r="E7322">
        <v>7.7100000000000002E-2</v>
      </c>
      <c r="F7322">
        <v>7.5899999999999995E-2</v>
      </c>
    </row>
    <row r="7323" spans="1:6" x14ac:dyDescent="0.3">
      <c r="A7323" t="s">
        <v>7358</v>
      </c>
      <c r="B7323" t="s">
        <v>81</v>
      </c>
      <c r="C7323">
        <v>277000</v>
      </c>
      <c r="D7323">
        <v>11021.2</v>
      </c>
      <c r="E7323">
        <v>7.6300000000000007E-2</v>
      </c>
      <c r="F7323">
        <v>9.5100000000000004E-2</v>
      </c>
    </row>
    <row r="7324" spans="1:6" x14ac:dyDescent="0.3">
      <c r="A7324" t="s">
        <v>7359</v>
      </c>
      <c r="B7324" t="s">
        <v>26</v>
      </c>
      <c r="C7324">
        <v>278000</v>
      </c>
      <c r="D7324">
        <v>8666</v>
      </c>
      <c r="E7324">
        <v>3.9199999999999999E-2</v>
      </c>
      <c r="F7324">
        <v>9.5100000000000004E-2</v>
      </c>
    </row>
    <row r="7325" spans="1:6" x14ac:dyDescent="0.3">
      <c r="A7325" t="s">
        <v>7360</v>
      </c>
      <c r="B7325" t="s">
        <v>21</v>
      </c>
      <c r="C7325">
        <v>280000</v>
      </c>
      <c r="D7325">
        <v>4151.3</v>
      </c>
      <c r="E7325">
        <v>1.7399999999999999E-2</v>
      </c>
      <c r="F7325">
        <v>5.8500000000000003E-2</v>
      </c>
    </row>
    <row r="7326" spans="1:6" x14ac:dyDescent="0.3">
      <c r="A7326" t="s">
        <v>7361</v>
      </c>
      <c r="B7326" t="s">
        <v>214</v>
      </c>
      <c r="C7326">
        <v>433000</v>
      </c>
      <c r="D7326">
        <v>7482.1</v>
      </c>
      <c r="E7326">
        <v>5.0700000000000002E-2</v>
      </c>
      <c r="F7326">
        <v>7.5899999999999995E-2</v>
      </c>
    </row>
    <row r="7327" spans="1:6" x14ac:dyDescent="0.3">
      <c r="A7327" t="s">
        <v>7362</v>
      </c>
      <c r="B7327" t="s">
        <v>214</v>
      </c>
      <c r="C7327">
        <v>472000</v>
      </c>
      <c r="D7327">
        <v>2218.8000000000002</v>
      </c>
      <c r="E7327">
        <v>1.18E-2</v>
      </c>
      <c r="F7327">
        <v>0.13769999999999999</v>
      </c>
    </row>
    <row r="7328" spans="1:6" x14ac:dyDescent="0.3">
      <c r="A7328" t="s">
        <v>7363</v>
      </c>
      <c r="B7328" t="s">
        <v>26</v>
      </c>
      <c r="C7328">
        <v>792000</v>
      </c>
      <c r="D7328">
        <v>21216.9</v>
      </c>
      <c r="E7328">
        <v>8.3000000000000001E-3</v>
      </c>
      <c r="F7328">
        <v>9.0300000000000005E-2</v>
      </c>
    </row>
    <row r="7329" spans="1:6" x14ac:dyDescent="0.3">
      <c r="A7329" t="s">
        <v>7364</v>
      </c>
      <c r="B7329" t="s">
        <v>88</v>
      </c>
      <c r="C7329">
        <v>271000</v>
      </c>
      <c r="D7329">
        <v>1539.5</v>
      </c>
      <c r="E7329">
        <v>5.3800000000000001E-2</v>
      </c>
      <c r="F7329">
        <v>9.5100000000000004E-2</v>
      </c>
    </row>
    <row r="7330" spans="1:6" x14ac:dyDescent="0.3">
      <c r="A7330" t="s">
        <v>7365</v>
      </c>
      <c r="B7330" t="s">
        <v>41</v>
      </c>
      <c r="C7330">
        <v>785000</v>
      </c>
      <c r="D7330">
        <v>1318.9</v>
      </c>
      <c r="E7330">
        <v>2.6499999999999999E-2</v>
      </c>
      <c r="F7330">
        <v>9.3799999999999994E-2</v>
      </c>
    </row>
    <row r="7331" spans="1:6" x14ac:dyDescent="0.3">
      <c r="A7331" t="s">
        <v>7366</v>
      </c>
      <c r="B7331" t="s">
        <v>26</v>
      </c>
      <c r="C7331">
        <v>318000</v>
      </c>
      <c r="D7331">
        <v>5708.3</v>
      </c>
      <c r="E7331">
        <v>1.2500000000000001E-2</v>
      </c>
      <c r="F7331">
        <v>6.4699999999999994E-2</v>
      </c>
    </row>
    <row r="7332" spans="1:6" x14ac:dyDescent="0.3">
      <c r="A7332" t="s">
        <v>7367</v>
      </c>
      <c r="B7332" t="s">
        <v>88</v>
      </c>
      <c r="C7332">
        <v>281000</v>
      </c>
      <c r="D7332">
        <v>610.79999999999995</v>
      </c>
      <c r="E7332">
        <v>1.49E-2</v>
      </c>
      <c r="F7332">
        <v>5.7599999999999998E-2</v>
      </c>
    </row>
    <row r="7333" spans="1:6" x14ac:dyDescent="0.3">
      <c r="A7333" t="s">
        <v>7368</v>
      </c>
      <c r="B7333" t="s">
        <v>26</v>
      </c>
      <c r="C7333">
        <v>334000</v>
      </c>
      <c r="D7333">
        <v>24004.3</v>
      </c>
      <c r="E7333">
        <v>2.0799999999999999E-2</v>
      </c>
      <c r="F7333">
        <v>8.5400000000000004E-2</v>
      </c>
    </row>
    <row r="7334" spans="1:6" x14ac:dyDescent="0.3">
      <c r="A7334" t="s">
        <v>7369</v>
      </c>
      <c r="B7334" t="s">
        <v>195</v>
      </c>
      <c r="C7334">
        <v>637000</v>
      </c>
      <c r="D7334">
        <v>58701.9</v>
      </c>
      <c r="E7334">
        <v>2.1100000000000001E-2</v>
      </c>
      <c r="F7334">
        <v>0.1067</v>
      </c>
    </row>
    <row r="7335" spans="1:6" x14ac:dyDescent="0.3">
      <c r="A7335" t="s">
        <v>7370</v>
      </c>
      <c r="B7335" t="s">
        <v>74</v>
      </c>
      <c r="C7335">
        <v>357000</v>
      </c>
      <c r="D7335">
        <v>8192.9</v>
      </c>
      <c r="E7335">
        <v>3.6799999999999999E-2</v>
      </c>
      <c r="F7335">
        <v>9.5100000000000004E-2</v>
      </c>
    </row>
    <row r="7336" spans="1:6" x14ac:dyDescent="0.3">
      <c r="A7336" t="s">
        <v>7371</v>
      </c>
      <c r="B7336" t="s">
        <v>26</v>
      </c>
      <c r="C7336">
        <v>388000</v>
      </c>
      <c r="D7336">
        <v>15558.4</v>
      </c>
      <c r="E7336">
        <v>1.4500000000000001E-2</v>
      </c>
      <c r="F7336">
        <v>4.6199999999999998E-2</v>
      </c>
    </row>
    <row r="7337" spans="1:6" x14ac:dyDescent="0.3">
      <c r="A7337" t="s">
        <v>7372</v>
      </c>
      <c r="B7337" t="s">
        <v>26</v>
      </c>
      <c r="C7337">
        <v>262000</v>
      </c>
      <c r="D7337">
        <v>220.4</v>
      </c>
      <c r="E7337">
        <v>4.2200000000000001E-2</v>
      </c>
      <c r="F7337">
        <v>9.5100000000000004E-2</v>
      </c>
    </row>
    <row r="7338" spans="1:6" x14ac:dyDescent="0.3">
      <c r="A7338" t="s">
        <v>7373</v>
      </c>
      <c r="B7338" t="s">
        <v>62</v>
      </c>
      <c r="C7338">
        <v>262000</v>
      </c>
      <c r="D7338">
        <v>8218.6</v>
      </c>
      <c r="E7338">
        <v>2.8799999999999999E-2</v>
      </c>
      <c r="F7338">
        <v>9.5100000000000004E-2</v>
      </c>
    </row>
    <row r="7339" spans="1:6" x14ac:dyDescent="0.3">
      <c r="A7339" t="s">
        <v>7374</v>
      </c>
      <c r="B7339" t="s">
        <v>92</v>
      </c>
      <c r="C7339">
        <v>458000</v>
      </c>
      <c r="D7339">
        <v>2521.3000000000002</v>
      </c>
      <c r="E7339">
        <v>1.5699999999999999E-2</v>
      </c>
      <c r="F7339">
        <v>4.6199999999999998E-2</v>
      </c>
    </row>
    <row r="7340" spans="1:6" x14ac:dyDescent="0.3">
      <c r="A7340" t="s">
        <v>7375</v>
      </c>
      <c r="B7340" t="s">
        <v>92</v>
      </c>
      <c r="C7340">
        <v>277000</v>
      </c>
      <c r="D7340">
        <v>4611.5</v>
      </c>
      <c r="E7340">
        <v>2.0799999999999999E-2</v>
      </c>
      <c r="F7340">
        <v>9.5100000000000004E-2</v>
      </c>
    </row>
    <row r="7341" spans="1:6" x14ac:dyDescent="0.3">
      <c r="A7341" t="s">
        <v>7376</v>
      </c>
      <c r="B7341" t="s">
        <v>26</v>
      </c>
      <c r="C7341">
        <v>270000</v>
      </c>
      <c r="D7341">
        <v>1117.8</v>
      </c>
      <c r="E7341">
        <v>2.9100000000000001E-2</v>
      </c>
      <c r="F7341">
        <v>9.5100000000000004E-2</v>
      </c>
    </row>
    <row r="7342" spans="1:6" x14ac:dyDescent="0.3">
      <c r="A7342" t="s">
        <v>7377</v>
      </c>
      <c r="B7342" t="s">
        <v>26</v>
      </c>
      <c r="C7342">
        <v>284000</v>
      </c>
      <c r="D7342">
        <v>1365.9</v>
      </c>
      <c r="E7342">
        <v>4.5699999999999998E-2</v>
      </c>
      <c r="F7342">
        <v>7.5899999999999995E-2</v>
      </c>
    </row>
    <row r="7343" spans="1:6" x14ac:dyDescent="0.3">
      <c r="A7343" t="s">
        <v>7378</v>
      </c>
      <c r="B7343" t="s">
        <v>88</v>
      </c>
      <c r="C7343">
        <v>258000</v>
      </c>
      <c r="D7343">
        <v>398.2</v>
      </c>
      <c r="E7343">
        <v>3.5000000000000003E-2</v>
      </c>
      <c r="F7343">
        <v>0.1241</v>
      </c>
    </row>
    <row r="7344" spans="1:6" x14ac:dyDescent="0.3">
      <c r="A7344" t="s">
        <v>7379</v>
      </c>
      <c r="B7344" t="s">
        <v>50</v>
      </c>
      <c r="C7344">
        <v>215000</v>
      </c>
      <c r="D7344">
        <v>908398.4</v>
      </c>
      <c r="E7344">
        <v>3.5799999999999998E-2</v>
      </c>
      <c r="F7344">
        <v>5.1799999999999999E-2</v>
      </c>
    </row>
    <row r="7345" spans="1:6" x14ac:dyDescent="0.3">
      <c r="A7345" t="s">
        <v>7380</v>
      </c>
      <c r="B7345" t="s">
        <v>26</v>
      </c>
      <c r="C7345">
        <v>261000</v>
      </c>
      <c r="D7345">
        <v>5907.9</v>
      </c>
      <c r="E7345">
        <v>1.04E-2</v>
      </c>
      <c r="F7345">
        <v>6.5699999999999995E-2</v>
      </c>
    </row>
    <row r="7346" spans="1:6" x14ac:dyDescent="0.3">
      <c r="A7346" t="s">
        <v>7381</v>
      </c>
      <c r="B7346" t="s">
        <v>88</v>
      </c>
      <c r="C7346">
        <v>364000</v>
      </c>
      <c r="D7346">
        <v>71614.3</v>
      </c>
      <c r="E7346">
        <v>6.0100000000000001E-2</v>
      </c>
      <c r="F7346">
        <v>9.3799999999999994E-2</v>
      </c>
    </row>
    <row r="7347" spans="1:6" x14ac:dyDescent="0.3">
      <c r="A7347" t="s">
        <v>7382</v>
      </c>
      <c r="B7347" t="s">
        <v>53</v>
      </c>
      <c r="C7347">
        <v>267000</v>
      </c>
      <c r="D7347">
        <v>2267.6999999999998</v>
      </c>
      <c r="E7347">
        <v>2.7900000000000001E-2</v>
      </c>
      <c r="F7347">
        <v>9.5100000000000004E-2</v>
      </c>
    </row>
    <row r="7348" spans="1:6" x14ac:dyDescent="0.3">
      <c r="A7348" t="s">
        <v>7383</v>
      </c>
      <c r="B7348" t="s">
        <v>26</v>
      </c>
      <c r="C7348">
        <v>396000</v>
      </c>
      <c r="D7348">
        <v>74227.600000000006</v>
      </c>
      <c r="E7348">
        <v>0.04</v>
      </c>
      <c r="F7348">
        <v>7.5899999999999995E-2</v>
      </c>
    </row>
    <row r="7349" spans="1:6" x14ac:dyDescent="0.3">
      <c r="A7349" t="s">
        <v>7384</v>
      </c>
      <c r="B7349" t="s">
        <v>92</v>
      </c>
      <c r="C7349">
        <v>282000</v>
      </c>
      <c r="D7349">
        <v>870.5</v>
      </c>
      <c r="E7349">
        <v>1.9199999999999998E-2</v>
      </c>
      <c r="F7349">
        <v>0.1067</v>
      </c>
    </row>
    <row r="7350" spans="1:6" x14ac:dyDescent="0.3">
      <c r="A7350" t="s">
        <v>7385</v>
      </c>
      <c r="B7350" t="s">
        <v>24</v>
      </c>
      <c r="C7350">
        <v>319000</v>
      </c>
      <c r="D7350">
        <v>1993.5</v>
      </c>
      <c r="E7350">
        <v>3.4799999999999998E-2</v>
      </c>
      <c r="F7350">
        <v>9.5100000000000004E-2</v>
      </c>
    </row>
    <row r="7351" spans="1:6" x14ac:dyDescent="0.3">
      <c r="A7351" t="s">
        <v>7386</v>
      </c>
      <c r="B7351" t="s">
        <v>26</v>
      </c>
      <c r="C7351">
        <v>267000</v>
      </c>
      <c r="D7351">
        <v>14141.4</v>
      </c>
      <c r="E7351">
        <v>4.0399999999999998E-2</v>
      </c>
      <c r="F7351">
        <v>7.5899999999999995E-2</v>
      </c>
    </row>
    <row r="7352" spans="1:6" x14ac:dyDescent="0.3">
      <c r="A7352" t="s">
        <v>7387</v>
      </c>
      <c r="B7352" t="s">
        <v>24</v>
      </c>
      <c r="C7352">
        <v>320000</v>
      </c>
      <c r="D7352">
        <v>3920.3</v>
      </c>
      <c r="E7352">
        <v>9.2799999999999994E-2</v>
      </c>
      <c r="F7352">
        <v>9.3799999999999994E-2</v>
      </c>
    </row>
    <row r="7353" spans="1:6" x14ac:dyDescent="0.3">
      <c r="A7353" t="s">
        <v>7388</v>
      </c>
      <c r="B7353" t="s">
        <v>62</v>
      </c>
      <c r="C7353">
        <v>612000</v>
      </c>
      <c r="D7353">
        <v>34910.6</v>
      </c>
      <c r="E7353">
        <v>7.6999999999999999E-2</v>
      </c>
      <c r="F7353">
        <v>5.1799999999999999E-2</v>
      </c>
    </row>
    <row r="7354" spans="1:6" x14ac:dyDescent="0.3">
      <c r="A7354" t="s">
        <v>7389</v>
      </c>
      <c r="B7354" t="s">
        <v>88</v>
      </c>
      <c r="C7354">
        <v>420000</v>
      </c>
      <c r="D7354">
        <v>91.2</v>
      </c>
      <c r="E7354">
        <v>5.6800000000000003E-2</v>
      </c>
      <c r="F7354">
        <v>9.3799999999999994E-2</v>
      </c>
    </row>
    <row r="7355" spans="1:6" x14ac:dyDescent="0.3">
      <c r="A7355" t="s">
        <v>7390</v>
      </c>
      <c r="B7355" t="s">
        <v>26</v>
      </c>
      <c r="C7355">
        <v>340000</v>
      </c>
      <c r="D7355">
        <v>1385.5</v>
      </c>
      <c r="E7355">
        <v>4.0500000000000001E-2</v>
      </c>
      <c r="F7355">
        <v>9.5100000000000004E-2</v>
      </c>
    </row>
    <row r="7356" spans="1:6" x14ac:dyDescent="0.3">
      <c r="A7356" t="s">
        <v>7391</v>
      </c>
      <c r="B7356" t="s">
        <v>26</v>
      </c>
      <c r="C7356">
        <v>257000</v>
      </c>
      <c r="D7356">
        <v>127110.7</v>
      </c>
      <c r="E7356">
        <v>0.15029999999999999</v>
      </c>
      <c r="F7356">
        <v>9.5100000000000004E-2</v>
      </c>
    </row>
    <row r="7357" spans="1:6" x14ac:dyDescent="0.3">
      <c r="A7357" t="s">
        <v>7392</v>
      </c>
      <c r="B7357" t="s">
        <v>74</v>
      </c>
      <c r="C7357">
        <v>469000</v>
      </c>
      <c r="D7357">
        <v>47.4</v>
      </c>
      <c r="E7357">
        <v>5.4000000000000003E-3</v>
      </c>
      <c r="F7357">
        <v>0.23710000000000001</v>
      </c>
    </row>
    <row r="7358" spans="1:6" x14ac:dyDescent="0.3">
      <c r="A7358" t="s">
        <v>7393</v>
      </c>
      <c r="B7358" t="s">
        <v>21</v>
      </c>
      <c r="C7358">
        <v>705000</v>
      </c>
      <c r="D7358">
        <v>1143.5999999999999</v>
      </c>
      <c r="E7358">
        <v>2.4400000000000002E-2</v>
      </c>
      <c r="F7358">
        <v>9.3799999999999994E-2</v>
      </c>
    </row>
    <row r="7359" spans="1:6" x14ac:dyDescent="0.3">
      <c r="A7359" t="s">
        <v>7394</v>
      </c>
      <c r="B7359" t="s">
        <v>214</v>
      </c>
      <c r="C7359">
        <v>353000</v>
      </c>
      <c r="D7359">
        <v>44652.2</v>
      </c>
      <c r="E7359">
        <v>9.2999999999999992E-3</v>
      </c>
      <c r="F7359">
        <v>6.54E-2</v>
      </c>
    </row>
    <row r="7360" spans="1:6" x14ac:dyDescent="0.3">
      <c r="A7360" t="s">
        <v>7395</v>
      </c>
      <c r="B7360" t="s">
        <v>41</v>
      </c>
      <c r="C7360">
        <v>260000</v>
      </c>
      <c r="D7360">
        <v>618</v>
      </c>
      <c r="F7360">
        <v>9.5100000000000004E-2</v>
      </c>
    </row>
    <row r="7361" spans="1:6" x14ac:dyDescent="0.3">
      <c r="A7361" t="s">
        <v>7396</v>
      </c>
      <c r="B7361" t="s">
        <v>214</v>
      </c>
      <c r="C7361">
        <v>357000</v>
      </c>
      <c r="D7361">
        <v>4381.8999999999996</v>
      </c>
      <c r="E7361">
        <v>4.3400000000000001E-2</v>
      </c>
      <c r="F7361">
        <v>7.5899999999999995E-2</v>
      </c>
    </row>
    <row r="7362" spans="1:6" x14ac:dyDescent="0.3">
      <c r="A7362" t="s">
        <v>7397</v>
      </c>
      <c r="B7362" t="s">
        <v>26</v>
      </c>
      <c r="C7362">
        <v>278000</v>
      </c>
      <c r="D7362">
        <v>62181</v>
      </c>
      <c r="E7362">
        <v>4.9599999999999998E-2</v>
      </c>
      <c r="F7362">
        <v>9.5100000000000004E-2</v>
      </c>
    </row>
    <row r="7363" spans="1:6" x14ac:dyDescent="0.3">
      <c r="A7363" t="s">
        <v>7398</v>
      </c>
      <c r="B7363" t="s">
        <v>214</v>
      </c>
      <c r="C7363">
        <v>284000</v>
      </c>
      <c r="D7363">
        <v>23380.2</v>
      </c>
      <c r="F7363">
        <v>7.5899999999999995E-2</v>
      </c>
    </row>
    <row r="7364" spans="1:6" x14ac:dyDescent="0.3">
      <c r="A7364" t="s">
        <v>7399</v>
      </c>
      <c r="B7364" t="s">
        <v>92</v>
      </c>
      <c r="C7364">
        <v>437000</v>
      </c>
      <c r="D7364">
        <v>250423.3</v>
      </c>
      <c r="E7364">
        <v>8.5000000000000006E-3</v>
      </c>
      <c r="F7364">
        <v>8.2199999999999995E-2</v>
      </c>
    </row>
    <row r="7365" spans="1:6" x14ac:dyDescent="0.3">
      <c r="A7365" t="s">
        <v>7400</v>
      </c>
      <c r="B7365" t="s">
        <v>26</v>
      </c>
      <c r="C7365">
        <v>286000</v>
      </c>
      <c r="D7365">
        <v>611.20000000000005</v>
      </c>
      <c r="F7365">
        <v>0.11700000000000001</v>
      </c>
    </row>
    <row r="7366" spans="1:6" x14ac:dyDescent="0.3">
      <c r="A7366" t="s">
        <v>7401</v>
      </c>
      <c r="B7366" t="s">
        <v>26</v>
      </c>
      <c r="C7366">
        <v>355000</v>
      </c>
      <c r="D7366">
        <v>3772.9</v>
      </c>
      <c r="E7366">
        <v>3.3399999999999999E-2</v>
      </c>
      <c r="F7366">
        <v>7.5899999999999995E-2</v>
      </c>
    </row>
    <row r="7367" spans="1:6" x14ac:dyDescent="0.3">
      <c r="A7367" t="s">
        <v>7402</v>
      </c>
      <c r="B7367" t="s">
        <v>30</v>
      </c>
      <c r="C7367">
        <v>404000</v>
      </c>
      <c r="D7367">
        <v>100665.9</v>
      </c>
      <c r="E7367">
        <v>3.6499999999999998E-2</v>
      </c>
      <c r="F7367">
        <v>7.5899999999999995E-2</v>
      </c>
    </row>
    <row r="7368" spans="1:6" x14ac:dyDescent="0.3">
      <c r="A7368" t="s">
        <v>7403</v>
      </c>
      <c r="B7368" t="s">
        <v>26</v>
      </c>
      <c r="C7368">
        <v>255000</v>
      </c>
      <c r="D7368">
        <v>10540.5</v>
      </c>
      <c r="E7368">
        <v>1.2200000000000001E-2</v>
      </c>
      <c r="F7368">
        <v>7.3599999999999999E-2</v>
      </c>
    </row>
    <row r="7369" spans="1:6" x14ac:dyDescent="0.3">
      <c r="A7369" t="s">
        <v>7404</v>
      </c>
      <c r="B7369" t="s">
        <v>30</v>
      </c>
      <c r="C7369">
        <v>675000</v>
      </c>
      <c r="D7369">
        <v>598897</v>
      </c>
      <c r="E7369">
        <v>6.8999999999999999E-3</v>
      </c>
      <c r="F7369">
        <v>8.2199999999999995E-2</v>
      </c>
    </row>
    <row r="7370" spans="1:6" x14ac:dyDescent="0.3">
      <c r="A7370" t="s">
        <v>7405</v>
      </c>
      <c r="B7370" t="s">
        <v>26</v>
      </c>
      <c r="C7370">
        <v>307000</v>
      </c>
      <c r="D7370">
        <v>42733.599999999999</v>
      </c>
      <c r="E7370">
        <v>1.12E-2</v>
      </c>
      <c r="F7370">
        <v>7.3599999999999999E-2</v>
      </c>
    </row>
    <row r="7371" spans="1:6" x14ac:dyDescent="0.3">
      <c r="A7371" t="s">
        <v>7406</v>
      </c>
      <c r="B7371" t="s">
        <v>88</v>
      </c>
      <c r="C7371">
        <v>418000</v>
      </c>
      <c r="D7371">
        <v>8422.4</v>
      </c>
      <c r="E7371">
        <v>4.9299999999999997E-2</v>
      </c>
      <c r="F7371">
        <v>7.5899999999999995E-2</v>
      </c>
    </row>
    <row r="7372" spans="1:6" x14ac:dyDescent="0.3">
      <c r="A7372" t="s">
        <v>7407</v>
      </c>
      <c r="B7372" t="s">
        <v>26</v>
      </c>
      <c r="C7372">
        <v>350000</v>
      </c>
      <c r="D7372">
        <v>6362.2</v>
      </c>
      <c r="E7372">
        <v>6.7199999999999996E-2</v>
      </c>
      <c r="F7372">
        <v>7.5899999999999995E-2</v>
      </c>
    </row>
    <row r="7373" spans="1:6" x14ac:dyDescent="0.3">
      <c r="A7373" t="s">
        <v>7408</v>
      </c>
      <c r="B7373" t="s">
        <v>24</v>
      </c>
      <c r="C7373">
        <v>332000</v>
      </c>
      <c r="D7373">
        <v>6169.2</v>
      </c>
      <c r="E7373">
        <v>2.6100000000000002E-2</v>
      </c>
      <c r="F7373">
        <v>7.5899999999999995E-2</v>
      </c>
    </row>
    <row r="7374" spans="1:6" x14ac:dyDescent="0.3">
      <c r="A7374" t="s">
        <v>7409</v>
      </c>
      <c r="B7374" t="s">
        <v>26</v>
      </c>
      <c r="C7374">
        <v>464000</v>
      </c>
      <c r="D7374">
        <v>90032</v>
      </c>
      <c r="E7374">
        <v>1.52E-2</v>
      </c>
      <c r="F7374">
        <v>5.7599999999999998E-2</v>
      </c>
    </row>
    <row r="7375" spans="1:6" x14ac:dyDescent="0.3">
      <c r="A7375" t="s">
        <v>7410</v>
      </c>
      <c r="B7375" t="s">
        <v>88</v>
      </c>
      <c r="C7375">
        <v>269000</v>
      </c>
      <c r="D7375">
        <v>1046485.8</v>
      </c>
      <c r="E7375">
        <v>3.8199999999999998E-2</v>
      </c>
      <c r="F7375">
        <v>9.5100000000000004E-2</v>
      </c>
    </row>
    <row r="7376" spans="1:6" x14ac:dyDescent="0.3">
      <c r="A7376" t="s">
        <v>7411</v>
      </c>
      <c r="B7376" t="s">
        <v>92</v>
      </c>
      <c r="C7376">
        <v>369000</v>
      </c>
      <c r="D7376">
        <v>32161.5</v>
      </c>
      <c r="E7376">
        <v>4.0500000000000001E-2</v>
      </c>
      <c r="F7376">
        <v>6.7199999999999996E-2</v>
      </c>
    </row>
    <row r="7377" spans="1:6" x14ac:dyDescent="0.3">
      <c r="A7377" t="s">
        <v>7412</v>
      </c>
      <c r="B7377" t="s">
        <v>62</v>
      </c>
      <c r="C7377">
        <v>234000</v>
      </c>
      <c r="D7377">
        <v>1107.3</v>
      </c>
      <c r="E7377">
        <v>7.9000000000000008E-3</v>
      </c>
      <c r="F7377">
        <v>0.1027</v>
      </c>
    </row>
    <row r="7378" spans="1:6" x14ac:dyDescent="0.3">
      <c r="A7378" t="s">
        <v>7413</v>
      </c>
      <c r="B7378" t="s">
        <v>92</v>
      </c>
      <c r="C7378">
        <v>584000</v>
      </c>
      <c r="D7378">
        <v>8777.9</v>
      </c>
      <c r="E7378">
        <v>1.2800000000000001E-2</v>
      </c>
      <c r="F7378">
        <v>0.1067</v>
      </c>
    </row>
    <row r="7379" spans="1:6" x14ac:dyDescent="0.3">
      <c r="A7379" t="s">
        <v>7414</v>
      </c>
      <c r="B7379" t="s">
        <v>490</v>
      </c>
      <c r="C7379">
        <v>259000</v>
      </c>
      <c r="D7379">
        <v>689.6</v>
      </c>
      <c r="E7379">
        <v>1.95E-2</v>
      </c>
      <c r="F7379">
        <v>0.1067</v>
      </c>
    </row>
    <row r="7380" spans="1:6" x14ac:dyDescent="0.3">
      <c r="A7380" t="s">
        <v>7415</v>
      </c>
      <c r="B7380" t="s">
        <v>24</v>
      </c>
      <c r="C7380">
        <v>296000</v>
      </c>
      <c r="D7380">
        <v>4001.4</v>
      </c>
      <c r="E7380">
        <v>1.38E-2</v>
      </c>
      <c r="F7380">
        <v>8.2100000000000006E-2</v>
      </c>
    </row>
    <row r="7381" spans="1:6" x14ac:dyDescent="0.3">
      <c r="A7381" t="s">
        <v>7416</v>
      </c>
      <c r="B7381" t="s">
        <v>26</v>
      </c>
      <c r="C7381">
        <v>266000</v>
      </c>
      <c r="D7381">
        <v>1771.1</v>
      </c>
      <c r="E7381">
        <v>1.7999999999999999E-2</v>
      </c>
      <c r="F7381">
        <v>5.8500000000000003E-2</v>
      </c>
    </row>
    <row r="7382" spans="1:6" x14ac:dyDescent="0.3">
      <c r="A7382" t="s">
        <v>7417</v>
      </c>
      <c r="B7382" t="s">
        <v>30</v>
      </c>
      <c r="C7382">
        <v>455000</v>
      </c>
      <c r="D7382">
        <v>246098</v>
      </c>
      <c r="E7382">
        <v>0.04</v>
      </c>
      <c r="F7382">
        <v>0.24460000000000001</v>
      </c>
    </row>
    <row r="7383" spans="1:6" x14ac:dyDescent="0.3">
      <c r="A7383" t="s">
        <v>7418</v>
      </c>
      <c r="B7383" t="s">
        <v>41</v>
      </c>
      <c r="C7383">
        <v>309000</v>
      </c>
      <c r="D7383">
        <v>4797.3999999999996</v>
      </c>
      <c r="E7383">
        <v>4.58E-2</v>
      </c>
      <c r="F7383">
        <v>9.3799999999999994E-2</v>
      </c>
    </row>
    <row r="7384" spans="1:6" x14ac:dyDescent="0.3">
      <c r="A7384" t="s">
        <v>7419</v>
      </c>
      <c r="B7384" t="s">
        <v>88</v>
      </c>
      <c r="C7384">
        <v>255000</v>
      </c>
      <c r="D7384">
        <v>237.1</v>
      </c>
      <c r="E7384">
        <v>4.9799999999999997E-2</v>
      </c>
      <c r="F7384">
        <v>4.0899999999999999E-2</v>
      </c>
    </row>
    <row r="7385" spans="1:6" x14ac:dyDescent="0.3">
      <c r="A7385" t="s">
        <v>7420</v>
      </c>
      <c r="B7385" t="s">
        <v>92</v>
      </c>
      <c r="C7385">
        <v>341000</v>
      </c>
      <c r="D7385">
        <v>8687</v>
      </c>
      <c r="E7385">
        <v>1.01E-2</v>
      </c>
      <c r="F7385">
        <v>6.54E-2</v>
      </c>
    </row>
    <row r="7386" spans="1:6" x14ac:dyDescent="0.3">
      <c r="A7386" t="s">
        <v>7421</v>
      </c>
      <c r="B7386" t="s">
        <v>81</v>
      </c>
      <c r="C7386">
        <v>305000</v>
      </c>
      <c r="D7386">
        <v>77385</v>
      </c>
      <c r="E7386">
        <v>4.1099999999999998E-2</v>
      </c>
      <c r="F7386">
        <v>7.5899999999999995E-2</v>
      </c>
    </row>
    <row r="7387" spans="1:6" x14ac:dyDescent="0.3">
      <c r="A7387" t="s">
        <v>7422</v>
      </c>
      <c r="B7387" t="s">
        <v>21</v>
      </c>
      <c r="C7387">
        <v>329000</v>
      </c>
      <c r="D7387">
        <v>1209</v>
      </c>
      <c r="E7387">
        <v>2.12E-2</v>
      </c>
      <c r="F7387">
        <v>5.0999999999999997E-2</v>
      </c>
    </row>
    <row r="7388" spans="1:6" x14ac:dyDescent="0.3">
      <c r="A7388" t="s">
        <v>7423</v>
      </c>
      <c r="B7388" t="s">
        <v>92</v>
      </c>
      <c r="C7388">
        <v>345000</v>
      </c>
      <c r="D7388">
        <v>43781.9</v>
      </c>
      <c r="E7388">
        <v>2.5899999999999999E-2</v>
      </c>
      <c r="F7388">
        <v>7.5899999999999995E-2</v>
      </c>
    </row>
    <row r="7389" spans="1:6" x14ac:dyDescent="0.3">
      <c r="A7389" t="s">
        <v>7424</v>
      </c>
      <c r="B7389" t="s">
        <v>88</v>
      </c>
      <c r="C7389">
        <v>362000</v>
      </c>
      <c r="D7389">
        <v>145415.20000000001</v>
      </c>
      <c r="E7389">
        <v>1.1299999999999999E-2</v>
      </c>
      <c r="F7389">
        <v>7.3599999999999999E-2</v>
      </c>
    </row>
    <row r="7390" spans="1:6" x14ac:dyDescent="0.3">
      <c r="A7390" t="s">
        <v>7425</v>
      </c>
      <c r="B7390" t="s">
        <v>32</v>
      </c>
      <c r="C7390">
        <v>1560000</v>
      </c>
      <c r="D7390">
        <v>4698.6000000000004</v>
      </c>
      <c r="E7390">
        <v>4.6100000000000002E-2</v>
      </c>
      <c r="F7390">
        <v>9.3799999999999994E-2</v>
      </c>
    </row>
    <row r="7391" spans="1:6" x14ac:dyDescent="0.3">
      <c r="A7391" t="s">
        <v>7426</v>
      </c>
      <c r="B7391" t="s">
        <v>26</v>
      </c>
      <c r="C7391">
        <v>272000</v>
      </c>
      <c r="D7391">
        <v>1544784.8</v>
      </c>
      <c r="E7391">
        <v>6.7999999999999996E-3</v>
      </c>
      <c r="F7391">
        <v>8.2199999999999995E-2</v>
      </c>
    </row>
    <row r="7392" spans="1:6" x14ac:dyDescent="0.3">
      <c r="A7392" t="s">
        <v>7427</v>
      </c>
      <c r="B7392" t="s">
        <v>26</v>
      </c>
      <c r="C7392">
        <v>340000</v>
      </c>
      <c r="D7392">
        <v>254727.7</v>
      </c>
      <c r="E7392">
        <v>3.3599999999999998E-2</v>
      </c>
      <c r="F7392">
        <v>5.1799999999999999E-2</v>
      </c>
    </row>
    <row r="7393" spans="1:6" x14ac:dyDescent="0.3">
      <c r="A7393" t="s">
        <v>7428</v>
      </c>
      <c r="B7393" t="s">
        <v>214</v>
      </c>
      <c r="C7393">
        <v>1840000</v>
      </c>
      <c r="D7393">
        <v>16040.4</v>
      </c>
      <c r="E7393">
        <v>8.8000000000000005E-3</v>
      </c>
      <c r="F7393">
        <v>8.1100000000000005E-2</v>
      </c>
    </row>
    <row r="7394" spans="1:6" x14ac:dyDescent="0.3">
      <c r="A7394" t="s">
        <v>7429</v>
      </c>
      <c r="B7394" t="s">
        <v>50</v>
      </c>
      <c r="C7394">
        <v>411000</v>
      </c>
      <c r="D7394">
        <v>96459.7</v>
      </c>
      <c r="E7394">
        <v>5.6399999999999999E-2</v>
      </c>
      <c r="F7394">
        <v>7.5899999999999995E-2</v>
      </c>
    </row>
    <row r="7395" spans="1:6" x14ac:dyDescent="0.3">
      <c r="A7395" t="s">
        <v>7430</v>
      </c>
      <c r="B7395" t="s">
        <v>53</v>
      </c>
      <c r="C7395">
        <v>269000</v>
      </c>
      <c r="D7395">
        <v>6684.1</v>
      </c>
      <c r="E7395">
        <v>4.2500000000000003E-2</v>
      </c>
      <c r="F7395">
        <v>7.5899999999999995E-2</v>
      </c>
    </row>
    <row r="7396" spans="1:6" x14ac:dyDescent="0.3">
      <c r="A7396" t="s">
        <v>7431</v>
      </c>
      <c r="B7396" t="s">
        <v>21</v>
      </c>
      <c r="C7396">
        <v>284000</v>
      </c>
      <c r="D7396">
        <v>2320.1999999999998</v>
      </c>
      <c r="E7396">
        <v>2.8299999999999999E-2</v>
      </c>
      <c r="F7396">
        <v>7.5899999999999995E-2</v>
      </c>
    </row>
    <row r="7397" spans="1:6" x14ac:dyDescent="0.3">
      <c r="A7397" t="s">
        <v>7432</v>
      </c>
      <c r="B7397" t="s">
        <v>92</v>
      </c>
      <c r="C7397">
        <v>252000</v>
      </c>
      <c r="D7397">
        <v>41408.699999999997</v>
      </c>
      <c r="E7397">
        <v>3.2199999999999999E-2</v>
      </c>
      <c r="F7397">
        <v>9.5100000000000004E-2</v>
      </c>
    </row>
    <row r="7398" spans="1:6" x14ac:dyDescent="0.3">
      <c r="A7398" t="s">
        <v>7433</v>
      </c>
      <c r="B7398" t="s">
        <v>92</v>
      </c>
      <c r="C7398">
        <v>541000</v>
      </c>
      <c r="D7398">
        <v>76949.2</v>
      </c>
      <c r="E7398">
        <v>7.0400000000000004E-2</v>
      </c>
      <c r="F7398">
        <v>4.0899999999999999E-2</v>
      </c>
    </row>
    <row r="7399" spans="1:6" x14ac:dyDescent="0.3">
      <c r="A7399" t="s">
        <v>7434</v>
      </c>
      <c r="B7399" t="s">
        <v>88</v>
      </c>
      <c r="C7399">
        <v>290000</v>
      </c>
      <c r="D7399">
        <v>3362.5</v>
      </c>
      <c r="E7399">
        <v>3.3599999999999998E-2</v>
      </c>
      <c r="F7399">
        <v>7.5899999999999995E-2</v>
      </c>
    </row>
    <row r="7400" spans="1:6" x14ac:dyDescent="0.3">
      <c r="A7400" t="s">
        <v>7435</v>
      </c>
      <c r="B7400" t="s">
        <v>30</v>
      </c>
      <c r="C7400">
        <v>329000</v>
      </c>
      <c r="D7400">
        <v>10834119.9</v>
      </c>
      <c r="E7400">
        <v>5.1000000000000004E-3</v>
      </c>
      <c r="F7400">
        <v>8.2199999999999995E-2</v>
      </c>
    </row>
    <row r="7401" spans="1:6" x14ac:dyDescent="0.3">
      <c r="A7401" t="s">
        <v>7436</v>
      </c>
      <c r="B7401" t="s">
        <v>81</v>
      </c>
      <c r="C7401">
        <v>370000</v>
      </c>
      <c r="D7401">
        <v>5390.7</v>
      </c>
      <c r="E7401">
        <v>2.1299999999999999E-2</v>
      </c>
      <c r="F7401">
        <v>5.7599999999999998E-2</v>
      </c>
    </row>
    <row r="7402" spans="1:6" x14ac:dyDescent="0.3">
      <c r="A7402" t="s">
        <v>7437</v>
      </c>
      <c r="B7402" t="s">
        <v>92</v>
      </c>
      <c r="C7402">
        <v>262000</v>
      </c>
      <c r="D7402">
        <v>1209</v>
      </c>
      <c r="E7402">
        <v>1.12E-2</v>
      </c>
      <c r="F7402">
        <v>0.14710000000000001</v>
      </c>
    </row>
    <row r="7403" spans="1:6" x14ac:dyDescent="0.3">
      <c r="A7403" t="s">
        <v>7438</v>
      </c>
      <c r="B7403" t="s">
        <v>24</v>
      </c>
      <c r="C7403">
        <v>296000</v>
      </c>
      <c r="D7403">
        <v>759.4</v>
      </c>
      <c r="E7403">
        <v>1.9300000000000001E-2</v>
      </c>
      <c r="F7403">
        <v>9.5000000000000001E-2</v>
      </c>
    </row>
    <row r="7404" spans="1:6" x14ac:dyDescent="0.3">
      <c r="A7404" t="s">
        <v>7439</v>
      </c>
      <c r="B7404" t="s">
        <v>26</v>
      </c>
      <c r="C7404">
        <v>253000</v>
      </c>
      <c r="D7404">
        <v>656.7</v>
      </c>
      <c r="E7404">
        <v>2.9399999999999999E-2</v>
      </c>
      <c r="F7404">
        <v>9.5100000000000004E-2</v>
      </c>
    </row>
    <row r="7405" spans="1:6" x14ac:dyDescent="0.3">
      <c r="A7405" t="s">
        <v>7440</v>
      </c>
      <c r="B7405" t="s">
        <v>41</v>
      </c>
      <c r="C7405">
        <v>363000</v>
      </c>
      <c r="D7405">
        <v>22139.5</v>
      </c>
      <c r="E7405">
        <v>7.22E-2</v>
      </c>
      <c r="F7405">
        <v>9.3799999999999994E-2</v>
      </c>
    </row>
    <row r="7406" spans="1:6" x14ac:dyDescent="0.3">
      <c r="A7406" t="s">
        <v>7441</v>
      </c>
      <c r="B7406" t="s">
        <v>26</v>
      </c>
      <c r="C7406">
        <v>623000</v>
      </c>
      <c r="D7406">
        <v>84697.8</v>
      </c>
      <c r="E7406">
        <v>2.5999999999999999E-2</v>
      </c>
      <c r="F7406">
        <v>0.1067</v>
      </c>
    </row>
    <row r="7407" spans="1:6" x14ac:dyDescent="0.3">
      <c r="A7407" t="s">
        <v>7442</v>
      </c>
      <c r="B7407" t="s">
        <v>26</v>
      </c>
      <c r="C7407">
        <v>454000</v>
      </c>
      <c r="D7407">
        <v>29745</v>
      </c>
      <c r="E7407">
        <v>9.5799999999999996E-2</v>
      </c>
      <c r="F7407">
        <v>7.5899999999999995E-2</v>
      </c>
    </row>
    <row r="7408" spans="1:6" x14ac:dyDescent="0.3">
      <c r="A7408" t="s">
        <v>7443</v>
      </c>
      <c r="B7408" t="s">
        <v>92</v>
      </c>
      <c r="C7408">
        <v>332000</v>
      </c>
      <c r="D7408">
        <v>15359.3</v>
      </c>
      <c r="E7408">
        <v>2.12E-2</v>
      </c>
      <c r="F7408">
        <v>9.5100000000000004E-2</v>
      </c>
    </row>
    <row r="7409" spans="1:6" x14ac:dyDescent="0.3">
      <c r="A7409" t="s">
        <v>7444</v>
      </c>
      <c r="B7409" t="s">
        <v>26</v>
      </c>
      <c r="C7409">
        <v>439000</v>
      </c>
      <c r="D7409">
        <v>116833</v>
      </c>
      <c r="E7409">
        <v>3.9800000000000002E-2</v>
      </c>
      <c r="F7409">
        <v>9.5100000000000004E-2</v>
      </c>
    </row>
    <row r="7410" spans="1:6" x14ac:dyDescent="0.3">
      <c r="A7410" t="s">
        <v>7445</v>
      </c>
      <c r="B7410" t="s">
        <v>41</v>
      </c>
      <c r="C7410">
        <v>594000</v>
      </c>
      <c r="D7410">
        <v>603.29999999999995</v>
      </c>
      <c r="E7410">
        <v>1.95E-2</v>
      </c>
      <c r="F7410">
        <v>0.32269999999999999</v>
      </c>
    </row>
    <row r="7411" spans="1:6" x14ac:dyDescent="0.3">
      <c r="A7411" t="s">
        <v>7446</v>
      </c>
      <c r="B7411" t="s">
        <v>41</v>
      </c>
      <c r="C7411">
        <v>366000</v>
      </c>
      <c r="D7411">
        <v>871.1</v>
      </c>
      <c r="E7411">
        <v>2.9899999999999999E-2</v>
      </c>
      <c r="F7411">
        <v>9.3799999999999994E-2</v>
      </c>
    </row>
    <row r="7412" spans="1:6" x14ac:dyDescent="0.3">
      <c r="A7412" t="s">
        <v>7447</v>
      </c>
      <c r="B7412" t="s">
        <v>26</v>
      </c>
      <c r="C7412">
        <v>337000</v>
      </c>
      <c r="D7412">
        <v>47874.1</v>
      </c>
      <c r="E7412">
        <v>1.9400000000000001E-2</v>
      </c>
      <c r="F7412">
        <v>8.5400000000000004E-2</v>
      </c>
    </row>
    <row r="7413" spans="1:6" x14ac:dyDescent="0.3">
      <c r="A7413" t="s">
        <v>7448</v>
      </c>
      <c r="B7413" t="s">
        <v>26</v>
      </c>
      <c r="C7413">
        <v>317000</v>
      </c>
      <c r="D7413">
        <v>39572.400000000001</v>
      </c>
      <c r="E7413">
        <v>1.7100000000000001E-2</v>
      </c>
      <c r="F7413">
        <v>4.6199999999999998E-2</v>
      </c>
    </row>
    <row r="7414" spans="1:6" x14ac:dyDescent="0.3">
      <c r="A7414" t="s">
        <v>7449</v>
      </c>
      <c r="B7414" t="s">
        <v>26</v>
      </c>
      <c r="C7414">
        <v>319000</v>
      </c>
      <c r="D7414">
        <v>38068.400000000001</v>
      </c>
      <c r="E7414">
        <v>8.1000000000000003E-2</v>
      </c>
      <c r="F7414">
        <v>9.3799999999999994E-2</v>
      </c>
    </row>
    <row r="7415" spans="1:6" x14ac:dyDescent="0.3">
      <c r="A7415" t="s">
        <v>7450</v>
      </c>
      <c r="B7415" t="s">
        <v>21</v>
      </c>
      <c r="C7415">
        <v>264000</v>
      </c>
      <c r="F7415">
        <v>7.5899999999999995E-2</v>
      </c>
    </row>
    <row r="7416" spans="1:6" x14ac:dyDescent="0.3">
      <c r="A7416" t="s">
        <v>7451</v>
      </c>
      <c r="B7416" t="s">
        <v>26</v>
      </c>
      <c r="C7416">
        <v>317000</v>
      </c>
      <c r="D7416">
        <v>18059</v>
      </c>
      <c r="E7416">
        <v>3.4000000000000002E-2</v>
      </c>
      <c r="F7416">
        <v>5.1799999999999999E-2</v>
      </c>
    </row>
    <row r="7417" spans="1:6" x14ac:dyDescent="0.3">
      <c r="A7417" t="s">
        <v>7452</v>
      </c>
      <c r="B7417" t="s">
        <v>62</v>
      </c>
      <c r="C7417">
        <v>252000</v>
      </c>
      <c r="D7417">
        <v>2113.3000000000002</v>
      </c>
      <c r="E7417">
        <v>2.6700000000000002E-2</v>
      </c>
      <c r="F7417">
        <v>6.4399999999999999E-2</v>
      </c>
    </row>
    <row r="7418" spans="1:6" x14ac:dyDescent="0.3">
      <c r="A7418" t="s">
        <v>7453</v>
      </c>
      <c r="B7418" t="s">
        <v>41</v>
      </c>
      <c r="C7418">
        <v>434000</v>
      </c>
      <c r="D7418">
        <v>1156.5</v>
      </c>
      <c r="E7418">
        <v>3.78E-2</v>
      </c>
      <c r="F7418">
        <v>7.5899999999999995E-2</v>
      </c>
    </row>
    <row r="7419" spans="1:6" x14ac:dyDescent="0.3">
      <c r="A7419" t="s">
        <v>7454</v>
      </c>
      <c r="B7419" t="s">
        <v>24</v>
      </c>
      <c r="C7419">
        <v>355000</v>
      </c>
      <c r="D7419">
        <v>8595.6</v>
      </c>
      <c r="E7419">
        <v>3.73E-2</v>
      </c>
      <c r="F7419">
        <v>7.5899999999999995E-2</v>
      </c>
    </row>
    <row r="7420" spans="1:6" x14ac:dyDescent="0.3">
      <c r="A7420" t="s">
        <v>7455</v>
      </c>
      <c r="B7420" t="s">
        <v>26</v>
      </c>
      <c r="C7420">
        <v>263000</v>
      </c>
      <c r="D7420">
        <v>1154.8</v>
      </c>
      <c r="E7420">
        <v>3.3799999999999997E-2</v>
      </c>
      <c r="F7420">
        <v>9.5100000000000004E-2</v>
      </c>
    </row>
    <row r="7421" spans="1:6" x14ac:dyDescent="0.3">
      <c r="A7421" t="s">
        <v>7456</v>
      </c>
      <c r="B7421" t="s">
        <v>32</v>
      </c>
      <c r="C7421">
        <v>289000</v>
      </c>
      <c r="D7421">
        <v>312872.09999999998</v>
      </c>
      <c r="E7421">
        <v>1.7899999999999999E-2</v>
      </c>
      <c r="F7421">
        <v>0.1067</v>
      </c>
    </row>
    <row r="7422" spans="1:6" x14ac:dyDescent="0.3">
      <c r="A7422" t="s">
        <v>7457</v>
      </c>
      <c r="B7422" t="s">
        <v>62</v>
      </c>
      <c r="C7422">
        <v>279000</v>
      </c>
      <c r="D7422">
        <v>376.1</v>
      </c>
      <c r="E7422">
        <v>2.1000000000000001E-2</v>
      </c>
      <c r="F7422">
        <v>7.2599999999999998E-2</v>
      </c>
    </row>
    <row r="7423" spans="1:6" x14ac:dyDescent="0.3">
      <c r="A7423" t="s">
        <v>7458</v>
      </c>
      <c r="B7423" t="s">
        <v>74</v>
      </c>
      <c r="C7423">
        <v>297000</v>
      </c>
      <c r="D7423">
        <v>2414.8000000000002</v>
      </c>
      <c r="E7423">
        <v>2.3800000000000002E-2</v>
      </c>
      <c r="F7423">
        <v>8.5400000000000004E-2</v>
      </c>
    </row>
    <row r="7424" spans="1:6" x14ac:dyDescent="0.3">
      <c r="A7424" t="s">
        <v>7459</v>
      </c>
      <c r="B7424" t="s">
        <v>41</v>
      </c>
      <c r="C7424">
        <v>380000</v>
      </c>
      <c r="D7424">
        <v>964</v>
      </c>
      <c r="E7424">
        <v>2.64E-2</v>
      </c>
      <c r="F7424">
        <v>9.3799999999999994E-2</v>
      </c>
    </row>
    <row r="7425" spans="1:6" x14ac:dyDescent="0.3">
      <c r="A7425" t="s">
        <v>7460</v>
      </c>
      <c r="B7425" t="s">
        <v>26</v>
      </c>
      <c r="C7425">
        <v>280000</v>
      </c>
      <c r="D7425">
        <v>1062279.7</v>
      </c>
      <c r="E7425">
        <v>7.6399999999999996E-2</v>
      </c>
      <c r="F7425">
        <v>9.5100000000000004E-2</v>
      </c>
    </row>
    <row r="7426" spans="1:6" x14ac:dyDescent="0.3">
      <c r="A7426" t="s">
        <v>7461</v>
      </c>
      <c r="B7426" t="s">
        <v>490</v>
      </c>
      <c r="C7426">
        <v>370000</v>
      </c>
      <c r="D7426">
        <v>29374.3</v>
      </c>
      <c r="E7426">
        <v>1.1299999999999999E-2</v>
      </c>
      <c r="F7426">
        <v>7.2599999999999998E-2</v>
      </c>
    </row>
    <row r="7427" spans="1:6" x14ac:dyDescent="0.3">
      <c r="A7427" t="s">
        <v>7462</v>
      </c>
      <c r="B7427" t="s">
        <v>26</v>
      </c>
      <c r="C7427">
        <v>359000</v>
      </c>
      <c r="D7427">
        <v>1469.3</v>
      </c>
      <c r="E7427">
        <v>3.6700000000000003E-2</v>
      </c>
      <c r="F7427">
        <v>9.3799999999999994E-2</v>
      </c>
    </row>
    <row r="7428" spans="1:6" x14ac:dyDescent="0.3">
      <c r="A7428" t="s">
        <v>7463</v>
      </c>
      <c r="B7428" t="s">
        <v>92</v>
      </c>
      <c r="C7428">
        <v>257000</v>
      </c>
      <c r="D7428">
        <v>22696.799999999999</v>
      </c>
      <c r="E7428">
        <v>3.2000000000000001E-2</v>
      </c>
      <c r="F7428">
        <v>9.5100000000000004E-2</v>
      </c>
    </row>
    <row r="7429" spans="1:6" x14ac:dyDescent="0.3">
      <c r="A7429" t="s">
        <v>7464</v>
      </c>
      <c r="B7429" t="s">
        <v>26</v>
      </c>
      <c r="C7429">
        <v>453000</v>
      </c>
      <c r="D7429">
        <v>19350.8</v>
      </c>
      <c r="E7429">
        <v>4.5999999999999999E-2</v>
      </c>
      <c r="F7429">
        <v>4.58E-2</v>
      </c>
    </row>
    <row r="7430" spans="1:6" x14ac:dyDescent="0.3">
      <c r="A7430" t="s">
        <v>7465</v>
      </c>
      <c r="B7430" t="s">
        <v>74</v>
      </c>
      <c r="C7430">
        <v>383000</v>
      </c>
      <c r="D7430">
        <v>6771.8</v>
      </c>
      <c r="E7430">
        <v>4.9299999999999997E-2</v>
      </c>
      <c r="F7430">
        <v>9.5100000000000004E-2</v>
      </c>
    </row>
    <row r="7431" spans="1:6" x14ac:dyDescent="0.3">
      <c r="A7431" t="s">
        <v>7466</v>
      </c>
      <c r="B7431" t="s">
        <v>88</v>
      </c>
      <c r="C7431">
        <v>290000</v>
      </c>
      <c r="D7431">
        <v>576.4</v>
      </c>
      <c r="E7431">
        <v>8.6E-3</v>
      </c>
      <c r="F7431">
        <v>0.14710000000000001</v>
      </c>
    </row>
    <row r="7432" spans="1:6" x14ac:dyDescent="0.3">
      <c r="A7432" t="s">
        <v>7467</v>
      </c>
      <c r="B7432" t="s">
        <v>74</v>
      </c>
      <c r="C7432">
        <v>254000</v>
      </c>
      <c r="D7432">
        <v>1827.1</v>
      </c>
      <c r="E7432">
        <v>4.8899999999999999E-2</v>
      </c>
      <c r="F7432">
        <v>9.5100000000000004E-2</v>
      </c>
    </row>
    <row r="7433" spans="1:6" x14ac:dyDescent="0.3">
      <c r="A7433" t="s">
        <v>7468</v>
      </c>
      <c r="B7433" t="s">
        <v>50</v>
      </c>
      <c r="C7433">
        <v>263000</v>
      </c>
      <c r="D7433">
        <v>124824.2</v>
      </c>
      <c r="E7433">
        <v>1.1900000000000001E-2</v>
      </c>
      <c r="F7433">
        <v>0.14710000000000001</v>
      </c>
    </row>
    <row r="7434" spans="1:6" x14ac:dyDescent="0.3">
      <c r="A7434" t="s">
        <v>7469</v>
      </c>
      <c r="B7434" t="s">
        <v>88</v>
      </c>
      <c r="C7434">
        <v>283000</v>
      </c>
      <c r="D7434">
        <v>2785</v>
      </c>
      <c r="E7434">
        <v>3.0200000000000001E-2</v>
      </c>
      <c r="F7434">
        <v>7.5899999999999995E-2</v>
      </c>
    </row>
    <row r="7435" spans="1:6" x14ac:dyDescent="0.3">
      <c r="A7435" t="s">
        <v>7470</v>
      </c>
      <c r="B7435" t="s">
        <v>88</v>
      </c>
      <c r="C7435">
        <v>398000</v>
      </c>
      <c r="D7435">
        <v>16660.8</v>
      </c>
      <c r="E7435">
        <v>8.7900000000000006E-2</v>
      </c>
      <c r="F7435">
        <v>9.3799999999999994E-2</v>
      </c>
    </row>
    <row r="7436" spans="1:6" x14ac:dyDescent="0.3">
      <c r="A7436" t="s">
        <v>7471</v>
      </c>
      <c r="B7436" t="s">
        <v>26</v>
      </c>
      <c r="C7436">
        <v>435000</v>
      </c>
      <c r="D7436">
        <v>1085.7</v>
      </c>
      <c r="E7436">
        <v>8.8999999999999999E-3</v>
      </c>
      <c r="F7436">
        <v>8.1100000000000005E-2</v>
      </c>
    </row>
    <row r="7437" spans="1:6" x14ac:dyDescent="0.3">
      <c r="A7437" t="s">
        <v>7472</v>
      </c>
      <c r="B7437" t="s">
        <v>26</v>
      </c>
      <c r="C7437">
        <v>352000</v>
      </c>
      <c r="D7437">
        <v>1790.7</v>
      </c>
      <c r="E7437">
        <v>3.1600000000000003E-2</v>
      </c>
      <c r="F7437">
        <v>9.3799999999999994E-2</v>
      </c>
    </row>
    <row r="7438" spans="1:6" x14ac:dyDescent="0.3">
      <c r="A7438" t="s">
        <v>7473</v>
      </c>
      <c r="B7438" t="s">
        <v>53</v>
      </c>
      <c r="C7438">
        <v>306000</v>
      </c>
      <c r="D7438">
        <v>13760.6</v>
      </c>
      <c r="E7438">
        <v>5.2299999999999999E-2</v>
      </c>
      <c r="F7438">
        <v>9.3799999999999994E-2</v>
      </c>
    </row>
    <row r="7439" spans="1:6" x14ac:dyDescent="0.3">
      <c r="A7439" t="s">
        <v>7474</v>
      </c>
      <c r="B7439" t="s">
        <v>21</v>
      </c>
      <c r="C7439">
        <v>359000</v>
      </c>
      <c r="D7439">
        <v>798.4</v>
      </c>
      <c r="E7439">
        <v>1.06E-2</v>
      </c>
      <c r="F7439">
        <v>8.1100000000000005E-2</v>
      </c>
    </row>
    <row r="7440" spans="1:6" x14ac:dyDescent="0.3">
      <c r="A7440" t="s">
        <v>7475</v>
      </c>
      <c r="B7440" t="s">
        <v>26</v>
      </c>
      <c r="C7440">
        <v>375000</v>
      </c>
      <c r="D7440">
        <v>2366.4</v>
      </c>
      <c r="E7440">
        <v>4.4400000000000002E-2</v>
      </c>
      <c r="F7440">
        <v>9.3799999999999994E-2</v>
      </c>
    </row>
    <row r="7441" spans="1:6" x14ac:dyDescent="0.3">
      <c r="A7441" t="s">
        <v>7476</v>
      </c>
      <c r="B7441" t="s">
        <v>92</v>
      </c>
      <c r="C7441">
        <v>419000</v>
      </c>
      <c r="D7441">
        <v>52586.9</v>
      </c>
      <c r="E7441">
        <v>4.1399999999999999E-2</v>
      </c>
      <c r="F7441">
        <v>4.0899999999999999E-2</v>
      </c>
    </row>
    <row r="7442" spans="1:6" x14ac:dyDescent="0.3">
      <c r="A7442" t="s">
        <v>7477</v>
      </c>
      <c r="B7442" t="s">
        <v>26</v>
      </c>
      <c r="C7442">
        <v>256000</v>
      </c>
      <c r="D7442">
        <v>23911.9</v>
      </c>
      <c r="E7442">
        <v>5.7200000000000001E-2</v>
      </c>
      <c r="F7442">
        <v>9.5100000000000004E-2</v>
      </c>
    </row>
    <row r="7443" spans="1:6" x14ac:dyDescent="0.3">
      <c r="A7443" t="s">
        <v>7478</v>
      </c>
      <c r="B7443" t="s">
        <v>92</v>
      </c>
      <c r="C7443">
        <v>482000</v>
      </c>
      <c r="D7443">
        <v>17307.2</v>
      </c>
      <c r="E7443">
        <v>2.3800000000000002E-2</v>
      </c>
      <c r="F7443">
        <v>4.0899999999999999E-2</v>
      </c>
    </row>
    <row r="7444" spans="1:6" x14ac:dyDescent="0.3">
      <c r="A7444" t="s">
        <v>7479</v>
      </c>
      <c r="B7444" t="s">
        <v>81</v>
      </c>
      <c r="C7444">
        <v>274000</v>
      </c>
      <c r="D7444">
        <v>3522.2</v>
      </c>
      <c r="E7444">
        <v>1.89E-2</v>
      </c>
      <c r="F7444">
        <v>7.5700000000000003E-2</v>
      </c>
    </row>
    <row r="7445" spans="1:6" x14ac:dyDescent="0.3">
      <c r="A7445" t="s">
        <v>7480</v>
      </c>
      <c r="B7445" t="s">
        <v>41</v>
      </c>
      <c r="C7445">
        <v>550000</v>
      </c>
      <c r="D7445">
        <v>112489</v>
      </c>
      <c r="E7445">
        <v>2.35E-2</v>
      </c>
      <c r="F7445">
        <v>9.5100000000000004E-2</v>
      </c>
    </row>
    <row r="7446" spans="1:6" x14ac:dyDescent="0.3">
      <c r="A7446" t="s">
        <v>7481</v>
      </c>
      <c r="B7446" t="s">
        <v>24</v>
      </c>
      <c r="C7446">
        <v>304000</v>
      </c>
      <c r="D7446">
        <v>1764.5</v>
      </c>
      <c r="E7446">
        <v>3.7499999999999999E-2</v>
      </c>
      <c r="F7446">
        <v>4.0899999999999999E-2</v>
      </c>
    </row>
    <row r="7447" spans="1:6" x14ac:dyDescent="0.3">
      <c r="A7447" t="s">
        <v>7482</v>
      </c>
      <c r="B7447" t="s">
        <v>53</v>
      </c>
      <c r="C7447">
        <v>303000</v>
      </c>
      <c r="D7447">
        <v>62170.400000000001</v>
      </c>
      <c r="E7447">
        <v>6.7299999999999999E-2</v>
      </c>
      <c r="F7447">
        <v>7.5899999999999995E-2</v>
      </c>
    </row>
    <row r="7448" spans="1:6" x14ac:dyDescent="0.3">
      <c r="A7448" t="s">
        <v>7483</v>
      </c>
      <c r="B7448" t="s">
        <v>71</v>
      </c>
      <c r="C7448">
        <v>261000</v>
      </c>
      <c r="D7448">
        <v>46045</v>
      </c>
      <c r="E7448">
        <v>6.3500000000000001E-2</v>
      </c>
      <c r="F7448">
        <v>9.5100000000000004E-2</v>
      </c>
    </row>
    <row r="7449" spans="1:6" x14ac:dyDescent="0.3">
      <c r="A7449" t="s">
        <v>7484</v>
      </c>
      <c r="B7449" t="s">
        <v>62</v>
      </c>
      <c r="C7449">
        <v>318000</v>
      </c>
      <c r="D7449">
        <v>2487.4</v>
      </c>
      <c r="E7449">
        <v>2.3099999999999999E-2</v>
      </c>
      <c r="F7449">
        <v>8.5400000000000004E-2</v>
      </c>
    </row>
    <row r="7450" spans="1:6" x14ac:dyDescent="0.3">
      <c r="A7450" t="s">
        <v>7485</v>
      </c>
      <c r="B7450" t="s">
        <v>71</v>
      </c>
      <c r="C7450">
        <v>264000</v>
      </c>
      <c r="D7450">
        <v>2521</v>
      </c>
      <c r="E7450">
        <v>1.6899999999999998E-2</v>
      </c>
      <c r="F7450">
        <v>0.1067</v>
      </c>
    </row>
    <row r="7451" spans="1:6" x14ac:dyDescent="0.3">
      <c r="A7451" t="s">
        <v>7486</v>
      </c>
      <c r="B7451" t="s">
        <v>92</v>
      </c>
      <c r="C7451">
        <v>282000</v>
      </c>
      <c r="D7451">
        <v>5589.9</v>
      </c>
      <c r="E7451">
        <v>4.4400000000000002E-2</v>
      </c>
      <c r="F7451">
        <v>9.3799999999999994E-2</v>
      </c>
    </row>
    <row r="7452" spans="1:6" x14ac:dyDescent="0.3">
      <c r="A7452" t="s">
        <v>7487</v>
      </c>
      <c r="B7452" t="s">
        <v>32</v>
      </c>
      <c r="C7452">
        <v>234000</v>
      </c>
      <c r="D7452">
        <v>847.4</v>
      </c>
      <c r="E7452">
        <v>3.3099999999999997E-2</v>
      </c>
      <c r="F7452">
        <v>8.4500000000000006E-2</v>
      </c>
    </row>
    <row r="7453" spans="1:6" x14ac:dyDescent="0.3">
      <c r="A7453" t="s">
        <v>7488</v>
      </c>
      <c r="B7453" t="s">
        <v>26</v>
      </c>
      <c r="C7453">
        <v>310000</v>
      </c>
      <c r="D7453">
        <v>2269.1999999999998</v>
      </c>
      <c r="E7453">
        <v>5.8799999999999998E-2</v>
      </c>
      <c r="F7453">
        <v>9.5100000000000004E-2</v>
      </c>
    </row>
    <row r="7454" spans="1:6" x14ac:dyDescent="0.3">
      <c r="A7454" t="s">
        <v>7489</v>
      </c>
      <c r="B7454" t="s">
        <v>53</v>
      </c>
      <c r="C7454">
        <v>273000</v>
      </c>
      <c r="D7454">
        <v>31034</v>
      </c>
      <c r="E7454">
        <v>5.6500000000000002E-2</v>
      </c>
      <c r="F7454">
        <v>9.5100000000000004E-2</v>
      </c>
    </row>
    <row r="7455" spans="1:6" x14ac:dyDescent="0.3">
      <c r="A7455" t="s">
        <v>7490</v>
      </c>
      <c r="B7455" t="s">
        <v>53</v>
      </c>
      <c r="C7455">
        <v>424000</v>
      </c>
      <c r="D7455">
        <v>24358.9</v>
      </c>
      <c r="E7455">
        <v>2.0400000000000001E-2</v>
      </c>
      <c r="F7455">
        <v>8.5400000000000004E-2</v>
      </c>
    </row>
    <row r="7456" spans="1:6" x14ac:dyDescent="0.3">
      <c r="A7456" t="s">
        <v>7491</v>
      </c>
      <c r="B7456" t="s">
        <v>32</v>
      </c>
      <c r="C7456">
        <v>302000</v>
      </c>
      <c r="D7456">
        <v>94009</v>
      </c>
      <c r="F7456">
        <v>9.5100000000000004E-2</v>
      </c>
    </row>
    <row r="7457" spans="1:6" x14ac:dyDescent="0.3">
      <c r="A7457" t="s">
        <v>7492</v>
      </c>
      <c r="B7457" t="s">
        <v>81</v>
      </c>
      <c r="C7457">
        <v>328000</v>
      </c>
      <c r="D7457">
        <v>13015.9</v>
      </c>
      <c r="E7457">
        <v>1.0500000000000001E-2</v>
      </c>
      <c r="F7457">
        <v>5.8400000000000001E-2</v>
      </c>
    </row>
    <row r="7458" spans="1:6" x14ac:dyDescent="0.3">
      <c r="A7458" t="s">
        <v>7493</v>
      </c>
      <c r="B7458" t="s">
        <v>92</v>
      </c>
      <c r="C7458">
        <v>300000</v>
      </c>
      <c r="D7458">
        <v>7573.1</v>
      </c>
      <c r="E7458">
        <v>5.2200000000000003E-2</v>
      </c>
      <c r="F7458">
        <v>9.5100000000000004E-2</v>
      </c>
    </row>
    <row r="7459" spans="1:6" x14ac:dyDescent="0.3">
      <c r="A7459" t="s">
        <v>7494</v>
      </c>
      <c r="B7459" t="s">
        <v>50</v>
      </c>
      <c r="C7459">
        <v>468000</v>
      </c>
      <c r="D7459">
        <v>3063.9</v>
      </c>
      <c r="E7459">
        <v>1.3599999999999999E-2</v>
      </c>
      <c r="F7459">
        <v>5.8900000000000001E-2</v>
      </c>
    </row>
    <row r="7460" spans="1:6" x14ac:dyDescent="0.3">
      <c r="A7460" t="s">
        <v>7495</v>
      </c>
      <c r="B7460" t="s">
        <v>88</v>
      </c>
      <c r="C7460">
        <v>300000</v>
      </c>
      <c r="D7460">
        <v>1918.3</v>
      </c>
      <c r="E7460">
        <v>3.2000000000000001E-2</v>
      </c>
      <c r="F7460">
        <v>7.5899999999999995E-2</v>
      </c>
    </row>
    <row r="7461" spans="1:6" x14ac:dyDescent="0.3">
      <c r="A7461" t="s">
        <v>7496</v>
      </c>
      <c r="B7461" t="s">
        <v>26</v>
      </c>
      <c r="C7461">
        <v>255000</v>
      </c>
      <c r="D7461">
        <v>3189.8</v>
      </c>
      <c r="E7461">
        <v>6.1100000000000002E-2</v>
      </c>
      <c r="F7461">
        <v>9.5100000000000004E-2</v>
      </c>
    </row>
    <row r="7462" spans="1:6" x14ac:dyDescent="0.3">
      <c r="A7462" t="s">
        <v>7497</v>
      </c>
      <c r="B7462" t="s">
        <v>26</v>
      </c>
      <c r="C7462">
        <v>252000</v>
      </c>
      <c r="F7462">
        <v>7.5899999999999995E-2</v>
      </c>
    </row>
    <row r="7463" spans="1:6" x14ac:dyDescent="0.3">
      <c r="A7463" t="s">
        <v>7498</v>
      </c>
      <c r="B7463" t="s">
        <v>88</v>
      </c>
      <c r="C7463">
        <v>265000</v>
      </c>
      <c r="D7463">
        <v>1080.5999999999999</v>
      </c>
      <c r="E7463">
        <v>9.4399999999999998E-2</v>
      </c>
      <c r="F7463">
        <v>7.5899999999999995E-2</v>
      </c>
    </row>
    <row r="7464" spans="1:6" x14ac:dyDescent="0.3">
      <c r="A7464" t="s">
        <v>7499</v>
      </c>
      <c r="B7464" t="s">
        <v>88</v>
      </c>
      <c r="C7464">
        <v>249000</v>
      </c>
      <c r="D7464">
        <v>220.4</v>
      </c>
      <c r="E7464">
        <v>7.0900000000000005E-2</v>
      </c>
      <c r="F7464">
        <v>9.5100000000000004E-2</v>
      </c>
    </row>
    <row r="7465" spans="1:6" x14ac:dyDescent="0.3">
      <c r="A7465" t="s">
        <v>7500</v>
      </c>
      <c r="B7465" t="s">
        <v>26</v>
      </c>
      <c r="C7465">
        <v>382000</v>
      </c>
      <c r="D7465">
        <v>68487.3</v>
      </c>
      <c r="E7465">
        <v>4.2999999999999997E-2</v>
      </c>
      <c r="F7465">
        <v>7.5899999999999995E-2</v>
      </c>
    </row>
    <row r="7466" spans="1:6" x14ac:dyDescent="0.3">
      <c r="A7466" t="s">
        <v>7501</v>
      </c>
      <c r="B7466" t="s">
        <v>74</v>
      </c>
      <c r="C7466">
        <v>315000</v>
      </c>
      <c r="D7466">
        <v>7732.4</v>
      </c>
      <c r="E7466">
        <v>3.3500000000000002E-2</v>
      </c>
      <c r="F7466">
        <v>4.0899999999999999E-2</v>
      </c>
    </row>
    <row r="7467" spans="1:6" x14ac:dyDescent="0.3">
      <c r="A7467" t="s">
        <v>7502</v>
      </c>
      <c r="B7467" t="s">
        <v>41</v>
      </c>
      <c r="C7467">
        <v>322000</v>
      </c>
      <c r="D7467">
        <v>4442.3</v>
      </c>
      <c r="E7467">
        <v>2.0799999999999999E-2</v>
      </c>
      <c r="F7467">
        <v>0.1053</v>
      </c>
    </row>
    <row r="7468" spans="1:6" x14ac:dyDescent="0.3">
      <c r="A7468" t="s">
        <v>7503</v>
      </c>
      <c r="B7468" t="s">
        <v>26</v>
      </c>
      <c r="C7468">
        <v>257000</v>
      </c>
      <c r="D7468">
        <v>246</v>
      </c>
      <c r="E7468">
        <v>9.6199999999999994E-2</v>
      </c>
      <c r="F7468">
        <v>7.5899999999999995E-2</v>
      </c>
    </row>
    <row r="7469" spans="1:6" x14ac:dyDescent="0.3">
      <c r="A7469" t="s">
        <v>7504</v>
      </c>
      <c r="B7469" t="s">
        <v>30</v>
      </c>
      <c r="C7469">
        <v>582000</v>
      </c>
      <c r="D7469">
        <v>168741.2</v>
      </c>
      <c r="E7469">
        <v>5.4999999999999997E-3</v>
      </c>
      <c r="F7469">
        <v>8.2199999999999995E-2</v>
      </c>
    </row>
    <row r="7470" spans="1:6" x14ac:dyDescent="0.3">
      <c r="A7470" t="s">
        <v>7505</v>
      </c>
      <c r="B7470" t="s">
        <v>74</v>
      </c>
      <c r="C7470">
        <v>279000</v>
      </c>
      <c r="D7470">
        <v>46120.6</v>
      </c>
      <c r="E7470">
        <v>3.1099999999999999E-2</v>
      </c>
      <c r="F7470">
        <v>7.5899999999999995E-2</v>
      </c>
    </row>
    <row r="7471" spans="1:6" x14ac:dyDescent="0.3">
      <c r="A7471" t="s">
        <v>7506</v>
      </c>
      <c r="B7471" t="s">
        <v>26</v>
      </c>
      <c r="C7471">
        <v>279000</v>
      </c>
      <c r="D7471">
        <v>4028.7</v>
      </c>
      <c r="E7471">
        <v>1.95E-2</v>
      </c>
      <c r="F7471">
        <v>0.1067</v>
      </c>
    </row>
    <row r="7472" spans="1:6" x14ac:dyDescent="0.3">
      <c r="A7472" t="s">
        <v>7507</v>
      </c>
      <c r="B7472" t="s">
        <v>74</v>
      </c>
      <c r="C7472">
        <v>254000</v>
      </c>
      <c r="D7472">
        <v>1184.5999999999999</v>
      </c>
      <c r="E7472">
        <v>2.0299999999999999E-2</v>
      </c>
      <c r="F7472">
        <v>7.5700000000000003E-2</v>
      </c>
    </row>
    <row r="7473" spans="1:6" x14ac:dyDescent="0.3">
      <c r="A7473" t="s">
        <v>7508</v>
      </c>
      <c r="B7473" t="s">
        <v>24</v>
      </c>
      <c r="C7473">
        <v>268000</v>
      </c>
      <c r="D7473">
        <v>6589.5</v>
      </c>
      <c r="E7473">
        <v>2.3699999999999999E-2</v>
      </c>
      <c r="F7473">
        <v>9.5100000000000004E-2</v>
      </c>
    </row>
    <row r="7474" spans="1:6" x14ac:dyDescent="0.3">
      <c r="A7474" t="s">
        <v>7509</v>
      </c>
      <c r="B7474" t="s">
        <v>53</v>
      </c>
      <c r="C7474">
        <v>6430000</v>
      </c>
      <c r="D7474">
        <v>564843.19999999995</v>
      </c>
      <c r="E7474">
        <v>2.8199999999999999E-2</v>
      </c>
      <c r="F7474">
        <v>4.0899999999999999E-2</v>
      </c>
    </row>
    <row r="7475" spans="1:6" x14ac:dyDescent="0.3">
      <c r="A7475" t="s">
        <v>7510</v>
      </c>
      <c r="B7475" t="s">
        <v>214</v>
      </c>
      <c r="C7475">
        <v>269000</v>
      </c>
      <c r="D7475">
        <v>8958.4</v>
      </c>
      <c r="E7475">
        <v>1.2999999999999999E-2</v>
      </c>
      <c r="F7475">
        <v>5.8500000000000003E-2</v>
      </c>
    </row>
    <row r="7476" spans="1:6" x14ac:dyDescent="0.3">
      <c r="A7476" t="s">
        <v>7511</v>
      </c>
      <c r="B7476" t="s">
        <v>53</v>
      </c>
      <c r="C7476">
        <v>368000</v>
      </c>
      <c r="D7476">
        <v>24066.7</v>
      </c>
      <c r="E7476">
        <v>8.1199999999999994E-2</v>
      </c>
      <c r="F7476">
        <v>7.5899999999999995E-2</v>
      </c>
    </row>
    <row r="7477" spans="1:6" x14ac:dyDescent="0.3">
      <c r="A7477" t="s">
        <v>7512</v>
      </c>
      <c r="B7477" t="s">
        <v>490</v>
      </c>
      <c r="C7477">
        <v>338000</v>
      </c>
      <c r="D7477">
        <v>3935.4</v>
      </c>
      <c r="F7477">
        <v>5.0999999999999997E-2</v>
      </c>
    </row>
    <row r="7478" spans="1:6" x14ac:dyDescent="0.3">
      <c r="A7478" t="s">
        <v>7513</v>
      </c>
      <c r="B7478" t="s">
        <v>287</v>
      </c>
      <c r="C7478">
        <v>302000</v>
      </c>
      <c r="D7478">
        <v>6068.6</v>
      </c>
      <c r="E7478">
        <v>1.1599999999999999E-2</v>
      </c>
      <c r="F7478">
        <v>6.54E-2</v>
      </c>
    </row>
    <row r="7479" spans="1:6" x14ac:dyDescent="0.3">
      <c r="A7479" t="s">
        <v>7514</v>
      </c>
      <c r="B7479" t="s">
        <v>74</v>
      </c>
      <c r="C7479">
        <v>278000</v>
      </c>
      <c r="D7479">
        <v>1641.4</v>
      </c>
      <c r="F7479">
        <v>7.5899999999999995E-2</v>
      </c>
    </row>
    <row r="7480" spans="1:6" x14ac:dyDescent="0.3">
      <c r="A7480" t="s">
        <v>7515</v>
      </c>
      <c r="B7480" t="s">
        <v>28</v>
      </c>
      <c r="C7480">
        <v>255000</v>
      </c>
      <c r="D7480">
        <v>1857.7</v>
      </c>
      <c r="F7480">
        <v>7.5899999999999995E-2</v>
      </c>
    </row>
    <row r="7481" spans="1:6" x14ac:dyDescent="0.3">
      <c r="A7481" t="s">
        <v>7516</v>
      </c>
      <c r="B7481" t="s">
        <v>26</v>
      </c>
      <c r="C7481">
        <v>263000</v>
      </c>
      <c r="D7481">
        <v>3149.2</v>
      </c>
      <c r="E7481">
        <v>2.7400000000000001E-2</v>
      </c>
      <c r="F7481">
        <v>4.1200000000000001E-2</v>
      </c>
    </row>
    <row r="7482" spans="1:6" x14ac:dyDescent="0.3">
      <c r="A7482" t="s">
        <v>7517</v>
      </c>
      <c r="B7482" t="s">
        <v>26</v>
      </c>
      <c r="C7482">
        <v>455000</v>
      </c>
      <c r="D7482">
        <v>161893.1</v>
      </c>
      <c r="E7482">
        <v>3.1800000000000002E-2</v>
      </c>
      <c r="F7482">
        <v>4.0899999999999999E-2</v>
      </c>
    </row>
    <row r="7483" spans="1:6" x14ac:dyDescent="0.3">
      <c r="A7483" t="s">
        <v>7518</v>
      </c>
      <c r="B7483" t="s">
        <v>88</v>
      </c>
      <c r="C7483">
        <v>296000</v>
      </c>
      <c r="D7483">
        <v>461.2</v>
      </c>
      <c r="E7483">
        <v>4.4600000000000001E-2</v>
      </c>
      <c r="F7483">
        <v>7.5899999999999995E-2</v>
      </c>
    </row>
    <row r="7484" spans="1:6" x14ac:dyDescent="0.3">
      <c r="A7484" t="s">
        <v>7519</v>
      </c>
      <c r="B7484" t="s">
        <v>71</v>
      </c>
      <c r="C7484">
        <v>378000</v>
      </c>
      <c r="D7484">
        <v>15553.8</v>
      </c>
      <c r="E7484">
        <v>2.9100000000000001E-2</v>
      </c>
      <c r="F7484">
        <v>7.5899999999999995E-2</v>
      </c>
    </row>
    <row r="7485" spans="1:6" x14ac:dyDescent="0.3">
      <c r="A7485" t="s">
        <v>7520</v>
      </c>
      <c r="B7485" t="s">
        <v>26</v>
      </c>
      <c r="C7485">
        <v>283000</v>
      </c>
      <c r="D7485">
        <v>49138.6</v>
      </c>
      <c r="E7485">
        <v>1.6199999999999999E-2</v>
      </c>
      <c r="F7485">
        <v>8.5400000000000004E-2</v>
      </c>
    </row>
    <row r="7486" spans="1:6" x14ac:dyDescent="0.3">
      <c r="A7486" t="s">
        <v>7521</v>
      </c>
      <c r="B7486" t="s">
        <v>41</v>
      </c>
      <c r="C7486">
        <v>267000</v>
      </c>
      <c r="D7486">
        <v>261.2</v>
      </c>
      <c r="E7486">
        <v>2.7E-2</v>
      </c>
      <c r="F7486">
        <v>0.11700000000000001</v>
      </c>
    </row>
    <row r="7487" spans="1:6" x14ac:dyDescent="0.3">
      <c r="A7487" t="s">
        <v>7522</v>
      </c>
      <c r="B7487" t="s">
        <v>41</v>
      </c>
      <c r="C7487">
        <v>270000</v>
      </c>
      <c r="D7487">
        <v>1387.3</v>
      </c>
      <c r="E7487">
        <v>1.5800000000000002E-2</v>
      </c>
      <c r="F7487">
        <v>0.40200000000000002</v>
      </c>
    </row>
    <row r="7488" spans="1:6" x14ac:dyDescent="0.3">
      <c r="A7488" t="s">
        <v>7523</v>
      </c>
      <c r="B7488" t="s">
        <v>26</v>
      </c>
      <c r="C7488">
        <v>249000</v>
      </c>
      <c r="D7488">
        <v>2326.1</v>
      </c>
      <c r="E7488">
        <v>2.8199999999999999E-2</v>
      </c>
      <c r="F7488">
        <v>9.5100000000000004E-2</v>
      </c>
    </row>
    <row r="7489" spans="1:6" x14ac:dyDescent="0.3">
      <c r="A7489" t="s">
        <v>7524</v>
      </c>
      <c r="B7489" t="s">
        <v>50</v>
      </c>
      <c r="C7489">
        <v>425000</v>
      </c>
      <c r="D7489">
        <v>783063.5</v>
      </c>
      <c r="E7489">
        <v>4.9799999999999997E-2</v>
      </c>
      <c r="F7489">
        <v>9.5100000000000004E-2</v>
      </c>
    </row>
    <row r="7490" spans="1:6" x14ac:dyDescent="0.3">
      <c r="A7490" t="s">
        <v>7525</v>
      </c>
      <c r="B7490" t="s">
        <v>26</v>
      </c>
      <c r="C7490">
        <v>274000</v>
      </c>
      <c r="D7490">
        <v>20398.2</v>
      </c>
      <c r="E7490">
        <v>4.2000000000000003E-2</v>
      </c>
      <c r="F7490">
        <v>9.5100000000000004E-2</v>
      </c>
    </row>
    <row r="7491" spans="1:6" x14ac:dyDescent="0.3">
      <c r="A7491" t="s">
        <v>7526</v>
      </c>
      <c r="B7491" t="s">
        <v>88</v>
      </c>
      <c r="C7491">
        <v>670000</v>
      </c>
      <c r="D7491">
        <v>5858.9</v>
      </c>
      <c r="E7491">
        <v>6.0299999999999999E-2</v>
      </c>
      <c r="F7491">
        <v>9.3799999999999994E-2</v>
      </c>
    </row>
    <row r="7492" spans="1:6" x14ac:dyDescent="0.3">
      <c r="A7492" t="s">
        <v>7527</v>
      </c>
      <c r="B7492" t="s">
        <v>26</v>
      </c>
      <c r="C7492">
        <v>252000</v>
      </c>
      <c r="D7492">
        <v>1287.9000000000001</v>
      </c>
      <c r="E7492">
        <v>2.5399999999999999E-2</v>
      </c>
      <c r="F7492">
        <v>0.1067</v>
      </c>
    </row>
    <row r="7493" spans="1:6" x14ac:dyDescent="0.3">
      <c r="A7493" t="s">
        <v>7528</v>
      </c>
      <c r="B7493" t="s">
        <v>74</v>
      </c>
      <c r="C7493">
        <v>320000</v>
      </c>
      <c r="D7493">
        <v>3342.2</v>
      </c>
      <c r="E7493">
        <v>3.1300000000000001E-2</v>
      </c>
      <c r="F7493">
        <v>7.5899999999999995E-2</v>
      </c>
    </row>
    <row r="7494" spans="1:6" x14ac:dyDescent="0.3">
      <c r="A7494" t="s">
        <v>7529</v>
      </c>
      <c r="B7494" t="s">
        <v>26</v>
      </c>
      <c r="C7494">
        <v>6430000</v>
      </c>
      <c r="D7494">
        <v>33382.1</v>
      </c>
      <c r="E7494">
        <v>8.8000000000000005E-3</v>
      </c>
      <c r="F7494">
        <v>6.54E-2</v>
      </c>
    </row>
    <row r="7495" spans="1:6" x14ac:dyDescent="0.3">
      <c r="A7495" t="s">
        <v>7530</v>
      </c>
      <c r="B7495" t="s">
        <v>74</v>
      </c>
      <c r="C7495">
        <v>277000</v>
      </c>
      <c r="D7495">
        <v>6688.2</v>
      </c>
      <c r="E7495">
        <v>7.0199999999999999E-2</v>
      </c>
      <c r="F7495">
        <v>7.5899999999999995E-2</v>
      </c>
    </row>
    <row r="7496" spans="1:6" x14ac:dyDescent="0.3">
      <c r="A7496" t="s">
        <v>7531</v>
      </c>
      <c r="B7496" t="s">
        <v>88</v>
      </c>
      <c r="C7496">
        <v>256000</v>
      </c>
      <c r="D7496">
        <v>1902.8</v>
      </c>
      <c r="E7496">
        <v>1.7000000000000001E-2</v>
      </c>
      <c r="F7496">
        <v>0.2064</v>
      </c>
    </row>
    <row r="7497" spans="1:6" x14ac:dyDescent="0.3">
      <c r="A7497" t="s">
        <v>7532</v>
      </c>
      <c r="B7497" t="s">
        <v>26</v>
      </c>
      <c r="C7497">
        <v>382000</v>
      </c>
      <c r="D7497">
        <v>25107.599999999999</v>
      </c>
      <c r="E7497">
        <v>6.4399999999999999E-2</v>
      </c>
      <c r="F7497">
        <v>9.3799999999999994E-2</v>
      </c>
    </row>
    <row r="7498" spans="1:6" x14ac:dyDescent="0.3">
      <c r="A7498" t="s">
        <v>7533</v>
      </c>
      <c r="B7498" t="s">
        <v>26</v>
      </c>
      <c r="C7498">
        <v>255000</v>
      </c>
      <c r="D7498">
        <v>1857.8</v>
      </c>
      <c r="E7498">
        <v>2.6800000000000001E-2</v>
      </c>
      <c r="F7498">
        <v>5.4600000000000003E-2</v>
      </c>
    </row>
    <row r="7499" spans="1:6" x14ac:dyDescent="0.3">
      <c r="A7499" t="s">
        <v>7534</v>
      </c>
      <c r="B7499" t="s">
        <v>287</v>
      </c>
      <c r="C7499">
        <v>264000</v>
      </c>
      <c r="D7499">
        <v>13532.7</v>
      </c>
      <c r="E7499">
        <v>3.7699999999999997E-2</v>
      </c>
      <c r="F7499">
        <v>7.5899999999999995E-2</v>
      </c>
    </row>
    <row r="7500" spans="1:6" x14ac:dyDescent="0.3">
      <c r="A7500" t="s">
        <v>7535</v>
      </c>
      <c r="B7500" t="s">
        <v>214</v>
      </c>
      <c r="C7500">
        <v>261000</v>
      </c>
      <c r="D7500">
        <v>390</v>
      </c>
      <c r="E7500">
        <v>1.1599999999999999E-2</v>
      </c>
      <c r="F7500">
        <v>5.7599999999999998E-2</v>
      </c>
    </row>
    <row r="7501" spans="1:6" x14ac:dyDescent="0.3">
      <c r="A7501" t="s">
        <v>7536</v>
      </c>
      <c r="B7501" t="s">
        <v>26</v>
      </c>
      <c r="C7501">
        <v>398000</v>
      </c>
      <c r="D7501">
        <v>80454</v>
      </c>
      <c r="E7501">
        <v>5.5500000000000001E-2</v>
      </c>
      <c r="F7501">
        <v>5.1799999999999999E-2</v>
      </c>
    </row>
    <row r="7502" spans="1:6" x14ac:dyDescent="0.3">
      <c r="A7502" t="s">
        <v>7537</v>
      </c>
      <c r="B7502" t="s">
        <v>41</v>
      </c>
      <c r="C7502">
        <v>535000</v>
      </c>
      <c r="D7502">
        <v>99095.2</v>
      </c>
      <c r="E7502">
        <v>1.7299999999999999E-2</v>
      </c>
      <c r="F7502">
        <v>7.5700000000000003E-2</v>
      </c>
    </row>
    <row r="7503" spans="1:6" x14ac:dyDescent="0.3">
      <c r="A7503" t="s">
        <v>7538</v>
      </c>
      <c r="B7503" t="s">
        <v>62</v>
      </c>
      <c r="C7503">
        <v>259000</v>
      </c>
      <c r="D7503">
        <v>8682.7999999999993</v>
      </c>
      <c r="E7503">
        <v>6.3600000000000004E-2</v>
      </c>
      <c r="F7503">
        <v>9.5100000000000004E-2</v>
      </c>
    </row>
    <row r="7504" spans="1:6" x14ac:dyDescent="0.3">
      <c r="A7504" t="s">
        <v>7539</v>
      </c>
      <c r="B7504" t="s">
        <v>26</v>
      </c>
      <c r="C7504">
        <v>363000</v>
      </c>
      <c r="D7504">
        <v>8701</v>
      </c>
      <c r="E7504">
        <v>1.1900000000000001E-2</v>
      </c>
      <c r="F7504">
        <v>0.1298</v>
      </c>
    </row>
    <row r="7505" spans="1:6" x14ac:dyDescent="0.3">
      <c r="A7505" t="s">
        <v>7540</v>
      </c>
      <c r="B7505" t="s">
        <v>88</v>
      </c>
      <c r="C7505">
        <v>255000</v>
      </c>
      <c r="D7505">
        <v>2766.9</v>
      </c>
      <c r="E7505">
        <v>3.3500000000000002E-2</v>
      </c>
      <c r="F7505">
        <v>9.5100000000000004E-2</v>
      </c>
    </row>
    <row r="7506" spans="1:6" x14ac:dyDescent="0.3">
      <c r="A7506" t="s">
        <v>7541</v>
      </c>
      <c r="B7506" t="s">
        <v>287</v>
      </c>
      <c r="C7506">
        <v>252000</v>
      </c>
      <c r="D7506">
        <v>5166.8999999999996</v>
      </c>
      <c r="E7506">
        <v>3.7999999999999999E-2</v>
      </c>
      <c r="F7506">
        <v>5.1799999999999999E-2</v>
      </c>
    </row>
    <row r="7507" spans="1:6" x14ac:dyDescent="0.3">
      <c r="A7507" t="s">
        <v>7542</v>
      </c>
      <c r="B7507" t="s">
        <v>41</v>
      </c>
      <c r="C7507">
        <v>279000</v>
      </c>
      <c r="D7507">
        <v>1281.8</v>
      </c>
      <c r="E7507">
        <v>3.44E-2</v>
      </c>
      <c r="F7507">
        <v>0.1226</v>
      </c>
    </row>
    <row r="7508" spans="1:6" x14ac:dyDescent="0.3">
      <c r="A7508" t="s">
        <v>7543</v>
      </c>
      <c r="B7508" t="s">
        <v>26</v>
      </c>
      <c r="C7508">
        <v>442000</v>
      </c>
      <c r="D7508">
        <v>57591.199999999997</v>
      </c>
      <c r="E7508">
        <v>2.6200000000000001E-2</v>
      </c>
      <c r="F7508">
        <v>7.5899999999999995E-2</v>
      </c>
    </row>
    <row r="7509" spans="1:6" x14ac:dyDescent="0.3">
      <c r="A7509" t="s">
        <v>7544</v>
      </c>
      <c r="B7509" t="s">
        <v>214</v>
      </c>
      <c r="C7509">
        <v>314000</v>
      </c>
      <c r="D7509">
        <v>22745.8</v>
      </c>
      <c r="E7509">
        <v>0.02</v>
      </c>
      <c r="F7509">
        <v>6.1600000000000002E-2</v>
      </c>
    </row>
    <row r="7510" spans="1:6" x14ac:dyDescent="0.3">
      <c r="A7510" t="s">
        <v>7545</v>
      </c>
      <c r="B7510" t="s">
        <v>26</v>
      </c>
      <c r="C7510">
        <v>288000</v>
      </c>
      <c r="D7510">
        <v>696.8</v>
      </c>
      <c r="E7510">
        <v>2.0899999999999998E-2</v>
      </c>
      <c r="F7510">
        <v>7.5899999999999995E-2</v>
      </c>
    </row>
    <row r="7511" spans="1:6" x14ac:dyDescent="0.3">
      <c r="A7511" t="s">
        <v>7546</v>
      </c>
      <c r="B7511" t="s">
        <v>24</v>
      </c>
      <c r="C7511">
        <v>312000</v>
      </c>
      <c r="D7511">
        <v>291.39999999999998</v>
      </c>
      <c r="E7511">
        <v>2.6100000000000002E-2</v>
      </c>
      <c r="F7511">
        <v>9.3799999999999994E-2</v>
      </c>
    </row>
    <row r="7512" spans="1:6" x14ac:dyDescent="0.3">
      <c r="A7512" t="s">
        <v>7547</v>
      </c>
      <c r="B7512" t="s">
        <v>71</v>
      </c>
      <c r="C7512">
        <v>302000</v>
      </c>
      <c r="D7512">
        <v>35141.199999999997</v>
      </c>
      <c r="E7512">
        <v>4.1200000000000001E-2</v>
      </c>
      <c r="F7512">
        <v>8.4500000000000006E-2</v>
      </c>
    </row>
    <row r="7513" spans="1:6" x14ac:dyDescent="0.3">
      <c r="A7513" t="s">
        <v>7548</v>
      </c>
      <c r="B7513" t="s">
        <v>88</v>
      </c>
      <c r="C7513">
        <v>293000</v>
      </c>
      <c r="D7513">
        <v>2083</v>
      </c>
      <c r="E7513">
        <v>2.0500000000000001E-2</v>
      </c>
      <c r="F7513">
        <v>0.1053</v>
      </c>
    </row>
    <row r="7514" spans="1:6" x14ac:dyDescent="0.3">
      <c r="A7514" t="s">
        <v>7549</v>
      </c>
      <c r="B7514" t="s">
        <v>26</v>
      </c>
      <c r="C7514">
        <v>282000</v>
      </c>
      <c r="D7514">
        <v>767</v>
      </c>
      <c r="E7514">
        <v>2.2100000000000002E-2</v>
      </c>
      <c r="F7514">
        <v>0.1053</v>
      </c>
    </row>
    <row r="7515" spans="1:6" x14ac:dyDescent="0.3">
      <c r="A7515" t="s">
        <v>7550</v>
      </c>
      <c r="B7515" t="s">
        <v>53</v>
      </c>
      <c r="C7515">
        <v>248000</v>
      </c>
      <c r="D7515">
        <v>1613.2</v>
      </c>
      <c r="E7515">
        <v>9.5999999999999992E-3</v>
      </c>
      <c r="F7515">
        <v>0.10150000000000001</v>
      </c>
    </row>
    <row r="7516" spans="1:6" x14ac:dyDescent="0.3">
      <c r="A7516" t="s">
        <v>7551</v>
      </c>
      <c r="B7516" t="s">
        <v>62</v>
      </c>
      <c r="C7516">
        <v>285000</v>
      </c>
      <c r="D7516">
        <v>1158</v>
      </c>
      <c r="E7516">
        <v>1.18E-2</v>
      </c>
      <c r="F7516">
        <v>6.54E-2</v>
      </c>
    </row>
    <row r="7517" spans="1:6" x14ac:dyDescent="0.3">
      <c r="A7517" t="s">
        <v>7552</v>
      </c>
      <c r="B7517" t="s">
        <v>26</v>
      </c>
      <c r="C7517">
        <v>279000</v>
      </c>
      <c r="D7517">
        <v>11186.1</v>
      </c>
      <c r="E7517">
        <v>2.1100000000000001E-2</v>
      </c>
      <c r="F7517">
        <v>7.3499999999999996E-2</v>
      </c>
    </row>
    <row r="7518" spans="1:6" x14ac:dyDescent="0.3">
      <c r="A7518" t="s">
        <v>7553</v>
      </c>
      <c r="B7518" t="s">
        <v>214</v>
      </c>
      <c r="C7518">
        <v>384000</v>
      </c>
      <c r="D7518">
        <v>1586.7</v>
      </c>
      <c r="E7518">
        <v>2.3099999999999999E-2</v>
      </c>
      <c r="F7518">
        <v>9.5000000000000001E-2</v>
      </c>
    </row>
    <row r="7519" spans="1:6" x14ac:dyDescent="0.3">
      <c r="A7519" t="s">
        <v>7554</v>
      </c>
      <c r="B7519" t="s">
        <v>24</v>
      </c>
      <c r="C7519">
        <v>257000</v>
      </c>
      <c r="D7519">
        <v>990.2</v>
      </c>
      <c r="E7519">
        <v>2.9399999999999999E-2</v>
      </c>
      <c r="F7519">
        <v>7.5899999999999995E-2</v>
      </c>
    </row>
    <row r="7520" spans="1:6" x14ac:dyDescent="0.3">
      <c r="A7520" t="s">
        <v>7555</v>
      </c>
      <c r="B7520" t="s">
        <v>53</v>
      </c>
      <c r="C7520">
        <v>276000</v>
      </c>
      <c r="D7520">
        <v>462381.5</v>
      </c>
      <c r="E7520">
        <v>7.7999999999999996E-3</v>
      </c>
      <c r="F7520">
        <v>9.1499999999999998E-2</v>
      </c>
    </row>
    <row r="7521" spans="1:6" x14ac:dyDescent="0.3">
      <c r="A7521" t="s">
        <v>7556</v>
      </c>
      <c r="B7521" t="s">
        <v>53</v>
      </c>
      <c r="C7521">
        <v>259000</v>
      </c>
      <c r="D7521">
        <v>2206.1999999999998</v>
      </c>
      <c r="E7521">
        <v>9.5799999999999996E-2</v>
      </c>
      <c r="F7521">
        <v>9.3799999999999994E-2</v>
      </c>
    </row>
    <row r="7522" spans="1:6" x14ac:dyDescent="0.3">
      <c r="A7522" t="s">
        <v>7557</v>
      </c>
      <c r="B7522" t="s">
        <v>41</v>
      </c>
      <c r="C7522">
        <v>454000</v>
      </c>
      <c r="D7522">
        <v>10594</v>
      </c>
      <c r="E7522">
        <v>6.2700000000000006E-2</v>
      </c>
      <c r="F7522">
        <v>7.5899999999999995E-2</v>
      </c>
    </row>
    <row r="7523" spans="1:6" x14ac:dyDescent="0.3">
      <c r="A7523" t="s">
        <v>7558</v>
      </c>
      <c r="B7523" t="s">
        <v>26</v>
      </c>
      <c r="C7523">
        <v>312000</v>
      </c>
      <c r="D7523">
        <v>78626.100000000006</v>
      </c>
      <c r="E7523">
        <v>6.6900000000000001E-2</v>
      </c>
      <c r="F7523">
        <v>7.5899999999999995E-2</v>
      </c>
    </row>
    <row r="7524" spans="1:6" x14ac:dyDescent="0.3">
      <c r="A7524" t="s">
        <v>7559</v>
      </c>
      <c r="B7524" t="s">
        <v>24</v>
      </c>
      <c r="C7524">
        <v>342000</v>
      </c>
      <c r="D7524">
        <v>108399.7</v>
      </c>
      <c r="E7524">
        <v>3.8899999999999997E-2</v>
      </c>
      <c r="F7524">
        <v>9.5100000000000004E-2</v>
      </c>
    </row>
    <row r="7525" spans="1:6" x14ac:dyDescent="0.3">
      <c r="A7525" t="s">
        <v>7560</v>
      </c>
      <c r="B7525" t="s">
        <v>81</v>
      </c>
      <c r="C7525">
        <v>319000</v>
      </c>
      <c r="D7525">
        <v>4087.3</v>
      </c>
      <c r="E7525">
        <v>1.9099999999999999E-2</v>
      </c>
      <c r="F7525">
        <v>0.1053</v>
      </c>
    </row>
    <row r="7526" spans="1:6" x14ac:dyDescent="0.3">
      <c r="A7526" t="s">
        <v>7561</v>
      </c>
      <c r="B7526" t="s">
        <v>88</v>
      </c>
      <c r="C7526">
        <v>287000</v>
      </c>
      <c r="D7526">
        <v>16014.2</v>
      </c>
      <c r="E7526">
        <v>1.35E-2</v>
      </c>
      <c r="F7526">
        <v>0.14710000000000001</v>
      </c>
    </row>
    <row r="7527" spans="1:6" x14ac:dyDescent="0.3">
      <c r="A7527" t="s">
        <v>7562</v>
      </c>
      <c r="B7527" t="s">
        <v>92</v>
      </c>
      <c r="C7527">
        <v>266000</v>
      </c>
      <c r="D7527">
        <v>1003.4</v>
      </c>
      <c r="E7527">
        <v>1.6500000000000001E-2</v>
      </c>
      <c r="F7527">
        <v>0.1067</v>
      </c>
    </row>
    <row r="7528" spans="1:6" x14ac:dyDescent="0.3">
      <c r="A7528" t="s">
        <v>7563</v>
      </c>
      <c r="B7528" t="s">
        <v>81</v>
      </c>
      <c r="C7528">
        <v>259000</v>
      </c>
      <c r="D7528">
        <v>3061.8</v>
      </c>
      <c r="E7528">
        <v>1.6500000000000001E-2</v>
      </c>
      <c r="F7528">
        <v>5.8500000000000003E-2</v>
      </c>
    </row>
    <row r="7529" spans="1:6" x14ac:dyDescent="0.3">
      <c r="A7529" t="s">
        <v>7564</v>
      </c>
      <c r="B7529" t="s">
        <v>24</v>
      </c>
      <c r="C7529">
        <v>341000</v>
      </c>
      <c r="D7529">
        <v>30525.4</v>
      </c>
      <c r="E7529">
        <v>5.0299999999999997E-2</v>
      </c>
      <c r="F7529">
        <v>9.5100000000000004E-2</v>
      </c>
    </row>
    <row r="7530" spans="1:6" x14ac:dyDescent="0.3">
      <c r="A7530" t="s">
        <v>7565</v>
      </c>
      <c r="B7530" t="s">
        <v>195</v>
      </c>
      <c r="C7530">
        <v>258000</v>
      </c>
      <c r="D7530">
        <v>702.3</v>
      </c>
      <c r="E7530">
        <v>1.0999999999999999E-2</v>
      </c>
      <c r="F7530">
        <v>8.2199999999999995E-2</v>
      </c>
    </row>
    <row r="7531" spans="1:6" x14ac:dyDescent="0.3">
      <c r="A7531" t="s">
        <v>7566</v>
      </c>
      <c r="B7531" t="s">
        <v>81</v>
      </c>
      <c r="C7531">
        <v>375000</v>
      </c>
      <c r="D7531">
        <v>11922.5</v>
      </c>
      <c r="E7531">
        <v>1.23E-2</v>
      </c>
      <c r="F7531">
        <v>6.54E-2</v>
      </c>
    </row>
    <row r="7532" spans="1:6" x14ac:dyDescent="0.3">
      <c r="A7532" t="s">
        <v>7567</v>
      </c>
      <c r="B7532" t="s">
        <v>62</v>
      </c>
      <c r="C7532">
        <v>315000</v>
      </c>
      <c r="D7532">
        <v>3079.1</v>
      </c>
      <c r="E7532">
        <v>7.1900000000000006E-2</v>
      </c>
      <c r="F7532">
        <v>7.5899999999999995E-2</v>
      </c>
    </row>
    <row r="7533" spans="1:6" x14ac:dyDescent="0.3">
      <c r="A7533" t="s">
        <v>7568</v>
      </c>
      <c r="B7533" t="s">
        <v>50</v>
      </c>
      <c r="C7533">
        <v>335000</v>
      </c>
      <c r="D7533">
        <v>17099.8</v>
      </c>
      <c r="E7533">
        <v>0.12239999999999999</v>
      </c>
      <c r="F7533">
        <v>9.3799999999999994E-2</v>
      </c>
    </row>
    <row r="7534" spans="1:6" x14ac:dyDescent="0.3">
      <c r="A7534" t="s">
        <v>7569</v>
      </c>
      <c r="B7534" t="s">
        <v>88</v>
      </c>
      <c r="C7534">
        <v>251000</v>
      </c>
      <c r="D7534">
        <v>78371.199999999997</v>
      </c>
      <c r="E7534">
        <v>1.83E-2</v>
      </c>
      <c r="F7534">
        <v>0.1067</v>
      </c>
    </row>
    <row r="7535" spans="1:6" x14ac:dyDescent="0.3">
      <c r="A7535" t="s">
        <v>7570</v>
      </c>
      <c r="B7535" t="s">
        <v>24</v>
      </c>
      <c r="C7535">
        <v>356000</v>
      </c>
      <c r="D7535">
        <v>9773.2999999999993</v>
      </c>
      <c r="E7535">
        <v>8.6E-3</v>
      </c>
      <c r="F7535">
        <v>8.2199999999999995E-2</v>
      </c>
    </row>
    <row r="7536" spans="1:6" x14ac:dyDescent="0.3">
      <c r="A7536" t="s">
        <v>7571</v>
      </c>
      <c r="B7536" t="s">
        <v>287</v>
      </c>
      <c r="C7536">
        <v>901000</v>
      </c>
      <c r="D7536">
        <v>132789.29999999999</v>
      </c>
      <c r="E7536">
        <v>2.1600000000000001E-2</v>
      </c>
      <c r="F7536">
        <v>4.0899999999999999E-2</v>
      </c>
    </row>
    <row r="7537" spans="1:6" x14ac:dyDescent="0.3">
      <c r="A7537" t="s">
        <v>7572</v>
      </c>
      <c r="B7537" t="s">
        <v>62</v>
      </c>
      <c r="C7537">
        <v>1370000</v>
      </c>
      <c r="D7537">
        <v>565631.69999999995</v>
      </c>
      <c r="E7537">
        <v>2.4899999999999999E-2</v>
      </c>
      <c r="F7537">
        <v>4.0899999999999999E-2</v>
      </c>
    </row>
    <row r="7538" spans="1:6" x14ac:dyDescent="0.3">
      <c r="A7538" t="s">
        <v>7573</v>
      </c>
      <c r="B7538" t="s">
        <v>287</v>
      </c>
      <c r="C7538">
        <v>280000</v>
      </c>
      <c r="D7538">
        <v>14341.8</v>
      </c>
      <c r="F7538">
        <v>0.11700000000000001</v>
      </c>
    </row>
    <row r="7539" spans="1:6" x14ac:dyDescent="0.3">
      <c r="A7539" t="s">
        <v>7574</v>
      </c>
      <c r="B7539" t="s">
        <v>81</v>
      </c>
      <c r="C7539">
        <v>568000</v>
      </c>
      <c r="D7539">
        <v>257418.1</v>
      </c>
      <c r="E7539">
        <v>8.5400000000000004E-2</v>
      </c>
      <c r="F7539">
        <v>7.5899999999999995E-2</v>
      </c>
    </row>
    <row r="7540" spans="1:6" x14ac:dyDescent="0.3">
      <c r="A7540" t="s">
        <v>7575</v>
      </c>
      <c r="B7540" t="s">
        <v>74</v>
      </c>
      <c r="C7540">
        <v>457000</v>
      </c>
      <c r="D7540">
        <v>36157.300000000003</v>
      </c>
      <c r="E7540">
        <v>3.7100000000000001E-2</v>
      </c>
      <c r="F7540">
        <v>7.5899999999999995E-2</v>
      </c>
    </row>
    <row r="7541" spans="1:6" x14ac:dyDescent="0.3">
      <c r="A7541" t="s">
        <v>7576</v>
      </c>
      <c r="B7541" t="s">
        <v>50</v>
      </c>
      <c r="C7541">
        <v>448000</v>
      </c>
      <c r="D7541">
        <v>137059.20000000001</v>
      </c>
      <c r="E7541">
        <v>1.7999999999999999E-2</v>
      </c>
      <c r="F7541">
        <v>4.8800000000000003E-2</v>
      </c>
    </row>
    <row r="7542" spans="1:6" x14ac:dyDescent="0.3">
      <c r="A7542" t="s">
        <v>7577</v>
      </c>
      <c r="B7542" t="s">
        <v>26</v>
      </c>
      <c r="C7542">
        <v>1140000</v>
      </c>
      <c r="D7542">
        <v>10409.200000000001</v>
      </c>
      <c r="E7542">
        <v>2.6800000000000001E-2</v>
      </c>
      <c r="F7542">
        <v>0.1041</v>
      </c>
    </row>
    <row r="7543" spans="1:6" x14ac:dyDescent="0.3">
      <c r="A7543" t="s">
        <v>7578</v>
      </c>
      <c r="B7543" t="s">
        <v>490</v>
      </c>
      <c r="C7543">
        <v>348000</v>
      </c>
      <c r="D7543">
        <v>24553.5</v>
      </c>
      <c r="E7543">
        <v>5.0500000000000003E-2</v>
      </c>
      <c r="F7543">
        <v>7.5899999999999995E-2</v>
      </c>
    </row>
    <row r="7544" spans="1:6" x14ac:dyDescent="0.3">
      <c r="A7544" t="s">
        <v>7579</v>
      </c>
      <c r="B7544" t="s">
        <v>30</v>
      </c>
      <c r="C7544">
        <v>364000</v>
      </c>
      <c r="D7544">
        <v>14947.2</v>
      </c>
      <c r="E7544">
        <v>4.41E-2</v>
      </c>
      <c r="F7544">
        <v>9.5100000000000004E-2</v>
      </c>
    </row>
    <row r="7545" spans="1:6" x14ac:dyDescent="0.3">
      <c r="A7545" t="s">
        <v>7580</v>
      </c>
      <c r="B7545" t="s">
        <v>88</v>
      </c>
      <c r="C7545">
        <v>251000</v>
      </c>
      <c r="D7545">
        <v>347.8</v>
      </c>
      <c r="E7545">
        <v>1.95E-2</v>
      </c>
      <c r="F7545">
        <v>5.8500000000000003E-2</v>
      </c>
    </row>
    <row r="7546" spans="1:6" x14ac:dyDescent="0.3">
      <c r="A7546" t="s">
        <v>7581</v>
      </c>
      <c r="B7546" t="s">
        <v>287</v>
      </c>
      <c r="C7546">
        <v>414000</v>
      </c>
      <c r="D7546">
        <v>11515.1</v>
      </c>
      <c r="E7546">
        <v>2.7799999999999998E-2</v>
      </c>
      <c r="F7546">
        <v>7.5899999999999995E-2</v>
      </c>
    </row>
    <row r="7547" spans="1:6" x14ac:dyDescent="0.3">
      <c r="A7547" t="s">
        <v>7582</v>
      </c>
      <c r="B7547" t="s">
        <v>30</v>
      </c>
      <c r="C7547">
        <v>354000</v>
      </c>
      <c r="D7547">
        <v>18735.2</v>
      </c>
      <c r="E7547">
        <v>9.1000000000000004E-3</v>
      </c>
      <c r="F7547">
        <v>8.2199999999999995E-2</v>
      </c>
    </row>
    <row r="7548" spans="1:6" x14ac:dyDescent="0.3">
      <c r="A7548" t="s">
        <v>7583</v>
      </c>
      <c r="B7548" t="s">
        <v>26</v>
      </c>
      <c r="C7548">
        <v>312000</v>
      </c>
      <c r="D7548">
        <v>35604.199999999997</v>
      </c>
      <c r="E7548">
        <v>4.3400000000000001E-2</v>
      </c>
      <c r="F7548">
        <v>9.5100000000000004E-2</v>
      </c>
    </row>
    <row r="7549" spans="1:6" x14ac:dyDescent="0.3">
      <c r="A7549" t="s">
        <v>7584</v>
      </c>
      <c r="B7549" t="s">
        <v>287</v>
      </c>
      <c r="C7549">
        <v>271000</v>
      </c>
      <c r="D7549">
        <v>4755</v>
      </c>
      <c r="E7549">
        <v>4.19E-2</v>
      </c>
      <c r="F7549">
        <v>9.5100000000000004E-2</v>
      </c>
    </row>
    <row r="7550" spans="1:6" x14ac:dyDescent="0.3">
      <c r="A7550" t="s">
        <v>7585</v>
      </c>
      <c r="B7550" t="s">
        <v>92</v>
      </c>
      <c r="C7550">
        <v>530000</v>
      </c>
      <c r="D7550">
        <v>97745.3</v>
      </c>
      <c r="E7550">
        <v>3.09E-2</v>
      </c>
      <c r="F7550">
        <v>4.0899999999999999E-2</v>
      </c>
    </row>
    <row r="7551" spans="1:6" x14ac:dyDescent="0.3">
      <c r="A7551" t="s">
        <v>7586</v>
      </c>
      <c r="B7551" t="s">
        <v>71</v>
      </c>
      <c r="C7551">
        <v>270000</v>
      </c>
      <c r="D7551">
        <v>1648.4</v>
      </c>
      <c r="F7551">
        <v>9.3799999999999994E-2</v>
      </c>
    </row>
    <row r="7552" spans="1:6" x14ac:dyDescent="0.3">
      <c r="A7552" t="s">
        <v>7587</v>
      </c>
      <c r="B7552" t="s">
        <v>214</v>
      </c>
      <c r="C7552">
        <v>354000</v>
      </c>
      <c r="D7552">
        <v>3848.1</v>
      </c>
      <c r="E7552">
        <v>2.8299999999999999E-2</v>
      </c>
      <c r="F7552">
        <v>7.5899999999999995E-2</v>
      </c>
    </row>
    <row r="7553" spans="1:6" x14ac:dyDescent="0.3">
      <c r="A7553" t="s">
        <v>7588</v>
      </c>
      <c r="B7553" t="s">
        <v>26</v>
      </c>
      <c r="C7553">
        <v>257000</v>
      </c>
      <c r="D7553">
        <v>78.2</v>
      </c>
      <c r="E7553">
        <v>1.6E-2</v>
      </c>
      <c r="F7553">
        <v>0.248</v>
      </c>
    </row>
    <row r="7554" spans="1:6" x14ac:dyDescent="0.3">
      <c r="A7554" t="s">
        <v>7589</v>
      </c>
      <c r="B7554" t="s">
        <v>50</v>
      </c>
      <c r="C7554">
        <v>312000</v>
      </c>
      <c r="D7554">
        <v>83447.199999999997</v>
      </c>
      <c r="E7554">
        <v>1.9400000000000001E-2</v>
      </c>
      <c r="F7554">
        <v>5.8500000000000003E-2</v>
      </c>
    </row>
    <row r="7555" spans="1:6" x14ac:dyDescent="0.3">
      <c r="A7555" t="s">
        <v>7590</v>
      </c>
      <c r="B7555" t="s">
        <v>74</v>
      </c>
      <c r="C7555">
        <v>352000</v>
      </c>
      <c r="D7555">
        <v>2035.8</v>
      </c>
      <c r="E7555">
        <v>5.6599999999999998E-2</v>
      </c>
      <c r="F7555">
        <v>7.5899999999999995E-2</v>
      </c>
    </row>
    <row r="7556" spans="1:6" x14ac:dyDescent="0.3">
      <c r="A7556" t="s">
        <v>7591</v>
      </c>
      <c r="B7556" t="s">
        <v>26</v>
      </c>
      <c r="C7556">
        <v>302000</v>
      </c>
      <c r="D7556">
        <v>25388.5</v>
      </c>
      <c r="E7556">
        <v>3.6400000000000002E-2</v>
      </c>
      <c r="F7556">
        <v>7.5899999999999995E-2</v>
      </c>
    </row>
    <row r="7557" spans="1:6" x14ac:dyDescent="0.3">
      <c r="A7557" t="s">
        <v>7592</v>
      </c>
      <c r="B7557" t="s">
        <v>26</v>
      </c>
      <c r="C7557">
        <v>324000</v>
      </c>
      <c r="D7557">
        <v>26670.9</v>
      </c>
      <c r="E7557">
        <v>2.9899999999999999E-2</v>
      </c>
      <c r="F7557">
        <v>7.5899999999999995E-2</v>
      </c>
    </row>
    <row r="7558" spans="1:6" x14ac:dyDescent="0.3">
      <c r="A7558" t="s">
        <v>7593</v>
      </c>
      <c r="B7558" t="s">
        <v>88</v>
      </c>
      <c r="C7558">
        <v>292000</v>
      </c>
      <c r="D7558">
        <v>113.1</v>
      </c>
      <c r="E7558">
        <v>9.1800000000000007E-2</v>
      </c>
      <c r="F7558">
        <v>0.1168</v>
      </c>
    </row>
    <row r="7559" spans="1:6" x14ac:dyDescent="0.3">
      <c r="A7559" t="s">
        <v>7594</v>
      </c>
      <c r="B7559" t="s">
        <v>26</v>
      </c>
      <c r="C7559">
        <v>318000</v>
      </c>
      <c r="D7559">
        <v>18928.599999999999</v>
      </c>
      <c r="E7559">
        <v>6.1999999999999998E-3</v>
      </c>
      <c r="F7559">
        <v>8.2199999999999995E-2</v>
      </c>
    </row>
    <row r="7560" spans="1:6" x14ac:dyDescent="0.3">
      <c r="A7560" t="s">
        <v>7595</v>
      </c>
      <c r="B7560" t="s">
        <v>88</v>
      </c>
      <c r="C7560">
        <v>246000</v>
      </c>
      <c r="D7560">
        <v>2161.8000000000002</v>
      </c>
      <c r="E7560">
        <v>2.18E-2</v>
      </c>
      <c r="F7560">
        <v>0.11700000000000001</v>
      </c>
    </row>
    <row r="7561" spans="1:6" x14ac:dyDescent="0.3">
      <c r="A7561" t="s">
        <v>7596</v>
      </c>
      <c r="B7561" t="s">
        <v>214</v>
      </c>
      <c r="C7561">
        <v>259000</v>
      </c>
      <c r="D7561">
        <v>12326.6</v>
      </c>
      <c r="E7561">
        <v>6.2100000000000002E-2</v>
      </c>
      <c r="F7561">
        <v>0.1241</v>
      </c>
    </row>
    <row r="7562" spans="1:6" x14ac:dyDescent="0.3">
      <c r="A7562" t="s">
        <v>7597</v>
      </c>
      <c r="B7562" t="s">
        <v>50</v>
      </c>
      <c r="C7562">
        <v>265000</v>
      </c>
      <c r="D7562">
        <v>5607.9</v>
      </c>
      <c r="E7562">
        <v>1.7299999999999999E-2</v>
      </c>
      <c r="F7562">
        <v>6.1600000000000002E-2</v>
      </c>
    </row>
    <row r="7563" spans="1:6" x14ac:dyDescent="0.3">
      <c r="A7563" t="s">
        <v>7598</v>
      </c>
      <c r="B7563" t="s">
        <v>74</v>
      </c>
      <c r="C7563">
        <v>600000</v>
      </c>
      <c r="D7563">
        <v>22571.599999999999</v>
      </c>
      <c r="E7563">
        <v>2.8400000000000002E-2</v>
      </c>
      <c r="F7563">
        <v>0.13869999999999999</v>
      </c>
    </row>
    <row r="7564" spans="1:6" x14ac:dyDescent="0.3">
      <c r="A7564" t="s">
        <v>7599</v>
      </c>
      <c r="B7564" t="s">
        <v>214</v>
      </c>
      <c r="C7564">
        <v>266000</v>
      </c>
      <c r="D7564">
        <v>1959.4</v>
      </c>
      <c r="E7564">
        <v>1.15E-2</v>
      </c>
      <c r="F7564">
        <v>8.2199999999999995E-2</v>
      </c>
    </row>
    <row r="7565" spans="1:6" x14ac:dyDescent="0.3">
      <c r="A7565" t="s">
        <v>7600</v>
      </c>
      <c r="B7565" t="s">
        <v>88</v>
      </c>
      <c r="C7565">
        <v>289000</v>
      </c>
      <c r="D7565">
        <v>342.3</v>
      </c>
      <c r="E7565">
        <v>6.2700000000000006E-2</v>
      </c>
      <c r="F7565">
        <v>0.53820000000000001</v>
      </c>
    </row>
    <row r="7566" spans="1:6" x14ac:dyDescent="0.3">
      <c r="A7566" t="s">
        <v>7601</v>
      </c>
      <c r="B7566" t="s">
        <v>26</v>
      </c>
      <c r="C7566">
        <v>306000</v>
      </c>
      <c r="D7566">
        <v>38135.699999999997</v>
      </c>
      <c r="E7566">
        <v>5.11E-2</v>
      </c>
      <c r="F7566">
        <v>7.5899999999999995E-2</v>
      </c>
    </row>
    <row r="7567" spans="1:6" x14ac:dyDescent="0.3">
      <c r="A7567" t="s">
        <v>7602</v>
      </c>
      <c r="B7567" t="s">
        <v>88</v>
      </c>
      <c r="C7567">
        <v>243000</v>
      </c>
      <c r="D7567">
        <v>3432.9</v>
      </c>
      <c r="E7567">
        <v>7.4000000000000003E-3</v>
      </c>
      <c r="F7567">
        <v>0.1187</v>
      </c>
    </row>
    <row r="7568" spans="1:6" x14ac:dyDescent="0.3">
      <c r="A7568" t="s">
        <v>7603</v>
      </c>
      <c r="B7568" t="s">
        <v>26</v>
      </c>
      <c r="C7568">
        <v>246000</v>
      </c>
      <c r="D7568">
        <v>927.6</v>
      </c>
      <c r="E7568">
        <v>1.26E-2</v>
      </c>
      <c r="F7568">
        <v>6.54E-2</v>
      </c>
    </row>
    <row r="7569" spans="1:6" x14ac:dyDescent="0.3">
      <c r="A7569" t="s">
        <v>7604</v>
      </c>
      <c r="B7569" t="s">
        <v>26</v>
      </c>
      <c r="C7569">
        <v>252000</v>
      </c>
      <c r="D7569">
        <v>2887.4</v>
      </c>
      <c r="E7569">
        <v>3.73E-2</v>
      </c>
      <c r="F7569">
        <v>9.5100000000000004E-2</v>
      </c>
    </row>
    <row r="7570" spans="1:6" x14ac:dyDescent="0.3">
      <c r="A7570" t="s">
        <v>7605</v>
      </c>
      <c r="B7570" t="s">
        <v>26</v>
      </c>
      <c r="C7570">
        <v>244000</v>
      </c>
      <c r="D7570">
        <v>2131.6</v>
      </c>
      <c r="E7570">
        <v>2.06E-2</v>
      </c>
      <c r="F7570">
        <v>0.1067</v>
      </c>
    </row>
    <row r="7571" spans="1:6" x14ac:dyDescent="0.3">
      <c r="A7571" t="s">
        <v>7606</v>
      </c>
      <c r="B7571" t="s">
        <v>88</v>
      </c>
      <c r="C7571">
        <v>253000</v>
      </c>
      <c r="D7571">
        <v>1448.5</v>
      </c>
      <c r="E7571">
        <v>4.2999999999999997E-2</v>
      </c>
      <c r="F7571">
        <v>9.5100000000000004E-2</v>
      </c>
    </row>
    <row r="7572" spans="1:6" x14ac:dyDescent="0.3">
      <c r="A7572" t="s">
        <v>7607</v>
      </c>
      <c r="B7572" t="s">
        <v>30</v>
      </c>
      <c r="C7572">
        <v>289000</v>
      </c>
      <c r="D7572">
        <v>925909.1</v>
      </c>
      <c r="E7572">
        <v>8.0699999999999994E-2</v>
      </c>
      <c r="F7572">
        <v>6.4399999999999999E-2</v>
      </c>
    </row>
    <row r="7573" spans="1:6" x14ac:dyDescent="0.3">
      <c r="A7573" t="s">
        <v>7608</v>
      </c>
      <c r="B7573" t="s">
        <v>71</v>
      </c>
      <c r="C7573">
        <v>248000</v>
      </c>
      <c r="D7573">
        <v>21453.8</v>
      </c>
      <c r="E7573">
        <v>2.0899999999999998E-2</v>
      </c>
      <c r="F7573">
        <v>7.5899999999999995E-2</v>
      </c>
    </row>
    <row r="7574" spans="1:6" x14ac:dyDescent="0.3">
      <c r="A7574" t="s">
        <v>7609</v>
      </c>
      <c r="B7574" t="s">
        <v>92</v>
      </c>
      <c r="C7574">
        <v>377000</v>
      </c>
      <c r="D7574">
        <v>140682.4</v>
      </c>
      <c r="E7574">
        <v>4.2000000000000003E-2</v>
      </c>
      <c r="F7574">
        <v>9.5100000000000004E-2</v>
      </c>
    </row>
    <row r="7575" spans="1:6" x14ac:dyDescent="0.3">
      <c r="A7575" t="s">
        <v>7610</v>
      </c>
      <c r="B7575" t="s">
        <v>50</v>
      </c>
      <c r="C7575">
        <v>375000</v>
      </c>
      <c r="D7575">
        <v>4110.5</v>
      </c>
      <c r="E7575">
        <v>3.44E-2</v>
      </c>
      <c r="F7575">
        <v>7.5899999999999995E-2</v>
      </c>
    </row>
    <row r="7576" spans="1:6" x14ac:dyDescent="0.3">
      <c r="A7576" t="s">
        <v>7611</v>
      </c>
      <c r="B7576" t="s">
        <v>41</v>
      </c>
      <c r="C7576">
        <v>251000</v>
      </c>
      <c r="D7576">
        <v>676.2</v>
      </c>
      <c r="E7576">
        <v>1.2E-2</v>
      </c>
      <c r="F7576">
        <v>0.20660000000000001</v>
      </c>
    </row>
    <row r="7577" spans="1:6" x14ac:dyDescent="0.3">
      <c r="A7577" t="s">
        <v>7612</v>
      </c>
      <c r="B7577" t="s">
        <v>32</v>
      </c>
      <c r="C7577">
        <v>1390000</v>
      </c>
      <c r="D7577">
        <v>159</v>
      </c>
      <c r="E7577">
        <v>0</v>
      </c>
      <c r="F7577">
        <v>8.2199999999999995E-2</v>
      </c>
    </row>
    <row r="7578" spans="1:6" x14ac:dyDescent="0.3">
      <c r="A7578" t="s">
        <v>7613</v>
      </c>
      <c r="B7578" t="s">
        <v>214</v>
      </c>
      <c r="C7578">
        <v>247000</v>
      </c>
      <c r="D7578">
        <v>823.8</v>
      </c>
      <c r="E7578">
        <v>4.4900000000000002E-2</v>
      </c>
      <c r="F7578">
        <v>9.5100000000000004E-2</v>
      </c>
    </row>
    <row r="7579" spans="1:6" x14ac:dyDescent="0.3">
      <c r="A7579" t="s">
        <v>7614</v>
      </c>
      <c r="B7579" t="s">
        <v>26</v>
      </c>
      <c r="C7579">
        <v>241000</v>
      </c>
      <c r="D7579">
        <v>2662.8</v>
      </c>
      <c r="F7579">
        <v>9.5100000000000004E-2</v>
      </c>
    </row>
    <row r="7580" spans="1:6" x14ac:dyDescent="0.3">
      <c r="A7580" t="s">
        <v>7615</v>
      </c>
      <c r="B7580" t="s">
        <v>26</v>
      </c>
      <c r="C7580">
        <v>263000</v>
      </c>
      <c r="D7580">
        <v>1050</v>
      </c>
      <c r="E7580">
        <v>1.9699999999999999E-2</v>
      </c>
      <c r="F7580">
        <v>4.0899999999999999E-2</v>
      </c>
    </row>
    <row r="7581" spans="1:6" x14ac:dyDescent="0.3">
      <c r="A7581" t="s">
        <v>7616</v>
      </c>
      <c r="B7581" t="s">
        <v>26</v>
      </c>
      <c r="C7581">
        <v>371000</v>
      </c>
      <c r="D7581">
        <v>44974.7</v>
      </c>
      <c r="E7581">
        <v>2.4799999999999999E-2</v>
      </c>
      <c r="F7581">
        <v>0.1067</v>
      </c>
    </row>
    <row r="7582" spans="1:6" x14ac:dyDescent="0.3">
      <c r="A7582" t="s">
        <v>7617</v>
      </c>
      <c r="B7582" t="s">
        <v>26</v>
      </c>
      <c r="C7582">
        <v>125000</v>
      </c>
      <c r="D7582">
        <v>38180.400000000001</v>
      </c>
      <c r="E7582">
        <v>2.5700000000000001E-2</v>
      </c>
      <c r="F7582">
        <v>9.5100000000000004E-2</v>
      </c>
    </row>
    <row r="7583" spans="1:6" x14ac:dyDescent="0.3">
      <c r="A7583" t="s">
        <v>7618</v>
      </c>
      <c r="B7583" t="s">
        <v>26</v>
      </c>
      <c r="C7583">
        <v>251000</v>
      </c>
      <c r="D7583">
        <v>5735.2</v>
      </c>
      <c r="E7583">
        <v>1.77E-2</v>
      </c>
      <c r="F7583">
        <v>0.1545</v>
      </c>
    </row>
    <row r="7584" spans="1:6" x14ac:dyDescent="0.3">
      <c r="A7584" t="s">
        <v>7619</v>
      </c>
      <c r="B7584" t="s">
        <v>26</v>
      </c>
      <c r="C7584">
        <v>304000</v>
      </c>
      <c r="D7584">
        <v>12971.5</v>
      </c>
      <c r="E7584">
        <v>7.46E-2</v>
      </c>
      <c r="F7584">
        <v>7.5899999999999995E-2</v>
      </c>
    </row>
    <row r="7585" spans="1:6" x14ac:dyDescent="0.3">
      <c r="A7585" t="s">
        <v>7620</v>
      </c>
      <c r="B7585" t="s">
        <v>32</v>
      </c>
      <c r="C7585">
        <v>547000</v>
      </c>
      <c r="D7585">
        <v>203327.1</v>
      </c>
      <c r="E7585">
        <v>2.1100000000000001E-2</v>
      </c>
      <c r="F7585">
        <v>6.7900000000000002E-2</v>
      </c>
    </row>
    <row r="7586" spans="1:6" x14ac:dyDescent="0.3">
      <c r="A7586" t="s">
        <v>7621</v>
      </c>
      <c r="B7586" t="s">
        <v>28</v>
      </c>
      <c r="C7586">
        <v>248000</v>
      </c>
      <c r="D7586">
        <v>119978.1</v>
      </c>
      <c r="E7586">
        <v>2.6200000000000001E-2</v>
      </c>
      <c r="F7586">
        <v>9.5100000000000004E-2</v>
      </c>
    </row>
    <row r="7587" spans="1:6" x14ac:dyDescent="0.3">
      <c r="A7587" t="s">
        <v>7622</v>
      </c>
      <c r="B7587" t="s">
        <v>21</v>
      </c>
      <c r="C7587">
        <v>358000</v>
      </c>
      <c r="D7587">
        <v>22836.5</v>
      </c>
      <c r="E7587">
        <v>8.0799999999999997E-2</v>
      </c>
      <c r="F7587">
        <v>9.3799999999999994E-2</v>
      </c>
    </row>
    <row r="7588" spans="1:6" x14ac:dyDescent="0.3">
      <c r="A7588" t="s">
        <v>7623</v>
      </c>
      <c r="B7588" t="s">
        <v>92</v>
      </c>
      <c r="C7588">
        <v>604000</v>
      </c>
      <c r="D7588">
        <v>66836.100000000006</v>
      </c>
      <c r="E7588">
        <v>1.37E-2</v>
      </c>
      <c r="F7588">
        <v>0.1067</v>
      </c>
    </row>
    <row r="7589" spans="1:6" x14ac:dyDescent="0.3">
      <c r="A7589" t="s">
        <v>7624</v>
      </c>
      <c r="B7589" t="s">
        <v>26</v>
      </c>
      <c r="C7589">
        <v>520000</v>
      </c>
      <c r="D7589">
        <v>144721.9</v>
      </c>
      <c r="E7589">
        <v>2.9399999999999999E-2</v>
      </c>
      <c r="F7589">
        <v>7.5899999999999995E-2</v>
      </c>
    </row>
    <row r="7590" spans="1:6" x14ac:dyDescent="0.3">
      <c r="A7590" t="s">
        <v>7625</v>
      </c>
      <c r="B7590" t="s">
        <v>88</v>
      </c>
      <c r="C7590">
        <v>278000</v>
      </c>
      <c r="D7590">
        <v>2650.9</v>
      </c>
      <c r="E7590">
        <v>2.7099999999999999E-2</v>
      </c>
      <c r="F7590">
        <v>0.11700000000000001</v>
      </c>
    </row>
    <row r="7591" spans="1:6" x14ac:dyDescent="0.3">
      <c r="A7591" t="s">
        <v>7626</v>
      </c>
      <c r="B7591" t="s">
        <v>287</v>
      </c>
      <c r="C7591">
        <v>318000</v>
      </c>
      <c r="D7591">
        <v>2532.8000000000002</v>
      </c>
      <c r="E7591">
        <v>8.5000000000000006E-3</v>
      </c>
      <c r="F7591">
        <v>8.2199999999999995E-2</v>
      </c>
    </row>
    <row r="7592" spans="1:6" x14ac:dyDescent="0.3">
      <c r="A7592" t="s">
        <v>7627</v>
      </c>
      <c r="B7592" t="s">
        <v>26</v>
      </c>
      <c r="C7592">
        <v>261000</v>
      </c>
      <c r="D7592">
        <v>18755.8</v>
      </c>
      <c r="E7592">
        <v>3.5900000000000001E-2</v>
      </c>
      <c r="F7592">
        <v>7.5899999999999995E-2</v>
      </c>
    </row>
    <row r="7593" spans="1:6" x14ac:dyDescent="0.3">
      <c r="A7593" t="s">
        <v>7628</v>
      </c>
      <c r="B7593" t="s">
        <v>88</v>
      </c>
      <c r="C7593">
        <v>399000</v>
      </c>
      <c r="D7593">
        <v>14582.2</v>
      </c>
      <c r="E7593">
        <v>1.26E-2</v>
      </c>
      <c r="F7593">
        <v>8.4900000000000003E-2</v>
      </c>
    </row>
    <row r="7594" spans="1:6" x14ac:dyDescent="0.3">
      <c r="A7594" t="s">
        <v>7629</v>
      </c>
      <c r="B7594" t="s">
        <v>26</v>
      </c>
      <c r="C7594">
        <v>240000</v>
      </c>
      <c r="D7594">
        <v>62786.8</v>
      </c>
      <c r="E7594">
        <v>4.6399999999999997E-2</v>
      </c>
      <c r="F7594">
        <v>9.5100000000000004E-2</v>
      </c>
    </row>
    <row r="7595" spans="1:6" x14ac:dyDescent="0.3">
      <c r="A7595" t="s">
        <v>7630</v>
      </c>
      <c r="B7595" t="s">
        <v>26</v>
      </c>
      <c r="C7595">
        <v>460000</v>
      </c>
      <c r="D7595">
        <v>263375.90000000002</v>
      </c>
      <c r="E7595">
        <v>2.6700000000000002E-2</v>
      </c>
      <c r="F7595">
        <v>4.0899999999999999E-2</v>
      </c>
    </row>
    <row r="7596" spans="1:6" x14ac:dyDescent="0.3">
      <c r="A7596" t="s">
        <v>7631</v>
      </c>
      <c r="B7596" t="s">
        <v>24</v>
      </c>
      <c r="C7596">
        <v>259000</v>
      </c>
      <c r="D7596">
        <v>652.9</v>
      </c>
      <c r="E7596">
        <v>2.1000000000000001E-2</v>
      </c>
      <c r="F7596">
        <v>0.12429999999999999</v>
      </c>
    </row>
    <row r="7597" spans="1:6" x14ac:dyDescent="0.3">
      <c r="A7597" t="s">
        <v>7632</v>
      </c>
      <c r="B7597" t="s">
        <v>71</v>
      </c>
      <c r="C7597">
        <v>239000</v>
      </c>
      <c r="D7597">
        <v>55</v>
      </c>
      <c r="E7597">
        <v>0</v>
      </c>
      <c r="F7597">
        <v>8.2199999999999995E-2</v>
      </c>
    </row>
    <row r="7598" spans="1:6" x14ac:dyDescent="0.3">
      <c r="A7598" t="s">
        <v>7633</v>
      </c>
      <c r="B7598" t="s">
        <v>24</v>
      </c>
      <c r="C7598">
        <v>284000</v>
      </c>
      <c r="D7598">
        <v>6868.7</v>
      </c>
      <c r="E7598">
        <v>3.1099999999999999E-2</v>
      </c>
      <c r="F7598">
        <v>0.11840000000000001</v>
      </c>
    </row>
    <row r="7599" spans="1:6" x14ac:dyDescent="0.3">
      <c r="A7599" t="s">
        <v>7634</v>
      </c>
      <c r="B7599" t="s">
        <v>26</v>
      </c>
      <c r="C7599">
        <v>255000</v>
      </c>
      <c r="D7599">
        <v>9342.1</v>
      </c>
      <c r="F7599">
        <v>7.5899999999999995E-2</v>
      </c>
    </row>
    <row r="7600" spans="1:6" x14ac:dyDescent="0.3">
      <c r="A7600" t="s">
        <v>7635</v>
      </c>
      <c r="B7600" t="s">
        <v>26</v>
      </c>
      <c r="C7600">
        <v>282000</v>
      </c>
      <c r="D7600">
        <v>21410.799999999999</v>
      </c>
      <c r="E7600">
        <v>6.7000000000000004E-2</v>
      </c>
      <c r="F7600">
        <v>7.5899999999999995E-2</v>
      </c>
    </row>
    <row r="7601" spans="1:6" x14ac:dyDescent="0.3">
      <c r="A7601" t="s">
        <v>7636</v>
      </c>
      <c r="B7601" t="s">
        <v>88</v>
      </c>
      <c r="C7601">
        <v>245000</v>
      </c>
      <c r="D7601">
        <v>3254.2</v>
      </c>
      <c r="E7601">
        <v>9.1000000000000004E-3</v>
      </c>
      <c r="F7601">
        <v>6.54E-2</v>
      </c>
    </row>
    <row r="7602" spans="1:6" x14ac:dyDescent="0.3">
      <c r="A7602" t="s">
        <v>7637</v>
      </c>
      <c r="B7602" t="s">
        <v>74</v>
      </c>
      <c r="C7602">
        <v>276000</v>
      </c>
      <c r="D7602">
        <v>4795.8999999999996</v>
      </c>
      <c r="E7602">
        <v>4.9599999999999998E-2</v>
      </c>
      <c r="F7602">
        <v>7.5899999999999995E-2</v>
      </c>
    </row>
    <row r="7603" spans="1:6" x14ac:dyDescent="0.3">
      <c r="A7603" t="s">
        <v>7638</v>
      </c>
      <c r="B7603" t="s">
        <v>490</v>
      </c>
      <c r="C7603">
        <v>256000</v>
      </c>
      <c r="D7603">
        <v>3782.1</v>
      </c>
      <c r="E7603">
        <v>6.7000000000000002E-3</v>
      </c>
      <c r="F7603">
        <v>8.1100000000000005E-2</v>
      </c>
    </row>
    <row r="7604" spans="1:6" x14ac:dyDescent="0.3">
      <c r="A7604" t="s">
        <v>7639</v>
      </c>
      <c r="B7604" t="s">
        <v>26</v>
      </c>
      <c r="C7604">
        <v>278000</v>
      </c>
      <c r="D7604">
        <v>33467.599999999999</v>
      </c>
      <c r="E7604">
        <v>2.1499999999999998E-2</v>
      </c>
      <c r="F7604">
        <v>4.0899999999999999E-2</v>
      </c>
    </row>
    <row r="7605" spans="1:6" x14ac:dyDescent="0.3">
      <c r="A7605" t="s">
        <v>7640</v>
      </c>
      <c r="B7605" t="s">
        <v>41</v>
      </c>
      <c r="C7605">
        <v>261000</v>
      </c>
      <c r="D7605">
        <v>7526.3</v>
      </c>
      <c r="E7605">
        <v>9.1899999999999996E-2</v>
      </c>
      <c r="F7605">
        <v>7.5899999999999995E-2</v>
      </c>
    </row>
    <row r="7606" spans="1:6" x14ac:dyDescent="0.3">
      <c r="A7606" t="s">
        <v>7641</v>
      </c>
      <c r="B7606" t="s">
        <v>26</v>
      </c>
      <c r="C7606">
        <v>529000</v>
      </c>
      <c r="D7606">
        <v>622125.6</v>
      </c>
      <c r="F7606">
        <v>4.0899999999999999E-2</v>
      </c>
    </row>
    <row r="7607" spans="1:6" x14ac:dyDescent="0.3">
      <c r="A7607" t="s">
        <v>7642</v>
      </c>
      <c r="B7607" t="s">
        <v>24</v>
      </c>
      <c r="C7607">
        <v>274000</v>
      </c>
      <c r="D7607">
        <v>24280.9</v>
      </c>
      <c r="E7607">
        <v>4.1500000000000002E-2</v>
      </c>
      <c r="F7607">
        <v>0.11700000000000001</v>
      </c>
    </row>
    <row r="7608" spans="1:6" x14ac:dyDescent="0.3">
      <c r="A7608" t="s">
        <v>7643</v>
      </c>
      <c r="B7608" t="s">
        <v>214</v>
      </c>
      <c r="C7608">
        <v>280000</v>
      </c>
      <c r="D7608">
        <v>16485.8</v>
      </c>
      <c r="E7608">
        <v>3.7600000000000001E-2</v>
      </c>
      <c r="F7608">
        <v>9.5100000000000004E-2</v>
      </c>
    </row>
    <row r="7609" spans="1:6" x14ac:dyDescent="0.3">
      <c r="A7609" t="s">
        <v>7644</v>
      </c>
      <c r="B7609" t="s">
        <v>41</v>
      </c>
      <c r="C7609">
        <v>249000</v>
      </c>
      <c r="D7609">
        <v>2833.5</v>
      </c>
      <c r="E7609">
        <v>2.0199999999999999E-2</v>
      </c>
      <c r="F7609">
        <v>9.5000000000000001E-2</v>
      </c>
    </row>
    <row r="7610" spans="1:6" x14ac:dyDescent="0.3">
      <c r="A7610" t="s">
        <v>7645</v>
      </c>
      <c r="B7610" t="s">
        <v>71</v>
      </c>
      <c r="C7610">
        <v>278000</v>
      </c>
      <c r="D7610">
        <v>24456.799999999999</v>
      </c>
      <c r="E7610">
        <v>1.29E-2</v>
      </c>
      <c r="F7610">
        <v>0.1067</v>
      </c>
    </row>
    <row r="7611" spans="1:6" x14ac:dyDescent="0.3">
      <c r="A7611" t="s">
        <v>7646</v>
      </c>
      <c r="B7611" t="s">
        <v>26</v>
      </c>
      <c r="C7611">
        <v>366000</v>
      </c>
      <c r="D7611">
        <v>70554.7</v>
      </c>
      <c r="E7611">
        <v>3.2599999999999997E-2</v>
      </c>
      <c r="F7611">
        <v>5.1799999999999999E-2</v>
      </c>
    </row>
    <row r="7612" spans="1:6" x14ac:dyDescent="0.3">
      <c r="A7612" t="s">
        <v>7647</v>
      </c>
      <c r="B7612" t="s">
        <v>74</v>
      </c>
      <c r="C7612">
        <v>261000</v>
      </c>
      <c r="D7612">
        <v>39052.9</v>
      </c>
      <c r="E7612">
        <v>2.1600000000000001E-2</v>
      </c>
      <c r="F7612">
        <v>9.5100000000000004E-2</v>
      </c>
    </row>
    <row r="7613" spans="1:6" x14ac:dyDescent="0.3">
      <c r="A7613" t="s">
        <v>7648</v>
      </c>
      <c r="B7613" t="s">
        <v>62</v>
      </c>
      <c r="C7613">
        <v>252000</v>
      </c>
      <c r="D7613">
        <v>10732.2</v>
      </c>
      <c r="E7613">
        <v>1.01E-2</v>
      </c>
      <c r="F7613">
        <v>8.2199999999999995E-2</v>
      </c>
    </row>
    <row r="7614" spans="1:6" x14ac:dyDescent="0.3">
      <c r="A7614" t="s">
        <v>7649</v>
      </c>
      <c r="B7614" t="s">
        <v>26</v>
      </c>
      <c r="C7614">
        <v>295000</v>
      </c>
      <c r="D7614">
        <v>3131.5</v>
      </c>
      <c r="E7614">
        <v>1.67E-2</v>
      </c>
      <c r="F7614">
        <v>4.8800000000000003E-2</v>
      </c>
    </row>
    <row r="7615" spans="1:6" x14ac:dyDescent="0.3">
      <c r="A7615" t="s">
        <v>7650</v>
      </c>
      <c r="B7615" t="s">
        <v>490</v>
      </c>
      <c r="C7615">
        <v>340000</v>
      </c>
      <c r="D7615">
        <v>611.79999999999995</v>
      </c>
      <c r="E7615">
        <v>4.07E-2</v>
      </c>
      <c r="F7615">
        <v>5.0999999999999997E-2</v>
      </c>
    </row>
    <row r="7616" spans="1:6" x14ac:dyDescent="0.3">
      <c r="A7616" t="s">
        <v>7651</v>
      </c>
      <c r="B7616" t="s">
        <v>24</v>
      </c>
      <c r="C7616">
        <v>245000</v>
      </c>
      <c r="D7616">
        <v>173906.1</v>
      </c>
      <c r="E7616">
        <v>2.7699999999999999E-2</v>
      </c>
      <c r="F7616">
        <v>9.5100000000000004E-2</v>
      </c>
    </row>
    <row r="7617" spans="1:6" x14ac:dyDescent="0.3">
      <c r="A7617" t="s">
        <v>7652</v>
      </c>
      <c r="B7617" t="s">
        <v>214</v>
      </c>
      <c r="C7617">
        <v>264000</v>
      </c>
      <c r="D7617">
        <v>2076.9</v>
      </c>
      <c r="E7617">
        <v>7.7000000000000002E-3</v>
      </c>
      <c r="F7617">
        <v>7.2999999999999995E-2</v>
      </c>
    </row>
    <row r="7618" spans="1:6" x14ac:dyDescent="0.3">
      <c r="A7618" t="s">
        <v>7653</v>
      </c>
      <c r="B7618" t="s">
        <v>50</v>
      </c>
      <c r="C7618">
        <v>272000</v>
      </c>
      <c r="D7618">
        <v>49975.7</v>
      </c>
      <c r="E7618">
        <v>2.53E-2</v>
      </c>
      <c r="F7618">
        <v>9.5100000000000004E-2</v>
      </c>
    </row>
    <row r="7619" spans="1:6" x14ac:dyDescent="0.3">
      <c r="A7619" t="s">
        <v>7654</v>
      </c>
      <c r="B7619" t="s">
        <v>195</v>
      </c>
      <c r="C7619">
        <v>298000</v>
      </c>
      <c r="D7619">
        <v>7881.9</v>
      </c>
      <c r="E7619">
        <v>1.4200000000000001E-2</v>
      </c>
      <c r="F7619">
        <v>0.13270000000000001</v>
      </c>
    </row>
    <row r="7620" spans="1:6" x14ac:dyDescent="0.3">
      <c r="A7620" t="s">
        <v>7655</v>
      </c>
      <c r="B7620" t="s">
        <v>214</v>
      </c>
      <c r="C7620">
        <v>325000</v>
      </c>
      <c r="D7620">
        <v>4433.2</v>
      </c>
      <c r="E7620">
        <v>3.8699999999999998E-2</v>
      </c>
      <c r="F7620">
        <v>9.5100000000000004E-2</v>
      </c>
    </row>
    <row r="7621" spans="1:6" x14ac:dyDescent="0.3">
      <c r="A7621" t="s">
        <v>7656</v>
      </c>
      <c r="B7621" t="s">
        <v>490</v>
      </c>
      <c r="C7621">
        <v>279000</v>
      </c>
      <c r="D7621">
        <v>1447.6</v>
      </c>
      <c r="E7621">
        <v>2.0899999999999998E-2</v>
      </c>
      <c r="F7621">
        <v>4.6199999999999998E-2</v>
      </c>
    </row>
    <row r="7622" spans="1:6" x14ac:dyDescent="0.3">
      <c r="A7622" t="s">
        <v>7657</v>
      </c>
      <c r="B7622" t="s">
        <v>88</v>
      </c>
      <c r="C7622">
        <v>250000</v>
      </c>
      <c r="D7622">
        <v>10972.6</v>
      </c>
      <c r="E7622">
        <v>3.2000000000000002E-3</v>
      </c>
      <c r="F7622">
        <v>6.54E-2</v>
      </c>
    </row>
    <row r="7623" spans="1:6" x14ac:dyDescent="0.3">
      <c r="A7623" t="s">
        <v>7658</v>
      </c>
      <c r="B7623" t="s">
        <v>214</v>
      </c>
      <c r="C7623">
        <v>280000</v>
      </c>
      <c r="D7623">
        <v>793.1</v>
      </c>
      <c r="E7623">
        <v>4.3299999999999998E-2</v>
      </c>
      <c r="F7623">
        <v>7.5899999999999995E-2</v>
      </c>
    </row>
    <row r="7624" spans="1:6" x14ac:dyDescent="0.3">
      <c r="A7624" t="s">
        <v>7659</v>
      </c>
      <c r="B7624" t="s">
        <v>88</v>
      </c>
      <c r="C7624">
        <v>407000</v>
      </c>
      <c r="D7624">
        <v>27982.6</v>
      </c>
      <c r="E7624">
        <v>3.9100000000000003E-2</v>
      </c>
      <c r="F7624">
        <v>7.5899999999999995E-2</v>
      </c>
    </row>
    <row r="7625" spans="1:6" x14ac:dyDescent="0.3">
      <c r="A7625" t="s">
        <v>7660</v>
      </c>
      <c r="B7625" t="s">
        <v>195</v>
      </c>
      <c r="C7625">
        <v>277000</v>
      </c>
      <c r="D7625">
        <v>3612.2</v>
      </c>
      <c r="E7625">
        <v>8.6999999999999994E-3</v>
      </c>
      <c r="F7625">
        <v>6.54E-2</v>
      </c>
    </row>
    <row r="7626" spans="1:6" x14ac:dyDescent="0.3">
      <c r="A7626" t="s">
        <v>7661</v>
      </c>
      <c r="B7626" t="s">
        <v>214</v>
      </c>
      <c r="C7626">
        <v>261000</v>
      </c>
      <c r="D7626">
        <v>1594.5</v>
      </c>
      <c r="E7626">
        <v>3.95E-2</v>
      </c>
      <c r="F7626">
        <v>7.5899999999999995E-2</v>
      </c>
    </row>
    <row r="7627" spans="1:6" x14ac:dyDescent="0.3">
      <c r="A7627" t="s">
        <v>7662</v>
      </c>
      <c r="B7627" t="s">
        <v>26</v>
      </c>
      <c r="C7627">
        <v>266000</v>
      </c>
      <c r="D7627">
        <v>21557.3</v>
      </c>
      <c r="E7627">
        <v>6.6E-3</v>
      </c>
      <c r="F7627">
        <v>8.2199999999999995E-2</v>
      </c>
    </row>
    <row r="7628" spans="1:6" x14ac:dyDescent="0.3">
      <c r="A7628" t="s">
        <v>7663</v>
      </c>
      <c r="B7628" t="s">
        <v>81</v>
      </c>
      <c r="C7628">
        <v>248000</v>
      </c>
      <c r="D7628">
        <v>587.5</v>
      </c>
      <c r="E7628">
        <v>2.1700000000000001E-2</v>
      </c>
      <c r="F7628">
        <v>7.3499999999999996E-2</v>
      </c>
    </row>
    <row r="7629" spans="1:6" x14ac:dyDescent="0.3">
      <c r="A7629" t="s">
        <v>7664</v>
      </c>
      <c r="B7629" t="s">
        <v>26</v>
      </c>
      <c r="C7629">
        <v>391000</v>
      </c>
      <c r="D7629">
        <v>10138.799999999999</v>
      </c>
      <c r="E7629">
        <v>5.4999999999999997E-3</v>
      </c>
      <c r="F7629">
        <v>6.54E-2</v>
      </c>
    </row>
    <row r="7630" spans="1:6" x14ac:dyDescent="0.3">
      <c r="A7630" t="s">
        <v>7665</v>
      </c>
      <c r="B7630" t="s">
        <v>26</v>
      </c>
      <c r="C7630">
        <v>246000</v>
      </c>
      <c r="D7630">
        <v>8493.5</v>
      </c>
      <c r="E7630">
        <v>3.27E-2</v>
      </c>
      <c r="F7630">
        <v>9.5100000000000004E-2</v>
      </c>
    </row>
    <row r="7631" spans="1:6" x14ac:dyDescent="0.3">
      <c r="A7631" t="s">
        <v>7666</v>
      </c>
      <c r="B7631" t="s">
        <v>50</v>
      </c>
      <c r="C7631">
        <v>275000</v>
      </c>
      <c r="D7631">
        <v>4421.3999999999996</v>
      </c>
      <c r="E7631">
        <v>7.0199999999999999E-2</v>
      </c>
      <c r="F7631">
        <v>9.3799999999999994E-2</v>
      </c>
    </row>
    <row r="7632" spans="1:6" x14ac:dyDescent="0.3">
      <c r="A7632" t="s">
        <v>7667</v>
      </c>
      <c r="B7632" t="s">
        <v>88</v>
      </c>
      <c r="C7632">
        <v>301000</v>
      </c>
      <c r="D7632">
        <v>42892.9</v>
      </c>
      <c r="E7632">
        <v>3.2099999999999997E-2</v>
      </c>
      <c r="F7632">
        <v>9.5100000000000004E-2</v>
      </c>
    </row>
    <row r="7633" spans="1:6" x14ac:dyDescent="0.3">
      <c r="A7633" t="s">
        <v>7668</v>
      </c>
      <c r="B7633" t="s">
        <v>41</v>
      </c>
      <c r="C7633">
        <v>256000</v>
      </c>
      <c r="D7633">
        <v>2170.6999999999998</v>
      </c>
      <c r="E7633">
        <v>5.3499999999999999E-2</v>
      </c>
      <c r="F7633">
        <v>0.1241</v>
      </c>
    </row>
    <row r="7634" spans="1:6" x14ac:dyDescent="0.3">
      <c r="A7634" t="s">
        <v>7669</v>
      </c>
      <c r="B7634" t="s">
        <v>490</v>
      </c>
      <c r="C7634">
        <v>339000</v>
      </c>
      <c r="D7634">
        <v>16921.599999999999</v>
      </c>
      <c r="E7634">
        <v>1.3899999999999999E-2</v>
      </c>
      <c r="F7634">
        <v>4.6199999999999998E-2</v>
      </c>
    </row>
    <row r="7635" spans="1:6" x14ac:dyDescent="0.3">
      <c r="A7635" t="s">
        <v>7670</v>
      </c>
      <c r="B7635" t="s">
        <v>81</v>
      </c>
      <c r="C7635">
        <v>297000</v>
      </c>
      <c r="D7635">
        <v>1368.3</v>
      </c>
      <c r="E7635">
        <v>3.2899999999999999E-2</v>
      </c>
      <c r="F7635">
        <v>0.1241</v>
      </c>
    </row>
    <row r="7636" spans="1:6" x14ac:dyDescent="0.3">
      <c r="A7636" t="s">
        <v>7671</v>
      </c>
      <c r="B7636" t="s">
        <v>214</v>
      </c>
      <c r="C7636">
        <v>839000</v>
      </c>
      <c r="D7636">
        <v>210109.7</v>
      </c>
      <c r="E7636">
        <v>1.47E-2</v>
      </c>
      <c r="F7636">
        <v>0.1067</v>
      </c>
    </row>
    <row r="7637" spans="1:6" x14ac:dyDescent="0.3">
      <c r="A7637" t="s">
        <v>7672</v>
      </c>
      <c r="B7637" t="s">
        <v>26</v>
      </c>
      <c r="C7637">
        <v>346000</v>
      </c>
      <c r="D7637">
        <v>1385.1</v>
      </c>
      <c r="E7637">
        <v>0.10580000000000001</v>
      </c>
      <c r="F7637">
        <v>7.5899999999999995E-2</v>
      </c>
    </row>
    <row r="7638" spans="1:6" x14ac:dyDescent="0.3">
      <c r="A7638" t="s">
        <v>7673</v>
      </c>
      <c r="B7638" t="s">
        <v>26</v>
      </c>
      <c r="C7638">
        <v>256000</v>
      </c>
      <c r="D7638">
        <v>2342</v>
      </c>
      <c r="E7638">
        <v>6.2100000000000002E-2</v>
      </c>
      <c r="F7638">
        <v>7.5899999999999995E-2</v>
      </c>
    </row>
    <row r="7639" spans="1:6" x14ac:dyDescent="0.3">
      <c r="A7639" t="s">
        <v>7674</v>
      </c>
      <c r="B7639" t="s">
        <v>21</v>
      </c>
      <c r="C7639">
        <v>414000</v>
      </c>
      <c r="D7639">
        <v>3394.8</v>
      </c>
      <c r="E7639">
        <v>8.8999999999999999E-3</v>
      </c>
      <c r="F7639">
        <v>8.1100000000000005E-2</v>
      </c>
    </row>
    <row r="7640" spans="1:6" x14ac:dyDescent="0.3">
      <c r="A7640" t="s">
        <v>7675</v>
      </c>
      <c r="B7640" t="s">
        <v>88</v>
      </c>
      <c r="C7640">
        <v>246000</v>
      </c>
      <c r="D7640">
        <v>6516.9</v>
      </c>
      <c r="E7640">
        <v>2.3800000000000002E-2</v>
      </c>
      <c r="F7640">
        <v>0.11700000000000001</v>
      </c>
    </row>
    <row r="7641" spans="1:6" x14ac:dyDescent="0.3">
      <c r="A7641" t="s">
        <v>7676</v>
      </c>
      <c r="B7641" t="s">
        <v>92</v>
      </c>
      <c r="C7641">
        <v>319000</v>
      </c>
      <c r="D7641">
        <v>47828.800000000003</v>
      </c>
      <c r="E7641">
        <v>2.92E-2</v>
      </c>
      <c r="F7641">
        <v>4.0899999999999999E-2</v>
      </c>
    </row>
    <row r="7642" spans="1:6" x14ac:dyDescent="0.3">
      <c r="A7642" t="s">
        <v>7677</v>
      </c>
      <c r="B7642" t="s">
        <v>26</v>
      </c>
      <c r="C7642">
        <v>231000</v>
      </c>
      <c r="D7642">
        <v>5410.3</v>
      </c>
      <c r="E7642">
        <v>8.4599999999999995E-2</v>
      </c>
      <c r="F7642">
        <v>7.5899999999999995E-2</v>
      </c>
    </row>
    <row r="7643" spans="1:6" x14ac:dyDescent="0.3">
      <c r="A7643" t="s">
        <v>7678</v>
      </c>
      <c r="B7643" t="s">
        <v>92</v>
      </c>
      <c r="C7643">
        <v>243000</v>
      </c>
      <c r="D7643">
        <v>1404.8</v>
      </c>
      <c r="E7643">
        <v>1.17E-2</v>
      </c>
      <c r="F7643">
        <v>7.3599999999999999E-2</v>
      </c>
    </row>
    <row r="7644" spans="1:6" x14ac:dyDescent="0.3">
      <c r="A7644" t="s">
        <v>7679</v>
      </c>
      <c r="B7644" t="s">
        <v>26</v>
      </c>
      <c r="C7644">
        <v>351000</v>
      </c>
      <c r="D7644">
        <v>2798.8</v>
      </c>
      <c r="E7644">
        <v>4.3299999999999998E-2</v>
      </c>
      <c r="F7644">
        <v>4.0899999999999999E-2</v>
      </c>
    </row>
    <row r="7645" spans="1:6" x14ac:dyDescent="0.3">
      <c r="A7645" t="s">
        <v>7680</v>
      </c>
      <c r="B7645" t="s">
        <v>41</v>
      </c>
      <c r="C7645">
        <v>473000</v>
      </c>
      <c r="D7645">
        <v>109825.60000000001</v>
      </c>
      <c r="E7645">
        <v>4.6399999999999997E-2</v>
      </c>
      <c r="F7645">
        <v>4.0899999999999999E-2</v>
      </c>
    </row>
    <row r="7646" spans="1:6" x14ac:dyDescent="0.3">
      <c r="A7646" t="s">
        <v>7681</v>
      </c>
      <c r="B7646" t="s">
        <v>26</v>
      </c>
      <c r="C7646">
        <v>422000</v>
      </c>
      <c r="D7646">
        <v>1884.1</v>
      </c>
      <c r="F7646">
        <v>9.3799999999999994E-2</v>
      </c>
    </row>
    <row r="7647" spans="1:6" x14ac:dyDescent="0.3">
      <c r="A7647" t="s">
        <v>7682</v>
      </c>
      <c r="B7647" t="s">
        <v>26</v>
      </c>
      <c r="C7647">
        <v>250000</v>
      </c>
      <c r="D7647">
        <v>7729.2</v>
      </c>
      <c r="E7647">
        <v>4.07E-2</v>
      </c>
      <c r="F7647">
        <v>9.3799999999999994E-2</v>
      </c>
    </row>
    <row r="7648" spans="1:6" x14ac:dyDescent="0.3">
      <c r="A7648" t="s">
        <v>7683</v>
      </c>
      <c r="B7648" t="s">
        <v>92</v>
      </c>
      <c r="C7648">
        <v>259000</v>
      </c>
      <c r="D7648">
        <v>4559</v>
      </c>
      <c r="F7648">
        <v>4.0899999999999999E-2</v>
      </c>
    </row>
    <row r="7649" spans="1:6" x14ac:dyDescent="0.3">
      <c r="A7649" t="s">
        <v>7684</v>
      </c>
      <c r="B7649" t="s">
        <v>53</v>
      </c>
      <c r="C7649">
        <v>247000</v>
      </c>
      <c r="D7649">
        <v>4474</v>
      </c>
      <c r="E7649">
        <v>6.3E-3</v>
      </c>
      <c r="F7649">
        <v>8.2199999999999995E-2</v>
      </c>
    </row>
    <row r="7650" spans="1:6" x14ac:dyDescent="0.3">
      <c r="A7650" t="s">
        <v>7685</v>
      </c>
      <c r="B7650" t="s">
        <v>88</v>
      </c>
      <c r="C7650">
        <v>628000</v>
      </c>
      <c r="D7650">
        <v>8545.2999999999993</v>
      </c>
      <c r="E7650">
        <v>6.4000000000000001E-2</v>
      </c>
      <c r="F7650">
        <v>9.3799999999999994E-2</v>
      </c>
    </row>
    <row r="7651" spans="1:6" x14ac:dyDescent="0.3">
      <c r="A7651" t="s">
        <v>7686</v>
      </c>
      <c r="B7651" t="s">
        <v>81</v>
      </c>
      <c r="C7651">
        <v>296000</v>
      </c>
      <c r="D7651">
        <v>13340.2</v>
      </c>
      <c r="E7651">
        <v>2.9700000000000001E-2</v>
      </c>
      <c r="F7651">
        <v>7.5899999999999995E-2</v>
      </c>
    </row>
    <row r="7652" spans="1:6" x14ac:dyDescent="0.3">
      <c r="A7652" t="s">
        <v>7687</v>
      </c>
      <c r="B7652" t="s">
        <v>88</v>
      </c>
      <c r="C7652">
        <v>306000</v>
      </c>
      <c r="D7652">
        <v>590</v>
      </c>
      <c r="E7652">
        <v>1.47E-2</v>
      </c>
      <c r="F7652">
        <v>0.1119</v>
      </c>
    </row>
    <row r="7653" spans="1:6" x14ac:dyDescent="0.3">
      <c r="A7653" t="s">
        <v>7688</v>
      </c>
      <c r="B7653" t="s">
        <v>26</v>
      </c>
      <c r="C7653">
        <v>471000</v>
      </c>
      <c r="D7653">
        <v>164886.20000000001</v>
      </c>
      <c r="E7653">
        <v>3.2399999999999998E-2</v>
      </c>
      <c r="F7653">
        <v>7.5899999999999995E-2</v>
      </c>
    </row>
    <row r="7654" spans="1:6" x14ac:dyDescent="0.3">
      <c r="A7654" t="s">
        <v>7689</v>
      </c>
      <c r="B7654" t="s">
        <v>24</v>
      </c>
      <c r="C7654">
        <v>310000</v>
      </c>
      <c r="D7654">
        <v>480.3</v>
      </c>
      <c r="E7654">
        <v>0.13109999999999999</v>
      </c>
      <c r="F7654">
        <v>9.3799999999999994E-2</v>
      </c>
    </row>
    <row r="7655" spans="1:6" x14ac:dyDescent="0.3">
      <c r="A7655" t="s">
        <v>7690</v>
      </c>
      <c r="B7655" t="s">
        <v>195</v>
      </c>
      <c r="C7655">
        <v>364000</v>
      </c>
      <c r="D7655">
        <v>16176</v>
      </c>
      <c r="E7655">
        <v>2.35E-2</v>
      </c>
      <c r="F7655">
        <v>7.5899999999999995E-2</v>
      </c>
    </row>
    <row r="7656" spans="1:6" x14ac:dyDescent="0.3">
      <c r="A7656" t="s">
        <v>7691</v>
      </c>
      <c r="B7656" t="s">
        <v>214</v>
      </c>
      <c r="C7656">
        <v>243000</v>
      </c>
      <c r="D7656">
        <v>315.7</v>
      </c>
      <c r="E7656">
        <v>3.0499999999999999E-2</v>
      </c>
      <c r="F7656">
        <v>9.5100000000000004E-2</v>
      </c>
    </row>
    <row r="7657" spans="1:6" x14ac:dyDescent="0.3">
      <c r="A7657" t="s">
        <v>7692</v>
      </c>
      <c r="B7657" t="s">
        <v>74</v>
      </c>
      <c r="C7657">
        <v>424000</v>
      </c>
      <c r="D7657">
        <v>23608.2</v>
      </c>
      <c r="E7657">
        <v>1.7000000000000001E-2</v>
      </c>
      <c r="F7657">
        <v>4.8800000000000003E-2</v>
      </c>
    </row>
    <row r="7658" spans="1:6" x14ac:dyDescent="0.3">
      <c r="A7658" t="s">
        <v>7693</v>
      </c>
      <c r="B7658" t="s">
        <v>81</v>
      </c>
      <c r="C7658">
        <v>559000</v>
      </c>
      <c r="D7658">
        <v>8952.6</v>
      </c>
      <c r="E7658">
        <v>4.65E-2</v>
      </c>
      <c r="F7658">
        <v>9.3799999999999994E-2</v>
      </c>
    </row>
    <row r="7659" spans="1:6" x14ac:dyDescent="0.3">
      <c r="A7659" t="s">
        <v>7694</v>
      </c>
      <c r="B7659" t="s">
        <v>26</v>
      </c>
      <c r="C7659">
        <v>249000</v>
      </c>
      <c r="D7659">
        <v>2484.1</v>
      </c>
      <c r="E7659">
        <v>1.78E-2</v>
      </c>
      <c r="F7659">
        <v>0.13830000000000001</v>
      </c>
    </row>
    <row r="7660" spans="1:6" x14ac:dyDescent="0.3">
      <c r="A7660" t="s">
        <v>7695</v>
      </c>
      <c r="B7660" t="s">
        <v>195</v>
      </c>
      <c r="C7660">
        <v>303000</v>
      </c>
      <c r="D7660">
        <v>2175.6999999999998</v>
      </c>
      <c r="E7660">
        <v>1.44E-2</v>
      </c>
      <c r="F7660">
        <v>4.6199999999999998E-2</v>
      </c>
    </row>
    <row r="7661" spans="1:6" x14ac:dyDescent="0.3">
      <c r="A7661" t="s">
        <v>7696</v>
      </c>
      <c r="B7661" t="s">
        <v>26</v>
      </c>
      <c r="C7661">
        <v>274000</v>
      </c>
      <c r="D7661">
        <v>316228.7</v>
      </c>
      <c r="E7661">
        <v>4.5100000000000001E-2</v>
      </c>
      <c r="F7661">
        <v>9.5100000000000004E-2</v>
      </c>
    </row>
    <row r="7662" spans="1:6" x14ac:dyDescent="0.3">
      <c r="A7662" t="s">
        <v>7697</v>
      </c>
      <c r="B7662" t="s">
        <v>26</v>
      </c>
      <c r="C7662">
        <v>485000</v>
      </c>
      <c r="D7662">
        <v>9336.4</v>
      </c>
      <c r="E7662">
        <v>7.4000000000000003E-3</v>
      </c>
      <c r="F7662">
        <v>8.1100000000000005E-2</v>
      </c>
    </row>
    <row r="7663" spans="1:6" x14ac:dyDescent="0.3">
      <c r="A7663" t="s">
        <v>7698</v>
      </c>
      <c r="B7663" t="s">
        <v>26</v>
      </c>
      <c r="C7663">
        <v>244000</v>
      </c>
      <c r="D7663">
        <v>271.7</v>
      </c>
      <c r="E7663">
        <v>2.0999999999999999E-3</v>
      </c>
      <c r="F7663">
        <v>0.1113</v>
      </c>
    </row>
    <row r="7664" spans="1:6" x14ac:dyDescent="0.3">
      <c r="A7664" t="s">
        <v>7699</v>
      </c>
      <c r="B7664" t="s">
        <v>24</v>
      </c>
      <c r="C7664">
        <v>279000</v>
      </c>
      <c r="D7664">
        <v>9118</v>
      </c>
      <c r="E7664">
        <v>3.1300000000000001E-2</v>
      </c>
      <c r="F7664">
        <v>7.5899999999999995E-2</v>
      </c>
    </row>
    <row r="7665" spans="1:6" x14ac:dyDescent="0.3">
      <c r="A7665" t="s">
        <v>7700</v>
      </c>
      <c r="B7665" t="s">
        <v>26</v>
      </c>
      <c r="C7665">
        <v>245000</v>
      </c>
      <c r="F7665">
        <v>7.5899999999999995E-2</v>
      </c>
    </row>
    <row r="7666" spans="1:6" x14ac:dyDescent="0.3">
      <c r="A7666" t="s">
        <v>7701</v>
      </c>
      <c r="B7666" t="s">
        <v>50</v>
      </c>
      <c r="C7666">
        <v>243000</v>
      </c>
      <c r="D7666">
        <v>1311.9</v>
      </c>
      <c r="E7666">
        <v>8.4400000000000003E-2</v>
      </c>
      <c r="F7666">
        <v>9.5100000000000004E-2</v>
      </c>
    </row>
    <row r="7667" spans="1:6" x14ac:dyDescent="0.3">
      <c r="A7667" t="s">
        <v>7702</v>
      </c>
      <c r="B7667" t="s">
        <v>214</v>
      </c>
      <c r="C7667">
        <v>409000</v>
      </c>
      <c r="D7667">
        <v>19892.5</v>
      </c>
      <c r="E7667">
        <v>3.6499999999999998E-2</v>
      </c>
      <c r="F7667">
        <v>7.5899999999999995E-2</v>
      </c>
    </row>
    <row r="7668" spans="1:6" x14ac:dyDescent="0.3">
      <c r="A7668" t="s">
        <v>7703</v>
      </c>
      <c r="B7668" t="s">
        <v>41</v>
      </c>
      <c r="C7668">
        <v>422000</v>
      </c>
      <c r="D7668">
        <v>10132.9</v>
      </c>
      <c r="E7668">
        <v>1.9400000000000001E-2</v>
      </c>
      <c r="F7668">
        <v>0.1053</v>
      </c>
    </row>
    <row r="7669" spans="1:6" x14ac:dyDescent="0.3">
      <c r="A7669" t="s">
        <v>7704</v>
      </c>
      <c r="B7669" t="s">
        <v>81</v>
      </c>
      <c r="C7669">
        <v>253000</v>
      </c>
      <c r="D7669">
        <v>6253.1</v>
      </c>
      <c r="E7669">
        <v>2.2700000000000001E-2</v>
      </c>
      <c r="F7669">
        <v>7.5899999999999995E-2</v>
      </c>
    </row>
    <row r="7670" spans="1:6" x14ac:dyDescent="0.3">
      <c r="A7670" t="s">
        <v>7705</v>
      </c>
      <c r="B7670" t="s">
        <v>50</v>
      </c>
      <c r="C7670">
        <v>248000</v>
      </c>
      <c r="D7670">
        <v>1148.2</v>
      </c>
      <c r="E7670">
        <v>5.4899999999999997E-2</v>
      </c>
      <c r="F7670">
        <v>7.5899999999999995E-2</v>
      </c>
    </row>
    <row r="7671" spans="1:6" x14ac:dyDescent="0.3">
      <c r="A7671" t="s">
        <v>7706</v>
      </c>
      <c r="B7671" t="s">
        <v>26</v>
      </c>
      <c r="C7671">
        <v>334000</v>
      </c>
      <c r="D7671">
        <v>216192.8</v>
      </c>
      <c r="E7671">
        <v>1.77E-2</v>
      </c>
      <c r="F7671">
        <v>5.8900000000000001E-2</v>
      </c>
    </row>
    <row r="7672" spans="1:6" x14ac:dyDescent="0.3">
      <c r="A7672" t="s">
        <v>7707</v>
      </c>
      <c r="B7672" t="s">
        <v>287</v>
      </c>
      <c r="C7672">
        <v>248000</v>
      </c>
      <c r="D7672">
        <v>132.5</v>
      </c>
      <c r="E7672">
        <v>3.0800000000000001E-2</v>
      </c>
      <c r="F7672">
        <v>5.4600000000000003E-2</v>
      </c>
    </row>
    <row r="7673" spans="1:6" x14ac:dyDescent="0.3">
      <c r="A7673" t="s">
        <v>7708</v>
      </c>
      <c r="B7673" t="s">
        <v>88</v>
      </c>
      <c r="C7673">
        <v>290000</v>
      </c>
      <c r="D7673">
        <v>2182.1999999999998</v>
      </c>
      <c r="E7673">
        <v>2.5700000000000001E-2</v>
      </c>
      <c r="F7673">
        <v>0.1226</v>
      </c>
    </row>
    <row r="7674" spans="1:6" x14ac:dyDescent="0.3">
      <c r="A7674" t="s">
        <v>7709</v>
      </c>
      <c r="B7674" t="s">
        <v>287</v>
      </c>
      <c r="C7674">
        <v>247000</v>
      </c>
      <c r="D7674">
        <v>7694.1</v>
      </c>
      <c r="E7674">
        <v>1.52E-2</v>
      </c>
      <c r="F7674">
        <v>0.1067</v>
      </c>
    </row>
    <row r="7675" spans="1:6" x14ac:dyDescent="0.3">
      <c r="A7675" t="s">
        <v>7710</v>
      </c>
      <c r="B7675" t="s">
        <v>92</v>
      </c>
      <c r="C7675">
        <v>310000</v>
      </c>
      <c r="D7675">
        <v>9428.2999999999993</v>
      </c>
      <c r="E7675">
        <v>2.2800000000000001E-2</v>
      </c>
      <c r="F7675">
        <v>9.5100000000000004E-2</v>
      </c>
    </row>
    <row r="7676" spans="1:6" x14ac:dyDescent="0.3">
      <c r="A7676" t="s">
        <v>7711</v>
      </c>
      <c r="B7676" t="s">
        <v>26</v>
      </c>
      <c r="C7676">
        <v>261000</v>
      </c>
      <c r="D7676">
        <v>54194.3</v>
      </c>
      <c r="E7676">
        <v>2.5100000000000001E-2</v>
      </c>
      <c r="F7676">
        <v>5.4600000000000003E-2</v>
      </c>
    </row>
    <row r="7677" spans="1:6" x14ac:dyDescent="0.3">
      <c r="A7677" t="s">
        <v>7712</v>
      </c>
      <c r="B7677" t="s">
        <v>24</v>
      </c>
      <c r="C7677">
        <v>255000</v>
      </c>
      <c r="D7677">
        <v>871.2</v>
      </c>
      <c r="E7677">
        <v>2.3800000000000002E-2</v>
      </c>
      <c r="F7677">
        <v>9.5100000000000004E-2</v>
      </c>
    </row>
    <row r="7678" spans="1:6" x14ac:dyDescent="0.3">
      <c r="A7678" t="s">
        <v>7713</v>
      </c>
      <c r="B7678" t="s">
        <v>74</v>
      </c>
      <c r="C7678">
        <v>275000</v>
      </c>
      <c r="D7678">
        <v>1558.2</v>
      </c>
      <c r="E7678">
        <v>3.2000000000000001E-2</v>
      </c>
      <c r="F7678">
        <v>7.5899999999999995E-2</v>
      </c>
    </row>
    <row r="7679" spans="1:6" x14ac:dyDescent="0.3">
      <c r="A7679" t="s">
        <v>7714</v>
      </c>
      <c r="B7679" t="s">
        <v>62</v>
      </c>
      <c r="C7679">
        <v>249000</v>
      </c>
      <c r="D7679">
        <v>17843.3</v>
      </c>
      <c r="E7679">
        <v>9.7000000000000003E-2</v>
      </c>
      <c r="F7679">
        <v>7.5899999999999995E-2</v>
      </c>
    </row>
    <row r="7680" spans="1:6" x14ac:dyDescent="0.3">
      <c r="A7680" t="s">
        <v>7715</v>
      </c>
      <c r="B7680" t="s">
        <v>195</v>
      </c>
      <c r="C7680">
        <v>343000</v>
      </c>
      <c r="D7680">
        <v>4122.6000000000004</v>
      </c>
      <c r="E7680">
        <v>2.2800000000000001E-2</v>
      </c>
      <c r="F7680">
        <v>9.3799999999999994E-2</v>
      </c>
    </row>
    <row r="7681" spans="1:6" x14ac:dyDescent="0.3">
      <c r="A7681" t="s">
        <v>7716</v>
      </c>
      <c r="B7681" t="s">
        <v>32</v>
      </c>
      <c r="C7681">
        <v>266000</v>
      </c>
      <c r="D7681">
        <v>16047722.800000001</v>
      </c>
      <c r="E7681">
        <v>0.02</v>
      </c>
      <c r="F7681">
        <v>5.1799999999999999E-2</v>
      </c>
    </row>
    <row r="7682" spans="1:6" x14ac:dyDescent="0.3">
      <c r="A7682" t="s">
        <v>7717</v>
      </c>
      <c r="B7682" t="s">
        <v>41</v>
      </c>
      <c r="C7682">
        <v>538000</v>
      </c>
      <c r="D7682">
        <v>11903.7</v>
      </c>
      <c r="E7682">
        <v>2.2800000000000001E-2</v>
      </c>
      <c r="F7682">
        <v>0.16880000000000001</v>
      </c>
    </row>
    <row r="7683" spans="1:6" x14ac:dyDescent="0.3">
      <c r="A7683" t="s">
        <v>7718</v>
      </c>
      <c r="B7683" t="s">
        <v>88</v>
      </c>
      <c r="C7683">
        <v>333000</v>
      </c>
      <c r="D7683">
        <v>37990.9</v>
      </c>
      <c r="E7683">
        <v>5.4199999999999998E-2</v>
      </c>
      <c r="F7683">
        <v>9.5100000000000004E-2</v>
      </c>
    </row>
    <row r="7684" spans="1:6" x14ac:dyDescent="0.3">
      <c r="A7684" t="s">
        <v>7719</v>
      </c>
      <c r="B7684" t="s">
        <v>26</v>
      </c>
      <c r="C7684">
        <v>322000</v>
      </c>
      <c r="D7684">
        <v>13168.7</v>
      </c>
      <c r="E7684">
        <v>2.3400000000000001E-2</v>
      </c>
      <c r="F7684">
        <v>0.13100000000000001</v>
      </c>
    </row>
    <row r="7685" spans="1:6" x14ac:dyDescent="0.3">
      <c r="A7685" t="s">
        <v>7720</v>
      </c>
      <c r="B7685" t="s">
        <v>26</v>
      </c>
      <c r="C7685">
        <v>279000</v>
      </c>
      <c r="D7685">
        <v>11427.3</v>
      </c>
      <c r="E7685">
        <v>2.18E-2</v>
      </c>
      <c r="F7685">
        <v>4.0899999999999999E-2</v>
      </c>
    </row>
    <row r="7686" spans="1:6" x14ac:dyDescent="0.3">
      <c r="A7686" t="s">
        <v>7721</v>
      </c>
      <c r="B7686" t="s">
        <v>26</v>
      </c>
      <c r="C7686">
        <v>308000</v>
      </c>
      <c r="D7686">
        <v>91888.5</v>
      </c>
      <c r="E7686">
        <v>4.1200000000000001E-2</v>
      </c>
      <c r="F7686">
        <v>5.1799999999999999E-2</v>
      </c>
    </row>
    <row r="7687" spans="1:6" x14ac:dyDescent="0.3">
      <c r="A7687" t="s">
        <v>7722</v>
      </c>
      <c r="B7687" t="s">
        <v>24</v>
      </c>
      <c r="C7687">
        <v>243000</v>
      </c>
      <c r="D7687">
        <v>346</v>
      </c>
      <c r="E7687">
        <v>1.6E-2</v>
      </c>
      <c r="F7687">
        <v>6.1600000000000002E-2</v>
      </c>
    </row>
    <row r="7688" spans="1:6" x14ac:dyDescent="0.3">
      <c r="A7688" t="s">
        <v>7723</v>
      </c>
      <c r="B7688" t="s">
        <v>71</v>
      </c>
      <c r="C7688">
        <v>377000</v>
      </c>
      <c r="D7688">
        <v>469324.1</v>
      </c>
      <c r="E7688">
        <v>2.5700000000000001E-2</v>
      </c>
      <c r="F7688">
        <v>9.5100000000000004E-2</v>
      </c>
    </row>
    <row r="7689" spans="1:6" x14ac:dyDescent="0.3">
      <c r="A7689" t="s">
        <v>7724</v>
      </c>
      <c r="B7689" t="s">
        <v>26</v>
      </c>
      <c r="C7689">
        <v>254000</v>
      </c>
      <c r="D7689">
        <v>884.1</v>
      </c>
      <c r="E7689">
        <v>1.0699999999999999E-2</v>
      </c>
      <c r="F7689">
        <v>7.7499999999999999E-2</v>
      </c>
    </row>
    <row r="7690" spans="1:6" x14ac:dyDescent="0.3">
      <c r="A7690" t="s">
        <v>7725</v>
      </c>
      <c r="B7690" t="s">
        <v>41</v>
      </c>
      <c r="C7690">
        <v>377000</v>
      </c>
      <c r="D7690">
        <v>576</v>
      </c>
      <c r="E7690">
        <v>3.04E-2</v>
      </c>
      <c r="F7690">
        <v>9.3799999999999994E-2</v>
      </c>
    </row>
    <row r="7691" spans="1:6" x14ac:dyDescent="0.3">
      <c r="A7691" t="s">
        <v>7726</v>
      </c>
      <c r="B7691" t="s">
        <v>26</v>
      </c>
      <c r="C7691">
        <v>893000</v>
      </c>
      <c r="D7691">
        <v>4678.7</v>
      </c>
      <c r="E7691">
        <v>5.7999999999999996E-3</v>
      </c>
      <c r="F7691">
        <v>8.1100000000000005E-2</v>
      </c>
    </row>
    <row r="7692" spans="1:6" x14ac:dyDescent="0.3">
      <c r="A7692" t="s">
        <v>7727</v>
      </c>
      <c r="B7692" t="s">
        <v>26</v>
      </c>
      <c r="C7692">
        <v>260000</v>
      </c>
      <c r="D7692">
        <v>2239.5</v>
      </c>
      <c r="E7692">
        <v>4.1300000000000003E-2</v>
      </c>
      <c r="F7692">
        <v>7.5899999999999995E-2</v>
      </c>
    </row>
    <row r="7693" spans="1:6" x14ac:dyDescent="0.3">
      <c r="A7693" t="s">
        <v>7728</v>
      </c>
      <c r="B7693" t="s">
        <v>74</v>
      </c>
      <c r="C7693">
        <v>273000</v>
      </c>
      <c r="D7693">
        <v>6160.2</v>
      </c>
      <c r="E7693">
        <v>3.5900000000000001E-2</v>
      </c>
      <c r="F7693">
        <v>9.3799999999999994E-2</v>
      </c>
    </row>
    <row r="7694" spans="1:6" x14ac:dyDescent="0.3">
      <c r="A7694" t="s">
        <v>7729</v>
      </c>
      <c r="B7694" t="s">
        <v>41</v>
      </c>
      <c r="C7694">
        <v>331000</v>
      </c>
      <c r="D7694">
        <v>4291.3</v>
      </c>
      <c r="E7694">
        <v>2.0799999999999999E-2</v>
      </c>
      <c r="F7694">
        <v>9.3799999999999994E-2</v>
      </c>
    </row>
    <row r="7695" spans="1:6" x14ac:dyDescent="0.3">
      <c r="A7695" t="s">
        <v>7730</v>
      </c>
      <c r="B7695" t="s">
        <v>26</v>
      </c>
      <c r="C7695">
        <v>562000</v>
      </c>
      <c r="D7695">
        <v>44286.3</v>
      </c>
      <c r="E7695">
        <v>3.2000000000000001E-2</v>
      </c>
      <c r="F7695">
        <v>7.5899999999999995E-2</v>
      </c>
    </row>
    <row r="7696" spans="1:6" x14ac:dyDescent="0.3">
      <c r="A7696" t="s">
        <v>7731</v>
      </c>
      <c r="B7696" t="s">
        <v>26</v>
      </c>
      <c r="C7696">
        <v>243000</v>
      </c>
      <c r="D7696">
        <v>51.8</v>
      </c>
      <c r="E7696">
        <v>1.5E-3</v>
      </c>
      <c r="F7696">
        <v>0.25330000000000003</v>
      </c>
    </row>
    <row r="7697" spans="1:6" x14ac:dyDescent="0.3">
      <c r="A7697" t="s">
        <v>7732</v>
      </c>
      <c r="B7697" t="s">
        <v>92</v>
      </c>
      <c r="C7697">
        <v>268000</v>
      </c>
      <c r="D7697">
        <v>13423.4</v>
      </c>
      <c r="E7697">
        <v>1.6500000000000001E-2</v>
      </c>
      <c r="F7697">
        <v>7.3599999999999999E-2</v>
      </c>
    </row>
    <row r="7698" spans="1:6" x14ac:dyDescent="0.3">
      <c r="A7698" t="s">
        <v>7733</v>
      </c>
      <c r="B7698" t="s">
        <v>24</v>
      </c>
      <c r="C7698">
        <v>384000</v>
      </c>
      <c r="D7698">
        <v>6779.9</v>
      </c>
      <c r="E7698">
        <v>5.3199999999999997E-2</v>
      </c>
      <c r="F7698">
        <v>9.5000000000000001E-2</v>
      </c>
    </row>
    <row r="7699" spans="1:6" x14ac:dyDescent="0.3">
      <c r="A7699" t="s">
        <v>7734</v>
      </c>
      <c r="B7699" t="s">
        <v>71</v>
      </c>
      <c r="C7699">
        <v>236000</v>
      </c>
      <c r="D7699">
        <v>2459.6999999999998</v>
      </c>
      <c r="E7699">
        <v>0.10299999999999999</v>
      </c>
      <c r="F7699">
        <v>9.5100000000000004E-2</v>
      </c>
    </row>
    <row r="7700" spans="1:6" x14ac:dyDescent="0.3">
      <c r="A7700" t="s">
        <v>7735</v>
      </c>
      <c r="B7700" t="s">
        <v>21</v>
      </c>
      <c r="C7700">
        <v>257000</v>
      </c>
      <c r="D7700">
        <v>1338.8</v>
      </c>
      <c r="E7700">
        <v>5.1999999999999998E-3</v>
      </c>
      <c r="F7700">
        <v>0.10150000000000001</v>
      </c>
    </row>
    <row r="7701" spans="1:6" x14ac:dyDescent="0.3">
      <c r="A7701" t="s">
        <v>7736</v>
      </c>
      <c r="B7701" t="s">
        <v>88</v>
      </c>
      <c r="C7701">
        <v>1690000</v>
      </c>
      <c r="D7701">
        <v>391891.9</v>
      </c>
      <c r="E7701">
        <v>5.1400000000000001E-2</v>
      </c>
      <c r="F7701">
        <v>9.5100000000000004E-2</v>
      </c>
    </row>
    <row r="7702" spans="1:6" x14ac:dyDescent="0.3">
      <c r="A7702" t="s">
        <v>7737</v>
      </c>
      <c r="B7702" t="s">
        <v>26</v>
      </c>
      <c r="C7702">
        <v>269000</v>
      </c>
      <c r="D7702">
        <v>96563.1</v>
      </c>
      <c r="E7702">
        <v>5.16E-2</v>
      </c>
      <c r="F7702">
        <v>7.22E-2</v>
      </c>
    </row>
    <row r="7703" spans="1:6" x14ac:dyDescent="0.3">
      <c r="A7703" t="s">
        <v>7738</v>
      </c>
      <c r="B7703" t="s">
        <v>88</v>
      </c>
      <c r="C7703">
        <v>272000</v>
      </c>
      <c r="D7703">
        <v>74907.8</v>
      </c>
      <c r="E7703">
        <v>6.25E-2</v>
      </c>
      <c r="F7703">
        <v>7.5899999999999995E-2</v>
      </c>
    </row>
    <row r="7704" spans="1:6" x14ac:dyDescent="0.3">
      <c r="A7704" t="s">
        <v>7739</v>
      </c>
      <c r="B7704" t="s">
        <v>214</v>
      </c>
      <c r="C7704">
        <v>295000</v>
      </c>
      <c r="D7704">
        <v>8682.9</v>
      </c>
      <c r="E7704">
        <v>2.24E-2</v>
      </c>
      <c r="F7704">
        <v>9.5100000000000004E-2</v>
      </c>
    </row>
    <row r="7705" spans="1:6" x14ac:dyDescent="0.3">
      <c r="A7705" t="s">
        <v>7740</v>
      </c>
      <c r="B7705" t="s">
        <v>287</v>
      </c>
      <c r="C7705">
        <v>270000</v>
      </c>
      <c r="D7705">
        <v>556168.5</v>
      </c>
      <c r="E7705">
        <v>1.38E-2</v>
      </c>
      <c r="F7705">
        <v>4.6199999999999998E-2</v>
      </c>
    </row>
    <row r="7706" spans="1:6" x14ac:dyDescent="0.3">
      <c r="A7706" t="s">
        <v>7741</v>
      </c>
      <c r="B7706" t="s">
        <v>26</v>
      </c>
      <c r="C7706">
        <v>246000</v>
      </c>
      <c r="D7706">
        <v>17008</v>
      </c>
      <c r="E7706">
        <v>3.09E-2</v>
      </c>
      <c r="F7706">
        <v>9.5100000000000004E-2</v>
      </c>
    </row>
    <row r="7707" spans="1:6" x14ac:dyDescent="0.3">
      <c r="A7707" t="s">
        <v>7742</v>
      </c>
      <c r="B7707" t="s">
        <v>81</v>
      </c>
      <c r="C7707">
        <v>243000</v>
      </c>
      <c r="D7707">
        <v>2628</v>
      </c>
      <c r="E7707">
        <v>2.0299999999999999E-2</v>
      </c>
      <c r="F7707">
        <v>4.0899999999999999E-2</v>
      </c>
    </row>
    <row r="7708" spans="1:6" x14ac:dyDescent="0.3">
      <c r="A7708" t="s">
        <v>7743</v>
      </c>
      <c r="B7708" t="s">
        <v>28</v>
      </c>
      <c r="C7708">
        <v>478000</v>
      </c>
      <c r="D7708">
        <v>1545.5</v>
      </c>
      <c r="E7708">
        <v>3.4299999999999997E-2</v>
      </c>
      <c r="F7708">
        <v>7.5899999999999995E-2</v>
      </c>
    </row>
    <row r="7709" spans="1:6" x14ac:dyDescent="0.3">
      <c r="A7709" t="s">
        <v>7744</v>
      </c>
      <c r="B7709" t="s">
        <v>26</v>
      </c>
      <c r="C7709">
        <v>554000</v>
      </c>
      <c r="D7709">
        <v>106884.3</v>
      </c>
      <c r="E7709">
        <v>5.7700000000000001E-2</v>
      </c>
      <c r="F7709">
        <v>5.3800000000000001E-2</v>
      </c>
    </row>
    <row r="7710" spans="1:6" x14ac:dyDescent="0.3">
      <c r="A7710" t="s">
        <v>7745</v>
      </c>
      <c r="B7710" t="s">
        <v>26</v>
      </c>
      <c r="C7710">
        <v>297000</v>
      </c>
      <c r="D7710">
        <v>278541.8</v>
      </c>
      <c r="E7710">
        <v>1.7999999999999999E-2</v>
      </c>
      <c r="F7710">
        <v>0.1067</v>
      </c>
    </row>
    <row r="7711" spans="1:6" x14ac:dyDescent="0.3">
      <c r="A7711" t="s">
        <v>7746</v>
      </c>
      <c r="B7711" t="s">
        <v>62</v>
      </c>
      <c r="C7711">
        <v>463000</v>
      </c>
      <c r="D7711">
        <v>52749.2</v>
      </c>
      <c r="E7711">
        <v>4.4999999999999998E-2</v>
      </c>
      <c r="F7711">
        <v>7.5899999999999995E-2</v>
      </c>
    </row>
    <row r="7712" spans="1:6" x14ac:dyDescent="0.3">
      <c r="A7712" t="s">
        <v>7747</v>
      </c>
      <c r="B7712" t="s">
        <v>26</v>
      </c>
      <c r="C7712">
        <v>248000</v>
      </c>
      <c r="D7712">
        <v>32919.5</v>
      </c>
      <c r="E7712">
        <v>1.66E-2</v>
      </c>
      <c r="F7712">
        <v>8.5400000000000004E-2</v>
      </c>
    </row>
    <row r="7713" spans="1:6" x14ac:dyDescent="0.3">
      <c r="A7713" t="s">
        <v>7748</v>
      </c>
      <c r="B7713" t="s">
        <v>81</v>
      </c>
      <c r="C7713">
        <v>259000</v>
      </c>
      <c r="D7713">
        <v>22320.799999999999</v>
      </c>
      <c r="E7713">
        <v>4.4400000000000002E-2</v>
      </c>
      <c r="F7713">
        <v>6.7199999999999996E-2</v>
      </c>
    </row>
    <row r="7714" spans="1:6" x14ac:dyDescent="0.3">
      <c r="A7714" t="s">
        <v>7749</v>
      </c>
      <c r="B7714" t="s">
        <v>26</v>
      </c>
      <c r="C7714">
        <v>460000</v>
      </c>
      <c r="D7714">
        <v>107906.6</v>
      </c>
      <c r="E7714">
        <v>3.0700000000000002E-2</v>
      </c>
      <c r="F7714">
        <v>7.5899999999999995E-2</v>
      </c>
    </row>
    <row r="7715" spans="1:6" x14ac:dyDescent="0.3">
      <c r="A7715" t="s">
        <v>7750</v>
      </c>
      <c r="B7715" t="s">
        <v>88</v>
      </c>
      <c r="C7715">
        <v>335000</v>
      </c>
      <c r="D7715">
        <v>920.8</v>
      </c>
      <c r="E7715">
        <v>1.9E-2</v>
      </c>
      <c r="F7715">
        <v>6.08E-2</v>
      </c>
    </row>
    <row r="7716" spans="1:6" x14ac:dyDescent="0.3">
      <c r="A7716" t="s">
        <v>7751</v>
      </c>
      <c r="B7716" t="s">
        <v>88</v>
      </c>
      <c r="C7716">
        <v>282000</v>
      </c>
      <c r="D7716">
        <v>1537.4</v>
      </c>
      <c r="E7716">
        <v>3.95E-2</v>
      </c>
      <c r="F7716">
        <v>9.3799999999999994E-2</v>
      </c>
    </row>
    <row r="7717" spans="1:6" x14ac:dyDescent="0.3">
      <c r="A7717" t="s">
        <v>7752</v>
      </c>
      <c r="B7717" t="s">
        <v>92</v>
      </c>
      <c r="C7717">
        <v>607000</v>
      </c>
      <c r="D7717">
        <v>272457.3</v>
      </c>
      <c r="E7717">
        <v>3.2899999999999999E-2</v>
      </c>
      <c r="F7717">
        <v>5.0999999999999997E-2</v>
      </c>
    </row>
    <row r="7718" spans="1:6" x14ac:dyDescent="0.3">
      <c r="A7718" t="s">
        <v>7753</v>
      </c>
      <c r="B7718" t="s">
        <v>88</v>
      </c>
      <c r="C7718">
        <v>225000</v>
      </c>
      <c r="D7718">
        <v>12650.5</v>
      </c>
      <c r="E7718">
        <v>3.0300000000000001E-2</v>
      </c>
      <c r="F7718">
        <v>9.5100000000000004E-2</v>
      </c>
    </row>
    <row r="7719" spans="1:6" x14ac:dyDescent="0.3">
      <c r="A7719" t="s">
        <v>7754</v>
      </c>
      <c r="B7719" t="s">
        <v>53</v>
      </c>
      <c r="C7719">
        <v>302000</v>
      </c>
      <c r="D7719">
        <v>17633.7</v>
      </c>
      <c r="E7719">
        <v>5.2499999999999998E-2</v>
      </c>
      <c r="F7719">
        <v>9.5100000000000004E-2</v>
      </c>
    </row>
    <row r="7720" spans="1:6" x14ac:dyDescent="0.3">
      <c r="A7720" t="s">
        <v>7755</v>
      </c>
      <c r="B7720" t="s">
        <v>88</v>
      </c>
      <c r="C7720">
        <v>440000</v>
      </c>
      <c r="D7720">
        <v>20438</v>
      </c>
      <c r="E7720">
        <v>5.0799999999999998E-2</v>
      </c>
      <c r="F7720">
        <v>9.5100000000000004E-2</v>
      </c>
    </row>
    <row r="7721" spans="1:6" x14ac:dyDescent="0.3">
      <c r="A7721" t="s">
        <v>7756</v>
      </c>
      <c r="B7721" t="s">
        <v>26</v>
      </c>
      <c r="C7721">
        <v>246000</v>
      </c>
      <c r="D7721">
        <v>757.9</v>
      </c>
      <c r="E7721">
        <v>2.5000000000000001E-2</v>
      </c>
      <c r="F7721">
        <v>9.5100000000000004E-2</v>
      </c>
    </row>
    <row r="7722" spans="1:6" x14ac:dyDescent="0.3">
      <c r="A7722" t="s">
        <v>7757</v>
      </c>
      <c r="B7722" t="s">
        <v>88</v>
      </c>
      <c r="C7722">
        <v>233000</v>
      </c>
      <c r="D7722">
        <v>2850.2</v>
      </c>
      <c r="E7722">
        <v>4.0899999999999999E-2</v>
      </c>
      <c r="F7722">
        <v>0.11700000000000001</v>
      </c>
    </row>
    <row r="7723" spans="1:6" x14ac:dyDescent="0.3">
      <c r="A7723" t="s">
        <v>7758</v>
      </c>
      <c r="B7723" t="s">
        <v>53</v>
      </c>
      <c r="C7723">
        <v>282000</v>
      </c>
      <c r="D7723">
        <v>526.4</v>
      </c>
      <c r="E7723">
        <v>7.9699999999999993E-2</v>
      </c>
      <c r="F7723">
        <v>7.5899999999999995E-2</v>
      </c>
    </row>
    <row r="7724" spans="1:6" x14ac:dyDescent="0.3">
      <c r="A7724" t="s">
        <v>7759</v>
      </c>
      <c r="B7724" t="s">
        <v>28</v>
      </c>
      <c r="C7724">
        <v>240000</v>
      </c>
      <c r="D7724">
        <v>11268.7</v>
      </c>
      <c r="E7724">
        <v>4.3E-3</v>
      </c>
      <c r="F7724">
        <v>8.2199999999999995E-2</v>
      </c>
    </row>
    <row r="7725" spans="1:6" x14ac:dyDescent="0.3">
      <c r="A7725" t="s">
        <v>7760</v>
      </c>
      <c r="B7725" t="s">
        <v>41</v>
      </c>
      <c r="C7725">
        <v>250000</v>
      </c>
      <c r="D7725">
        <v>603.6</v>
      </c>
      <c r="E7725">
        <v>4.1000000000000003E-3</v>
      </c>
      <c r="F7725">
        <v>8.2199999999999995E-2</v>
      </c>
    </row>
    <row r="7726" spans="1:6" x14ac:dyDescent="0.3">
      <c r="A7726" t="s">
        <v>7761</v>
      </c>
      <c r="B7726" t="s">
        <v>26</v>
      </c>
      <c r="C7726">
        <v>477000</v>
      </c>
      <c r="D7726">
        <v>1109265.7</v>
      </c>
      <c r="E7726">
        <v>1.7299999999999999E-2</v>
      </c>
      <c r="F7726">
        <v>4.6199999999999998E-2</v>
      </c>
    </row>
    <row r="7727" spans="1:6" x14ac:dyDescent="0.3">
      <c r="A7727" t="s">
        <v>7762</v>
      </c>
      <c r="B7727" t="s">
        <v>490</v>
      </c>
      <c r="C7727">
        <v>381000</v>
      </c>
      <c r="D7727">
        <v>52186.8</v>
      </c>
      <c r="E7727">
        <v>1.47E-2</v>
      </c>
      <c r="F7727">
        <v>7.5700000000000003E-2</v>
      </c>
    </row>
    <row r="7728" spans="1:6" x14ac:dyDescent="0.3">
      <c r="A7728" t="s">
        <v>7763</v>
      </c>
      <c r="B7728" t="s">
        <v>92</v>
      </c>
      <c r="C7728">
        <v>239000</v>
      </c>
      <c r="D7728">
        <v>3625.7</v>
      </c>
      <c r="E7728">
        <v>3.5700000000000003E-2</v>
      </c>
      <c r="F7728">
        <v>9.5100000000000004E-2</v>
      </c>
    </row>
    <row r="7729" spans="1:6" x14ac:dyDescent="0.3">
      <c r="A7729" t="s">
        <v>7764</v>
      </c>
      <c r="B7729" t="s">
        <v>195</v>
      </c>
      <c r="C7729">
        <v>240000</v>
      </c>
      <c r="D7729">
        <v>597.9</v>
      </c>
      <c r="E7729">
        <v>2.1399999999999999E-2</v>
      </c>
      <c r="F7729">
        <v>0.11700000000000001</v>
      </c>
    </row>
    <row r="7730" spans="1:6" x14ac:dyDescent="0.3">
      <c r="A7730" t="s">
        <v>7765</v>
      </c>
      <c r="B7730" t="s">
        <v>214</v>
      </c>
      <c r="C7730">
        <v>232000</v>
      </c>
      <c r="D7730">
        <v>294976.2</v>
      </c>
      <c r="E7730">
        <v>2.8400000000000002E-2</v>
      </c>
      <c r="F7730">
        <v>9.5100000000000004E-2</v>
      </c>
    </row>
    <row r="7731" spans="1:6" x14ac:dyDescent="0.3">
      <c r="A7731" t="s">
        <v>7766</v>
      </c>
      <c r="B7731" t="s">
        <v>81</v>
      </c>
      <c r="C7731">
        <v>172000</v>
      </c>
      <c r="D7731">
        <v>15643.3</v>
      </c>
      <c r="E7731">
        <v>4.0300000000000002E-2</v>
      </c>
      <c r="F7731">
        <v>9.5100000000000004E-2</v>
      </c>
    </row>
    <row r="7732" spans="1:6" x14ac:dyDescent="0.3">
      <c r="A7732" t="s">
        <v>7767</v>
      </c>
      <c r="B7732" t="s">
        <v>26</v>
      </c>
      <c r="C7732">
        <v>268000</v>
      </c>
      <c r="D7732">
        <v>67968.7</v>
      </c>
      <c r="E7732">
        <v>5.1900000000000002E-2</v>
      </c>
      <c r="F7732">
        <v>5.1799999999999999E-2</v>
      </c>
    </row>
    <row r="7733" spans="1:6" x14ac:dyDescent="0.3">
      <c r="A7733" t="s">
        <v>7768</v>
      </c>
      <c r="B7733" t="s">
        <v>81</v>
      </c>
      <c r="C7733">
        <v>357000</v>
      </c>
      <c r="D7733">
        <v>10771.5</v>
      </c>
      <c r="E7733">
        <v>3.3700000000000001E-2</v>
      </c>
      <c r="F7733">
        <v>9.3799999999999994E-2</v>
      </c>
    </row>
    <row r="7734" spans="1:6" x14ac:dyDescent="0.3">
      <c r="A7734" t="s">
        <v>7769</v>
      </c>
      <c r="B7734" t="s">
        <v>195</v>
      </c>
      <c r="C7734">
        <v>256000</v>
      </c>
      <c r="D7734">
        <v>1229.5999999999999</v>
      </c>
      <c r="E7734">
        <v>0.01</v>
      </c>
      <c r="F7734">
        <v>6.54E-2</v>
      </c>
    </row>
    <row r="7735" spans="1:6" x14ac:dyDescent="0.3">
      <c r="A7735" t="s">
        <v>7770</v>
      </c>
      <c r="B7735" t="s">
        <v>88</v>
      </c>
      <c r="C7735">
        <v>297000</v>
      </c>
      <c r="D7735">
        <v>680.4</v>
      </c>
      <c r="E7735">
        <v>0.15079999999999999</v>
      </c>
      <c r="F7735">
        <v>9.3799999999999994E-2</v>
      </c>
    </row>
    <row r="7736" spans="1:6" x14ac:dyDescent="0.3">
      <c r="A7736" t="s">
        <v>7771</v>
      </c>
      <c r="B7736" t="s">
        <v>74</v>
      </c>
      <c r="C7736">
        <v>232000</v>
      </c>
      <c r="D7736">
        <v>1660.3</v>
      </c>
      <c r="E7736">
        <v>5.2600000000000001E-2</v>
      </c>
      <c r="F7736">
        <v>9.5100000000000004E-2</v>
      </c>
    </row>
    <row r="7737" spans="1:6" x14ac:dyDescent="0.3">
      <c r="A7737" t="s">
        <v>7772</v>
      </c>
      <c r="B7737" t="s">
        <v>24</v>
      </c>
      <c r="C7737">
        <v>240000</v>
      </c>
      <c r="D7737">
        <v>3085.9</v>
      </c>
      <c r="E7737">
        <v>1.67E-2</v>
      </c>
      <c r="F7737">
        <v>5.8500000000000003E-2</v>
      </c>
    </row>
    <row r="7738" spans="1:6" x14ac:dyDescent="0.3">
      <c r="A7738" t="s">
        <v>7773</v>
      </c>
      <c r="B7738" t="s">
        <v>26</v>
      </c>
      <c r="C7738">
        <v>247000</v>
      </c>
      <c r="D7738">
        <v>7265.7</v>
      </c>
      <c r="E7738">
        <v>2.5600000000000001E-2</v>
      </c>
      <c r="F7738">
        <v>4.0899999999999999E-2</v>
      </c>
    </row>
    <row r="7739" spans="1:6" x14ac:dyDescent="0.3">
      <c r="A7739" t="s">
        <v>7774</v>
      </c>
      <c r="B7739" t="s">
        <v>26</v>
      </c>
      <c r="C7739">
        <v>401000</v>
      </c>
      <c r="D7739">
        <v>3222.7</v>
      </c>
      <c r="E7739">
        <v>3.6499999999999998E-2</v>
      </c>
      <c r="F7739">
        <v>9.3799999999999994E-2</v>
      </c>
    </row>
    <row r="7740" spans="1:6" x14ac:dyDescent="0.3">
      <c r="A7740" t="s">
        <v>7775</v>
      </c>
      <c r="B7740" t="s">
        <v>71</v>
      </c>
      <c r="C7740">
        <v>252000</v>
      </c>
      <c r="D7740">
        <v>11026.6</v>
      </c>
      <c r="E7740">
        <v>2.1700000000000001E-2</v>
      </c>
      <c r="F7740">
        <v>9.5000000000000001E-2</v>
      </c>
    </row>
    <row r="7741" spans="1:6" x14ac:dyDescent="0.3">
      <c r="A7741" t="s">
        <v>7776</v>
      </c>
      <c r="B7741" t="s">
        <v>50</v>
      </c>
      <c r="C7741">
        <v>288000</v>
      </c>
      <c r="D7741">
        <v>5474.1</v>
      </c>
      <c r="E7741">
        <v>3.4000000000000002E-2</v>
      </c>
      <c r="F7741">
        <v>0.13869999999999999</v>
      </c>
    </row>
    <row r="7742" spans="1:6" x14ac:dyDescent="0.3">
      <c r="A7742" t="s">
        <v>7777</v>
      </c>
      <c r="B7742" t="s">
        <v>50</v>
      </c>
      <c r="C7742">
        <v>266000</v>
      </c>
      <c r="D7742">
        <v>5416.1</v>
      </c>
      <c r="E7742">
        <v>3.3300000000000003E-2</v>
      </c>
      <c r="F7742">
        <v>7.5899999999999995E-2</v>
      </c>
    </row>
    <row r="7743" spans="1:6" x14ac:dyDescent="0.3">
      <c r="A7743" t="s">
        <v>7778</v>
      </c>
      <c r="B7743" t="s">
        <v>92</v>
      </c>
      <c r="C7743">
        <v>308000</v>
      </c>
      <c r="D7743">
        <v>16425.5</v>
      </c>
      <c r="E7743">
        <v>1.9400000000000001E-2</v>
      </c>
      <c r="F7743">
        <v>8.5400000000000004E-2</v>
      </c>
    </row>
    <row r="7744" spans="1:6" x14ac:dyDescent="0.3">
      <c r="A7744" t="s">
        <v>7779</v>
      </c>
      <c r="B7744" t="s">
        <v>71</v>
      </c>
      <c r="C7744">
        <v>276000</v>
      </c>
      <c r="D7744">
        <v>5747.3</v>
      </c>
      <c r="E7744">
        <v>3.5200000000000002E-2</v>
      </c>
      <c r="F7744">
        <v>7.5899999999999995E-2</v>
      </c>
    </row>
    <row r="7745" spans="1:6" x14ac:dyDescent="0.3">
      <c r="A7745" t="s">
        <v>7780</v>
      </c>
      <c r="B7745" t="s">
        <v>41</v>
      </c>
      <c r="C7745">
        <v>349000</v>
      </c>
      <c r="D7745">
        <v>88480</v>
      </c>
      <c r="E7745">
        <v>1.0999999999999999E-2</v>
      </c>
      <c r="F7745">
        <v>6.54E-2</v>
      </c>
    </row>
    <row r="7746" spans="1:6" x14ac:dyDescent="0.3">
      <c r="A7746" t="s">
        <v>7781</v>
      </c>
      <c r="B7746" t="s">
        <v>26</v>
      </c>
      <c r="C7746">
        <v>359000</v>
      </c>
      <c r="D7746">
        <v>5866.6</v>
      </c>
      <c r="E7746">
        <v>1.7100000000000001E-2</v>
      </c>
      <c r="F7746">
        <v>0.15359999999999999</v>
      </c>
    </row>
    <row r="7747" spans="1:6" x14ac:dyDescent="0.3">
      <c r="A7747" t="s">
        <v>7782</v>
      </c>
      <c r="B7747" t="s">
        <v>26</v>
      </c>
      <c r="C7747">
        <v>238000</v>
      </c>
      <c r="D7747">
        <v>9011.5</v>
      </c>
      <c r="E7747">
        <v>3.4099999999999998E-2</v>
      </c>
      <c r="F7747">
        <v>9.5100000000000004E-2</v>
      </c>
    </row>
    <row r="7748" spans="1:6" x14ac:dyDescent="0.3">
      <c r="A7748" t="s">
        <v>7783</v>
      </c>
      <c r="B7748" t="s">
        <v>214</v>
      </c>
      <c r="C7748">
        <v>235000</v>
      </c>
      <c r="D7748">
        <v>515.4</v>
      </c>
      <c r="E7748">
        <v>4.1000000000000002E-2</v>
      </c>
      <c r="F7748">
        <v>9.5100000000000004E-2</v>
      </c>
    </row>
    <row r="7749" spans="1:6" x14ac:dyDescent="0.3">
      <c r="A7749" t="s">
        <v>7784</v>
      </c>
      <c r="B7749" t="s">
        <v>88</v>
      </c>
      <c r="C7749">
        <v>254000</v>
      </c>
      <c r="D7749">
        <v>3112.3</v>
      </c>
      <c r="E7749">
        <v>3.8199999999999998E-2</v>
      </c>
      <c r="F7749">
        <v>0.11700000000000001</v>
      </c>
    </row>
    <row r="7750" spans="1:6" x14ac:dyDescent="0.3">
      <c r="A7750" t="s">
        <v>7785</v>
      </c>
      <c r="B7750" t="s">
        <v>81</v>
      </c>
      <c r="C7750">
        <v>327000</v>
      </c>
      <c r="D7750">
        <v>74478.2</v>
      </c>
      <c r="E7750">
        <v>2.81E-2</v>
      </c>
      <c r="F7750">
        <v>7.5899999999999995E-2</v>
      </c>
    </row>
    <row r="7751" spans="1:6" x14ac:dyDescent="0.3">
      <c r="A7751" t="s">
        <v>7786</v>
      </c>
      <c r="B7751" t="s">
        <v>81</v>
      </c>
      <c r="C7751">
        <v>190000</v>
      </c>
      <c r="D7751">
        <v>3426.5</v>
      </c>
      <c r="E7751">
        <v>1.34E-2</v>
      </c>
      <c r="F7751">
        <v>0.16170000000000001</v>
      </c>
    </row>
    <row r="7752" spans="1:6" x14ac:dyDescent="0.3">
      <c r="A7752" t="s">
        <v>7787</v>
      </c>
      <c r="B7752" t="s">
        <v>26</v>
      </c>
      <c r="C7752">
        <v>454000</v>
      </c>
      <c r="D7752">
        <v>38742.699999999997</v>
      </c>
      <c r="E7752">
        <v>2.5600000000000001E-2</v>
      </c>
      <c r="F7752">
        <v>7.5899999999999995E-2</v>
      </c>
    </row>
    <row r="7753" spans="1:6" x14ac:dyDescent="0.3">
      <c r="A7753" t="s">
        <v>7788</v>
      </c>
      <c r="B7753" t="s">
        <v>26</v>
      </c>
      <c r="C7753">
        <v>239000</v>
      </c>
      <c r="D7753">
        <v>4853.2</v>
      </c>
      <c r="E7753">
        <v>9.2999999999999992E-3</v>
      </c>
      <c r="F7753">
        <v>6.59E-2</v>
      </c>
    </row>
    <row r="7754" spans="1:6" x14ac:dyDescent="0.3">
      <c r="A7754" t="s">
        <v>7789</v>
      </c>
      <c r="B7754" t="s">
        <v>88</v>
      </c>
      <c r="C7754">
        <v>334000</v>
      </c>
      <c r="D7754">
        <v>329.5</v>
      </c>
      <c r="E7754">
        <v>6.08E-2</v>
      </c>
      <c r="F7754">
        <v>9.3799999999999994E-2</v>
      </c>
    </row>
    <row r="7755" spans="1:6" x14ac:dyDescent="0.3">
      <c r="A7755" t="s">
        <v>7790</v>
      </c>
      <c r="B7755" t="s">
        <v>32</v>
      </c>
      <c r="C7755">
        <v>237000</v>
      </c>
      <c r="D7755">
        <v>71909.600000000006</v>
      </c>
      <c r="E7755">
        <v>3.3300000000000003E-2</v>
      </c>
      <c r="F7755">
        <v>0.11840000000000001</v>
      </c>
    </row>
    <row r="7756" spans="1:6" x14ac:dyDescent="0.3">
      <c r="A7756" t="s">
        <v>7791</v>
      </c>
      <c r="B7756" t="s">
        <v>92</v>
      </c>
      <c r="C7756">
        <v>235000</v>
      </c>
      <c r="D7756">
        <v>6786.9</v>
      </c>
      <c r="E7756">
        <v>1.32E-2</v>
      </c>
      <c r="F7756">
        <v>0.13270000000000001</v>
      </c>
    </row>
    <row r="7757" spans="1:6" x14ac:dyDescent="0.3">
      <c r="A7757" t="s">
        <v>7792</v>
      </c>
      <c r="B7757" t="s">
        <v>41</v>
      </c>
      <c r="C7757">
        <v>325000</v>
      </c>
      <c r="D7757">
        <v>636.4</v>
      </c>
      <c r="E7757">
        <v>1.4999999999999999E-2</v>
      </c>
      <c r="F7757">
        <v>5.7599999999999998E-2</v>
      </c>
    </row>
    <row r="7758" spans="1:6" x14ac:dyDescent="0.3">
      <c r="A7758" t="s">
        <v>7793</v>
      </c>
      <c r="B7758" t="s">
        <v>195</v>
      </c>
      <c r="C7758">
        <v>308000</v>
      </c>
      <c r="D7758">
        <v>1726.9</v>
      </c>
      <c r="E7758">
        <v>6.1800000000000001E-2</v>
      </c>
      <c r="F7758">
        <v>9.5100000000000004E-2</v>
      </c>
    </row>
    <row r="7759" spans="1:6" x14ac:dyDescent="0.3">
      <c r="A7759" t="s">
        <v>7794</v>
      </c>
      <c r="B7759" t="s">
        <v>24</v>
      </c>
      <c r="C7759">
        <v>751000</v>
      </c>
      <c r="D7759">
        <v>32196.2</v>
      </c>
      <c r="E7759">
        <v>3.6200000000000003E-2</v>
      </c>
      <c r="F7759">
        <v>9.3799999999999994E-2</v>
      </c>
    </row>
    <row r="7760" spans="1:6" x14ac:dyDescent="0.3">
      <c r="A7760" t="s">
        <v>7795</v>
      </c>
      <c r="B7760" t="s">
        <v>26</v>
      </c>
      <c r="C7760">
        <v>246000</v>
      </c>
      <c r="D7760">
        <v>7338.9</v>
      </c>
      <c r="E7760">
        <v>2.0199999999999999E-2</v>
      </c>
      <c r="F7760">
        <v>0.1067</v>
      </c>
    </row>
    <row r="7761" spans="1:6" x14ac:dyDescent="0.3">
      <c r="A7761" t="s">
        <v>7796</v>
      </c>
      <c r="B7761" t="s">
        <v>26</v>
      </c>
      <c r="C7761">
        <v>283000</v>
      </c>
      <c r="D7761">
        <v>156931.29999999999</v>
      </c>
      <c r="E7761">
        <v>1.12E-2</v>
      </c>
      <c r="F7761">
        <v>4.6199999999999998E-2</v>
      </c>
    </row>
    <row r="7762" spans="1:6" x14ac:dyDescent="0.3">
      <c r="A7762" t="s">
        <v>7797</v>
      </c>
      <c r="B7762" t="s">
        <v>41</v>
      </c>
      <c r="C7762">
        <v>351000</v>
      </c>
      <c r="D7762">
        <v>2842.9</v>
      </c>
      <c r="E7762">
        <v>1.29E-2</v>
      </c>
      <c r="F7762">
        <v>8.1100000000000005E-2</v>
      </c>
    </row>
    <row r="7763" spans="1:6" x14ac:dyDescent="0.3">
      <c r="A7763" t="s">
        <v>7798</v>
      </c>
      <c r="B7763" t="s">
        <v>26</v>
      </c>
      <c r="C7763">
        <v>438000</v>
      </c>
      <c r="D7763">
        <v>1187.2</v>
      </c>
      <c r="E7763">
        <v>6.1000000000000004E-3</v>
      </c>
      <c r="F7763">
        <v>6.54E-2</v>
      </c>
    </row>
    <row r="7764" spans="1:6" x14ac:dyDescent="0.3">
      <c r="A7764" t="s">
        <v>7799</v>
      </c>
      <c r="B7764" t="s">
        <v>62</v>
      </c>
      <c r="C7764">
        <v>484000</v>
      </c>
      <c r="D7764">
        <v>10196.700000000001</v>
      </c>
      <c r="E7764">
        <v>5.96E-2</v>
      </c>
      <c r="F7764">
        <v>7.5899999999999995E-2</v>
      </c>
    </row>
    <row r="7765" spans="1:6" x14ac:dyDescent="0.3">
      <c r="A7765" t="s">
        <v>7800</v>
      </c>
      <c r="B7765" t="s">
        <v>32</v>
      </c>
      <c r="C7765">
        <v>259000</v>
      </c>
      <c r="D7765">
        <v>109707.4</v>
      </c>
      <c r="E7765">
        <v>3.1899999999999998E-2</v>
      </c>
      <c r="F7765">
        <v>9.5100000000000004E-2</v>
      </c>
    </row>
    <row r="7766" spans="1:6" x14ac:dyDescent="0.3">
      <c r="A7766" t="s">
        <v>7801</v>
      </c>
      <c r="B7766" t="s">
        <v>26</v>
      </c>
      <c r="C7766">
        <v>236000</v>
      </c>
      <c r="D7766">
        <v>4428.6000000000004</v>
      </c>
      <c r="E7766">
        <v>3.0499999999999999E-2</v>
      </c>
      <c r="F7766">
        <v>9.5100000000000004E-2</v>
      </c>
    </row>
    <row r="7767" spans="1:6" x14ac:dyDescent="0.3">
      <c r="A7767" t="s">
        <v>7802</v>
      </c>
      <c r="B7767" t="s">
        <v>88</v>
      </c>
      <c r="C7767">
        <v>236000</v>
      </c>
      <c r="D7767">
        <v>3919.2</v>
      </c>
      <c r="E7767">
        <v>5.7599999999999998E-2</v>
      </c>
      <c r="F7767">
        <v>0.11700000000000001</v>
      </c>
    </row>
    <row r="7768" spans="1:6" x14ac:dyDescent="0.3">
      <c r="A7768" t="s">
        <v>7803</v>
      </c>
      <c r="B7768" t="s">
        <v>26</v>
      </c>
      <c r="C7768">
        <v>328000</v>
      </c>
      <c r="D7768">
        <v>22322.5</v>
      </c>
      <c r="E7768">
        <v>2.5000000000000001E-2</v>
      </c>
      <c r="F7768">
        <v>9.3799999999999994E-2</v>
      </c>
    </row>
    <row r="7769" spans="1:6" x14ac:dyDescent="0.3">
      <c r="A7769" t="s">
        <v>7804</v>
      </c>
      <c r="B7769" t="s">
        <v>62</v>
      </c>
      <c r="C7769">
        <v>241000</v>
      </c>
      <c r="D7769">
        <v>3952.7</v>
      </c>
      <c r="E7769">
        <v>6.6600000000000006E-2</v>
      </c>
      <c r="F7769">
        <v>9.5100000000000004E-2</v>
      </c>
    </row>
    <row r="7770" spans="1:6" x14ac:dyDescent="0.3">
      <c r="A7770" t="s">
        <v>7805</v>
      </c>
      <c r="B7770" t="s">
        <v>24</v>
      </c>
      <c r="C7770">
        <v>272000</v>
      </c>
      <c r="D7770">
        <v>2356.6999999999998</v>
      </c>
      <c r="E7770">
        <v>5.91E-2</v>
      </c>
      <c r="F7770">
        <v>9.5100000000000004E-2</v>
      </c>
    </row>
    <row r="7771" spans="1:6" x14ac:dyDescent="0.3">
      <c r="A7771" t="s">
        <v>7806</v>
      </c>
      <c r="B7771" t="s">
        <v>53</v>
      </c>
      <c r="C7771">
        <v>425000</v>
      </c>
      <c r="D7771">
        <v>3443.8</v>
      </c>
      <c r="E7771">
        <v>4.8599999999999997E-2</v>
      </c>
      <c r="F7771">
        <v>9.3799999999999994E-2</v>
      </c>
    </row>
    <row r="7772" spans="1:6" x14ac:dyDescent="0.3">
      <c r="A7772" t="s">
        <v>7807</v>
      </c>
      <c r="B7772" t="s">
        <v>88</v>
      </c>
      <c r="C7772">
        <v>328000</v>
      </c>
      <c r="D7772">
        <v>2484.6999999999998</v>
      </c>
      <c r="E7772">
        <v>2.4199999999999999E-2</v>
      </c>
      <c r="F7772">
        <v>9.3799999999999994E-2</v>
      </c>
    </row>
    <row r="7773" spans="1:6" x14ac:dyDescent="0.3">
      <c r="A7773" t="s">
        <v>7808</v>
      </c>
      <c r="B7773" t="s">
        <v>92</v>
      </c>
      <c r="C7773">
        <v>262000</v>
      </c>
      <c r="D7773">
        <v>2495.6999999999998</v>
      </c>
      <c r="E7773">
        <v>1.2200000000000001E-2</v>
      </c>
      <c r="F7773">
        <v>0.1452</v>
      </c>
    </row>
    <row r="7774" spans="1:6" x14ac:dyDescent="0.3">
      <c r="A7774" t="s">
        <v>7809</v>
      </c>
      <c r="B7774" t="s">
        <v>26</v>
      </c>
      <c r="C7774">
        <v>246000</v>
      </c>
      <c r="D7774">
        <v>352.1</v>
      </c>
      <c r="E7774">
        <v>4.9799999999999997E-2</v>
      </c>
      <c r="F7774">
        <v>0.1057</v>
      </c>
    </row>
    <row r="7775" spans="1:6" x14ac:dyDescent="0.3">
      <c r="A7775" t="s">
        <v>7810</v>
      </c>
      <c r="B7775" t="s">
        <v>26</v>
      </c>
      <c r="C7775">
        <v>228000</v>
      </c>
      <c r="D7775">
        <v>21409.7</v>
      </c>
      <c r="E7775">
        <v>6.2600000000000003E-2</v>
      </c>
      <c r="F7775">
        <v>5.4600000000000003E-2</v>
      </c>
    </row>
    <row r="7776" spans="1:6" x14ac:dyDescent="0.3">
      <c r="A7776" t="s">
        <v>7811</v>
      </c>
      <c r="B7776" t="s">
        <v>88</v>
      </c>
      <c r="C7776">
        <v>549000</v>
      </c>
      <c r="D7776">
        <v>5929.8</v>
      </c>
      <c r="E7776">
        <v>4.19E-2</v>
      </c>
      <c r="F7776">
        <v>9.98E-2</v>
      </c>
    </row>
    <row r="7777" spans="1:6" x14ac:dyDescent="0.3">
      <c r="A7777" t="s">
        <v>7812</v>
      </c>
      <c r="B7777" t="s">
        <v>50</v>
      </c>
      <c r="C7777">
        <v>246000</v>
      </c>
      <c r="D7777">
        <v>253.3</v>
      </c>
      <c r="E7777">
        <v>1.0200000000000001E-2</v>
      </c>
      <c r="F7777">
        <v>0.22800000000000001</v>
      </c>
    </row>
    <row r="7778" spans="1:6" x14ac:dyDescent="0.3">
      <c r="A7778" t="s">
        <v>7813</v>
      </c>
      <c r="B7778" t="s">
        <v>26</v>
      </c>
      <c r="C7778">
        <v>237000</v>
      </c>
      <c r="D7778">
        <v>2469.6999999999998</v>
      </c>
      <c r="E7778">
        <v>7.6600000000000001E-2</v>
      </c>
      <c r="F7778">
        <v>7.5899999999999995E-2</v>
      </c>
    </row>
    <row r="7779" spans="1:6" x14ac:dyDescent="0.3">
      <c r="A7779" t="s">
        <v>7814</v>
      </c>
      <c r="B7779" t="s">
        <v>88</v>
      </c>
      <c r="C7779">
        <v>238000</v>
      </c>
      <c r="D7779">
        <v>914.5</v>
      </c>
      <c r="E7779">
        <v>2.18E-2</v>
      </c>
      <c r="F7779">
        <v>0.1067</v>
      </c>
    </row>
    <row r="7780" spans="1:6" x14ac:dyDescent="0.3">
      <c r="A7780" t="s">
        <v>7815</v>
      </c>
      <c r="B7780" t="s">
        <v>50</v>
      </c>
      <c r="C7780">
        <v>257000</v>
      </c>
      <c r="D7780">
        <v>15067.3</v>
      </c>
      <c r="E7780">
        <v>2.7099999999999999E-2</v>
      </c>
      <c r="F7780">
        <v>9.5100000000000004E-2</v>
      </c>
    </row>
    <row r="7781" spans="1:6" x14ac:dyDescent="0.3">
      <c r="A7781" t="s">
        <v>7816</v>
      </c>
      <c r="B7781" t="s">
        <v>26</v>
      </c>
      <c r="C7781">
        <v>286000</v>
      </c>
      <c r="D7781">
        <v>1211.8</v>
      </c>
      <c r="E7781">
        <v>8.8000000000000005E-3</v>
      </c>
      <c r="F7781">
        <v>7.7499999999999999E-2</v>
      </c>
    </row>
    <row r="7782" spans="1:6" x14ac:dyDescent="0.3">
      <c r="A7782" t="s">
        <v>7817</v>
      </c>
      <c r="B7782" t="s">
        <v>26</v>
      </c>
      <c r="C7782">
        <v>238000</v>
      </c>
      <c r="D7782">
        <v>3858.8</v>
      </c>
      <c r="E7782">
        <v>2.7900000000000001E-2</v>
      </c>
      <c r="F7782">
        <v>0.34239999999999998</v>
      </c>
    </row>
    <row r="7783" spans="1:6" x14ac:dyDescent="0.3">
      <c r="A7783" t="s">
        <v>7818</v>
      </c>
      <c r="B7783" t="s">
        <v>21</v>
      </c>
      <c r="C7783">
        <v>172000</v>
      </c>
      <c r="D7783">
        <v>6905.3</v>
      </c>
      <c r="E7783">
        <v>5.5300000000000002E-2</v>
      </c>
      <c r="F7783">
        <v>9.5100000000000004E-2</v>
      </c>
    </row>
    <row r="7784" spans="1:6" x14ac:dyDescent="0.3">
      <c r="A7784" t="s">
        <v>7819</v>
      </c>
      <c r="B7784" t="s">
        <v>41</v>
      </c>
      <c r="C7784">
        <v>241000</v>
      </c>
      <c r="D7784">
        <v>433.3</v>
      </c>
      <c r="E7784">
        <v>2.01E-2</v>
      </c>
      <c r="F7784">
        <v>0.13719999999999999</v>
      </c>
    </row>
    <row r="7785" spans="1:6" x14ac:dyDescent="0.3">
      <c r="A7785" t="s">
        <v>7820</v>
      </c>
      <c r="B7785" t="s">
        <v>26</v>
      </c>
      <c r="C7785">
        <v>237000</v>
      </c>
      <c r="D7785">
        <v>2343</v>
      </c>
      <c r="E7785">
        <v>1.78E-2</v>
      </c>
      <c r="F7785">
        <v>5.7599999999999998E-2</v>
      </c>
    </row>
    <row r="7786" spans="1:6" x14ac:dyDescent="0.3">
      <c r="A7786" t="s">
        <v>7821</v>
      </c>
      <c r="B7786" t="s">
        <v>24</v>
      </c>
      <c r="C7786">
        <v>233000</v>
      </c>
      <c r="D7786">
        <v>43.8</v>
      </c>
      <c r="E7786">
        <v>1.4E-2</v>
      </c>
      <c r="F7786">
        <v>0.2681</v>
      </c>
    </row>
    <row r="7787" spans="1:6" x14ac:dyDescent="0.3">
      <c r="A7787" t="s">
        <v>7822</v>
      </c>
      <c r="B7787" t="s">
        <v>214</v>
      </c>
      <c r="C7787">
        <v>288000</v>
      </c>
      <c r="D7787">
        <v>136852.29999999999</v>
      </c>
      <c r="E7787">
        <v>3.3700000000000001E-2</v>
      </c>
      <c r="F7787">
        <v>9.5100000000000004E-2</v>
      </c>
    </row>
    <row r="7788" spans="1:6" x14ac:dyDescent="0.3">
      <c r="A7788" t="s">
        <v>7823</v>
      </c>
      <c r="B7788" t="s">
        <v>26</v>
      </c>
      <c r="C7788">
        <v>295000</v>
      </c>
      <c r="D7788">
        <v>1922</v>
      </c>
      <c r="E7788">
        <v>2.23E-2</v>
      </c>
      <c r="F7788">
        <v>0.1067</v>
      </c>
    </row>
    <row r="7789" spans="1:6" x14ac:dyDescent="0.3">
      <c r="A7789" t="s">
        <v>7824</v>
      </c>
      <c r="B7789" t="s">
        <v>26</v>
      </c>
      <c r="C7789">
        <v>282000</v>
      </c>
      <c r="D7789">
        <v>7129.2</v>
      </c>
      <c r="E7789">
        <v>9.1999999999999998E-3</v>
      </c>
      <c r="F7789">
        <v>8.2199999999999995E-2</v>
      </c>
    </row>
    <row r="7790" spans="1:6" x14ac:dyDescent="0.3">
      <c r="A7790" t="s">
        <v>7825</v>
      </c>
      <c r="B7790" t="s">
        <v>92</v>
      </c>
      <c r="C7790">
        <v>236000</v>
      </c>
      <c r="D7790">
        <v>112557</v>
      </c>
      <c r="E7790">
        <v>1.4800000000000001E-2</v>
      </c>
      <c r="F7790">
        <v>0.1067</v>
      </c>
    </row>
    <row r="7791" spans="1:6" x14ac:dyDescent="0.3">
      <c r="A7791" t="s">
        <v>7826</v>
      </c>
      <c r="B7791" t="s">
        <v>26</v>
      </c>
      <c r="C7791">
        <v>250000</v>
      </c>
      <c r="D7791">
        <v>1337.9</v>
      </c>
      <c r="E7791">
        <v>7.6E-3</v>
      </c>
      <c r="F7791">
        <v>6.54E-2</v>
      </c>
    </row>
    <row r="7792" spans="1:6" x14ac:dyDescent="0.3">
      <c r="A7792" t="s">
        <v>7827</v>
      </c>
      <c r="B7792" t="s">
        <v>26</v>
      </c>
      <c r="C7792">
        <v>282000</v>
      </c>
      <c r="D7792">
        <v>1308.5999999999999</v>
      </c>
      <c r="E7792">
        <v>1.1299999999999999E-2</v>
      </c>
      <c r="F7792">
        <v>8.1100000000000005E-2</v>
      </c>
    </row>
    <row r="7793" spans="1:6" x14ac:dyDescent="0.3">
      <c r="A7793" t="s">
        <v>7828</v>
      </c>
      <c r="B7793" t="s">
        <v>88</v>
      </c>
      <c r="C7793">
        <v>431000</v>
      </c>
      <c r="D7793">
        <v>896.4</v>
      </c>
      <c r="E7793">
        <v>3.0099999999999998E-2</v>
      </c>
      <c r="F7793">
        <v>9.3799999999999994E-2</v>
      </c>
    </row>
    <row r="7794" spans="1:6" x14ac:dyDescent="0.3">
      <c r="A7794" t="s">
        <v>7829</v>
      </c>
      <c r="B7794" t="s">
        <v>88</v>
      </c>
      <c r="C7794">
        <v>264000</v>
      </c>
      <c r="D7794">
        <v>969.5</v>
      </c>
      <c r="E7794">
        <v>3.7199999999999997E-2</v>
      </c>
      <c r="F7794">
        <v>7.5899999999999995E-2</v>
      </c>
    </row>
    <row r="7795" spans="1:6" x14ac:dyDescent="0.3">
      <c r="A7795" t="s">
        <v>7830</v>
      </c>
      <c r="B7795" t="s">
        <v>26</v>
      </c>
      <c r="C7795">
        <v>229000</v>
      </c>
      <c r="D7795">
        <v>13352.4</v>
      </c>
      <c r="E7795">
        <v>7.0300000000000001E-2</v>
      </c>
      <c r="F7795">
        <v>9.5100000000000004E-2</v>
      </c>
    </row>
    <row r="7796" spans="1:6" x14ac:dyDescent="0.3">
      <c r="A7796" t="s">
        <v>7831</v>
      </c>
      <c r="B7796" t="s">
        <v>88</v>
      </c>
      <c r="C7796">
        <v>966000</v>
      </c>
      <c r="D7796">
        <v>13596.9</v>
      </c>
      <c r="E7796">
        <v>3.6299999999999999E-2</v>
      </c>
      <c r="F7796">
        <v>5.0999999999999997E-2</v>
      </c>
    </row>
    <row r="7797" spans="1:6" x14ac:dyDescent="0.3">
      <c r="A7797" t="s">
        <v>7832</v>
      </c>
      <c r="B7797" t="s">
        <v>26</v>
      </c>
      <c r="C7797">
        <v>340000</v>
      </c>
      <c r="D7797">
        <v>1805.2</v>
      </c>
      <c r="E7797">
        <v>1.2500000000000001E-2</v>
      </c>
      <c r="F7797">
        <v>5.8400000000000001E-2</v>
      </c>
    </row>
    <row r="7798" spans="1:6" x14ac:dyDescent="0.3">
      <c r="A7798" t="s">
        <v>7833</v>
      </c>
      <c r="B7798" t="s">
        <v>92</v>
      </c>
      <c r="C7798">
        <v>278000</v>
      </c>
      <c r="D7798">
        <v>4558.2</v>
      </c>
      <c r="E7798">
        <v>1.7000000000000001E-2</v>
      </c>
      <c r="F7798">
        <v>0.11840000000000001</v>
      </c>
    </row>
    <row r="7799" spans="1:6" x14ac:dyDescent="0.3">
      <c r="A7799" t="s">
        <v>7834</v>
      </c>
      <c r="B7799" t="s">
        <v>74</v>
      </c>
      <c r="C7799">
        <v>300000</v>
      </c>
      <c r="D7799">
        <v>16081.9</v>
      </c>
      <c r="E7799">
        <v>8.7999999999999995E-2</v>
      </c>
      <c r="F7799">
        <v>9.5100000000000004E-2</v>
      </c>
    </row>
    <row r="7800" spans="1:6" x14ac:dyDescent="0.3">
      <c r="A7800" t="s">
        <v>7835</v>
      </c>
      <c r="B7800" t="s">
        <v>92</v>
      </c>
      <c r="C7800">
        <v>294000</v>
      </c>
      <c r="D7800">
        <v>4239.8999999999996</v>
      </c>
      <c r="E7800">
        <v>2.5700000000000001E-2</v>
      </c>
      <c r="F7800">
        <v>4.6199999999999998E-2</v>
      </c>
    </row>
    <row r="7801" spans="1:6" x14ac:dyDescent="0.3">
      <c r="A7801" t="s">
        <v>7836</v>
      </c>
      <c r="B7801" t="s">
        <v>26</v>
      </c>
      <c r="C7801">
        <v>268000</v>
      </c>
      <c r="D7801">
        <v>45.2</v>
      </c>
      <c r="E7801">
        <v>9.35E-2</v>
      </c>
      <c r="F7801">
        <v>7.5899999999999995E-2</v>
      </c>
    </row>
    <row r="7802" spans="1:6" x14ac:dyDescent="0.3">
      <c r="A7802" t="s">
        <v>7837</v>
      </c>
      <c r="B7802" t="s">
        <v>214</v>
      </c>
      <c r="C7802">
        <v>616000</v>
      </c>
      <c r="D7802">
        <v>16592.099999999999</v>
      </c>
      <c r="E7802">
        <v>1.37E-2</v>
      </c>
      <c r="F7802">
        <v>4.6199999999999998E-2</v>
      </c>
    </row>
    <row r="7803" spans="1:6" x14ac:dyDescent="0.3">
      <c r="A7803" t="s">
        <v>7838</v>
      </c>
      <c r="B7803" t="s">
        <v>88</v>
      </c>
      <c r="C7803">
        <v>430000</v>
      </c>
      <c r="D7803">
        <v>941.3</v>
      </c>
      <c r="E7803">
        <v>0.1028</v>
      </c>
      <c r="F7803">
        <v>9.3799999999999994E-2</v>
      </c>
    </row>
    <row r="7804" spans="1:6" x14ac:dyDescent="0.3">
      <c r="A7804" t="s">
        <v>7839</v>
      </c>
      <c r="B7804" t="s">
        <v>490</v>
      </c>
      <c r="C7804">
        <v>232000</v>
      </c>
      <c r="D7804">
        <v>433.3</v>
      </c>
      <c r="E7804">
        <v>2.64E-2</v>
      </c>
      <c r="F7804">
        <v>5.4600000000000003E-2</v>
      </c>
    </row>
    <row r="7805" spans="1:6" x14ac:dyDescent="0.3">
      <c r="A7805" t="s">
        <v>7840</v>
      </c>
      <c r="B7805" t="s">
        <v>26</v>
      </c>
      <c r="C7805">
        <v>425000</v>
      </c>
      <c r="D7805">
        <v>6269.4</v>
      </c>
      <c r="E7805">
        <v>1.01E-2</v>
      </c>
      <c r="F7805">
        <v>7.6499999999999999E-2</v>
      </c>
    </row>
    <row r="7806" spans="1:6" x14ac:dyDescent="0.3">
      <c r="A7806" t="s">
        <v>7841</v>
      </c>
      <c r="B7806" t="s">
        <v>26</v>
      </c>
      <c r="C7806">
        <v>237000</v>
      </c>
      <c r="D7806">
        <v>363.8</v>
      </c>
      <c r="E7806">
        <v>7.9699999999999993E-2</v>
      </c>
      <c r="F7806">
        <v>7.5899999999999995E-2</v>
      </c>
    </row>
    <row r="7807" spans="1:6" x14ac:dyDescent="0.3">
      <c r="A7807" t="s">
        <v>7842</v>
      </c>
      <c r="B7807" t="s">
        <v>88</v>
      </c>
      <c r="C7807">
        <v>376000</v>
      </c>
      <c r="D7807">
        <v>9240</v>
      </c>
      <c r="E7807">
        <v>3.5799999999999998E-2</v>
      </c>
      <c r="F7807">
        <v>0.11700000000000001</v>
      </c>
    </row>
    <row r="7808" spans="1:6" x14ac:dyDescent="0.3">
      <c r="A7808" t="s">
        <v>7843</v>
      </c>
      <c r="B7808" t="s">
        <v>88</v>
      </c>
      <c r="C7808">
        <v>300000</v>
      </c>
      <c r="D7808">
        <v>21925.7</v>
      </c>
      <c r="E7808">
        <v>3.3300000000000003E-2</v>
      </c>
      <c r="F7808">
        <v>0.16880000000000001</v>
      </c>
    </row>
    <row r="7809" spans="1:6" x14ac:dyDescent="0.3">
      <c r="A7809" t="s">
        <v>7844</v>
      </c>
      <c r="B7809" t="s">
        <v>21</v>
      </c>
      <c r="C7809">
        <v>568000</v>
      </c>
      <c r="D7809">
        <v>76833.399999999994</v>
      </c>
      <c r="E7809">
        <v>2.5100000000000001E-2</v>
      </c>
      <c r="F7809">
        <v>5.0999999999999997E-2</v>
      </c>
    </row>
    <row r="7810" spans="1:6" x14ac:dyDescent="0.3">
      <c r="A7810" t="s">
        <v>7845</v>
      </c>
      <c r="B7810" t="s">
        <v>21</v>
      </c>
      <c r="C7810">
        <v>274000</v>
      </c>
      <c r="D7810">
        <v>227388.9</v>
      </c>
      <c r="E7810">
        <v>5.6300000000000003E-2</v>
      </c>
      <c r="F7810">
        <v>7.5899999999999995E-2</v>
      </c>
    </row>
    <row r="7811" spans="1:6" x14ac:dyDescent="0.3">
      <c r="A7811" t="s">
        <v>7846</v>
      </c>
      <c r="B7811" t="s">
        <v>26</v>
      </c>
      <c r="C7811">
        <v>355000</v>
      </c>
      <c r="D7811">
        <v>2252.4</v>
      </c>
      <c r="E7811">
        <v>2.1299999999999999E-2</v>
      </c>
      <c r="F7811">
        <v>9.3799999999999994E-2</v>
      </c>
    </row>
    <row r="7812" spans="1:6" x14ac:dyDescent="0.3">
      <c r="A7812" t="s">
        <v>7847</v>
      </c>
      <c r="B7812" t="s">
        <v>26</v>
      </c>
      <c r="C7812">
        <v>282000</v>
      </c>
      <c r="D7812">
        <v>28686.9</v>
      </c>
      <c r="E7812">
        <v>7.3499999999999996E-2</v>
      </c>
      <c r="F7812">
        <v>7.5899999999999995E-2</v>
      </c>
    </row>
    <row r="7813" spans="1:6" x14ac:dyDescent="0.3">
      <c r="A7813" t="s">
        <v>7848</v>
      </c>
      <c r="B7813" t="s">
        <v>214</v>
      </c>
      <c r="C7813">
        <v>468000</v>
      </c>
      <c r="D7813">
        <v>7868</v>
      </c>
      <c r="E7813">
        <v>1.54E-2</v>
      </c>
      <c r="F7813">
        <v>5.7599999999999998E-2</v>
      </c>
    </row>
    <row r="7814" spans="1:6" x14ac:dyDescent="0.3">
      <c r="A7814" t="s">
        <v>7849</v>
      </c>
      <c r="B7814" t="s">
        <v>88</v>
      </c>
      <c r="C7814">
        <v>312000</v>
      </c>
      <c r="D7814">
        <v>13156.6</v>
      </c>
      <c r="E7814">
        <v>7.1800000000000003E-2</v>
      </c>
      <c r="F7814">
        <v>7.5899999999999995E-2</v>
      </c>
    </row>
    <row r="7815" spans="1:6" x14ac:dyDescent="0.3">
      <c r="A7815" t="s">
        <v>7850</v>
      </c>
      <c r="B7815" t="s">
        <v>88</v>
      </c>
      <c r="C7815">
        <v>313000</v>
      </c>
      <c r="D7815">
        <v>26939.5</v>
      </c>
      <c r="E7815">
        <v>2.4500000000000001E-2</v>
      </c>
      <c r="F7815">
        <v>9.3799999999999994E-2</v>
      </c>
    </row>
    <row r="7816" spans="1:6" x14ac:dyDescent="0.3">
      <c r="A7816" t="s">
        <v>7851</v>
      </c>
      <c r="B7816" t="s">
        <v>88</v>
      </c>
      <c r="C7816">
        <v>425000</v>
      </c>
      <c r="D7816">
        <v>474.5</v>
      </c>
      <c r="E7816">
        <v>5.8599999999999999E-2</v>
      </c>
      <c r="F7816">
        <v>7.5899999999999995E-2</v>
      </c>
    </row>
    <row r="7817" spans="1:6" x14ac:dyDescent="0.3">
      <c r="A7817" t="s">
        <v>7852</v>
      </c>
      <c r="B7817" t="s">
        <v>53</v>
      </c>
      <c r="C7817">
        <v>246000</v>
      </c>
      <c r="D7817">
        <v>18399.8</v>
      </c>
      <c r="E7817">
        <v>4.2299999999999997E-2</v>
      </c>
      <c r="F7817">
        <v>7.5899999999999995E-2</v>
      </c>
    </row>
    <row r="7818" spans="1:6" x14ac:dyDescent="0.3">
      <c r="A7818" t="s">
        <v>7853</v>
      </c>
      <c r="B7818" t="s">
        <v>26</v>
      </c>
      <c r="C7818">
        <v>234000</v>
      </c>
      <c r="F7818">
        <v>7.5899999999999995E-2</v>
      </c>
    </row>
    <row r="7819" spans="1:6" x14ac:dyDescent="0.3">
      <c r="A7819" t="s">
        <v>7854</v>
      </c>
      <c r="B7819" t="s">
        <v>24</v>
      </c>
      <c r="C7819">
        <v>390000</v>
      </c>
      <c r="D7819">
        <v>4396.1000000000004</v>
      </c>
      <c r="E7819">
        <v>7.0099999999999996E-2</v>
      </c>
      <c r="F7819">
        <v>0.1241</v>
      </c>
    </row>
    <row r="7820" spans="1:6" x14ac:dyDescent="0.3">
      <c r="A7820" t="s">
        <v>7855</v>
      </c>
      <c r="B7820" t="s">
        <v>71</v>
      </c>
      <c r="C7820">
        <v>283000</v>
      </c>
      <c r="D7820">
        <v>15982.5</v>
      </c>
      <c r="E7820">
        <v>0.06</v>
      </c>
      <c r="F7820">
        <v>4.0899999999999999E-2</v>
      </c>
    </row>
    <row r="7821" spans="1:6" x14ac:dyDescent="0.3">
      <c r="A7821" t="s">
        <v>7856</v>
      </c>
      <c r="B7821" t="s">
        <v>88</v>
      </c>
      <c r="C7821">
        <v>339000</v>
      </c>
      <c r="D7821">
        <v>869.3</v>
      </c>
      <c r="E7821">
        <v>7.9200000000000007E-2</v>
      </c>
      <c r="F7821">
        <v>7.5899999999999995E-2</v>
      </c>
    </row>
    <row r="7822" spans="1:6" x14ac:dyDescent="0.3">
      <c r="A7822" t="s">
        <v>7857</v>
      </c>
      <c r="B7822" t="s">
        <v>62</v>
      </c>
      <c r="C7822">
        <v>551000</v>
      </c>
      <c r="D7822">
        <v>7841306.0999999996</v>
      </c>
      <c r="E7822">
        <v>4.4000000000000003E-3</v>
      </c>
      <c r="F7822">
        <v>6.54E-2</v>
      </c>
    </row>
    <row r="7823" spans="1:6" x14ac:dyDescent="0.3">
      <c r="A7823" t="s">
        <v>7858</v>
      </c>
      <c r="B7823" t="s">
        <v>26</v>
      </c>
      <c r="C7823">
        <v>254000</v>
      </c>
      <c r="D7823">
        <v>25284.3</v>
      </c>
      <c r="E7823">
        <v>8.7400000000000005E-2</v>
      </c>
      <c r="F7823">
        <v>9.3799999999999994E-2</v>
      </c>
    </row>
    <row r="7824" spans="1:6" x14ac:dyDescent="0.3">
      <c r="A7824" t="s">
        <v>7859</v>
      </c>
      <c r="B7824" t="s">
        <v>26</v>
      </c>
      <c r="C7824">
        <v>331000</v>
      </c>
      <c r="D7824">
        <v>6108.5</v>
      </c>
      <c r="E7824">
        <v>2.9499999999999998E-2</v>
      </c>
      <c r="F7824">
        <v>7.5899999999999995E-2</v>
      </c>
    </row>
    <row r="7825" spans="1:6" x14ac:dyDescent="0.3">
      <c r="A7825" t="s">
        <v>7860</v>
      </c>
      <c r="B7825" t="s">
        <v>214</v>
      </c>
      <c r="C7825">
        <v>248000</v>
      </c>
      <c r="D7825">
        <v>3595.8</v>
      </c>
      <c r="E7825">
        <v>3.5999999999999997E-2</v>
      </c>
      <c r="F7825">
        <v>9.5100000000000004E-2</v>
      </c>
    </row>
    <row r="7826" spans="1:6" x14ac:dyDescent="0.3">
      <c r="A7826" t="s">
        <v>7861</v>
      </c>
      <c r="B7826" t="s">
        <v>195</v>
      </c>
      <c r="C7826">
        <v>291000</v>
      </c>
      <c r="D7826">
        <v>4321.1000000000004</v>
      </c>
      <c r="E7826">
        <v>3.8100000000000002E-2</v>
      </c>
      <c r="F7826">
        <v>0.1241</v>
      </c>
    </row>
    <row r="7827" spans="1:6" x14ac:dyDescent="0.3">
      <c r="A7827" t="s">
        <v>7862</v>
      </c>
      <c r="B7827" t="s">
        <v>92</v>
      </c>
      <c r="C7827">
        <v>367000</v>
      </c>
      <c r="D7827">
        <v>62342.9</v>
      </c>
      <c r="E7827">
        <v>1.11E-2</v>
      </c>
      <c r="F7827">
        <v>8.2199999999999995E-2</v>
      </c>
    </row>
    <row r="7828" spans="1:6" x14ac:dyDescent="0.3">
      <c r="A7828" t="s">
        <v>7863</v>
      </c>
      <c r="B7828" t="s">
        <v>88</v>
      </c>
      <c r="C7828">
        <v>235000</v>
      </c>
      <c r="D7828">
        <v>11476.7</v>
      </c>
      <c r="F7828">
        <v>0.11700000000000001</v>
      </c>
    </row>
    <row r="7829" spans="1:6" x14ac:dyDescent="0.3">
      <c r="A7829" t="s">
        <v>7864</v>
      </c>
      <c r="B7829" t="s">
        <v>53</v>
      </c>
      <c r="C7829">
        <v>287000</v>
      </c>
      <c r="D7829">
        <v>20195.7</v>
      </c>
      <c r="E7829">
        <v>4.53E-2</v>
      </c>
      <c r="F7829">
        <v>7.5899999999999995E-2</v>
      </c>
    </row>
    <row r="7830" spans="1:6" x14ac:dyDescent="0.3">
      <c r="A7830" t="s">
        <v>7865</v>
      </c>
      <c r="B7830" t="s">
        <v>41</v>
      </c>
      <c r="C7830">
        <v>234000</v>
      </c>
      <c r="D7830">
        <v>469</v>
      </c>
      <c r="E7830">
        <v>2.9499999999999998E-2</v>
      </c>
      <c r="F7830">
        <v>5.0999999999999997E-2</v>
      </c>
    </row>
    <row r="7831" spans="1:6" x14ac:dyDescent="0.3">
      <c r="A7831" t="s">
        <v>7866</v>
      </c>
      <c r="B7831" t="s">
        <v>71</v>
      </c>
      <c r="C7831">
        <v>278000</v>
      </c>
      <c r="D7831">
        <v>31720.7</v>
      </c>
      <c r="E7831">
        <v>3.1800000000000002E-2</v>
      </c>
      <c r="F7831">
        <v>8.4500000000000006E-2</v>
      </c>
    </row>
    <row r="7832" spans="1:6" x14ac:dyDescent="0.3">
      <c r="A7832" t="s">
        <v>7867</v>
      </c>
      <c r="B7832" t="s">
        <v>26</v>
      </c>
      <c r="C7832">
        <v>475000</v>
      </c>
      <c r="D7832">
        <v>3896.8</v>
      </c>
      <c r="E7832">
        <v>2.5600000000000001E-2</v>
      </c>
      <c r="F7832">
        <v>9.3799999999999994E-2</v>
      </c>
    </row>
    <row r="7833" spans="1:6" x14ac:dyDescent="0.3">
      <c r="A7833" t="s">
        <v>7868</v>
      </c>
      <c r="B7833" t="s">
        <v>26</v>
      </c>
      <c r="C7833">
        <v>233000</v>
      </c>
      <c r="D7833">
        <v>1299.7</v>
      </c>
      <c r="E7833">
        <v>5.0200000000000002E-2</v>
      </c>
      <c r="F7833">
        <v>0.12429999999999999</v>
      </c>
    </row>
    <row r="7834" spans="1:6" x14ac:dyDescent="0.3">
      <c r="A7834" t="s">
        <v>7869</v>
      </c>
      <c r="B7834" t="s">
        <v>50</v>
      </c>
      <c r="C7834">
        <v>296000</v>
      </c>
      <c r="D7834">
        <v>14038.3</v>
      </c>
      <c r="E7834">
        <v>3.6999999999999998E-2</v>
      </c>
      <c r="F7834">
        <v>7.5899999999999995E-2</v>
      </c>
    </row>
    <row r="7835" spans="1:6" x14ac:dyDescent="0.3">
      <c r="A7835" t="s">
        <v>7870</v>
      </c>
      <c r="B7835" t="s">
        <v>41</v>
      </c>
      <c r="C7835">
        <v>309000</v>
      </c>
      <c r="D7835">
        <v>12474.2</v>
      </c>
      <c r="E7835">
        <v>3.9800000000000002E-2</v>
      </c>
      <c r="F7835">
        <v>9.3799999999999994E-2</v>
      </c>
    </row>
    <row r="7836" spans="1:6" x14ac:dyDescent="0.3">
      <c r="A7836" t="s">
        <v>7871</v>
      </c>
      <c r="B7836" t="s">
        <v>26</v>
      </c>
      <c r="C7836">
        <v>227000</v>
      </c>
      <c r="D7836">
        <v>1560.3</v>
      </c>
      <c r="E7836">
        <v>9.1000000000000004E-3</v>
      </c>
      <c r="F7836">
        <v>6.8900000000000003E-2</v>
      </c>
    </row>
    <row r="7837" spans="1:6" x14ac:dyDescent="0.3">
      <c r="A7837" t="s">
        <v>7872</v>
      </c>
      <c r="B7837" t="s">
        <v>26</v>
      </c>
      <c r="C7837">
        <v>231000</v>
      </c>
      <c r="D7837">
        <v>1427.9</v>
      </c>
      <c r="E7837">
        <v>1.0800000000000001E-2</v>
      </c>
      <c r="F7837">
        <v>8.2199999999999995E-2</v>
      </c>
    </row>
    <row r="7838" spans="1:6" x14ac:dyDescent="0.3">
      <c r="A7838" t="s">
        <v>7873</v>
      </c>
      <c r="B7838" t="s">
        <v>214</v>
      </c>
      <c r="C7838">
        <v>246000</v>
      </c>
      <c r="D7838">
        <v>953.1</v>
      </c>
      <c r="E7838">
        <v>2.93E-2</v>
      </c>
      <c r="F7838">
        <v>4.3200000000000002E-2</v>
      </c>
    </row>
    <row r="7839" spans="1:6" x14ac:dyDescent="0.3">
      <c r="A7839" t="s">
        <v>7874</v>
      </c>
      <c r="B7839" t="s">
        <v>92</v>
      </c>
      <c r="C7839">
        <v>248000</v>
      </c>
      <c r="D7839">
        <v>193300.1</v>
      </c>
      <c r="E7839">
        <v>4.6699999999999998E-2</v>
      </c>
      <c r="F7839">
        <v>5.1799999999999999E-2</v>
      </c>
    </row>
    <row r="7840" spans="1:6" x14ac:dyDescent="0.3">
      <c r="A7840" t="s">
        <v>7875</v>
      </c>
      <c r="B7840" t="s">
        <v>74</v>
      </c>
      <c r="C7840">
        <v>311000</v>
      </c>
      <c r="D7840">
        <v>131601.79999999999</v>
      </c>
      <c r="E7840">
        <v>1.8200000000000001E-2</v>
      </c>
      <c r="F7840">
        <v>8.5400000000000004E-2</v>
      </c>
    </row>
    <row r="7841" spans="1:6" x14ac:dyDescent="0.3">
      <c r="A7841" t="s">
        <v>7876</v>
      </c>
      <c r="B7841" t="s">
        <v>53</v>
      </c>
      <c r="C7841">
        <v>485000</v>
      </c>
      <c r="D7841">
        <v>69567.199999999997</v>
      </c>
      <c r="E7841">
        <v>2.8000000000000001E-2</v>
      </c>
      <c r="F7841">
        <v>7.5899999999999995E-2</v>
      </c>
    </row>
    <row r="7842" spans="1:6" x14ac:dyDescent="0.3">
      <c r="A7842" t="s">
        <v>7877</v>
      </c>
      <c r="B7842" t="s">
        <v>26</v>
      </c>
      <c r="C7842">
        <v>365000</v>
      </c>
      <c r="D7842">
        <v>2075419</v>
      </c>
      <c r="E7842">
        <v>0.03</v>
      </c>
      <c r="F7842">
        <v>7.5899999999999995E-2</v>
      </c>
    </row>
    <row r="7843" spans="1:6" x14ac:dyDescent="0.3">
      <c r="A7843" t="s">
        <v>7878</v>
      </c>
      <c r="B7843" t="s">
        <v>490</v>
      </c>
      <c r="C7843">
        <v>654000</v>
      </c>
      <c r="D7843">
        <v>9098.1</v>
      </c>
      <c r="E7843">
        <v>2.4199999999999999E-2</v>
      </c>
      <c r="F7843">
        <v>5.0999999999999997E-2</v>
      </c>
    </row>
    <row r="7844" spans="1:6" x14ac:dyDescent="0.3">
      <c r="A7844" t="s">
        <v>7879</v>
      </c>
      <c r="B7844" t="s">
        <v>26</v>
      </c>
      <c r="C7844">
        <v>331000</v>
      </c>
      <c r="D7844">
        <v>4907.6000000000004</v>
      </c>
      <c r="E7844">
        <v>9.1000000000000004E-3</v>
      </c>
      <c r="F7844">
        <v>8.2199999999999995E-2</v>
      </c>
    </row>
    <row r="7845" spans="1:6" x14ac:dyDescent="0.3">
      <c r="A7845" t="s">
        <v>7880</v>
      </c>
      <c r="B7845" t="s">
        <v>92</v>
      </c>
      <c r="C7845">
        <v>158000</v>
      </c>
      <c r="D7845">
        <v>12260.9</v>
      </c>
      <c r="E7845">
        <v>1.26E-2</v>
      </c>
      <c r="F7845">
        <v>6.54E-2</v>
      </c>
    </row>
    <row r="7846" spans="1:6" x14ac:dyDescent="0.3">
      <c r="A7846" t="s">
        <v>7881</v>
      </c>
      <c r="B7846" t="s">
        <v>26</v>
      </c>
      <c r="C7846">
        <v>255000</v>
      </c>
      <c r="D7846">
        <v>118730.1</v>
      </c>
      <c r="E7846">
        <v>1.4800000000000001E-2</v>
      </c>
      <c r="F7846">
        <v>5.8900000000000001E-2</v>
      </c>
    </row>
    <row r="7847" spans="1:6" x14ac:dyDescent="0.3">
      <c r="A7847" t="s">
        <v>7882</v>
      </c>
      <c r="B7847" t="s">
        <v>26</v>
      </c>
      <c r="C7847">
        <v>222000</v>
      </c>
      <c r="D7847">
        <v>12334.7</v>
      </c>
      <c r="E7847">
        <v>9.1600000000000001E-2</v>
      </c>
      <c r="F7847">
        <v>9.5100000000000004E-2</v>
      </c>
    </row>
    <row r="7848" spans="1:6" x14ac:dyDescent="0.3">
      <c r="A7848" t="s">
        <v>7883</v>
      </c>
      <c r="B7848" t="s">
        <v>41</v>
      </c>
      <c r="C7848">
        <v>408000</v>
      </c>
      <c r="D7848">
        <v>1042.3</v>
      </c>
      <c r="E7848">
        <v>2.2599999999999999E-2</v>
      </c>
      <c r="F7848">
        <v>0.13719999999999999</v>
      </c>
    </row>
    <row r="7849" spans="1:6" x14ac:dyDescent="0.3">
      <c r="A7849" t="s">
        <v>7884</v>
      </c>
      <c r="B7849" t="s">
        <v>88</v>
      </c>
      <c r="C7849">
        <v>229000</v>
      </c>
      <c r="D7849">
        <v>540.9</v>
      </c>
      <c r="E7849">
        <v>5.6899999999999999E-2</v>
      </c>
      <c r="F7849">
        <v>9.5100000000000004E-2</v>
      </c>
    </row>
    <row r="7850" spans="1:6" x14ac:dyDescent="0.3">
      <c r="A7850" t="s">
        <v>7885</v>
      </c>
      <c r="B7850" t="s">
        <v>41</v>
      </c>
      <c r="C7850">
        <v>776000</v>
      </c>
      <c r="D7850">
        <v>3358.8</v>
      </c>
      <c r="E7850">
        <v>3.0800000000000001E-2</v>
      </c>
      <c r="F7850">
        <v>0.1308</v>
      </c>
    </row>
    <row r="7851" spans="1:6" x14ac:dyDescent="0.3">
      <c r="A7851" t="s">
        <v>7886</v>
      </c>
      <c r="B7851" t="s">
        <v>62</v>
      </c>
      <c r="C7851">
        <v>389000</v>
      </c>
      <c r="D7851">
        <v>2838.8</v>
      </c>
      <c r="E7851">
        <v>4.07E-2</v>
      </c>
      <c r="F7851">
        <v>9.3799999999999994E-2</v>
      </c>
    </row>
    <row r="7852" spans="1:6" x14ac:dyDescent="0.3">
      <c r="A7852" t="s">
        <v>7887</v>
      </c>
      <c r="B7852" t="s">
        <v>92</v>
      </c>
      <c r="C7852">
        <v>240000</v>
      </c>
      <c r="D7852">
        <v>2785.2</v>
      </c>
      <c r="E7852">
        <v>1.17E-2</v>
      </c>
      <c r="F7852">
        <v>7.3599999999999999E-2</v>
      </c>
    </row>
    <row r="7853" spans="1:6" x14ac:dyDescent="0.3">
      <c r="A7853" t="s">
        <v>7888</v>
      </c>
      <c r="B7853" t="s">
        <v>81</v>
      </c>
      <c r="C7853">
        <v>276000</v>
      </c>
      <c r="D7853">
        <v>945.8</v>
      </c>
      <c r="E7853">
        <v>2.1299999999999999E-2</v>
      </c>
      <c r="F7853">
        <v>0.1053</v>
      </c>
    </row>
    <row r="7854" spans="1:6" x14ac:dyDescent="0.3">
      <c r="A7854" t="s">
        <v>7889</v>
      </c>
      <c r="B7854" t="s">
        <v>24</v>
      </c>
      <c r="C7854">
        <v>720000</v>
      </c>
      <c r="D7854">
        <v>14027.9</v>
      </c>
      <c r="E7854">
        <v>8.9800000000000005E-2</v>
      </c>
      <c r="F7854">
        <v>7.5899999999999995E-2</v>
      </c>
    </row>
    <row r="7855" spans="1:6" x14ac:dyDescent="0.3">
      <c r="A7855" t="s">
        <v>7890</v>
      </c>
      <c r="B7855" t="s">
        <v>88</v>
      </c>
      <c r="C7855">
        <v>267000</v>
      </c>
      <c r="D7855">
        <v>5383.6</v>
      </c>
      <c r="E7855">
        <v>1.26E-2</v>
      </c>
      <c r="F7855">
        <v>0.13089999999999999</v>
      </c>
    </row>
    <row r="7856" spans="1:6" x14ac:dyDescent="0.3">
      <c r="A7856" t="s">
        <v>7891</v>
      </c>
      <c r="B7856" t="s">
        <v>81</v>
      </c>
      <c r="C7856">
        <v>260000</v>
      </c>
      <c r="D7856">
        <v>1028.8</v>
      </c>
      <c r="E7856">
        <v>3.0599999999999999E-2</v>
      </c>
      <c r="F7856">
        <v>5.3800000000000001E-2</v>
      </c>
    </row>
    <row r="7857" spans="1:6" x14ac:dyDescent="0.3">
      <c r="A7857" t="s">
        <v>7892</v>
      </c>
      <c r="B7857" t="s">
        <v>81</v>
      </c>
      <c r="C7857">
        <v>235000</v>
      </c>
      <c r="D7857">
        <v>106856.3</v>
      </c>
      <c r="E7857">
        <v>2.47E-2</v>
      </c>
      <c r="F7857">
        <v>7.5899999999999995E-2</v>
      </c>
    </row>
    <row r="7858" spans="1:6" x14ac:dyDescent="0.3">
      <c r="A7858" t="s">
        <v>7893</v>
      </c>
      <c r="B7858" t="s">
        <v>41</v>
      </c>
      <c r="C7858">
        <v>281000</v>
      </c>
      <c r="D7858">
        <v>15.8</v>
      </c>
      <c r="E7858">
        <v>3.3099999999999997E-2</v>
      </c>
      <c r="F7858">
        <v>0.17050000000000001</v>
      </c>
    </row>
    <row r="7859" spans="1:6" x14ac:dyDescent="0.3">
      <c r="A7859" t="s">
        <v>7894</v>
      </c>
      <c r="B7859" t="s">
        <v>214</v>
      </c>
      <c r="C7859">
        <v>256000</v>
      </c>
      <c r="D7859">
        <v>19666.3</v>
      </c>
      <c r="E7859">
        <v>2.3800000000000002E-2</v>
      </c>
      <c r="F7859">
        <v>9.5100000000000004E-2</v>
      </c>
    </row>
    <row r="7860" spans="1:6" x14ac:dyDescent="0.3">
      <c r="A7860" t="s">
        <v>7895</v>
      </c>
      <c r="B7860" t="s">
        <v>26</v>
      </c>
      <c r="C7860">
        <v>1290000</v>
      </c>
      <c r="D7860">
        <v>4990.6000000000004</v>
      </c>
      <c r="E7860">
        <v>1.7299999999999999E-2</v>
      </c>
      <c r="F7860">
        <v>5.7599999999999998E-2</v>
      </c>
    </row>
    <row r="7861" spans="1:6" x14ac:dyDescent="0.3">
      <c r="A7861" t="s">
        <v>7896</v>
      </c>
      <c r="B7861" t="s">
        <v>26</v>
      </c>
      <c r="C7861">
        <v>258000</v>
      </c>
      <c r="D7861">
        <v>1851.4</v>
      </c>
      <c r="E7861">
        <v>1.3899999999999999E-2</v>
      </c>
      <c r="F7861">
        <v>5.7599999999999998E-2</v>
      </c>
    </row>
    <row r="7862" spans="1:6" x14ac:dyDescent="0.3">
      <c r="A7862" t="s">
        <v>7897</v>
      </c>
      <c r="B7862" t="s">
        <v>81</v>
      </c>
      <c r="C7862">
        <v>306000</v>
      </c>
      <c r="D7862">
        <v>27074.1</v>
      </c>
      <c r="E7862">
        <v>3.9100000000000003E-2</v>
      </c>
      <c r="F7862">
        <v>9.3799999999999994E-2</v>
      </c>
    </row>
    <row r="7863" spans="1:6" x14ac:dyDescent="0.3">
      <c r="A7863" t="s">
        <v>7898</v>
      </c>
      <c r="B7863" t="s">
        <v>214</v>
      </c>
      <c r="C7863">
        <v>290000</v>
      </c>
      <c r="D7863">
        <v>10171.4</v>
      </c>
      <c r="E7863">
        <v>3.4500000000000003E-2</v>
      </c>
      <c r="F7863">
        <v>9.5100000000000004E-2</v>
      </c>
    </row>
    <row r="7864" spans="1:6" x14ac:dyDescent="0.3">
      <c r="A7864" t="s">
        <v>7899</v>
      </c>
      <c r="B7864" t="s">
        <v>26</v>
      </c>
      <c r="C7864">
        <v>416000</v>
      </c>
      <c r="D7864">
        <v>401942.9</v>
      </c>
      <c r="E7864">
        <v>2.23E-2</v>
      </c>
      <c r="F7864">
        <v>4.0899999999999999E-2</v>
      </c>
    </row>
    <row r="7865" spans="1:6" x14ac:dyDescent="0.3">
      <c r="A7865" t="s">
        <v>7900</v>
      </c>
      <c r="B7865" t="s">
        <v>26</v>
      </c>
      <c r="C7865">
        <v>647000</v>
      </c>
      <c r="D7865">
        <v>9978.9</v>
      </c>
      <c r="E7865">
        <v>3.3099999999999997E-2</v>
      </c>
      <c r="F7865">
        <v>9.5100000000000004E-2</v>
      </c>
    </row>
    <row r="7866" spans="1:6" x14ac:dyDescent="0.3">
      <c r="A7866" t="s">
        <v>7901</v>
      </c>
      <c r="B7866" t="s">
        <v>74</v>
      </c>
      <c r="C7866">
        <v>509000</v>
      </c>
      <c r="D7866">
        <v>50420.1</v>
      </c>
      <c r="E7866">
        <v>2.93E-2</v>
      </c>
      <c r="F7866">
        <v>7.5899999999999995E-2</v>
      </c>
    </row>
    <row r="7867" spans="1:6" x14ac:dyDescent="0.3">
      <c r="A7867" t="s">
        <v>7902</v>
      </c>
      <c r="B7867" t="s">
        <v>26</v>
      </c>
      <c r="C7867">
        <v>88500</v>
      </c>
      <c r="D7867">
        <v>5571.8</v>
      </c>
      <c r="E7867">
        <v>2.5399999999999999E-2</v>
      </c>
      <c r="F7867">
        <v>5.4600000000000003E-2</v>
      </c>
    </row>
    <row r="7868" spans="1:6" x14ac:dyDescent="0.3">
      <c r="A7868" t="s">
        <v>7903</v>
      </c>
      <c r="B7868" t="s">
        <v>92</v>
      </c>
      <c r="C7868">
        <v>333000</v>
      </c>
      <c r="D7868">
        <v>13834.3</v>
      </c>
      <c r="E7868">
        <v>5.1200000000000002E-2</v>
      </c>
      <c r="F7868">
        <v>0.23089999999999999</v>
      </c>
    </row>
    <row r="7869" spans="1:6" x14ac:dyDescent="0.3">
      <c r="A7869" t="s">
        <v>7904</v>
      </c>
      <c r="B7869" t="s">
        <v>88</v>
      </c>
      <c r="C7869">
        <v>275000</v>
      </c>
      <c r="D7869">
        <v>30304.400000000001</v>
      </c>
      <c r="E7869">
        <v>4.2299999999999997E-2</v>
      </c>
      <c r="F7869">
        <v>7.5899999999999995E-2</v>
      </c>
    </row>
    <row r="7870" spans="1:6" x14ac:dyDescent="0.3">
      <c r="A7870" t="s">
        <v>7905</v>
      </c>
      <c r="B7870" t="s">
        <v>88</v>
      </c>
      <c r="C7870">
        <v>292000</v>
      </c>
      <c r="D7870">
        <v>18488.099999999999</v>
      </c>
      <c r="E7870">
        <v>3.0200000000000001E-2</v>
      </c>
      <c r="F7870">
        <v>9.3799999999999994E-2</v>
      </c>
    </row>
    <row r="7871" spans="1:6" x14ac:dyDescent="0.3">
      <c r="A7871" t="s">
        <v>7906</v>
      </c>
      <c r="B7871" t="s">
        <v>26</v>
      </c>
      <c r="C7871">
        <v>265000</v>
      </c>
      <c r="D7871">
        <v>7878.6</v>
      </c>
      <c r="E7871">
        <v>0.1217</v>
      </c>
      <c r="F7871">
        <v>9.5100000000000004E-2</v>
      </c>
    </row>
    <row r="7872" spans="1:6" x14ac:dyDescent="0.3">
      <c r="A7872" t="s">
        <v>7907</v>
      </c>
      <c r="B7872" t="s">
        <v>88</v>
      </c>
      <c r="C7872">
        <v>376000</v>
      </c>
      <c r="D7872">
        <v>2522.1999999999998</v>
      </c>
      <c r="E7872">
        <v>5.91E-2</v>
      </c>
      <c r="F7872">
        <v>9.3799999999999994E-2</v>
      </c>
    </row>
    <row r="7873" spans="1:6" x14ac:dyDescent="0.3">
      <c r="A7873" t="s">
        <v>7908</v>
      </c>
      <c r="B7873" t="s">
        <v>214</v>
      </c>
      <c r="C7873">
        <v>350000</v>
      </c>
      <c r="D7873">
        <v>13286.7</v>
      </c>
      <c r="E7873">
        <v>2.86E-2</v>
      </c>
      <c r="F7873">
        <v>7.5899999999999995E-2</v>
      </c>
    </row>
    <row r="7874" spans="1:6" x14ac:dyDescent="0.3">
      <c r="A7874" t="s">
        <v>7909</v>
      </c>
      <c r="B7874" t="s">
        <v>26</v>
      </c>
      <c r="C7874">
        <v>272000</v>
      </c>
      <c r="D7874">
        <v>8874.2000000000007</v>
      </c>
      <c r="E7874">
        <v>3.1399999999999997E-2</v>
      </c>
      <c r="F7874">
        <v>7.5899999999999995E-2</v>
      </c>
    </row>
    <row r="7875" spans="1:6" x14ac:dyDescent="0.3">
      <c r="A7875" t="s">
        <v>7910</v>
      </c>
      <c r="B7875" t="s">
        <v>26</v>
      </c>
      <c r="C7875">
        <v>261000</v>
      </c>
      <c r="D7875">
        <v>6308.7</v>
      </c>
      <c r="E7875">
        <v>6.6400000000000001E-2</v>
      </c>
      <c r="F7875">
        <v>7.5899999999999995E-2</v>
      </c>
    </row>
    <row r="7876" spans="1:6" x14ac:dyDescent="0.3">
      <c r="A7876" t="s">
        <v>7911</v>
      </c>
      <c r="B7876" t="s">
        <v>62</v>
      </c>
      <c r="C7876">
        <v>278000</v>
      </c>
      <c r="D7876">
        <v>2923</v>
      </c>
      <c r="E7876">
        <v>2.53E-2</v>
      </c>
      <c r="F7876">
        <v>9.5100000000000004E-2</v>
      </c>
    </row>
    <row r="7877" spans="1:6" x14ac:dyDescent="0.3">
      <c r="A7877" t="s">
        <v>7912</v>
      </c>
      <c r="B7877" t="s">
        <v>30</v>
      </c>
      <c r="C7877">
        <v>422000</v>
      </c>
      <c r="D7877">
        <v>211099.1</v>
      </c>
      <c r="E7877">
        <v>4.02E-2</v>
      </c>
      <c r="F7877">
        <v>7.5899999999999995E-2</v>
      </c>
    </row>
    <row r="7878" spans="1:6" x14ac:dyDescent="0.3">
      <c r="A7878" t="s">
        <v>7913</v>
      </c>
      <c r="B7878" t="s">
        <v>74</v>
      </c>
      <c r="C7878">
        <v>228000</v>
      </c>
      <c r="D7878">
        <v>23997.5</v>
      </c>
      <c r="E7878">
        <v>3.9100000000000003E-2</v>
      </c>
      <c r="F7878">
        <v>9.5100000000000004E-2</v>
      </c>
    </row>
    <row r="7879" spans="1:6" x14ac:dyDescent="0.3">
      <c r="A7879" t="s">
        <v>7914</v>
      </c>
      <c r="B7879" t="s">
        <v>214</v>
      </c>
      <c r="C7879">
        <v>413000</v>
      </c>
      <c r="D7879">
        <v>10819.8</v>
      </c>
      <c r="E7879">
        <v>4.4000000000000003E-3</v>
      </c>
      <c r="F7879">
        <v>6.54E-2</v>
      </c>
    </row>
    <row r="7880" spans="1:6" x14ac:dyDescent="0.3">
      <c r="A7880" t="s">
        <v>7915</v>
      </c>
      <c r="B7880" t="s">
        <v>74</v>
      </c>
      <c r="C7880">
        <v>280000</v>
      </c>
      <c r="D7880">
        <v>3151.3</v>
      </c>
      <c r="E7880">
        <v>2.4E-2</v>
      </c>
      <c r="F7880">
        <v>5.0999999999999997E-2</v>
      </c>
    </row>
    <row r="7881" spans="1:6" x14ac:dyDescent="0.3">
      <c r="A7881" t="s">
        <v>7916</v>
      </c>
      <c r="B7881" t="s">
        <v>26</v>
      </c>
      <c r="C7881">
        <v>263000</v>
      </c>
      <c r="D7881">
        <v>3215.2</v>
      </c>
      <c r="E7881">
        <v>3.6700000000000003E-2</v>
      </c>
      <c r="F7881">
        <v>9.5100000000000004E-2</v>
      </c>
    </row>
    <row r="7882" spans="1:6" x14ac:dyDescent="0.3">
      <c r="A7882" t="s">
        <v>7917</v>
      </c>
      <c r="B7882" t="s">
        <v>26</v>
      </c>
      <c r="C7882">
        <v>242000</v>
      </c>
      <c r="D7882">
        <v>3164.4</v>
      </c>
      <c r="E7882">
        <v>2.0400000000000001E-2</v>
      </c>
      <c r="F7882">
        <v>0.1067</v>
      </c>
    </row>
    <row r="7883" spans="1:6" x14ac:dyDescent="0.3">
      <c r="A7883" t="s">
        <v>7918</v>
      </c>
      <c r="B7883" t="s">
        <v>214</v>
      </c>
      <c r="C7883">
        <v>237000</v>
      </c>
      <c r="D7883">
        <v>3827.6</v>
      </c>
      <c r="E7883">
        <v>9.4999999999999998E-3</v>
      </c>
      <c r="F7883">
        <v>8.2199999999999995E-2</v>
      </c>
    </row>
    <row r="7884" spans="1:6" x14ac:dyDescent="0.3">
      <c r="A7884" t="s">
        <v>7919</v>
      </c>
      <c r="B7884" t="s">
        <v>41</v>
      </c>
      <c r="C7884">
        <v>247000</v>
      </c>
      <c r="F7884">
        <v>7.5899999999999995E-2</v>
      </c>
    </row>
    <row r="7885" spans="1:6" x14ac:dyDescent="0.3">
      <c r="A7885" t="s">
        <v>7920</v>
      </c>
      <c r="B7885" t="s">
        <v>26</v>
      </c>
      <c r="C7885">
        <v>323000</v>
      </c>
      <c r="D7885">
        <v>4361.6000000000004</v>
      </c>
      <c r="E7885">
        <v>1.72E-2</v>
      </c>
      <c r="F7885">
        <v>4.6199999999999998E-2</v>
      </c>
    </row>
    <row r="7886" spans="1:6" x14ac:dyDescent="0.3">
      <c r="A7886" t="s">
        <v>7921</v>
      </c>
      <c r="B7886" t="s">
        <v>26</v>
      </c>
      <c r="C7886">
        <v>316000</v>
      </c>
      <c r="D7886">
        <v>4043.7</v>
      </c>
      <c r="E7886">
        <v>5.6899999999999999E-2</v>
      </c>
      <c r="F7886">
        <v>7.5899999999999995E-2</v>
      </c>
    </row>
    <row r="7887" spans="1:6" x14ac:dyDescent="0.3">
      <c r="A7887" t="s">
        <v>7922</v>
      </c>
      <c r="B7887" t="s">
        <v>26</v>
      </c>
      <c r="C7887">
        <v>234000</v>
      </c>
      <c r="D7887">
        <v>1591.9</v>
      </c>
      <c r="E7887">
        <v>3.9899999999999998E-2</v>
      </c>
      <c r="F7887">
        <v>0.11700000000000001</v>
      </c>
    </row>
    <row r="7888" spans="1:6" x14ac:dyDescent="0.3">
      <c r="A7888" t="s">
        <v>7923</v>
      </c>
      <c r="B7888" t="s">
        <v>53</v>
      </c>
      <c r="C7888">
        <v>306000</v>
      </c>
      <c r="D7888">
        <v>51556.4</v>
      </c>
      <c r="E7888">
        <v>2.87E-2</v>
      </c>
      <c r="F7888">
        <v>5.1799999999999999E-2</v>
      </c>
    </row>
    <row r="7889" spans="1:6" x14ac:dyDescent="0.3">
      <c r="A7889" t="s">
        <v>7924</v>
      </c>
      <c r="B7889" t="s">
        <v>92</v>
      </c>
      <c r="C7889">
        <v>466000</v>
      </c>
      <c r="D7889">
        <v>122956.6</v>
      </c>
      <c r="E7889">
        <v>6.5500000000000003E-2</v>
      </c>
      <c r="F7889">
        <v>7.5899999999999995E-2</v>
      </c>
    </row>
    <row r="7890" spans="1:6" x14ac:dyDescent="0.3">
      <c r="A7890" t="s">
        <v>7925</v>
      </c>
      <c r="B7890" t="s">
        <v>28</v>
      </c>
      <c r="C7890">
        <v>441000</v>
      </c>
      <c r="D7890">
        <v>7717</v>
      </c>
      <c r="E7890">
        <v>0.01</v>
      </c>
      <c r="F7890">
        <v>6.54E-2</v>
      </c>
    </row>
    <row r="7891" spans="1:6" x14ac:dyDescent="0.3">
      <c r="A7891" t="s">
        <v>7926</v>
      </c>
      <c r="B7891" t="s">
        <v>24</v>
      </c>
      <c r="C7891">
        <v>270000</v>
      </c>
      <c r="D7891">
        <v>215704.2</v>
      </c>
      <c r="E7891">
        <v>1.18E-2</v>
      </c>
      <c r="F7891">
        <v>6.5699999999999995E-2</v>
      </c>
    </row>
    <row r="7892" spans="1:6" x14ac:dyDescent="0.3">
      <c r="A7892" t="s">
        <v>7927</v>
      </c>
      <c r="B7892" t="s">
        <v>88</v>
      </c>
      <c r="C7892">
        <v>251000</v>
      </c>
      <c r="D7892">
        <v>1942.6</v>
      </c>
      <c r="E7892">
        <v>3.3500000000000002E-2</v>
      </c>
      <c r="F7892">
        <v>7.5899999999999995E-2</v>
      </c>
    </row>
    <row r="7893" spans="1:6" x14ac:dyDescent="0.3">
      <c r="A7893" t="s">
        <v>7928</v>
      </c>
      <c r="B7893" t="s">
        <v>74</v>
      </c>
      <c r="C7893">
        <v>336000</v>
      </c>
      <c r="D7893">
        <v>5578.6</v>
      </c>
      <c r="E7893">
        <v>1.5699999999999999E-2</v>
      </c>
      <c r="F7893">
        <v>5.8500000000000003E-2</v>
      </c>
    </row>
    <row r="7894" spans="1:6" x14ac:dyDescent="0.3">
      <c r="A7894" t="s">
        <v>7929</v>
      </c>
      <c r="B7894" t="s">
        <v>88</v>
      </c>
      <c r="C7894">
        <v>257000</v>
      </c>
      <c r="D7894">
        <v>331.6</v>
      </c>
      <c r="E7894">
        <v>2.64E-2</v>
      </c>
      <c r="F7894">
        <v>5.7599999999999998E-2</v>
      </c>
    </row>
    <row r="7895" spans="1:6" x14ac:dyDescent="0.3">
      <c r="A7895" t="s">
        <v>7930</v>
      </c>
      <c r="B7895" t="s">
        <v>24</v>
      </c>
      <c r="C7895">
        <v>698000</v>
      </c>
      <c r="D7895">
        <v>565.4</v>
      </c>
      <c r="E7895">
        <v>2.07E-2</v>
      </c>
      <c r="F7895">
        <v>0.3301</v>
      </c>
    </row>
    <row r="7896" spans="1:6" x14ac:dyDescent="0.3">
      <c r="A7896" t="s">
        <v>7931</v>
      </c>
      <c r="B7896" t="s">
        <v>21</v>
      </c>
      <c r="C7896">
        <v>232000</v>
      </c>
      <c r="D7896">
        <v>25612.2</v>
      </c>
      <c r="E7896">
        <v>3.5099999999999999E-2</v>
      </c>
      <c r="F7896">
        <v>9.5100000000000004E-2</v>
      </c>
    </row>
    <row r="7897" spans="1:6" x14ac:dyDescent="0.3">
      <c r="A7897" t="s">
        <v>7932</v>
      </c>
      <c r="B7897" t="s">
        <v>88</v>
      </c>
      <c r="C7897">
        <v>264000</v>
      </c>
      <c r="D7897">
        <v>216.4</v>
      </c>
      <c r="E7897">
        <v>5.6899999999999999E-2</v>
      </c>
      <c r="F7897">
        <v>9.3799999999999994E-2</v>
      </c>
    </row>
    <row r="7898" spans="1:6" x14ac:dyDescent="0.3">
      <c r="A7898" t="s">
        <v>7933</v>
      </c>
      <c r="B7898" t="s">
        <v>41</v>
      </c>
      <c r="C7898">
        <v>314000</v>
      </c>
      <c r="D7898">
        <v>3000.5</v>
      </c>
      <c r="E7898">
        <v>1.34E-2</v>
      </c>
      <c r="F7898">
        <v>7.5700000000000003E-2</v>
      </c>
    </row>
    <row r="7899" spans="1:6" x14ac:dyDescent="0.3">
      <c r="A7899" t="s">
        <v>7934</v>
      </c>
      <c r="B7899" t="s">
        <v>26</v>
      </c>
      <c r="C7899">
        <v>225000</v>
      </c>
      <c r="D7899">
        <v>12149.1</v>
      </c>
      <c r="E7899">
        <v>1.9199999999999998E-2</v>
      </c>
      <c r="F7899">
        <v>0.1067</v>
      </c>
    </row>
    <row r="7900" spans="1:6" x14ac:dyDescent="0.3">
      <c r="A7900" t="s">
        <v>7935</v>
      </c>
      <c r="B7900" t="s">
        <v>62</v>
      </c>
      <c r="C7900">
        <v>339000</v>
      </c>
      <c r="D7900">
        <v>5857.1</v>
      </c>
      <c r="E7900">
        <v>1.09E-2</v>
      </c>
      <c r="F7900">
        <v>8.2199999999999995E-2</v>
      </c>
    </row>
    <row r="7901" spans="1:6" x14ac:dyDescent="0.3">
      <c r="A7901" t="s">
        <v>7936</v>
      </c>
      <c r="B7901" t="s">
        <v>81</v>
      </c>
      <c r="C7901">
        <v>922000</v>
      </c>
      <c r="D7901">
        <v>266036.5</v>
      </c>
      <c r="E7901">
        <v>5.6000000000000001E-2</v>
      </c>
      <c r="F7901">
        <v>7.5899999999999995E-2</v>
      </c>
    </row>
    <row r="7902" spans="1:6" x14ac:dyDescent="0.3">
      <c r="A7902" t="s">
        <v>7937</v>
      </c>
      <c r="B7902" t="s">
        <v>62</v>
      </c>
      <c r="C7902">
        <v>495000</v>
      </c>
      <c r="D7902">
        <v>4416.6000000000004</v>
      </c>
      <c r="E7902">
        <v>0.1158</v>
      </c>
      <c r="F7902">
        <v>9.3799999999999994E-2</v>
      </c>
    </row>
    <row r="7903" spans="1:6" x14ac:dyDescent="0.3">
      <c r="A7903" t="s">
        <v>7938</v>
      </c>
      <c r="B7903" t="s">
        <v>214</v>
      </c>
      <c r="C7903">
        <v>244000</v>
      </c>
      <c r="D7903">
        <v>3522.2</v>
      </c>
      <c r="F7903">
        <v>4.0899999999999999E-2</v>
      </c>
    </row>
    <row r="7904" spans="1:6" x14ac:dyDescent="0.3">
      <c r="A7904" t="s">
        <v>7939</v>
      </c>
      <c r="B7904" t="s">
        <v>92</v>
      </c>
      <c r="C7904">
        <v>229000</v>
      </c>
      <c r="D7904">
        <v>1348.8</v>
      </c>
      <c r="E7904">
        <v>1.5900000000000001E-2</v>
      </c>
      <c r="F7904">
        <v>0.13270000000000001</v>
      </c>
    </row>
    <row r="7905" spans="1:6" x14ac:dyDescent="0.3">
      <c r="A7905" t="s">
        <v>7940</v>
      </c>
      <c r="B7905" t="s">
        <v>88</v>
      </c>
      <c r="C7905">
        <v>234000</v>
      </c>
      <c r="D7905">
        <v>8415.2000000000007</v>
      </c>
      <c r="E7905">
        <v>5.9400000000000001E-2</v>
      </c>
      <c r="F7905">
        <v>9.5100000000000004E-2</v>
      </c>
    </row>
    <row r="7906" spans="1:6" x14ac:dyDescent="0.3">
      <c r="A7906" t="s">
        <v>7941</v>
      </c>
      <c r="B7906" t="s">
        <v>26</v>
      </c>
      <c r="C7906">
        <v>322000</v>
      </c>
      <c r="D7906">
        <v>1189.8</v>
      </c>
      <c r="F7906">
        <v>7.5899999999999995E-2</v>
      </c>
    </row>
    <row r="7907" spans="1:6" x14ac:dyDescent="0.3">
      <c r="A7907" t="s">
        <v>7942</v>
      </c>
      <c r="B7907" t="s">
        <v>30</v>
      </c>
      <c r="C7907">
        <v>221000</v>
      </c>
      <c r="D7907">
        <v>57.5</v>
      </c>
      <c r="E7907">
        <v>1.77E-2</v>
      </c>
      <c r="F7907">
        <v>0.1454</v>
      </c>
    </row>
    <row r="7908" spans="1:6" x14ac:dyDescent="0.3">
      <c r="A7908" t="s">
        <v>7943</v>
      </c>
      <c r="B7908" t="s">
        <v>26</v>
      </c>
      <c r="C7908">
        <v>272000</v>
      </c>
      <c r="D7908">
        <v>3990.6</v>
      </c>
      <c r="E7908">
        <v>9.3899999999999997E-2</v>
      </c>
      <c r="F7908">
        <v>7.5899999999999995E-2</v>
      </c>
    </row>
    <row r="7909" spans="1:6" x14ac:dyDescent="0.3">
      <c r="A7909" t="s">
        <v>7944</v>
      </c>
      <c r="B7909" t="s">
        <v>26</v>
      </c>
      <c r="C7909">
        <v>1020000</v>
      </c>
      <c r="D7909">
        <v>395625.1</v>
      </c>
      <c r="E7909">
        <v>7.2300000000000003E-2</v>
      </c>
      <c r="F7909">
        <v>9.3799999999999994E-2</v>
      </c>
    </row>
    <row r="7910" spans="1:6" x14ac:dyDescent="0.3">
      <c r="A7910" t="s">
        <v>7945</v>
      </c>
      <c r="B7910" t="s">
        <v>53</v>
      </c>
      <c r="C7910">
        <v>257000</v>
      </c>
      <c r="D7910">
        <v>91740.3</v>
      </c>
      <c r="E7910">
        <v>1.21E-2</v>
      </c>
      <c r="F7910">
        <v>7.7499999999999999E-2</v>
      </c>
    </row>
    <row r="7911" spans="1:6" x14ac:dyDescent="0.3">
      <c r="A7911" t="s">
        <v>7946</v>
      </c>
      <c r="B7911" t="s">
        <v>71</v>
      </c>
      <c r="C7911">
        <v>265000</v>
      </c>
      <c r="D7911">
        <v>2799.4</v>
      </c>
      <c r="E7911">
        <v>3.4799999999999998E-2</v>
      </c>
      <c r="F7911">
        <v>7.5899999999999995E-2</v>
      </c>
    </row>
    <row r="7912" spans="1:6" x14ac:dyDescent="0.3">
      <c r="A7912" t="s">
        <v>7947</v>
      </c>
      <c r="B7912" t="s">
        <v>71</v>
      </c>
      <c r="C7912">
        <v>226000</v>
      </c>
      <c r="D7912">
        <v>17003.7</v>
      </c>
      <c r="E7912">
        <v>3.3599999999999998E-2</v>
      </c>
      <c r="F7912">
        <v>9.5100000000000004E-2</v>
      </c>
    </row>
    <row r="7913" spans="1:6" x14ac:dyDescent="0.3">
      <c r="A7913" t="s">
        <v>7948</v>
      </c>
      <c r="B7913" t="s">
        <v>92</v>
      </c>
      <c r="C7913">
        <v>246000</v>
      </c>
      <c r="D7913">
        <v>231352.4</v>
      </c>
      <c r="E7913">
        <v>2.7E-2</v>
      </c>
      <c r="F7913">
        <v>6.7199999999999996E-2</v>
      </c>
    </row>
    <row r="7914" spans="1:6" x14ac:dyDescent="0.3">
      <c r="A7914" t="s">
        <v>7949</v>
      </c>
      <c r="B7914" t="s">
        <v>26</v>
      </c>
      <c r="C7914">
        <v>325000</v>
      </c>
      <c r="D7914">
        <v>1316.2</v>
      </c>
      <c r="E7914">
        <v>1.24E-2</v>
      </c>
      <c r="F7914">
        <v>0.13270000000000001</v>
      </c>
    </row>
    <row r="7915" spans="1:6" x14ac:dyDescent="0.3">
      <c r="A7915" t="s">
        <v>7950</v>
      </c>
      <c r="B7915" t="s">
        <v>53</v>
      </c>
      <c r="C7915">
        <v>496000</v>
      </c>
      <c r="D7915">
        <v>38166.300000000003</v>
      </c>
      <c r="E7915">
        <v>0.1066</v>
      </c>
      <c r="F7915">
        <v>9.3799999999999994E-2</v>
      </c>
    </row>
    <row r="7916" spans="1:6" x14ac:dyDescent="0.3">
      <c r="A7916" t="s">
        <v>7951</v>
      </c>
      <c r="B7916" t="s">
        <v>195</v>
      </c>
      <c r="C7916">
        <v>599000</v>
      </c>
      <c r="D7916">
        <v>11820.2</v>
      </c>
      <c r="E7916">
        <v>2.87E-2</v>
      </c>
      <c r="F7916">
        <v>9.3799999999999994E-2</v>
      </c>
    </row>
    <row r="7917" spans="1:6" x14ac:dyDescent="0.3">
      <c r="A7917" t="s">
        <v>7952</v>
      </c>
      <c r="B7917" t="s">
        <v>26</v>
      </c>
      <c r="C7917">
        <v>337000</v>
      </c>
      <c r="D7917">
        <v>1390.1</v>
      </c>
      <c r="E7917">
        <v>1.7100000000000001E-2</v>
      </c>
      <c r="F7917">
        <v>0.1709</v>
      </c>
    </row>
    <row r="7918" spans="1:6" x14ac:dyDescent="0.3">
      <c r="A7918" t="s">
        <v>7953</v>
      </c>
      <c r="B7918" t="s">
        <v>53</v>
      </c>
      <c r="C7918">
        <v>258000</v>
      </c>
      <c r="D7918">
        <v>71337.7</v>
      </c>
      <c r="E7918">
        <v>3.2899999999999999E-2</v>
      </c>
      <c r="F7918">
        <v>9.5100000000000004E-2</v>
      </c>
    </row>
    <row r="7919" spans="1:6" x14ac:dyDescent="0.3">
      <c r="A7919" t="s">
        <v>7954</v>
      </c>
      <c r="B7919" t="s">
        <v>92</v>
      </c>
      <c r="C7919">
        <v>234000</v>
      </c>
      <c r="D7919">
        <v>3264.4</v>
      </c>
      <c r="F7919">
        <v>7.5899999999999995E-2</v>
      </c>
    </row>
    <row r="7920" spans="1:6" x14ac:dyDescent="0.3">
      <c r="A7920" t="s">
        <v>7955</v>
      </c>
      <c r="B7920" t="s">
        <v>28</v>
      </c>
      <c r="C7920">
        <v>306000</v>
      </c>
      <c r="D7920">
        <v>956313.9</v>
      </c>
      <c r="E7920">
        <v>1.84E-2</v>
      </c>
      <c r="F7920">
        <v>5.8500000000000003E-2</v>
      </c>
    </row>
    <row r="7921" spans="1:6" x14ac:dyDescent="0.3">
      <c r="A7921" t="s">
        <v>7956</v>
      </c>
      <c r="B7921" t="s">
        <v>92</v>
      </c>
      <c r="C7921">
        <v>318000</v>
      </c>
      <c r="D7921">
        <v>8031</v>
      </c>
      <c r="E7921">
        <v>1.3899999999999999E-2</v>
      </c>
      <c r="F7921">
        <v>7.7499999999999999E-2</v>
      </c>
    </row>
    <row r="7922" spans="1:6" x14ac:dyDescent="0.3">
      <c r="A7922" t="s">
        <v>7957</v>
      </c>
      <c r="B7922" t="s">
        <v>88</v>
      </c>
      <c r="C7922">
        <v>306000</v>
      </c>
      <c r="D7922">
        <v>4572.3</v>
      </c>
      <c r="E7922">
        <v>4.8599999999999997E-2</v>
      </c>
      <c r="F7922">
        <v>7.5899999999999995E-2</v>
      </c>
    </row>
    <row r="7923" spans="1:6" x14ac:dyDescent="0.3">
      <c r="A7923" t="s">
        <v>7958</v>
      </c>
      <c r="B7923" t="s">
        <v>81</v>
      </c>
      <c r="C7923">
        <v>225000</v>
      </c>
      <c r="D7923">
        <v>40043.800000000003</v>
      </c>
      <c r="E7923">
        <v>2.0500000000000001E-2</v>
      </c>
      <c r="F7923">
        <v>8.5400000000000004E-2</v>
      </c>
    </row>
    <row r="7924" spans="1:6" x14ac:dyDescent="0.3">
      <c r="A7924" t="s">
        <v>7959</v>
      </c>
      <c r="B7924" t="s">
        <v>26</v>
      </c>
      <c r="C7924">
        <v>228000</v>
      </c>
      <c r="D7924">
        <v>148.69999999999999</v>
      </c>
      <c r="E7924">
        <v>3.1899999999999998E-2</v>
      </c>
      <c r="F7924">
        <v>0.1535</v>
      </c>
    </row>
    <row r="7925" spans="1:6" x14ac:dyDescent="0.3">
      <c r="A7925" t="s">
        <v>7960</v>
      </c>
      <c r="B7925" t="s">
        <v>41</v>
      </c>
      <c r="C7925">
        <v>228000</v>
      </c>
      <c r="D7925">
        <v>3520.1</v>
      </c>
      <c r="E7925">
        <v>7.9000000000000008E-3</v>
      </c>
      <c r="F7925">
        <v>0.10150000000000001</v>
      </c>
    </row>
    <row r="7926" spans="1:6" x14ac:dyDescent="0.3">
      <c r="A7926" t="s">
        <v>7961</v>
      </c>
      <c r="B7926" t="s">
        <v>24</v>
      </c>
      <c r="C7926">
        <v>268000</v>
      </c>
      <c r="D7926">
        <v>2017.7</v>
      </c>
      <c r="E7926">
        <v>1.84E-2</v>
      </c>
      <c r="F7926">
        <v>8.5400000000000004E-2</v>
      </c>
    </row>
    <row r="7927" spans="1:6" x14ac:dyDescent="0.3">
      <c r="A7927" t="s">
        <v>7962</v>
      </c>
      <c r="B7927" t="s">
        <v>88</v>
      </c>
      <c r="C7927">
        <v>260000</v>
      </c>
      <c r="D7927">
        <v>1033.5999999999999</v>
      </c>
      <c r="E7927">
        <v>2.3099999999999999E-2</v>
      </c>
      <c r="F7927">
        <v>7.5899999999999995E-2</v>
      </c>
    </row>
    <row r="7928" spans="1:6" x14ac:dyDescent="0.3">
      <c r="A7928" t="s">
        <v>7963</v>
      </c>
      <c r="B7928" t="s">
        <v>26</v>
      </c>
      <c r="C7928">
        <v>417000</v>
      </c>
      <c r="D7928">
        <v>53219.9</v>
      </c>
      <c r="E7928">
        <v>2.7699999999999999E-2</v>
      </c>
      <c r="F7928">
        <v>7.5899999999999995E-2</v>
      </c>
    </row>
    <row r="7929" spans="1:6" x14ac:dyDescent="0.3">
      <c r="A7929" t="s">
        <v>7964</v>
      </c>
      <c r="B7929" t="s">
        <v>53</v>
      </c>
      <c r="C7929">
        <v>218000</v>
      </c>
      <c r="D7929">
        <v>241.1</v>
      </c>
      <c r="F7929">
        <v>9.5100000000000004E-2</v>
      </c>
    </row>
    <row r="7930" spans="1:6" x14ac:dyDescent="0.3">
      <c r="A7930" t="s">
        <v>7965</v>
      </c>
      <c r="B7930" t="s">
        <v>41</v>
      </c>
      <c r="C7930">
        <v>241000</v>
      </c>
      <c r="D7930">
        <v>98.1</v>
      </c>
      <c r="E7930">
        <v>3.4000000000000002E-2</v>
      </c>
      <c r="F7930">
        <v>6.4299999999999996E-2</v>
      </c>
    </row>
    <row r="7931" spans="1:6" x14ac:dyDescent="0.3">
      <c r="A7931" t="s">
        <v>7966</v>
      </c>
      <c r="B7931" t="s">
        <v>92</v>
      </c>
      <c r="C7931">
        <v>308000</v>
      </c>
      <c r="D7931">
        <v>4928</v>
      </c>
      <c r="E7931">
        <v>6.9900000000000004E-2</v>
      </c>
      <c r="F7931">
        <v>7.5899999999999995E-2</v>
      </c>
    </row>
    <row r="7932" spans="1:6" x14ac:dyDescent="0.3">
      <c r="A7932" t="s">
        <v>7967</v>
      </c>
      <c r="B7932" t="s">
        <v>88</v>
      </c>
      <c r="C7932">
        <v>357000</v>
      </c>
      <c r="D7932">
        <v>1863.7</v>
      </c>
      <c r="E7932">
        <v>1.78E-2</v>
      </c>
      <c r="F7932">
        <v>5.7599999999999998E-2</v>
      </c>
    </row>
    <row r="7933" spans="1:6" x14ac:dyDescent="0.3">
      <c r="A7933" t="s">
        <v>7968</v>
      </c>
      <c r="B7933" t="s">
        <v>195</v>
      </c>
      <c r="C7933">
        <v>285000</v>
      </c>
      <c r="D7933">
        <v>164852.4</v>
      </c>
      <c r="E7933">
        <v>2.5000000000000001E-2</v>
      </c>
      <c r="F7933">
        <v>9.5100000000000004E-2</v>
      </c>
    </row>
    <row r="7934" spans="1:6" x14ac:dyDescent="0.3">
      <c r="A7934" t="s">
        <v>7969</v>
      </c>
      <c r="B7934" t="s">
        <v>71</v>
      </c>
      <c r="C7934">
        <v>239000</v>
      </c>
      <c r="D7934">
        <v>8860.2999999999993</v>
      </c>
      <c r="E7934">
        <v>1.7999999999999999E-2</v>
      </c>
      <c r="F7934">
        <v>0.1067</v>
      </c>
    </row>
    <row r="7935" spans="1:6" x14ac:dyDescent="0.3">
      <c r="A7935" t="s">
        <v>7970</v>
      </c>
      <c r="B7935" t="s">
        <v>62</v>
      </c>
      <c r="C7935">
        <v>238000</v>
      </c>
      <c r="D7935">
        <v>171.8</v>
      </c>
      <c r="E7935">
        <v>2.69E-2</v>
      </c>
      <c r="F7935">
        <v>6.4399999999999999E-2</v>
      </c>
    </row>
    <row r="7936" spans="1:6" x14ac:dyDescent="0.3">
      <c r="A7936" t="s">
        <v>7971</v>
      </c>
      <c r="B7936" t="s">
        <v>62</v>
      </c>
      <c r="C7936">
        <v>255000</v>
      </c>
      <c r="D7936">
        <v>896</v>
      </c>
      <c r="E7936">
        <v>2.4500000000000001E-2</v>
      </c>
      <c r="F7936">
        <v>5.8400000000000001E-2</v>
      </c>
    </row>
    <row r="7937" spans="1:6" x14ac:dyDescent="0.3">
      <c r="A7937" t="s">
        <v>7972</v>
      </c>
      <c r="B7937" t="s">
        <v>88</v>
      </c>
      <c r="C7937">
        <v>248000</v>
      </c>
      <c r="D7937">
        <v>17109.7</v>
      </c>
      <c r="E7937">
        <v>2.4E-2</v>
      </c>
      <c r="F7937">
        <v>0.17100000000000001</v>
      </c>
    </row>
    <row r="7938" spans="1:6" x14ac:dyDescent="0.3">
      <c r="A7938" t="s">
        <v>7973</v>
      </c>
      <c r="B7938" t="s">
        <v>26</v>
      </c>
      <c r="C7938">
        <v>252000</v>
      </c>
      <c r="D7938">
        <v>214.1</v>
      </c>
      <c r="E7938">
        <v>2.7099999999999999E-2</v>
      </c>
      <c r="F7938">
        <v>0.12429999999999999</v>
      </c>
    </row>
    <row r="7939" spans="1:6" x14ac:dyDescent="0.3">
      <c r="A7939" t="s">
        <v>7974</v>
      </c>
      <c r="B7939" t="s">
        <v>74</v>
      </c>
      <c r="C7939">
        <v>329000</v>
      </c>
      <c r="D7939">
        <v>5225.7</v>
      </c>
      <c r="E7939">
        <v>6.5199999999999994E-2</v>
      </c>
      <c r="F7939">
        <v>9.3799999999999994E-2</v>
      </c>
    </row>
    <row r="7940" spans="1:6" x14ac:dyDescent="0.3">
      <c r="A7940" t="s">
        <v>7975</v>
      </c>
      <c r="B7940" t="s">
        <v>71</v>
      </c>
      <c r="C7940">
        <v>229000</v>
      </c>
      <c r="D7940">
        <v>47982.3</v>
      </c>
      <c r="E7940">
        <v>1.2999999999999999E-2</v>
      </c>
      <c r="F7940">
        <v>7.7499999999999999E-2</v>
      </c>
    </row>
    <row r="7941" spans="1:6" x14ac:dyDescent="0.3">
      <c r="A7941" t="s">
        <v>7976</v>
      </c>
      <c r="B7941" t="s">
        <v>74</v>
      </c>
      <c r="C7941">
        <v>251000</v>
      </c>
      <c r="D7941">
        <v>15881.2</v>
      </c>
      <c r="E7941">
        <v>7.0000000000000007E-2</v>
      </c>
      <c r="F7941">
        <v>7.5899999999999995E-2</v>
      </c>
    </row>
    <row r="7942" spans="1:6" x14ac:dyDescent="0.3">
      <c r="A7942" t="s">
        <v>7977</v>
      </c>
      <c r="B7942" t="s">
        <v>74</v>
      </c>
      <c r="C7942">
        <v>229000</v>
      </c>
      <c r="D7942">
        <v>778.7</v>
      </c>
      <c r="E7942">
        <v>2.2800000000000001E-2</v>
      </c>
      <c r="F7942">
        <v>7.5899999999999995E-2</v>
      </c>
    </row>
    <row r="7943" spans="1:6" x14ac:dyDescent="0.3">
      <c r="A7943" t="s">
        <v>7978</v>
      </c>
      <c r="B7943" t="s">
        <v>74</v>
      </c>
      <c r="C7943">
        <v>278000</v>
      </c>
      <c r="D7943">
        <v>9248</v>
      </c>
      <c r="E7943">
        <v>2.7300000000000001E-2</v>
      </c>
      <c r="F7943">
        <v>7.5899999999999995E-2</v>
      </c>
    </row>
    <row r="7944" spans="1:6" x14ac:dyDescent="0.3">
      <c r="A7944" t="s">
        <v>7979</v>
      </c>
      <c r="B7944" t="s">
        <v>41</v>
      </c>
      <c r="C7944">
        <v>254000</v>
      </c>
      <c r="D7944">
        <v>229.9</v>
      </c>
      <c r="E7944">
        <v>6.3600000000000004E-2</v>
      </c>
      <c r="F7944">
        <v>9.3799999999999994E-2</v>
      </c>
    </row>
    <row r="7945" spans="1:6" x14ac:dyDescent="0.3">
      <c r="A7945" t="s">
        <v>7980</v>
      </c>
      <c r="B7945" t="s">
        <v>50</v>
      </c>
      <c r="C7945">
        <v>323000</v>
      </c>
      <c r="D7945">
        <v>20058.5</v>
      </c>
      <c r="E7945">
        <v>7.6E-3</v>
      </c>
      <c r="F7945">
        <v>6.54E-2</v>
      </c>
    </row>
    <row r="7946" spans="1:6" x14ac:dyDescent="0.3">
      <c r="A7946" t="s">
        <v>7981</v>
      </c>
      <c r="B7946" t="s">
        <v>74</v>
      </c>
      <c r="C7946">
        <v>226000</v>
      </c>
      <c r="D7946">
        <v>8356.6</v>
      </c>
      <c r="F7946">
        <v>9.5100000000000004E-2</v>
      </c>
    </row>
    <row r="7947" spans="1:6" x14ac:dyDescent="0.3">
      <c r="A7947" t="s">
        <v>7982</v>
      </c>
      <c r="B7947" t="s">
        <v>88</v>
      </c>
      <c r="C7947">
        <v>298000</v>
      </c>
      <c r="D7947">
        <v>2007.7</v>
      </c>
      <c r="E7947">
        <v>4.2599999999999999E-2</v>
      </c>
      <c r="F7947">
        <v>7.5899999999999995E-2</v>
      </c>
    </row>
    <row r="7948" spans="1:6" x14ac:dyDescent="0.3">
      <c r="A7948" t="s">
        <v>7983</v>
      </c>
      <c r="B7948" t="s">
        <v>35</v>
      </c>
      <c r="C7948">
        <v>387000</v>
      </c>
      <c r="D7948">
        <v>28094.9</v>
      </c>
      <c r="E7948">
        <v>2.1299999999999999E-2</v>
      </c>
      <c r="F7948">
        <v>7.5700000000000003E-2</v>
      </c>
    </row>
    <row r="7949" spans="1:6" x14ac:dyDescent="0.3">
      <c r="A7949" t="s">
        <v>7984</v>
      </c>
      <c r="B7949" t="s">
        <v>74</v>
      </c>
      <c r="C7949">
        <v>247000</v>
      </c>
      <c r="D7949">
        <v>72401.2</v>
      </c>
      <c r="E7949">
        <v>1.4800000000000001E-2</v>
      </c>
      <c r="F7949">
        <v>0.1067</v>
      </c>
    </row>
    <row r="7950" spans="1:6" x14ac:dyDescent="0.3">
      <c r="A7950" t="s">
        <v>7985</v>
      </c>
      <c r="B7950" t="s">
        <v>26</v>
      </c>
      <c r="C7950">
        <v>246000</v>
      </c>
      <c r="D7950">
        <v>42347.9</v>
      </c>
      <c r="E7950">
        <v>3.9600000000000003E-2</v>
      </c>
      <c r="F7950">
        <v>7.5899999999999995E-2</v>
      </c>
    </row>
    <row r="7951" spans="1:6" x14ac:dyDescent="0.3">
      <c r="A7951" t="s">
        <v>7986</v>
      </c>
      <c r="B7951" t="s">
        <v>21</v>
      </c>
      <c r="C7951">
        <v>310000</v>
      </c>
      <c r="D7951">
        <v>39.4</v>
      </c>
      <c r="F7951">
        <v>9.3799999999999994E-2</v>
      </c>
    </row>
    <row r="7952" spans="1:6" x14ac:dyDescent="0.3">
      <c r="A7952" t="s">
        <v>7987</v>
      </c>
      <c r="B7952" t="s">
        <v>214</v>
      </c>
      <c r="C7952">
        <v>371000</v>
      </c>
      <c r="D7952">
        <v>22450.9</v>
      </c>
      <c r="E7952">
        <v>3.7999999999999999E-2</v>
      </c>
      <c r="F7952">
        <v>7.5899999999999995E-2</v>
      </c>
    </row>
    <row r="7953" spans="1:6" x14ac:dyDescent="0.3">
      <c r="A7953" t="s">
        <v>7988</v>
      </c>
      <c r="B7953" t="s">
        <v>92</v>
      </c>
      <c r="C7953">
        <v>222000</v>
      </c>
      <c r="D7953">
        <v>12652.3</v>
      </c>
      <c r="E7953">
        <v>2.4799999999999999E-2</v>
      </c>
      <c r="F7953">
        <v>9.5100000000000004E-2</v>
      </c>
    </row>
    <row r="7954" spans="1:6" x14ac:dyDescent="0.3">
      <c r="A7954" t="s">
        <v>7989</v>
      </c>
      <c r="B7954" t="s">
        <v>490</v>
      </c>
      <c r="C7954">
        <v>436000</v>
      </c>
      <c r="D7954">
        <v>181345.4</v>
      </c>
      <c r="E7954">
        <v>1.6799999999999999E-2</v>
      </c>
      <c r="F7954">
        <v>5.8500000000000003E-2</v>
      </c>
    </row>
    <row r="7955" spans="1:6" x14ac:dyDescent="0.3">
      <c r="A7955" t="s">
        <v>7990</v>
      </c>
      <c r="B7955" t="s">
        <v>92</v>
      </c>
      <c r="C7955">
        <v>229000</v>
      </c>
      <c r="D7955">
        <v>170675.4</v>
      </c>
      <c r="E7955">
        <v>3.09E-2</v>
      </c>
      <c r="F7955">
        <v>9.5100000000000004E-2</v>
      </c>
    </row>
    <row r="7956" spans="1:6" x14ac:dyDescent="0.3">
      <c r="A7956" t="s">
        <v>7991</v>
      </c>
      <c r="B7956" t="s">
        <v>26</v>
      </c>
      <c r="C7956">
        <v>244000</v>
      </c>
      <c r="D7956">
        <v>4590.7</v>
      </c>
      <c r="E7956">
        <v>5.4899999999999997E-2</v>
      </c>
      <c r="F7956">
        <v>7.5899999999999995E-2</v>
      </c>
    </row>
    <row r="7957" spans="1:6" x14ac:dyDescent="0.3">
      <c r="A7957" t="s">
        <v>7992</v>
      </c>
      <c r="B7957" t="s">
        <v>92</v>
      </c>
      <c r="C7957">
        <v>281000</v>
      </c>
      <c r="D7957">
        <v>2094.1999999999998</v>
      </c>
      <c r="E7957">
        <v>1.5100000000000001E-2</v>
      </c>
      <c r="F7957">
        <v>6.5699999999999995E-2</v>
      </c>
    </row>
    <row r="7958" spans="1:6" x14ac:dyDescent="0.3">
      <c r="A7958" t="s">
        <v>7993</v>
      </c>
      <c r="B7958" t="s">
        <v>26</v>
      </c>
      <c r="C7958">
        <v>299000</v>
      </c>
      <c r="D7958">
        <v>6083.4</v>
      </c>
      <c r="E7958">
        <v>2.35E-2</v>
      </c>
      <c r="F7958">
        <v>7.5899999999999995E-2</v>
      </c>
    </row>
    <row r="7959" spans="1:6" x14ac:dyDescent="0.3">
      <c r="A7959" t="s">
        <v>7994</v>
      </c>
      <c r="B7959" t="s">
        <v>41</v>
      </c>
      <c r="C7959">
        <v>242000</v>
      </c>
      <c r="D7959">
        <v>733</v>
      </c>
      <c r="E7959">
        <v>1.18E-2</v>
      </c>
      <c r="F7959">
        <v>0.7208</v>
      </c>
    </row>
    <row r="7960" spans="1:6" x14ac:dyDescent="0.3">
      <c r="A7960" t="s">
        <v>7995</v>
      </c>
      <c r="B7960" t="s">
        <v>92</v>
      </c>
      <c r="C7960">
        <v>230000</v>
      </c>
      <c r="D7960">
        <v>1799.7</v>
      </c>
      <c r="E7960">
        <v>8.0999999999999996E-3</v>
      </c>
      <c r="F7960">
        <v>8.2199999999999995E-2</v>
      </c>
    </row>
    <row r="7961" spans="1:6" x14ac:dyDescent="0.3">
      <c r="A7961" t="s">
        <v>7996</v>
      </c>
      <c r="B7961" t="s">
        <v>24</v>
      </c>
      <c r="C7961">
        <v>377000</v>
      </c>
      <c r="D7961">
        <v>5444.2</v>
      </c>
      <c r="E7961">
        <v>4.1099999999999998E-2</v>
      </c>
      <c r="F7961">
        <v>0.42030000000000001</v>
      </c>
    </row>
    <row r="7962" spans="1:6" x14ac:dyDescent="0.3">
      <c r="A7962" t="s">
        <v>7997</v>
      </c>
      <c r="B7962" t="s">
        <v>26</v>
      </c>
      <c r="C7962">
        <v>243000</v>
      </c>
      <c r="D7962">
        <v>11424.9</v>
      </c>
      <c r="E7962">
        <v>2.8400000000000002E-2</v>
      </c>
      <c r="F7962">
        <v>8.4500000000000006E-2</v>
      </c>
    </row>
    <row r="7963" spans="1:6" x14ac:dyDescent="0.3">
      <c r="A7963" t="s">
        <v>7998</v>
      </c>
      <c r="B7963" t="s">
        <v>26</v>
      </c>
      <c r="C7963">
        <v>273000</v>
      </c>
      <c r="D7963">
        <v>20385.099999999999</v>
      </c>
      <c r="E7963">
        <v>1.7000000000000001E-2</v>
      </c>
      <c r="F7963">
        <v>5.8500000000000003E-2</v>
      </c>
    </row>
    <row r="7964" spans="1:6" x14ac:dyDescent="0.3">
      <c r="A7964" t="s">
        <v>7999</v>
      </c>
      <c r="B7964" t="s">
        <v>26</v>
      </c>
      <c r="C7964">
        <v>242000</v>
      </c>
      <c r="D7964">
        <v>3011.5</v>
      </c>
      <c r="E7964">
        <v>2.8899999999999999E-2</v>
      </c>
      <c r="F7964">
        <v>0.16880000000000001</v>
      </c>
    </row>
    <row r="7965" spans="1:6" x14ac:dyDescent="0.3">
      <c r="A7965" t="s">
        <v>8000</v>
      </c>
      <c r="B7965" t="s">
        <v>74</v>
      </c>
      <c r="C7965">
        <v>245000</v>
      </c>
      <c r="D7965">
        <v>2298.6999999999998</v>
      </c>
      <c r="E7965">
        <v>4.7800000000000002E-2</v>
      </c>
      <c r="F7965">
        <v>9.5100000000000004E-2</v>
      </c>
    </row>
    <row r="7966" spans="1:6" x14ac:dyDescent="0.3">
      <c r="A7966" t="s">
        <v>8001</v>
      </c>
      <c r="B7966" t="s">
        <v>21</v>
      </c>
      <c r="C7966">
        <v>375000</v>
      </c>
      <c r="D7966">
        <v>6510.7</v>
      </c>
      <c r="E7966">
        <v>2.6100000000000002E-2</v>
      </c>
      <c r="F7966">
        <v>5.3800000000000001E-2</v>
      </c>
    </row>
    <row r="7967" spans="1:6" x14ac:dyDescent="0.3">
      <c r="A7967" t="s">
        <v>8002</v>
      </c>
      <c r="B7967" t="s">
        <v>26</v>
      </c>
      <c r="C7967">
        <v>349000</v>
      </c>
      <c r="D7967">
        <v>20095</v>
      </c>
      <c r="E7967">
        <v>2.53E-2</v>
      </c>
      <c r="F7967">
        <v>7.5899999999999995E-2</v>
      </c>
    </row>
    <row r="7968" spans="1:6" x14ac:dyDescent="0.3">
      <c r="A7968" t="s">
        <v>8003</v>
      </c>
      <c r="B7968" t="s">
        <v>88</v>
      </c>
      <c r="C7968">
        <v>271000</v>
      </c>
      <c r="D7968">
        <v>4940.1000000000004</v>
      </c>
      <c r="E7968">
        <v>4.3200000000000002E-2</v>
      </c>
      <c r="F7968">
        <v>9.3799999999999994E-2</v>
      </c>
    </row>
    <row r="7969" spans="1:6" x14ac:dyDescent="0.3">
      <c r="A7969" t="s">
        <v>8004</v>
      </c>
      <c r="B7969" t="s">
        <v>41</v>
      </c>
      <c r="C7969">
        <v>237000</v>
      </c>
      <c r="D7969">
        <v>1485.1</v>
      </c>
      <c r="E7969">
        <v>1.77E-2</v>
      </c>
      <c r="F7969">
        <v>8.5400000000000004E-2</v>
      </c>
    </row>
    <row r="7970" spans="1:6" x14ac:dyDescent="0.3">
      <c r="A7970" t="s">
        <v>8005</v>
      </c>
      <c r="B7970" t="s">
        <v>214</v>
      </c>
      <c r="C7970">
        <v>250000</v>
      </c>
      <c r="D7970">
        <v>8272.6</v>
      </c>
      <c r="E7970">
        <v>1.9400000000000001E-2</v>
      </c>
      <c r="F7970">
        <v>0.1066</v>
      </c>
    </row>
    <row r="7971" spans="1:6" x14ac:dyDescent="0.3">
      <c r="A7971" t="s">
        <v>8006</v>
      </c>
      <c r="B7971" t="s">
        <v>26</v>
      </c>
      <c r="C7971">
        <v>244000</v>
      </c>
      <c r="D7971">
        <v>4442.6000000000004</v>
      </c>
      <c r="E7971">
        <v>1.1599999999999999E-2</v>
      </c>
      <c r="F7971">
        <v>0.1187</v>
      </c>
    </row>
    <row r="7972" spans="1:6" x14ac:dyDescent="0.3">
      <c r="A7972" t="s">
        <v>8007</v>
      </c>
      <c r="B7972" t="s">
        <v>24</v>
      </c>
      <c r="C7972">
        <v>348000</v>
      </c>
      <c r="D7972">
        <v>23761</v>
      </c>
      <c r="E7972">
        <v>2.35E-2</v>
      </c>
      <c r="F7972">
        <v>9.5100000000000004E-2</v>
      </c>
    </row>
    <row r="7973" spans="1:6" x14ac:dyDescent="0.3">
      <c r="A7973" t="s">
        <v>8008</v>
      </c>
      <c r="B7973" t="s">
        <v>41</v>
      </c>
      <c r="C7973">
        <v>280000</v>
      </c>
      <c r="D7973">
        <v>941.5</v>
      </c>
      <c r="E7973">
        <v>5.2900000000000003E-2</v>
      </c>
      <c r="F7973">
        <v>0.15179999999999999</v>
      </c>
    </row>
    <row r="7974" spans="1:6" x14ac:dyDescent="0.3">
      <c r="A7974" t="s">
        <v>8009</v>
      </c>
      <c r="B7974" t="s">
        <v>88</v>
      </c>
      <c r="C7974">
        <v>242000</v>
      </c>
      <c r="D7974">
        <v>310888.90000000002</v>
      </c>
      <c r="E7974">
        <v>6.4299999999999996E-2</v>
      </c>
      <c r="F7974">
        <v>9.5100000000000004E-2</v>
      </c>
    </row>
    <row r="7975" spans="1:6" x14ac:dyDescent="0.3">
      <c r="A7975" t="s">
        <v>8010</v>
      </c>
      <c r="B7975" t="s">
        <v>26</v>
      </c>
      <c r="C7975">
        <v>291000</v>
      </c>
      <c r="D7975">
        <v>32025.599999999999</v>
      </c>
      <c r="E7975">
        <v>3.0800000000000001E-2</v>
      </c>
      <c r="F7975">
        <v>7.5899999999999995E-2</v>
      </c>
    </row>
    <row r="7976" spans="1:6" x14ac:dyDescent="0.3">
      <c r="A7976" t="s">
        <v>8011</v>
      </c>
      <c r="B7976" t="s">
        <v>26</v>
      </c>
      <c r="C7976">
        <v>492000</v>
      </c>
      <c r="D7976">
        <v>529.4</v>
      </c>
      <c r="E7976">
        <v>2.9999999999999997E-4</v>
      </c>
      <c r="F7976">
        <v>0.20949999999999999</v>
      </c>
    </row>
    <row r="7977" spans="1:6" x14ac:dyDescent="0.3">
      <c r="A7977" t="s">
        <v>8012</v>
      </c>
      <c r="B7977" t="s">
        <v>74</v>
      </c>
      <c r="C7977">
        <v>224000</v>
      </c>
      <c r="D7977">
        <v>4284</v>
      </c>
      <c r="E7977">
        <v>7.3700000000000002E-2</v>
      </c>
      <c r="F7977">
        <v>9.5100000000000004E-2</v>
      </c>
    </row>
    <row r="7978" spans="1:6" x14ac:dyDescent="0.3">
      <c r="A7978" t="s">
        <v>8013</v>
      </c>
      <c r="B7978" t="s">
        <v>26</v>
      </c>
      <c r="C7978">
        <v>226000</v>
      </c>
      <c r="D7978">
        <v>2652.2</v>
      </c>
      <c r="E7978">
        <v>1.0800000000000001E-2</v>
      </c>
      <c r="F7978">
        <v>0.13270000000000001</v>
      </c>
    </row>
    <row r="7979" spans="1:6" x14ac:dyDescent="0.3">
      <c r="A7979" t="s">
        <v>8014</v>
      </c>
      <c r="B7979" t="s">
        <v>88</v>
      </c>
      <c r="C7979">
        <v>287000</v>
      </c>
      <c r="D7979">
        <v>18928.099999999999</v>
      </c>
      <c r="E7979">
        <v>4.0099999999999997E-2</v>
      </c>
      <c r="F7979">
        <v>9.5100000000000004E-2</v>
      </c>
    </row>
    <row r="7980" spans="1:6" x14ac:dyDescent="0.3">
      <c r="A7980" t="s">
        <v>8015</v>
      </c>
      <c r="B7980" t="s">
        <v>88</v>
      </c>
      <c r="C7980">
        <v>266000</v>
      </c>
      <c r="D7980">
        <v>1046.2</v>
      </c>
      <c r="E7980">
        <v>8.9399999999999993E-2</v>
      </c>
      <c r="F7980">
        <v>9.3799999999999994E-2</v>
      </c>
    </row>
    <row r="7981" spans="1:6" x14ac:dyDescent="0.3">
      <c r="A7981" t="s">
        <v>8016</v>
      </c>
      <c r="B7981" t="s">
        <v>71</v>
      </c>
      <c r="C7981">
        <v>225000</v>
      </c>
      <c r="D7981">
        <v>10080.200000000001</v>
      </c>
      <c r="E7981">
        <v>2.5499999999999998E-2</v>
      </c>
      <c r="F7981">
        <v>9.5100000000000004E-2</v>
      </c>
    </row>
    <row r="7982" spans="1:6" x14ac:dyDescent="0.3">
      <c r="A7982" t="s">
        <v>8017</v>
      </c>
      <c r="B7982" t="s">
        <v>26</v>
      </c>
      <c r="C7982">
        <v>253000</v>
      </c>
      <c r="D7982">
        <v>14248.6</v>
      </c>
      <c r="E7982">
        <v>3.9100000000000003E-2</v>
      </c>
      <c r="F7982">
        <v>4.3200000000000002E-2</v>
      </c>
    </row>
    <row r="7983" spans="1:6" x14ac:dyDescent="0.3">
      <c r="A7983" t="s">
        <v>8018</v>
      </c>
      <c r="B7983" t="s">
        <v>88</v>
      </c>
      <c r="C7983">
        <v>226000</v>
      </c>
      <c r="D7983">
        <v>47330.2</v>
      </c>
      <c r="E7983">
        <v>5.6300000000000003E-2</v>
      </c>
      <c r="F7983">
        <v>9.5100000000000004E-2</v>
      </c>
    </row>
    <row r="7984" spans="1:6" x14ac:dyDescent="0.3">
      <c r="A7984" t="s">
        <v>8019</v>
      </c>
      <c r="B7984" t="s">
        <v>74</v>
      </c>
      <c r="C7984">
        <v>376000</v>
      </c>
      <c r="D7984">
        <v>9303.5</v>
      </c>
      <c r="E7984">
        <v>3.4500000000000003E-2</v>
      </c>
      <c r="F7984">
        <v>7.5899999999999995E-2</v>
      </c>
    </row>
    <row r="7985" spans="1:6" x14ac:dyDescent="0.3">
      <c r="A7985" t="s">
        <v>8020</v>
      </c>
      <c r="B7985" t="s">
        <v>88</v>
      </c>
      <c r="C7985">
        <v>214000</v>
      </c>
      <c r="D7985">
        <v>787.6</v>
      </c>
      <c r="E7985">
        <v>5.4000000000000003E-3</v>
      </c>
      <c r="F7985">
        <v>6.54E-2</v>
      </c>
    </row>
    <row r="7986" spans="1:6" x14ac:dyDescent="0.3">
      <c r="A7986" t="s">
        <v>8021</v>
      </c>
      <c r="B7986" t="s">
        <v>53</v>
      </c>
      <c r="C7986">
        <v>415000</v>
      </c>
      <c r="D7986">
        <v>35067.1</v>
      </c>
      <c r="E7986">
        <v>4.1099999999999998E-2</v>
      </c>
      <c r="F7986">
        <v>7.5899999999999995E-2</v>
      </c>
    </row>
    <row r="7987" spans="1:6" x14ac:dyDescent="0.3">
      <c r="A7987" t="s">
        <v>8022</v>
      </c>
      <c r="B7987" t="s">
        <v>24</v>
      </c>
      <c r="C7987">
        <v>282000</v>
      </c>
      <c r="D7987">
        <v>480.8</v>
      </c>
      <c r="E7987">
        <v>1.01E-2</v>
      </c>
      <c r="F7987">
        <v>6.54E-2</v>
      </c>
    </row>
    <row r="7988" spans="1:6" x14ac:dyDescent="0.3">
      <c r="A7988" t="s">
        <v>8023</v>
      </c>
      <c r="B7988" t="s">
        <v>92</v>
      </c>
      <c r="C7988">
        <v>392000</v>
      </c>
      <c r="D7988">
        <v>246828.3</v>
      </c>
      <c r="E7988">
        <v>3.1199999999999999E-2</v>
      </c>
      <c r="F7988">
        <v>0.13869999999999999</v>
      </c>
    </row>
    <row r="7989" spans="1:6" x14ac:dyDescent="0.3">
      <c r="A7989" t="s">
        <v>8024</v>
      </c>
      <c r="B7989" t="s">
        <v>92</v>
      </c>
      <c r="C7989">
        <v>390000</v>
      </c>
      <c r="D7989">
        <v>13822.4</v>
      </c>
      <c r="E7989">
        <v>1.7399999999999999E-2</v>
      </c>
      <c r="F7989">
        <v>4.6199999999999998E-2</v>
      </c>
    </row>
    <row r="7990" spans="1:6" x14ac:dyDescent="0.3">
      <c r="A7990" t="s">
        <v>8025</v>
      </c>
      <c r="B7990" t="s">
        <v>26</v>
      </c>
      <c r="C7990">
        <v>236000</v>
      </c>
      <c r="D7990">
        <v>1439.3</v>
      </c>
      <c r="E7990">
        <v>4.6100000000000002E-2</v>
      </c>
      <c r="F7990">
        <v>7.5899999999999995E-2</v>
      </c>
    </row>
    <row r="7991" spans="1:6" x14ac:dyDescent="0.3">
      <c r="A7991" t="s">
        <v>8026</v>
      </c>
      <c r="B7991" t="s">
        <v>26</v>
      </c>
      <c r="C7991">
        <v>317000</v>
      </c>
      <c r="D7991">
        <v>4496</v>
      </c>
      <c r="E7991">
        <v>4.8300000000000003E-2</v>
      </c>
      <c r="F7991">
        <v>7.5899999999999995E-2</v>
      </c>
    </row>
    <row r="7992" spans="1:6" x14ac:dyDescent="0.3">
      <c r="A7992" t="s">
        <v>8027</v>
      </c>
      <c r="B7992" t="s">
        <v>62</v>
      </c>
      <c r="C7992">
        <v>495000</v>
      </c>
      <c r="D7992">
        <v>161</v>
      </c>
      <c r="E7992">
        <v>3.9100000000000003E-2</v>
      </c>
      <c r="F7992">
        <v>0.1226</v>
      </c>
    </row>
    <row r="7993" spans="1:6" x14ac:dyDescent="0.3">
      <c r="A7993" t="s">
        <v>8028</v>
      </c>
      <c r="B7993" t="s">
        <v>74</v>
      </c>
      <c r="C7993">
        <v>229000</v>
      </c>
      <c r="D7993">
        <v>3062</v>
      </c>
      <c r="E7993">
        <v>1.4999999999999999E-2</v>
      </c>
      <c r="F7993">
        <v>5.8500000000000003E-2</v>
      </c>
    </row>
    <row r="7994" spans="1:6" x14ac:dyDescent="0.3">
      <c r="A7994" t="s">
        <v>8029</v>
      </c>
      <c r="B7994" t="s">
        <v>50</v>
      </c>
      <c r="C7994">
        <v>236000</v>
      </c>
      <c r="D7994">
        <v>890.4</v>
      </c>
      <c r="E7994">
        <v>1.5299999999999999E-2</v>
      </c>
      <c r="F7994">
        <v>5.8500000000000003E-2</v>
      </c>
    </row>
    <row r="7995" spans="1:6" x14ac:dyDescent="0.3">
      <c r="A7995" t="s">
        <v>8030</v>
      </c>
      <c r="B7995" t="s">
        <v>88</v>
      </c>
      <c r="C7995">
        <v>222000</v>
      </c>
      <c r="D7995">
        <v>285</v>
      </c>
      <c r="E7995">
        <v>3.09E-2</v>
      </c>
      <c r="F7995">
        <v>7.5899999999999995E-2</v>
      </c>
    </row>
    <row r="7996" spans="1:6" x14ac:dyDescent="0.3">
      <c r="A7996" t="s">
        <v>8031</v>
      </c>
      <c r="B7996" t="s">
        <v>41</v>
      </c>
      <c r="C7996">
        <v>243000</v>
      </c>
      <c r="D7996">
        <v>4325.1000000000004</v>
      </c>
      <c r="F7996">
        <v>5.1799999999999999E-2</v>
      </c>
    </row>
    <row r="7997" spans="1:6" x14ac:dyDescent="0.3">
      <c r="A7997" t="s">
        <v>8032</v>
      </c>
      <c r="B7997" t="s">
        <v>24</v>
      </c>
      <c r="C7997">
        <v>226000</v>
      </c>
      <c r="D7997">
        <v>398.1</v>
      </c>
      <c r="E7997">
        <v>2.0199999999999999E-2</v>
      </c>
      <c r="F7997">
        <v>6.4299999999999996E-2</v>
      </c>
    </row>
    <row r="7998" spans="1:6" x14ac:dyDescent="0.3">
      <c r="A7998" t="s">
        <v>8033</v>
      </c>
      <c r="B7998" t="s">
        <v>214</v>
      </c>
      <c r="C7998">
        <v>287000</v>
      </c>
      <c r="D7998">
        <v>1367.8</v>
      </c>
      <c r="E7998">
        <v>2.1299999999999999E-2</v>
      </c>
      <c r="F7998">
        <v>0.1119</v>
      </c>
    </row>
    <row r="7999" spans="1:6" x14ac:dyDescent="0.3">
      <c r="A7999" t="s">
        <v>8034</v>
      </c>
      <c r="B7999" t="s">
        <v>24</v>
      </c>
      <c r="C7999">
        <v>279000</v>
      </c>
      <c r="D7999">
        <v>1797.3</v>
      </c>
      <c r="E7999">
        <v>2.93E-2</v>
      </c>
      <c r="F7999">
        <v>9.3799999999999994E-2</v>
      </c>
    </row>
    <row r="8000" spans="1:6" x14ac:dyDescent="0.3">
      <c r="A8000" t="s">
        <v>8035</v>
      </c>
      <c r="B8000" t="s">
        <v>26</v>
      </c>
      <c r="C8000">
        <v>226000</v>
      </c>
      <c r="D8000">
        <v>5151.3999999999996</v>
      </c>
      <c r="E8000">
        <v>3.7900000000000003E-2</v>
      </c>
      <c r="F8000">
        <v>7.5899999999999995E-2</v>
      </c>
    </row>
    <row r="8001" spans="1:6" x14ac:dyDescent="0.3">
      <c r="A8001" t="s">
        <v>8036</v>
      </c>
      <c r="B8001" t="s">
        <v>32</v>
      </c>
      <c r="C8001">
        <v>257000</v>
      </c>
      <c r="D8001">
        <v>2566</v>
      </c>
      <c r="E8001">
        <v>6.6199999999999995E-2</v>
      </c>
      <c r="F8001">
        <v>7.5899999999999995E-2</v>
      </c>
    </row>
    <row r="8002" spans="1:6" x14ac:dyDescent="0.3">
      <c r="A8002" t="s">
        <v>8037</v>
      </c>
      <c r="B8002" t="s">
        <v>214</v>
      </c>
      <c r="C8002">
        <v>257000</v>
      </c>
      <c r="D8002">
        <v>134074.5</v>
      </c>
      <c r="E8002">
        <v>3.9100000000000003E-2</v>
      </c>
      <c r="F8002">
        <v>9.5100000000000004E-2</v>
      </c>
    </row>
    <row r="8003" spans="1:6" x14ac:dyDescent="0.3">
      <c r="A8003" t="s">
        <v>8038</v>
      </c>
      <c r="B8003" t="s">
        <v>50</v>
      </c>
      <c r="C8003">
        <v>234000</v>
      </c>
      <c r="D8003">
        <v>3319.9</v>
      </c>
      <c r="E8003">
        <v>1.0800000000000001E-2</v>
      </c>
      <c r="F8003">
        <v>8.2199999999999995E-2</v>
      </c>
    </row>
    <row r="8004" spans="1:6" x14ac:dyDescent="0.3">
      <c r="A8004" t="s">
        <v>8039</v>
      </c>
      <c r="B8004" t="s">
        <v>88</v>
      </c>
      <c r="C8004">
        <v>304000</v>
      </c>
      <c r="D8004">
        <v>327.10000000000002</v>
      </c>
      <c r="E8004">
        <v>4.1599999999999998E-2</v>
      </c>
      <c r="F8004">
        <v>9.3799999999999994E-2</v>
      </c>
    </row>
    <row r="8005" spans="1:6" x14ac:dyDescent="0.3">
      <c r="A8005" t="s">
        <v>8040</v>
      </c>
      <c r="B8005" t="s">
        <v>74</v>
      </c>
      <c r="C8005">
        <v>253000</v>
      </c>
      <c r="D8005">
        <v>925.8</v>
      </c>
      <c r="E8005">
        <v>2.8299999999999999E-2</v>
      </c>
      <c r="F8005">
        <v>0.1239</v>
      </c>
    </row>
    <row r="8006" spans="1:6" x14ac:dyDescent="0.3">
      <c r="A8006" t="s">
        <v>8041</v>
      </c>
      <c r="B8006" t="s">
        <v>62</v>
      </c>
      <c r="C8006">
        <v>253000</v>
      </c>
      <c r="D8006">
        <v>1382.4</v>
      </c>
      <c r="E8006">
        <v>3.3700000000000001E-2</v>
      </c>
      <c r="F8006">
        <v>0.1241</v>
      </c>
    </row>
    <row r="8007" spans="1:6" x14ac:dyDescent="0.3">
      <c r="A8007" t="s">
        <v>8042</v>
      </c>
      <c r="B8007" t="s">
        <v>26</v>
      </c>
      <c r="C8007">
        <v>262000</v>
      </c>
      <c r="D8007">
        <v>1229.2</v>
      </c>
      <c r="E8007">
        <v>1.5699999999999999E-2</v>
      </c>
      <c r="F8007">
        <v>5.7599999999999998E-2</v>
      </c>
    </row>
    <row r="8008" spans="1:6" x14ac:dyDescent="0.3">
      <c r="A8008" t="s">
        <v>8043</v>
      </c>
      <c r="B8008" t="s">
        <v>71</v>
      </c>
      <c r="C8008">
        <v>224000</v>
      </c>
      <c r="D8008">
        <v>302.39999999999998</v>
      </c>
      <c r="E8008">
        <v>4.2500000000000003E-2</v>
      </c>
      <c r="F8008">
        <v>9.5100000000000004E-2</v>
      </c>
    </row>
    <row r="8009" spans="1:6" x14ac:dyDescent="0.3">
      <c r="A8009" t="s">
        <v>8044</v>
      </c>
      <c r="B8009" t="s">
        <v>26</v>
      </c>
      <c r="C8009">
        <v>339000</v>
      </c>
      <c r="D8009">
        <v>17285.400000000001</v>
      </c>
      <c r="E8009">
        <v>3.2300000000000002E-2</v>
      </c>
      <c r="F8009">
        <v>9.3799999999999994E-2</v>
      </c>
    </row>
    <row r="8010" spans="1:6" x14ac:dyDescent="0.3">
      <c r="A8010" t="s">
        <v>8045</v>
      </c>
      <c r="B8010" t="s">
        <v>88</v>
      </c>
      <c r="C8010">
        <v>228000</v>
      </c>
      <c r="D8010">
        <v>212314.3</v>
      </c>
      <c r="E8010">
        <v>7.8799999999999995E-2</v>
      </c>
      <c r="F8010">
        <v>7.5899999999999995E-2</v>
      </c>
    </row>
    <row r="8011" spans="1:6" x14ac:dyDescent="0.3">
      <c r="A8011" t="s">
        <v>8046</v>
      </c>
      <c r="B8011" t="s">
        <v>50</v>
      </c>
      <c r="C8011">
        <v>257000</v>
      </c>
      <c r="D8011">
        <v>536.5</v>
      </c>
      <c r="E8011">
        <v>0.12429999999999999</v>
      </c>
      <c r="F8011">
        <v>9.5000000000000001E-2</v>
      </c>
    </row>
    <row r="8012" spans="1:6" x14ac:dyDescent="0.3">
      <c r="A8012" t="s">
        <v>8047</v>
      </c>
      <c r="B8012" t="s">
        <v>71</v>
      </c>
      <c r="C8012">
        <v>642000</v>
      </c>
      <c r="D8012">
        <v>38700.800000000003</v>
      </c>
      <c r="E8012">
        <v>5.0099999999999999E-2</v>
      </c>
      <c r="F8012">
        <v>7.5899999999999995E-2</v>
      </c>
    </row>
    <row r="8013" spans="1:6" x14ac:dyDescent="0.3">
      <c r="A8013" t="s">
        <v>8048</v>
      </c>
      <c r="B8013" t="s">
        <v>21</v>
      </c>
      <c r="C8013">
        <v>340000</v>
      </c>
      <c r="D8013">
        <v>349352.5</v>
      </c>
      <c r="E8013">
        <v>5.1299999999999998E-2</v>
      </c>
      <c r="F8013">
        <v>7.5899999999999995E-2</v>
      </c>
    </row>
    <row r="8014" spans="1:6" x14ac:dyDescent="0.3">
      <c r="A8014" t="s">
        <v>8049</v>
      </c>
      <c r="B8014" t="s">
        <v>214</v>
      </c>
      <c r="C8014">
        <v>257000</v>
      </c>
      <c r="D8014">
        <v>804.6</v>
      </c>
      <c r="E8014">
        <v>1.06E-2</v>
      </c>
      <c r="F8014">
        <v>0.27289999999999998</v>
      </c>
    </row>
    <row r="8015" spans="1:6" x14ac:dyDescent="0.3">
      <c r="A8015" t="s">
        <v>8050</v>
      </c>
      <c r="B8015" t="s">
        <v>214</v>
      </c>
      <c r="C8015">
        <v>272000</v>
      </c>
      <c r="D8015">
        <v>1928.4</v>
      </c>
      <c r="E8015">
        <v>2.9899999999999999E-2</v>
      </c>
      <c r="F8015">
        <v>9.3799999999999994E-2</v>
      </c>
    </row>
    <row r="8016" spans="1:6" x14ac:dyDescent="0.3">
      <c r="A8016" t="s">
        <v>8051</v>
      </c>
      <c r="B8016" t="s">
        <v>24</v>
      </c>
      <c r="C8016">
        <v>274000</v>
      </c>
      <c r="D8016">
        <v>424.6</v>
      </c>
      <c r="E8016">
        <v>3.0099999999999998E-2</v>
      </c>
      <c r="F8016">
        <v>0.13869999999999999</v>
      </c>
    </row>
    <row r="8017" spans="1:6" x14ac:dyDescent="0.3">
      <c r="A8017" t="s">
        <v>8052</v>
      </c>
      <c r="B8017" t="s">
        <v>92</v>
      </c>
      <c r="C8017">
        <v>272000</v>
      </c>
      <c r="D8017">
        <v>918.7</v>
      </c>
      <c r="E8017">
        <v>2.0299999999999999E-2</v>
      </c>
      <c r="F8017">
        <v>7.5899999999999995E-2</v>
      </c>
    </row>
    <row r="8018" spans="1:6" x14ac:dyDescent="0.3">
      <c r="A8018" t="s">
        <v>8053</v>
      </c>
      <c r="B8018" t="s">
        <v>26</v>
      </c>
      <c r="C8018">
        <v>1010000</v>
      </c>
      <c r="D8018">
        <v>90104.3</v>
      </c>
      <c r="E8018">
        <v>2.1399999999999999E-2</v>
      </c>
      <c r="F8018">
        <v>4.6199999999999998E-2</v>
      </c>
    </row>
    <row r="8019" spans="1:6" x14ac:dyDescent="0.3">
      <c r="A8019" t="s">
        <v>8054</v>
      </c>
      <c r="B8019" t="s">
        <v>26</v>
      </c>
      <c r="C8019">
        <v>271000</v>
      </c>
      <c r="D8019">
        <v>470.7</v>
      </c>
      <c r="E8019">
        <v>1.7500000000000002E-2</v>
      </c>
      <c r="F8019">
        <v>8.1500000000000003E-2</v>
      </c>
    </row>
    <row r="8020" spans="1:6" x14ac:dyDescent="0.3">
      <c r="A8020" t="s">
        <v>8055</v>
      </c>
      <c r="B8020" t="s">
        <v>53</v>
      </c>
      <c r="C8020">
        <v>226000</v>
      </c>
      <c r="D8020">
        <v>6679.2</v>
      </c>
      <c r="E8020">
        <v>7.3899999999999993E-2</v>
      </c>
      <c r="F8020">
        <v>4.0899999999999999E-2</v>
      </c>
    </row>
    <row r="8021" spans="1:6" x14ac:dyDescent="0.3">
      <c r="A8021" t="s">
        <v>8056</v>
      </c>
      <c r="B8021" t="s">
        <v>24</v>
      </c>
      <c r="C8021">
        <v>274000</v>
      </c>
      <c r="D8021">
        <v>624.9</v>
      </c>
      <c r="E8021">
        <v>3.2599999999999997E-2</v>
      </c>
      <c r="F8021">
        <v>9.3799999999999994E-2</v>
      </c>
    </row>
    <row r="8022" spans="1:6" x14ac:dyDescent="0.3">
      <c r="A8022" t="s">
        <v>8057</v>
      </c>
      <c r="B8022" t="s">
        <v>92</v>
      </c>
      <c r="C8022">
        <v>433000</v>
      </c>
      <c r="D8022">
        <v>73326.7</v>
      </c>
      <c r="E8022">
        <v>1.6500000000000001E-2</v>
      </c>
      <c r="F8022">
        <v>4.6199999999999998E-2</v>
      </c>
    </row>
    <row r="8023" spans="1:6" x14ac:dyDescent="0.3">
      <c r="A8023" t="s">
        <v>8058</v>
      </c>
      <c r="B8023" t="s">
        <v>26</v>
      </c>
      <c r="C8023">
        <v>219000</v>
      </c>
      <c r="D8023">
        <v>57555.7</v>
      </c>
      <c r="E8023">
        <v>3.2300000000000002E-2</v>
      </c>
      <c r="F8023">
        <v>0.1066</v>
      </c>
    </row>
    <row r="8024" spans="1:6" x14ac:dyDescent="0.3">
      <c r="A8024" t="s">
        <v>8059</v>
      </c>
      <c r="B8024" t="s">
        <v>26</v>
      </c>
      <c r="C8024">
        <v>240000</v>
      </c>
      <c r="D8024">
        <v>76950.2</v>
      </c>
      <c r="E8024">
        <v>2.1000000000000001E-2</v>
      </c>
      <c r="F8024">
        <v>5.1799999999999999E-2</v>
      </c>
    </row>
    <row r="8025" spans="1:6" x14ac:dyDescent="0.3">
      <c r="A8025" t="s">
        <v>8060</v>
      </c>
      <c r="B8025" t="s">
        <v>71</v>
      </c>
      <c r="C8025">
        <v>247000</v>
      </c>
      <c r="D8025">
        <v>2132.9</v>
      </c>
      <c r="E8025">
        <v>3.44E-2</v>
      </c>
      <c r="F8025">
        <v>5.3800000000000001E-2</v>
      </c>
    </row>
    <row r="8026" spans="1:6" x14ac:dyDescent="0.3">
      <c r="A8026" t="s">
        <v>8061</v>
      </c>
      <c r="B8026" t="s">
        <v>92</v>
      </c>
      <c r="C8026">
        <v>237000</v>
      </c>
      <c r="D8026">
        <v>746.3</v>
      </c>
      <c r="E8026">
        <v>2.9600000000000001E-2</v>
      </c>
      <c r="F8026">
        <v>5.1799999999999999E-2</v>
      </c>
    </row>
    <row r="8027" spans="1:6" x14ac:dyDescent="0.3">
      <c r="A8027" t="s">
        <v>8062</v>
      </c>
      <c r="B8027" t="s">
        <v>26</v>
      </c>
      <c r="C8027">
        <v>231000</v>
      </c>
      <c r="D8027">
        <v>1857.4</v>
      </c>
      <c r="E8027">
        <v>1.4999999999999999E-2</v>
      </c>
      <c r="F8027">
        <v>5.8500000000000003E-2</v>
      </c>
    </row>
    <row r="8028" spans="1:6" x14ac:dyDescent="0.3">
      <c r="A8028" t="s">
        <v>8063</v>
      </c>
      <c r="B8028" t="s">
        <v>74</v>
      </c>
      <c r="C8028">
        <v>2040000</v>
      </c>
      <c r="D8028">
        <v>197098.6</v>
      </c>
      <c r="E8028">
        <v>6.5100000000000005E-2</v>
      </c>
      <c r="F8028">
        <v>7.5899999999999995E-2</v>
      </c>
    </row>
    <row r="8029" spans="1:6" x14ac:dyDescent="0.3">
      <c r="A8029" t="s">
        <v>8064</v>
      </c>
      <c r="B8029" t="s">
        <v>71</v>
      </c>
      <c r="C8029">
        <v>220000</v>
      </c>
      <c r="D8029">
        <v>16792.900000000001</v>
      </c>
      <c r="E8029">
        <v>2.52E-2</v>
      </c>
      <c r="F8029">
        <v>9.5100000000000004E-2</v>
      </c>
    </row>
    <row r="8030" spans="1:6" x14ac:dyDescent="0.3">
      <c r="A8030" t="s">
        <v>8065</v>
      </c>
      <c r="B8030" t="s">
        <v>30</v>
      </c>
      <c r="C8030">
        <v>990000</v>
      </c>
      <c r="D8030">
        <v>114744</v>
      </c>
      <c r="E8030">
        <v>1.78E-2</v>
      </c>
      <c r="F8030">
        <v>4.6199999999999998E-2</v>
      </c>
    </row>
    <row r="8031" spans="1:6" x14ac:dyDescent="0.3">
      <c r="A8031" t="s">
        <v>8066</v>
      </c>
      <c r="B8031" t="s">
        <v>21</v>
      </c>
      <c r="C8031">
        <v>267000</v>
      </c>
      <c r="D8031">
        <v>7619.5</v>
      </c>
      <c r="E8031">
        <v>1.5599999999999999E-2</v>
      </c>
      <c r="F8031">
        <v>0.1067</v>
      </c>
    </row>
    <row r="8032" spans="1:6" x14ac:dyDescent="0.3">
      <c r="A8032" t="s">
        <v>8067</v>
      </c>
      <c r="B8032" t="s">
        <v>214</v>
      </c>
      <c r="C8032">
        <v>252000</v>
      </c>
      <c r="D8032">
        <v>7704.2</v>
      </c>
      <c r="E8032">
        <v>1.47E-2</v>
      </c>
      <c r="F8032">
        <v>5.8500000000000003E-2</v>
      </c>
    </row>
    <row r="8033" spans="1:6" x14ac:dyDescent="0.3">
      <c r="A8033" t="s">
        <v>8068</v>
      </c>
      <c r="B8033" t="s">
        <v>50</v>
      </c>
      <c r="C8033">
        <v>299000</v>
      </c>
      <c r="D8033">
        <v>20888.400000000001</v>
      </c>
      <c r="E8033">
        <v>0.04</v>
      </c>
      <c r="F8033">
        <v>9.5100000000000004E-2</v>
      </c>
    </row>
    <row r="8034" spans="1:6" x14ac:dyDescent="0.3">
      <c r="A8034" t="s">
        <v>8069</v>
      </c>
      <c r="B8034" t="s">
        <v>26</v>
      </c>
      <c r="C8034">
        <v>356000</v>
      </c>
      <c r="D8034">
        <v>9595.1</v>
      </c>
      <c r="E8034">
        <v>4.8800000000000003E-2</v>
      </c>
      <c r="F8034">
        <v>7.5899999999999995E-2</v>
      </c>
    </row>
    <row r="8035" spans="1:6" x14ac:dyDescent="0.3">
      <c r="A8035" t="s">
        <v>8070</v>
      </c>
      <c r="B8035" t="s">
        <v>214</v>
      </c>
      <c r="C8035">
        <v>231000</v>
      </c>
      <c r="D8035">
        <v>745.9</v>
      </c>
      <c r="E8035">
        <v>2.69E-2</v>
      </c>
      <c r="F8035">
        <v>7.5899999999999995E-2</v>
      </c>
    </row>
    <row r="8036" spans="1:6" x14ac:dyDescent="0.3">
      <c r="A8036" t="s">
        <v>8071</v>
      </c>
      <c r="B8036" t="s">
        <v>53</v>
      </c>
      <c r="C8036">
        <v>231000</v>
      </c>
      <c r="D8036">
        <v>114281</v>
      </c>
      <c r="F8036">
        <v>5.1799999999999999E-2</v>
      </c>
    </row>
    <row r="8037" spans="1:6" x14ac:dyDescent="0.3">
      <c r="A8037" t="s">
        <v>8072</v>
      </c>
      <c r="B8037" t="s">
        <v>81</v>
      </c>
      <c r="C8037">
        <v>239000</v>
      </c>
      <c r="D8037">
        <v>16972.900000000001</v>
      </c>
      <c r="E8037">
        <v>1.32E-2</v>
      </c>
      <c r="F8037">
        <v>6.1600000000000002E-2</v>
      </c>
    </row>
    <row r="8038" spans="1:6" x14ac:dyDescent="0.3">
      <c r="A8038" t="s">
        <v>8073</v>
      </c>
      <c r="B8038" t="s">
        <v>26</v>
      </c>
      <c r="C8038">
        <v>236000</v>
      </c>
      <c r="D8038">
        <v>20158</v>
      </c>
      <c r="E8038">
        <v>2.4199999999999999E-2</v>
      </c>
      <c r="F8038">
        <v>9.5100000000000004E-2</v>
      </c>
    </row>
    <row r="8039" spans="1:6" x14ac:dyDescent="0.3">
      <c r="A8039" t="s">
        <v>8074</v>
      </c>
      <c r="B8039" t="s">
        <v>50</v>
      </c>
      <c r="C8039">
        <v>556000</v>
      </c>
      <c r="D8039">
        <v>1227124.8999999999</v>
      </c>
      <c r="E8039">
        <v>4.1500000000000002E-2</v>
      </c>
      <c r="F8039">
        <v>7.5899999999999995E-2</v>
      </c>
    </row>
    <row r="8040" spans="1:6" x14ac:dyDescent="0.3">
      <c r="A8040" t="s">
        <v>8075</v>
      </c>
      <c r="B8040" t="s">
        <v>88</v>
      </c>
      <c r="C8040">
        <v>383000</v>
      </c>
      <c r="D8040">
        <v>2611.1</v>
      </c>
      <c r="E8040">
        <v>3.8800000000000001E-2</v>
      </c>
      <c r="F8040">
        <v>7.5899999999999995E-2</v>
      </c>
    </row>
    <row r="8041" spans="1:6" x14ac:dyDescent="0.3">
      <c r="A8041" t="s">
        <v>8076</v>
      </c>
      <c r="B8041" t="s">
        <v>50</v>
      </c>
      <c r="C8041">
        <v>222000</v>
      </c>
      <c r="D8041">
        <v>35062.1</v>
      </c>
      <c r="E8041">
        <v>2.3199999999999998E-2</v>
      </c>
      <c r="F8041">
        <v>8.4500000000000006E-2</v>
      </c>
    </row>
    <row r="8042" spans="1:6" x14ac:dyDescent="0.3">
      <c r="A8042" t="s">
        <v>8077</v>
      </c>
      <c r="B8042" t="s">
        <v>81</v>
      </c>
      <c r="C8042">
        <v>224000</v>
      </c>
      <c r="D8042">
        <v>1698.1</v>
      </c>
      <c r="E8042">
        <v>4.02E-2</v>
      </c>
      <c r="F8042">
        <v>9.3799999999999994E-2</v>
      </c>
    </row>
    <row r="8043" spans="1:6" x14ac:dyDescent="0.3">
      <c r="A8043" t="s">
        <v>8078</v>
      </c>
      <c r="B8043" t="s">
        <v>26</v>
      </c>
      <c r="C8043">
        <v>225000</v>
      </c>
      <c r="D8043">
        <v>249524.5</v>
      </c>
      <c r="E8043">
        <v>2.2200000000000001E-2</v>
      </c>
      <c r="F8043">
        <v>9.5100000000000004E-2</v>
      </c>
    </row>
    <row r="8044" spans="1:6" x14ac:dyDescent="0.3">
      <c r="A8044" t="s">
        <v>8079</v>
      </c>
      <c r="B8044" t="s">
        <v>92</v>
      </c>
      <c r="C8044">
        <v>231000</v>
      </c>
      <c r="D8044">
        <v>6410.8</v>
      </c>
      <c r="E8044">
        <v>1.0999999999999999E-2</v>
      </c>
      <c r="F8044">
        <v>8.6599999999999996E-2</v>
      </c>
    </row>
    <row r="8045" spans="1:6" x14ac:dyDescent="0.3">
      <c r="A8045" t="s">
        <v>8080</v>
      </c>
      <c r="B8045" t="s">
        <v>50</v>
      </c>
      <c r="C8045">
        <v>230000</v>
      </c>
      <c r="D8045">
        <v>8801.5</v>
      </c>
      <c r="E8045">
        <v>4.1200000000000001E-2</v>
      </c>
      <c r="F8045">
        <v>9.5100000000000004E-2</v>
      </c>
    </row>
    <row r="8046" spans="1:6" x14ac:dyDescent="0.3">
      <c r="A8046" t="s">
        <v>8081</v>
      </c>
      <c r="B8046" t="s">
        <v>92</v>
      </c>
      <c r="C8046">
        <v>249000</v>
      </c>
      <c r="D8046">
        <v>43401.2</v>
      </c>
      <c r="E8046">
        <v>1.52E-2</v>
      </c>
      <c r="F8046">
        <v>0.1067</v>
      </c>
    </row>
    <row r="8047" spans="1:6" x14ac:dyDescent="0.3">
      <c r="A8047" t="s">
        <v>8082</v>
      </c>
      <c r="B8047" t="s">
        <v>81</v>
      </c>
      <c r="C8047">
        <v>290000</v>
      </c>
      <c r="D8047">
        <v>1295.5999999999999</v>
      </c>
      <c r="E8047">
        <v>1.2E-2</v>
      </c>
      <c r="F8047">
        <v>5.7599999999999998E-2</v>
      </c>
    </row>
    <row r="8048" spans="1:6" x14ac:dyDescent="0.3">
      <c r="A8048" t="s">
        <v>8083</v>
      </c>
      <c r="B8048" t="s">
        <v>81</v>
      </c>
      <c r="C8048">
        <v>238000</v>
      </c>
      <c r="D8048">
        <v>4546.5</v>
      </c>
      <c r="E8048">
        <v>2.29E-2</v>
      </c>
      <c r="F8048">
        <v>7.5899999999999995E-2</v>
      </c>
    </row>
    <row r="8049" spans="1:6" x14ac:dyDescent="0.3">
      <c r="A8049" t="s">
        <v>8084</v>
      </c>
      <c r="B8049" t="s">
        <v>92</v>
      </c>
      <c r="C8049">
        <v>278000</v>
      </c>
      <c r="D8049">
        <v>3832</v>
      </c>
      <c r="F8049">
        <v>4.0899999999999999E-2</v>
      </c>
    </row>
    <row r="8050" spans="1:6" x14ac:dyDescent="0.3">
      <c r="A8050" t="s">
        <v>8085</v>
      </c>
      <c r="B8050" t="s">
        <v>53</v>
      </c>
      <c r="C8050">
        <v>366000</v>
      </c>
      <c r="D8050">
        <v>9032.4</v>
      </c>
      <c r="E8050">
        <v>0.10639999999999999</v>
      </c>
      <c r="F8050">
        <v>7.5899999999999995E-2</v>
      </c>
    </row>
    <row r="8051" spans="1:6" x14ac:dyDescent="0.3">
      <c r="A8051" t="s">
        <v>8086</v>
      </c>
      <c r="B8051" t="s">
        <v>62</v>
      </c>
      <c r="C8051">
        <v>185000</v>
      </c>
      <c r="D8051">
        <v>1165.4000000000001</v>
      </c>
      <c r="E8051">
        <v>7.1000000000000004E-3</v>
      </c>
      <c r="F8051">
        <v>6.54E-2</v>
      </c>
    </row>
    <row r="8052" spans="1:6" x14ac:dyDescent="0.3">
      <c r="A8052" t="s">
        <v>8087</v>
      </c>
      <c r="B8052" t="s">
        <v>88</v>
      </c>
      <c r="C8052">
        <v>390000</v>
      </c>
      <c r="D8052">
        <v>1807.8</v>
      </c>
      <c r="F8052">
        <v>9.5100000000000004E-2</v>
      </c>
    </row>
    <row r="8053" spans="1:6" x14ac:dyDescent="0.3">
      <c r="A8053" t="s">
        <v>8088</v>
      </c>
      <c r="B8053" t="s">
        <v>214</v>
      </c>
      <c r="C8053">
        <v>227000</v>
      </c>
      <c r="D8053">
        <v>2519.6</v>
      </c>
      <c r="E8053">
        <v>1.54E-2</v>
      </c>
      <c r="F8053">
        <v>5.8500000000000003E-2</v>
      </c>
    </row>
    <row r="8054" spans="1:6" x14ac:dyDescent="0.3">
      <c r="A8054" t="s">
        <v>8089</v>
      </c>
      <c r="B8054" t="s">
        <v>26</v>
      </c>
      <c r="C8054">
        <v>319000</v>
      </c>
      <c r="D8054">
        <v>16341.6</v>
      </c>
      <c r="E8054">
        <v>4.7100000000000003E-2</v>
      </c>
      <c r="F8054">
        <v>7.5899999999999995E-2</v>
      </c>
    </row>
    <row r="8055" spans="1:6" x14ac:dyDescent="0.3">
      <c r="A8055" t="s">
        <v>8090</v>
      </c>
      <c r="B8055" t="s">
        <v>26</v>
      </c>
      <c r="C8055">
        <v>264000</v>
      </c>
      <c r="D8055">
        <v>5843.4</v>
      </c>
      <c r="E8055">
        <v>2.4E-2</v>
      </c>
      <c r="F8055">
        <v>4.0899999999999999E-2</v>
      </c>
    </row>
    <row r="8056" spans="1:6" x14ac:dyDescent="0.3">
      <c r="A8056" t="s">
        <v>8091</v>
      </c>
      <c r="B8056" t="s">
        <v>26</v>
      </c>
      <c r="C8056">
        <v>221000</v>
      </c>
      <c r="D8056">
        <v>19.3</v>
      </c>
      <c r="E8056">
        <v>0</v>
      </c>
      <c r="F8056">
        <v>8.2199999999999995E-2</v>
      </c>
    </row>
    <row r="8057" spans="1:6" x14ac:dyDescent="0.3">
      <c r="A8057" t="s">
        <v>8092</v>
      </c>
      <c r="B8057" t="s">
        <v>26</v>
      </c>
      <c r="C8057">
        <v>441000</v>
      </c>
      <c r="D8057">
        <v>4803.5</v>
      </c>
      <c r="F8057">
        <v>4.0899999999999999E-2</v>
      </c>
    </row>
    <row r="8058" spans="1:6" x14ac:dyDescent="0.3">
      <c r="A8058" t="s">
        <v>8093</v>
      </c>
      <c r="B8058" t="s">
        <v>195</v>
      </c>
      <c r="C8058">
        <v>466000</v>
      </c>
      <c r="D8058">
        <v>38068.400000000001</v>
      </c>
      <c r="E8058">
        <v>3.9800000000000002E-2</v>
      </c>
      <c r="F8058">
        <v>7.5899999999999995E-2</v>
      </c>
    </row>
    <row r="8059" spans="1:6" x14ac:dyDescent="0.3">
      <c r="A8059" t="s">
        <v>8094</v>
      </c>
      <c r="B8059" t="s">
        <v>26</v>
      </c>
      <c r="C8059">
        <v>222000</v>
      </c>
      <c r="D8059">
        <v>2201.3000000000002</v>
      </c>
      <c r="E8059">
        <v>4.4499999999999998E-2</v>
      </c>
      <c r="F8059">
        <v>0.1241</v>
      </c>
    </row>
    <row r="8060" spans="1:6" x14ac:dyDescent="0.3">
      <c r="A8060" t="s">
        <v>8095</v>
      </c>
      <c r="B8060" t="s">
        <v>88</v>
      </c>
      <c r="C8060">
        <v>244000</v>
      </c>
      <c r="D8060">
        <v>8785.9</v>
      </c>
      <c r="E8060">
        <v>0.66920000000000002</v>
      </c>
      <c r="F8060">
        <v>0.70040000000000002</v>
      </c>
    </row>
    <row r="8061" spans="1:6" x14ac:dyDescent="0.3">
      <c r="A8061" t="s">
        <v>8096</v>
      </c>
      <c r="B8061" t="s">
        <v>92</v>
      </c>
      <c r="C8061">
        <v>460000</v>
      </c>
      <c r="D8061">
        <v>44205.1</v>
      </c>
      <c r="E8061">
        <v>2.3199999999999998E-2</v>
      </c>
      <c r="F8061">
        <v>8.5400000000000004E-2</v>
      </c>
    </row>
    <row r="8062" spans="1:6" x14ac:dyDescent="0.3">
      <c r="A8062" t="s">
        <v>8097</v>
      </c>
      <c r="B8062" t="s">
        <v>81</v>
      </c>
      <c r="C8062">
        <v>408000</v>
      </c>
      <c r="D8062">
        <v>34504</v>
      </c>
      <c r="E8062">
        <v>1.7600000000000001E-2</v>
      </c>
      <c r="F8062">
        <v>0.1053</v>
      </c>
    </row>
    <row r="8063" spans="1:6" x14ac:dyDescent="0.3">
      <c r="A8063" t="s">
        <v>8098</v>
      </c>
      <c r="B8063" t="s">
        <v>26</v>
      </c>
      <c r="C8063">
        <v>196000</v>
      </c>
      <c r="D8063">
        <v>123410.6</v>
      </c>
      <c r="E8063">
        <v>3.85E-2</v>
      </c>
      <c r="F8063">
        <v>9.5100000000000004E-2</v>
      </c>
    </row>
    <row r="8064" spans="1:6" x14ac:dyDescent="0.3">
      <c r="A8064" t="s">
        <v>8099</v>
      </c>
      <c r="B8064" t="s">
        <v>24</v>
      </c>
      <c r="C8064">
        <v>264000</v>
      </c>
      <c r="D8064">
        <v>14201.9</v>
      </c>
      <c r="E8064">
        <v>5.3100000000000001E-2</v>
      </c>
      <c r="F8064">
        <v>9.5100000000000004E-2</v>
      </c>
    </row>
    <row r="8065" spans="1:6" x14ac:dyDescent="0.3">
      <c r="A8065" t="s">
        <v>8100</v>
      </c>
      <c r="B8065" t="s">
        <v>26</v>
      </c>
      <c r="C8065">
        <v>370000</v>
      </c>
      <c r="D8065">
        <v>16090.1</v>
      </c>
      <c r="E8065">
        <v>2.8500000000000001E-2</v>
      </c>
      <c r="F8065">
        <v>5.0999999999999997E-2</v>
      </c>
    </row>
    <row r="8066" spans="1:6" x14ac:dyDescent="0.3">
      <c r="A8066" t="s">
        <v>8101</v>
      </c>
      <c r="B8066" t="s">
        <v>26</v>
      </c>
      <c r="C8066">
        <v>349000</v>
      </c>
      <c r="D8066">
        <v>21203.1</v>
      </c>
      <c r="E8066">
        <v>4.41E-2</v>
      </c>
      <c r="F8066">
        <v>7.5899999999999995E-2</v>
      </c>
    </row>
    <row r="8067" spans="1:6" x14ac:dyDescent="0.3">
      <c r="A8067" t="s">
        <v>8102</v>
      </c>
      <c r="B8067" t="s">
        <v>41</v>
      </c>
      <c r="C8067">
        <v>238000</v>
      </c>
      <c r="D8067">
        <v>480.4</v>
      </c>
      <c r="E8067">
        <v>3.6999999999999998E-2</v>
      </c>
      <c r="F8067">
        <v>9.3799999999999994E-2</v>
      </c>
    </row>
    <row r="8068" spans="1:6" x14ac:dyDescent="0.3">
      <c r="A8068" t="s">
        <v>8103</v>
      </c>
      <c r="B8068" t="s">
        <v>32</v>
      </c>
      <c r="C8068">
        <v>253000</v>
      </c>
      <c r="D8068">
        <v>53.1</v>
      </c>
      <c r="E8068">
        <v>6.9800000000000001E-2</v>
      </c>
      <c r="F8068">
        <v>9.5100000000000004E-2</v>
      </c>
    </row>
    <row r="8069" spans="1:6" x14ac:dyDescent="0.3">
      <c r="A8069" t="s">
        <v>8104</v>
      </c>
      <c r="B8069" t="s">
        <v>88</v>
      </c>
      <c r="C8069">
        <v>216000</v>
      </c>
      <c r="D8069">
        <v>1778</v>
      </c>
      <c r="E8069">
        <v>9.5999999999999992E-3</v>
      </c>
      <c r="F8069">
        <v>0.14710000000000001</v>
      </c>
    </row>
    <row r="8070" spans="1:6" x14ac:dyDescent="0.3">
      <c r="A8070" t="s">
        <v>8105</v>
      </c>
      <c r="B8070" t="s">
        <v>26</v>
      </c>
      <c r="C8070">
        <v>355000</v>
      </c>
      <c r="D8070">
        <v>268871.7</v>
      </c>
      <c r="E8070">
        <v>2.8000000000000001E-2</v>
      </c>
      <c r="F8070">
        <v>4.0899999999999999E-2</v>
      </c>
    </row>
    <row r="8071" spans="1:6" x14ac:dyDescent="0.3">
      <c r="A8071" t="s">
        <v>8106</v>
      </c>
      <c r="B8071" t="s">
        <v>26</v>
      </c>
      <c r="C8071">
        <v>330000</v>
      </c>
      <c r="D8071">
        <v>127450</v>
      </c>
      <c r="E8071">
        <v>1.01E-2</v>
      </c>
      <c r="F8071">
        <v>7.3599999999999999E-2</v>
      </c>
    </row>
    <row r="8072" spans="1:6" x14ac:dyDescent="0.3">
      <c r="A8072" t="s">
        <v>8107</v>
      </c>
      <c r="B8072" t="s">
        <v>74</v>
      </c>
      <c r="C8072">
        <v>266000</v>
      </c>
      <c r="D8072">
        <v>115556.6</v>
      </c>
      <c r="E8072">
        <v>6.0600000000000001E-2</v>
      </c>
      <c r="F8072">
        <v>9.5100000000000004E-2</v>
      </c>
    </row>
    <row r="8073" spans="1:6" x14ac:dyDescent="0.3">
      <c r="A8073" t="s">
        <v>8108</v>
      </c>
      <c r="B8073" t="s">
        <v>74</v>
      </c>
      <c r="C8073">
        <v>212000</v>
      </c>
      <c r="D8073">
        <v>515.79999999999995</v>
      </c>
      <c r="E8073">
        <v>6.7599999999999993E-2</v>
      </c>
      <c r="F8073">
        <v>9.5100000000000004E-2</v>
      </c>
    </row>
    <row r="8074" spans="1:6" x14ac:dyDescent="0.3">
      <c r="A8074" t="s">
        <v>8109</v>
      </c>
      <c r="B8074" t="s">
        <v>26</v>
      </c>
      <c r="C8074">
        <v>207000</v>
      </c>
      <c r="D8074">
        <v>372.6</v>
      </c>
      <c r="E8074">
        <v>2.07E-2</v>
      </c>
      <c r="F8074">
        <v>0.1067</v>
      </c>
    </row>
    <row r="8075" spans="1:6" x14ac:dyDescent="0.3">
      <c r="A8075" t="s">
        <v>8110</v>
      </c>
      <c r="B8075" t="s">
        <v>88</v>
      </c>
      <c r="C8075">
        <v>238000</v>
      </c>
      <c r="D8075">
        <v>640.70000000000005</v>
      </c>
      <c r="E8075">
        <v>2.01E-2</v>
      </c>
      <c r="F8075">
        <v>0.1119</v>
      </c>
    </row>
    <row r="8076" spans="1:6" x14ac:dyDescent="0.3">
      <c r="A8076" t="s">
        <v>8111</v>
      </c>
      <c r="B8076" t="s">
        <v>74</v>
      </c>
      <c r="C8076">
        <v>325000</v>
      </c>
      <c r="D8076">
        <v>5359</v>
      </c>
      <c r="E8076">
        <v>4.3200000000000002E-2</v>
      </c>
      <c r="F8076">
        <v>7.5899999999999995E-2</v>
      </c>
    </row>
    <row r="8077" spans="1:6" x14ac:dyDescent="0.3">
      <c r="A8077" t="s">
        <v>8112</v>
      </c>
      <c r="B8077" t="s">
        <v>32</v>
      </c>
      <c r="C8077">
        <v>315000</v>
      </c>
      <c r="D8077">
        <v>134192.20000000001</v>
      </c>
      <c r="E8077">
        <v>2.6200000000000001E-2</v>
      </c>
      <c r="F8077">
        <v>9.5100000000000004E-2</v>
      </c>
    </row>
    <row r="8078" spans="1:6" x14ac:dyDescent="0.3">
      <c r="A8078" t="s">
        <v>8113</v>
      </c>
      <c r="B8078" t="s">
        <v>92</v>
      </c>
      <c r="C8078">
        <v>371000</v>
      </c>
      <c r="D8078">
        <v>8223.5</v>
      </c>
      <c r="E8078">
        <v>9.7999999999999997E-3</v>
      </c>
      <c r="F8078">
        <v>8.2199999999999995E-2</v>
      </c>
    </row>
    <row r="8079" spans="1:6" x14ac:dyDescent="0.3">
      <c r="A8079" t="s">
        <v>8114</v>
      </c>
      <c r="B8079" t="s">
        <v>88</v>
      </c>
      <c r="C8079">
        <v>230000</v>
      </c>
      <c r="D8079">
        <v>4875.3</v>
      </c>
      <c r="E8079">
        <v>3.2099999999999997E-2</v>
      </c>
      <c r="F8079">
        <v>9.3799999999999994E-2</v>
      </c>
    </row>
    <row r="8080" spans="1:6" x14ac:dyDescent="0.3">
      <c r="A8080" t="s">
        <v>8115</v>
      </c>
      <c r="B8080" t="s">
        <v>74</v>
      </c>
      <c r="C8080">
        <v>227000</v>
      </c>
      <c r="D8080">
        <v>51010.5</v>
      </c>
      <c r="E8080">
        <v>1.4999999999999999E-2</v>
      </c>
      <c r="F8080">
        <v>5.8500000000000003E-2</v>
      </c>
    </row>
    <row r="8081" spans="1:6" x14ac:dyDescent="0.3">
      <c r="A8081" t="s">
        <v>8116</v>
      </c>
      <c r="B8081" t="s">
        <v>490</v>
      </c>
      <c r="C8081">
        <v>522000</v>
      </c>
      <c r="D8081">
        <v>340385.5</v>
      </c>
      <c r="E8081">
        <v>2.86E-2</v>
      </c>
      <c r="F8081">
        <v>4.3200000000000002E-2</v>
      </c>
    </row>
    <row r="8082" spans="1:6" x14ac:dyDescent="0.3">
      <c r="A8082" t="s">
        <v>8117</v>
      </c>
      <c r="B8082" t="s">
        <v>195</v>
      </c>
      <c r="C8082">
        <v>344000</v>
      </c>
      <c r="D8082">
        <v>1013.5</v>
      </c>
      <c r="F8082">
        <v>0.11700000000000001</v>
      </c>
    </row>
    <row r="8083" spans="1:6" x14ac:dyDescent="0.3">
      <c r="A8083" t="s">
        <v>8118</v>
      </c>
      <c r="B8083" t="s">
        <v>195</v>
      </c>
      <c r="C8083">
        <v>405000</v>
      </c>
      <c r="D8083">
        <v>21220.2</v>
      </c>
      <c r="E8083">
        <v>6.4199999999999993E-2</v>
      </c>
      <c r="F8083">
        <v>9.3799999999999994E-2</v>
      </c>
    </row>
    <row r="8084" spans="1:6" x14ac:dyDescent="0.3">
      <c r="A8084" t="s">
        <v>8119</v>
      </c>
      <c r="B8084" t="s">
        <v>41</v>
      </c>
      <c r="C8084">
        <v>339000</v>
      </c>
      <c r="D8084">
        <v>8083.7</v>
      </c>
      <c r="E8084">
        <v>1.66E-2</v>
      </c>
      <c r="F8084">
        <v>5.7599999999999998E-2</v>
      </c>
    </row>
    <row r="8085" spans="1:6" x14ac:dyDescent="0.3">
      <c r="A8085" t="s">
        <v>8120</v>
      </c>
      <c r="B8085" t="s">
        <v>26</v>
      </c>
      <c r="C8085">
        <v>223000</v>
      </c>
      <c r="D8085">
        <v>3896.1</v>
      </c>
      <c r="E8085">
        <v>4.2999999999999997E-2</v>
      </c>
      <c r="F8085">
        <v>7.5899999999999995E-2</v>
      </c>
    </row>
    <row r="8086" spans="1:6" x14ac:dyDescent="0.3">
      <c r="A8086" t="s">
        <v>8121</v>
      </c>
      <c r="B8086" t="s">
        <v>88</v>
      </c>
      <c r="C8086">
        <v>315000</v>
      </c>
      <c r="D8086">
        <v>7440.1</v>
      </c>
      <c r="E8086">
        <v>2.6499999999999999E-2</v>
      </c>
      <c r="F8086">
        <v>9.5100000000000004E-2</v>
      </c>
    </row>
    <row r="8087" spans="1:6" x14ac:dyDescent="0.3">
      <c r="A8087" t="s">
        <v>8122</v>
      </c>
      <c r="B8087" t="s">
        <v>88</v>
      </c>
      <c r="C8087">
        <v>221000</v>
      </c>
      <c r="D8087">
        <v>14368.6</v>
      </c>
      <c r="E8087">
        <v>8.0100000000000005E-2</v>
      </c>
      <c r="F8087">
        <v>9.5100000000000004E-2</v>
      </c>
    </row>
    <row r="8088" spans="1:6" x14ac:dyDescent="0.3">
      <c r="A8088" t="s">
        <v>8123</v>
      </c>
      <c r="B8088" t="s">
        <v>26</v>
      </c>
      <c r="C8088">
        <v>338000</v>
      </c>
      <c r="D8088">
        <v>99748</v>
      </c>
      <c r="E8088">
        <v>3.3500000000000002E-2</v>
      </c>
      <c r="F8088">
        <v>7.5899999999999995E-2</v>
      </c>
    </row>
    <row r="8089" spans="1:6" x14ac:dyDescent="0.3">
      <c r="A8089" t="s">
        <v>8124</v>
      </c>
      <c r="B8089" t="s">
        <v>74</v>
      </c>
      <c r="C8089">
        <v>293000</v>
      </c>
      <c r="D8089">
        <v>1328</v>
      </c>
      <c r="E8089">
        <v>1.89E-2</v>
      </c>
      <c r="F8089">
        <v>8.5400000000000004E-2</v>
      </c>
    </row>
    <row r="8090" spans="1:6" x14ac:dyDescent="0.3">
      <c r="A8090" t="s">
        <v>8125</v>
      </c>
      <c r="B8090" t="s">
        <v>21</v>
      </c>
      <c r="C8090">
        <v>241000</v>
      </c>
      <c r="D8090">
        <v>6977.9</v>
      </c>
      <c r="E8090">
        <v>3.27E-2</v>
      </c>
      <c r="F8090">
        <v>9.5100000000000004E-2</v>
      </c>
    </row>
    <row r="8091" spans="1:6" x14ac:dyDescent="0.3">
      <c r="A8091" t="s">
        <v>8126</v>
      </c>
      <c r="B8091" t="s">
        <v>26</v>
      </c>
      <c r="C8091">
        <v>294000</v>
      </c>
      <c r="D8091">
        <v>5168.8</v>
      </c>
      <c r="E8091">
        <v>2.2599999999999999E-2</v>
      </c>
      <c r="F8091">
        <v>4.6199999999999998E-2</v>
      </c>
    </row>
    <row r="8092" spans="1:6" x14ac:dyDescent="0.3">
      <c r="A8092" t="s">
        <v>8127</v>
      </c>
      <c r="B8092" t="s">
        <v>50</v>
      </c>
      <c r="C8092">
        <v>288000</v>
      </c>
      <c r="D8092">
        <v>12907.3</v>
      </c>
      <c r="F8092">
        <v>9.5100000000000004E-2</v>
      </c>
    </row>
    <row r="8093" spans="1:6" x14ac:dyDescent="0.3">
      <c r="A8093" t="s">
        <v>8128</v>
      </c>
      <c r="B8093" t="s">
        <v>88</v>
      </c>
      <c r="C8093">
        <v>429000</v>
      </c>
      <c r="D8093">
        <v>5110.5</v>
      </c>
      <c r="E8093">
        <v>3.5499999999999997E-2</v>
      </c>
      <c r="F8093">
        <v>7.5899999999999995E-2</v>
      </c>
    </row>
    <row r="8094" spans="1:6" x14ac:dyDescent="0.3">
      <c r="A8094" t="s">
        <v>8129</v>
      </c>
      <c r="B8094" t="s">
        <v>30</v>
      </c>
      <c r="C8094">
        <v>17700000</v>
      </c>
      <c r="D8094">
        <v>3056721.9</v>
      </c>
      <c r="E8094">
        <v>7.6E-3</v>
      </c>
      <c r="F8094">
        <v>6.54E-2</v>
      </c>
    </row>
    <row r="8095" spans="1:6" x14ac:dyDescent="0.3">
      <c r="A8095" t="s">
        <v>8130</v>
      </c>
      <c r="B8095" t="s">
        <v>35</v>
      </c>
      <c r="C8095">
        <v>437000</v>
      </c>
      <c r="D8095">
        <v>84896</v>
      </c>
      <c r="E8095">
        <v>1.2800000000000001E-2</v>
      </c>
      <c r="F8095">
        <v>6.54E-2</v>
      </c>
    </row>
    <row r="8096" spans="1:6" x14ac:dyDescent="0.3">
      <c r="A8096" t="s">
        <v>8131</v>
      </c>
      <c r="B8096" t="s">
        <v>26</v>
      </c>
      <c r="C8096">
        <v>275000</v>
      </c>
      <c r="D8096">
        <v>1688</v>
      </c>
      <c r="E8096">
        <v>3.09E-2</v>
      </c>
      <c r="F8096">
        <v>9.3799999999999994E-2</v>
      </c>
    </row>
    <row r="8097" spans="1:6" x14ac:dyDescent="0.3">
      <c r="A8097" t="s">
        <v>8132</v>
      </c>
      <c r="B8097" t="s">
        <v>81</v>
      </c>
      <c r="C8097">
        <v>259000</v>
      </c>
      <c r="D8097">
        <v>7558</v>
      </c>
      <c r="E8097">
        <v>4.4999999999999998E-2</v>
      </c>
      <c r="F8097">
        <v>9.5100000000000004E-2</v>
      </c>
    </row>
    <row r="8098" spans="1:6" x14ac:dyDescent="0.3">
      <c r="A8098" t="s">
        <v>8133</v>
      </c>
      <c r="B8098" t="s">
        <v>50</v>
      </c>
      <c r="C8098">
        <v>265000</v>
      </c>
      <c r="D8098">
        <v>34070</v>
      </c>
      <c r="E8098">
        <v>4.2500000000000003E-2</v>
      </c>
      <c r="F8098">
        <v>9.5100000000000004E-2</v>
      </c>
    </row>
    <row r="8099" spans="1:6" x14ac:dyDescent="0.3">
      <c r="A8099" t="s">
        <v>8134</v>
      </c>
      <c r="B8099" t="s">
        <v>88</v>
      </c>
      <c r="C8099">
        <v>220000</v>
      </c>
      <c r="D8099">
        <v>16678.2</v>
      </c>
      <c r="E8099">
        <v>1.2800000000000001E-2</v>
      </c>
      <c r="F8099">
        <v>9.11E-2</v>
      </c>
    </row>
    <row r="8100" spans="1:6" x14ac:dyDescent="0.3">
      <c r="A8100" t="s">
        <v>8135</v>
      </c>
      <c r="B8100" t="s">
        <v>71</v>
      </c>
      <c r="C8100">
        <v>216000</v>
      </c>
      <c r="D8100">
        <v>14674.7</v>
      </c>
      <c r="F8100">
        <v>9.5100000000000004E-2</v>
      </c>
    </row>
    <row r="8101" spans="1:6" x14ac:dyDescent="0.3">
      <c r="A8101" t="s">
        <v>8136</v>
      </c>
      <c r="B8101" t="s">
        <v>41</v>
      </c>
      <c r="C8101">
        <v>328000</v>
      </c>
      <c r="D8101">
        <v>7704.7</v>
      </c>
      <c r="F8101">
        <v>9.3799999999999994E-2</v>
      </c>
    </row>
    <row r="8102" spans="1:6" x14ac:dyDescent="0.3">
      <c r="A8102" t="s">
        <v>8137</v>
      </c>
      <c r="B8102" t="s">
        <v>214</v>
      </c>
      <c r="C8102">
        <v>266000</v>
      </c>
      <c r="D8102">
        <v>8250.6</v>
      </c>
      <c r="E8102">
        <v>2.24E-2</v>
      </c>
      <c r="F8102">
        <v>8.4500000000000006E-2</v>
      </c>
    </row>
    <row r="8103" spans="1:6" x14ac:dyDescent="0.3">
      <c r="A8103" t="s">
        <v>8138</v>
      </c>
      <c r="B8103" t="s">
        <v>287</v>
      </c>
      <c r="C8103">
        <v>217000</v>
      </c>
      <c r="D8103">
        <v>3064.4</v>
      </c>
      <c r="E8103">
        <v>3.8199999999999998E-2</v>
      </c>
      <c r="F8103">
        <v>9.5100000000000004E-2</v>
      </c>
    </row>
    <row r="8104" spans="1:6" x14ac:dyDescent="0.3">
      <c r="A8104" t="s">
        <v>8139</v>
      </c>
      <c r="B8104" t="s">
        <v>88</v>
      </c>
      <c r="C8104">
        <v>264000</v>
      </c>
      <c r="D8104">
        <v>3449.9</v>
      </c>
      <c r="E8104">
        <v>3.4500000000000003E-2</v>
      </c>
      <c r="F8104">
        <v>7.5899999999999995E-2</v>
      </c>
    </row>
    <row r="8105" spans="1:6" x14ac:dyDescent="0.3">
      <c r="A8105" t="s">
        <v>8140</v>
      </c>
      <c r="B8105" t="s">
        <v>26</v>
      </c>
      <c r="C8105">
        <v>343000</v>
      </c>
      <c r="D8105">
        <v>3397.7</v>
      </c>
      <c r="E8105">
        <v>2.9499999999999998E-2</v>
      </c>
      <c r="F8105">
        <v>9.3799999999999994E-2</v>
      </c>
    </row>
    <row r="8106" spans="1:6" x14ac:dyDescent="0.3">
      <c r="A8106" t="s">
        <v>8141</v>
      </c>
      <c r="B8106" t="s">
        <v>88</v>
      </c>
      <c r="C8106">
        <v>314000</v>
      </c>
      <c r="D8106">
        <v>2418.4</v>
      </c>
      <c r="E8106">
        <v>3.5099999999999999E-2</v>
      </c>
      <c r="F8106">
        <v>9.3799999999999994E-2</v>
      </c>
    </row>
    <row r="8107" spans="1:6" x14ac:dyDescent="0.3">
      <c r="A8107" t="s">
        <v>8142</v>
      </c>
      <c r="B8107" t="s">
        <v>24</v>
      </c>
      <c r="C8107">
        <v>610000</v>
      </c>
      <c r="D8107">
        <v>8785.6</v>
      </c>
      <c r="E8107">
        <v>4.3E-3</v>
      </c>
      <c r="F8107">
        <v>6.54E-2</v>
      </c>
    </row>
    <row r="8108" spans="1:6" x14ac:dyDescent="0.3">
      <c r="A8108" t="s">
        <v>8143</v>
      </c>
      <c r="B8108" t="s">
        <v>24</v>
      </c>
      <c r="C8108">
        <v>255000</v>
      </c>
      <c r="D8108">
        <v>9425.5</v>
      </c>
      <c r="E8108">
        <v>7.0000000000000001E-3</v>
      </c>
      <c r="F8108">
        <v>8.2199999999999995E-2</v>
      </c>
    </row>
    <row r="8109" spans="1:6" x14ac:dyDescent="0.3">
      <c r="A8109" t="s">
        <v>8144</v>
      </c>
      <c r="B8109" t="s">
        <v>26</v>
      </c>
      <c r="C8109">
        <v>246000</v>
      </c>
      <c r="D8109">
        <v>4815.7</v>
      </c>
      <c r="E8109">
        <v>8.7599999999999997E-2</v>
      </c>
      <c r="F8109">
        <v>7.5899999999999995E-2</v>
      </c>
    </row>
    <row r="8110" spans="1:6" x14ac:dyDescent="0.3">
      <c r="A8110" t="s">
        <v>8145</v>
      </c>
      <c r="B8110" t="s">
        <v>26</v>
      </c>
      <c r="C8110">
        <v>273000</v>
      </c>
      <c r="D8110">
        <v>5500</v>
      </c>
      <c r="E8110">
        <v>8.2000000000000007E-3</v>
      </c>
      <c r="F8110">
        <v>0.1013</v>
      </c>
    </row>
    <row r="8111" spans="1:6" x14ac:dyDescent="0.3">
      <c r="A8111" t="s">
        <v>8146</v>
      </c>
      <c r="B8111" t="s">
        <v>74</v>
      </c>
      <c r="C8111">
        <v>258000</v>
      </c>
      <c r="D8111">
        <v>45510.8</v>
      </c>
      <c r="E8111">
        <v>4.3499999999999997E-2</v>
      </c>
      <c r="F8111">
        <v>9.5100000000000004E-2</v>
      </c>
    </row>
    <row r="8112" spans="1:6" x14ac:dyDescent="0.3">
      <c r="A8112" t="s">
        <v>8147</v>
      </c>
      <c r="B8112" t="s">
        <v>214</v>
      </c>
      <c r="C8112">
        <v>234000</v>
      </c>
      <c r="D8112">
        <v>6348.4</v>
      </c>
      <c r="E8112">
        <v>3.6600000000000001E-2</v>
      </c>
      <c r="F8112">
        <v>9.5100000000000004E-2</v>
      </c>
    </row>
    <row r="8113" spans="1:6" x14ac:dyDescent="0.3">
      <c r="A8113" t="s">
        <v>8148</v>
      </c>
      <c r="B8113" t="s">
        <v>88</v>
      </c>
      <c r="C8113">
        <v>286000</v>
      </c>
      <c r="D8113">
        <v>15612.1</v>
      </c>
      <c r="E8113">
        <v>1.5699999999999999E-2</v>
      </c>
      <c r="F8113">
        <v>9.3700000000000006E-2</v>
      </c>
    </row>
    <row r="8114" spans="1:6" x14ac:dyDescent="0.3">
      <c r="A8114" t="s">
        <v>8149</v>
      </c>
      <c r="B8114" t="s">
        <v>92</v>
      </c>
      <c r="C8114">
        <v>258000</v>
      </c>
      <c r="D8114">
        <v>958.3</v>
      </c>
      <c r="E8114">
        <v>2.1000000000000001E-2</v>
      </c>
      <c r="F8114">
        <v>0.1242</v>
      </c>
    </row>
    <row r="8115" spans="1:6" x14ac:dyDescent="0.3">
      <c r="A8115" t="s">
        <v>8150</v>
      </c>
      <c r="B8115" t="s">
        <v>74</v>
      </c>
      <c r="C8115">
        <v>262000</v>
      </c>
      <c r="D8115">
        <v>4801.8999999999996</v>
      </c>
      <c r="E8115">
        <v>4.5999999999999999E-2</v>
      </c>
      <c r="F8115">
        <v>7.5899999999999995E-2</v>
      </c>
    </row>
    <row r="8116" spans="1:6" x14ac:dyDescent="0.3">
      <c r="A8116" t="s">
        <v>8151</v>
      </c>
      <c r="B8116" t="s">
        <v>26</v>
      </c>
      <c r="C8116">
        <v>221000</v>
      </c>
      <c r="D8116">
        <v>236.5</v>
      </c>
      <c r="E8116">
        <v>6.8999999999999999E-3</v>
      </c>
      <c r="F8116">
        <v>0.22700000000000001</v>
      </c>
    </row>
    <row r="8117" spans="1:6" x14ac:dyDescent="0.3">
      <c r="A8117" t="s">
        <v>8152</v>
      </c>
      <c r="B8117" t="s">
        <v>88</v>
      </c>
      <c r="C8117">
        <v>232000</v>
      </c>
      <c r="D8117">
        <v>3763.8</v>
      </c>
      <c r="E8117">
        <v>5.79E-2</v>
      </c>
      <c r="F8117">
        <v>9.5100000000000004E-2</v>
      </c>
    </row>
    <row r="8118" spans="1:6" x14ac:dyDescent="0.3">
      <c r="A8118" t="s">
        <v>8153</v>
      </c>
      <c r="B8118" t="s">
        <v>26</v>
      </c>
      <c r="C8118">
        <v>215000</v>
      </c>
      <c r="D8118">
        <v>14522.5</v>
      </c>
      <c r="E8118">
        <v>9.4999999999999998E-3</v>
      </c>
      <c r="F8118">
        <v>8.2199999999999995E-2</v>
      </c>
    </row>
    <row r="8119" spans="1:6" x14ac:dyDescent="0.3">
      <c r="A8119" t="s">
        <v>8154</v>
      </c>
      <c r="B8119" t="s">
        <v>88</v>
      </c>
      <c r="C8119">
        <v>282000</v>
      </c>
      <c r="D8119">
        <v>1402.6</v>
      </c>
      <c r="E8119">
        <v>5.3999999999999999E-2</v>
      </c>
      <c r="F8119">
        <v>9.3799999999999994E-2</v>
      </c>
    </row>
    <row r="8120" spans="1:6" x14ac:dyDescent="0.3">
      <c r="A8120" t="s">
        <v>8155</v>
      </c>
      <c r="B8120" t="s">
        <v>88</v>
      </c>
      <c r="C8120">
        <v>232000</v>
      </c>
      <c r="D8120">
        <v>521.5</v>
      </c>
      <c r="E8120">
        <v>9.2299999999999993E-2</v>
      </c>
      <c r="F8120">
        <v>0.2331</v>
      </c>
    </row>
    <row r="8121" spans="1:6" x14ac:dyDescent="0.3">
      <c r="A8121" t="s">
        <v>8156</v>
      </c>
      <c r="B8121" t="s">
        <v>26</v>
      </c>
      <c r="C8121">
        <v>485000</v>
      </c>
      <c r="D8121">
        <v>124817</v>
      </c>
      <c r="E8121">
        <v>7.3099999999999998E-2</v>
      </c>
      <c r="F8121">
        <v>9.3799999999999994E-2</v>
      </c>
    </row>
    <row r="8122" spans="1:6" x14ac:dyDescent="0.3">
      <c r="A8122" t="s">
        <v>8157</v>
      </c>
      <c r="B8122" t="s">
        <v>24</v>
      </c>
      <c r="C8122">
        <v>387000</v>
      </c>
      <c r="D8122">
        <v>10901.8</v>
      </c>
      <c r="E8122">
        <v>4.5900000000000003E-2</v>
      </c>
      <c r="F8122">
        <v>7.5899999999999995E-2</v>
      </c>
    </row>
    <row r="8123" spans="1:6" x14ac:dyDescent="0.3">
      <c r="A8123" t="s">
        <v>8158</v>
      </c>
      <c r="B8123" t="s">
        <v>21</v>
      </c>
      <c r="C8123">
        <v>225000</v>
      </c>
      <c r="D8123">
        <v>3596.2</v>
      </c>
      <c r="E8123">
        <v>6.7500000000000004E-2</v>
      </c>
      <c r="F8123">
        <v>9.5100000000000004E-2</v>
      </c>
    </row>
    <row r="8124" spans="1:6" x14ac:dyDescent="0.3">
      <c r="A8124" t="s">
        <v>8159</v>
      </c>
      <c r="B8124" t="s">
        <v>74</v>
      </c>
      <c r="C8124">
        <v>235000</v>
      </c>
      <c r="D8124">
        <v>6043.6</v>
      </c>
      <c r="E8124">
        <v>2.12E-2</v>
      </c>
      <c r="F8124">
        <v>0.1893</v>
      </c>
    </row>
    <row r="8125" spans="1:6" x14ac:dyDescent="0.3">
      <c r="A8125" t="s">
        <v>8160</v>
      </c>
      <c r="B8125" t="s">
        <v>50</v>
      </c>
      <c r="C8125">
        <v>892000</v>
      </c>
      <c r="D8125">
        <v>36677.5</v>
      </c>
      <c r="E8125">
        <v>4.9399999999999999E-2</v>
      </c>
      <c r="F8125">
        <v>7.5899999999999995E-2</v>
      </c>
    </row>
    <row r="8126" spans="1:6" x14ac:dyDescent="0.3">
      <c r="A8126" t="s">
        <v>8161</v>
      </c>
      <c r="B8126" t="s">
        <v>71</v>
      </c>
      <c r="C8126">
        <v>267000</v>
      </c>
      <c r="D8126">
        <v>629.5</v>
      </c>
      <c r="E8126">
        <v>5.7000000000000002E-3</v>
      </c>
      <c r="F8126">
        <v>0.1113</v>
      </c>
    </row>
    <row r="8127" spans="1:6" x14ac:dyDescent="0.3">
      <c r="A8127" t="s">
        <v>8162</v>
      </c>
      <c r="B8127" t="s">
        <v>88</v>
      </c>
      <c r="C8127">
        <v>291000</v>
      </c>
      <c r="D8127">
        <v>4314.3999999999996</v>
      </c>
      <c r="E8127">
        <v>1.2E-2</v>
      </c>
      <c r="F8127">
        <v>0.10150000000000001</v>
      </c>
    </row>
    <row r="8128" spans="1:6" x14ac:dyDescent="0.3">
      <c r="A8128" t="s">
        <v>8163</v>
      </c>
      <c r="B8128" t="s">
        <v>74</v>
      </c>
      <c r="C8128">
        <v>224000</v>
      </c>
      <c r="D8128">
        <v>7480.5</v>
      </c>
      <c r="E8128">
        <v>5.1700000000000003E-2</v>
      </c>
      <c r="F8128">
        <v>4.0899999999999999E-2</v>
      </c>
    </row>
    <row r="8129" spans="1:6" x14ac:dyDescent="0.3">
      <c r="A8129" t="s">
        <v>8164</v>
      </c>
      <c r="B8129" t="s">
        <v>81</v>
      </c>
      <c r="C8129">
        <v>244000</v>
      </c>
      <c r="D8129">
        <v>20522.900000000001</v>
      </c>
      <c r="E8129">
        <v>4.4600000000000001E-2</v>
      </c>
      <c r="F8129">
        <v>9.5100000000000004E-2</v>
      </c>
    </row>
    <row r="8130" spans="1:6" x14ac:dyDescent="0.3">
      <c r="A8130" t="s">
        <v>8165</v>
      </c>
      <c r="B8130" t="s">
        <v>26</v>
      </c>
      <c r="C8130">
        <v>384000</v>
      </c>
      <c r="D8130">
        <v>386845.2</v>
      </c>
      <c r="E8130">
        <v>3.6600000000000001E-2</v>
      </c>
      <c r="F8130">
        <v>4.0899999999999999E-2</v>
      </c>
    </row>
    <row r="8131" spans="1:6" x14ac:dyDescent="0.3">
      <c r="A8131" t="s">
        <v>8166</v>
      </c>
      <c r="B8131" t="s">
        <v>26</v>
      </c>
      <c r="C8131">
        <v>270000</v>
      </c>
      <c r="D8131">
        <v>53487.1</v>
      </c>
      <c r="E8131">
        <v>3.8399999999999997E-2</v>
      </c>
      <c r="F8131">
        <v>7.5899999999999995E-2</v>
      </c>
    </row>
    <row r="8132" spans="1:6" x14ac:dyDescent="0.3">
      <c r="A8132" t="s">
        <v>8167</v>
      </c>
      <c r="B8132" t="s">
        <v>50</v>
      </c>
      <c r="C8132">
        <v>529000</v>
      </c>
      <c r="D8132">
        <v>47424.1</v>
      </c>
      <c r="E8132">
        <v>1.66E-2</v>
      </c>
      <c r="F8132">
        <v>4.6199999999999998E-2</v>
      </c>
    </row>
    <row r="8133" spans="1:6" x14ac:dyDescent="0.3">
      <c r="A8133" t="s">
        <v>8168</v>
      </c>
      <c r="B8133" t="s">
        <v>24</v>
      </c>
      <c r="C8133">
        <v>261000</v>
      </c>
      <c r="D8133">
        <v>1529.6</v>
      </c>
      <c r="E8133">
        <v>1.9400000000000001E-2</v>
      </c>
      <c r="F8133">
        <v>0.13250000000000001</v>
      </c>
    </row>
    <row r="8134" spans="1:6" x14ac:dyDescent="0.3">
      <c r="A8134" t="s">
        <v>8169</v>
      </c>
      <c r="B8134" t="s">
        <v>88</v>
      </c>
      <c r="C8134">
        <v>221000</v>
      </c>
      <c r="D8134">
        <v>1152.8</v>
      </c>
      <c r="E8134">
        <v>4.8599999999999997E-2</v>
      </c>
      <c r="F8134">
        <v>9.3799999999999994E-2</v>
      </c>
    </row>
    <row r="8135" spans="1:6" x14ac:dyDescent="0.3">
      <c r="A8135" t="s">
        <v>8170</v>
      </c>
      <c r="B8135" t="s">
        <v>24</v>
      </c>
      <c r="C8135">
        <v>220000</v>
      </c>
      <c r="D8135">
        <v>2986.8</v>
      </c>
      <c r="E8135">
        <v>2.3699999999999999E-2</v>
      </c>
      <c r="F8135">
        <v>5.1799999999999999E-2</v>
      </c>
    </row>
    <row r="8136" spans="1:6" x14ac:dyDescent="0.3">
      <c r="A8136" t="s">
        <v>8171</v>
      </c>
      <c r="B8136" t="s">
        <v>71</v>
      </c>
      <c r="C8136">
        <v>227000</v>
      </c>
      <c r="D8136">
        <v>13951.4</v>
      </c>
      <c r="E8136">
        <v>4.8599999999999997E-2</v>
      </c>
      <c r="F8136">
        <v>9.5100000000000004E-2</v>
      </c>
    </row>
    <row r="8137" spans="1:6" x14ac:dyDescent="0.3">
      <c r="A8137" t="s">
        <v>8172</v>
      </c>
      <c r="B8137" t="s">
        <v>26</v>
      </c>
      <c r="C8137">
        <v>4010000</v>
      </c>
      <c r="D8137">
        <v>31232.9</v>
      </c>
      <c r="E8137">
        <v>1.41E-2</v>
      </c>
      <c r="F8137">
        <v>5.8500000000000003E-2</v>
      </c>
    </row>
    <row r="8138" spans="1:6" x14ac:dyDescent="0.3">
      <c r="A8138" t="s">
        <v>8173</v>
      </c>
      <c r="B8138" t="s">
        <v>287</v>
      </c>
      <c r="C8138">
        <v>252000</v>
      </c>
      <c r="D8138">
        <v>9372</v>
      </c>
      <c r="E8138">
        <v>1.0200000000000001E-2</v>
      </c>
      <c r="F8138">
        <v>0.1027</v>
      </c>
    </row>
    <row r="8139" spans="1:6" x14ac:dyDescent="0.3">
      <c r="A8139" t="s">
        <v>8174</v>
      </c>
      <c r="B8139" t="s">
        <v>24</v>
      </c>
      <c r="C8139">
        <v>1960000</v>
      </c>
      <c r="D8139">
        <v>11281</v>
      </c>
      <c r="F8139">
        <v>5.1799999999999999E-2</v>
      </c>
    </row>
    <row r="8140" spans="1:6" x14ac:dyDescent="0.3">
      <c r="A8140" t="s">
        <v>8175</v>
      </c>
      <c r="B8140" t="s">
        <v>92</v>
      </c>
      <c r="C8140">
        <v>217000</v>
      </c>
      <c r="D8140">
        <v>640.1</v>
      </c>
      <c r="E8140">
        <v>8.2000000000000007E-3</v>
      </c>
      <c r="F8140">
        <v>0.22939999999999999</v>
      </c>
    </row>
    <row r="8141" spans="1:6" x14ac:dyDescent="0.3">
      <c r="A8141" t="s">
        <v>8176</v>
      </c>
      <c r="B8141" t="s">
        <v>214</v>
      </c>
      <c r="C8141">
        <v>228000</v>
      </c>
      <c r="D8141">
        <v>16015.9</v>
      </c>
      <c r="E8141">
        <v>7.7000000000000002E-3</v>
      </c>
      <c r="F8141">
        <v>8.2100000000000006E-2</v>
      </c>
    </row>
    <row r="8142" spans="1:6" x14ac:dyDescent="0.3">
      <c r="A8142" t="s">
        <v>8177</v>
      </c>
      <c r="B8142" t="s">
        <v>214</v>
      </c>
      <c r="C8142">
        <v>246000</v>
      </c>
      <c r="D8142">
        <v>743999.4</v>
      </c>
      <c r="E8142">
        <v>9.1000000000000004E-3</v>
      </c>
      <c r="F8142">
        <v>8.2199999999999995E-2</v>
      </c>
    </row>
    <row r="8143" spans="1:6" x14ac:dyDescent="0.3">
      <c r="A8143" t="s">
        <v>8178</v>
      </c>
      <c r="B8143" t="s">
        <v>74</v>
      </c>
      <c r="C8143">
        <v>249000</v>
      </c>
      <c r="D8143">
        <v>22215.200000000001</v>
      </c>
      <c r="E8143">
        <v>5.9799999999999999E-2</v>
      </c>
      <c r="F8143">
        <v>9.5100000000000004E-2</v>
      </c>
    </row>
    <row r="8144" spans="1:6" x14ac:dyDescent="0.3">
      <c r="A8144" t="s">
        <v>8179</v>
      </c>
      <c r="B8144" t="s">
        <v>32</v>
      </c>
      <c r="C8144">
        <v>241000</v>
      </c>
      <c r="D8144">
        <v>2493.1999999999998</v>
      </c>
      <c r="E8144">
        <v>7.2900000000000006E-2</v>
      </c>
      <c r="F8144">
        <v>9.5100000000000004E-2</v>
      </c>
    </row>
    <row r="8145" spans="1:6" x14ac:dyDescent="0.3">
      <c r="A8145" t="s">
        <v>8180</v>
      </c>
      <c r="B8145" t="s">
        <v>88</v>
      </c>
      <c r="C8145">
        <v>217000</v>
      </c>
      <c r="D8145">
        <v>220.9</v>
      </c>
      <c r="E8145">
        <v>1.9800000000000002E-2</v>
      </c>
      <c r="F8145">
        <v>0.65329999999999999</v>
      </c>
    </row>
    <row r="8146" spans="1:6" x14ac:dyDescent="0.3">
      <c r="A8146" t="s">
        <v>8181</v>
      </c>
      <c r="B8146" t="s">
        <v>26</v>
      </c>
      <c r="C8146">
        <v>207000</v>
      </c>
      <c r="D8146">
        <v>4853.8999999999996</v>
      </c>
      <c r="F8146">
        <v>9.5100000000000004E-2</v>
      </c>
    </row>
    <row r="8147" spans="1:6" x14ac:dyDescent="0.3">
      <c r="A8147" t="s">
        <v>8182</v>
      </c>
      <c r="B8147" t="s">
        <v>88</v>
      </c>
      <c r="C8147">
        <v>232000</v>
      </c>
      <c r="D8147">
        <v>1412.8</v>
      </c>
      <c r="E8147">
        <v>2.5600000000000001E-2</v>
      </c>
      <c r="F8147">
        <v>0.1055</v>
      </c>
    </row>
    <row r="8148" spans="1:6" x14ac:dyDescent="0.3">
      <c r="A8148" t="s">
        <v>8183</v>
      </c>
      <c r="B8148" t="s">
        <v>74</v>
      </c>
      <c r="C8148">
        <v>236000</v>
      </c>
      <c r="D8148">
        <v>2298.3000000000002</v>
      </c>
      <c r="E8148">
        <v>1.6299999999999999E-2</v>
      </c>
      <c r="F8148">
        <v>0.1067</v>
      </c>
    </row>
    <row r="8149" spans="1:6" x14ac:dyDescent="0.3">
      <c r="A8149" t="s">
        <v>8184</v>
      </c>
      <c r="B8149" t="s">
        <v>88</v>
      </c>
      <c r="C8149">
        <v>334000</v>
      </c>
      <c r="D8149">
        <v>430</v>
      </c>
      <c r="E8149">
        <v>7.1599999999999997E-2</v>
      </c>
      <c r="F8149">
        <v>9.3799999999999994E-2</v>
      </c>
    </row>
    <row r="8150" spans="1:6" x14ac:dyDescent="0.3">
      <c r="A8150" t="s">
        <v>8185</v>
      </c>
      <c r="B8150" t="s">
        <v>26</v>
      </c>
      <c r="C8150">
        <v>425000</v>
      </c>
      <c r="D8150">
        <v>19138.5</v>
      </c>
      <c r="E8150">
        <v>6.7000000000000004E-2</v>
      </c>
      <c r="F8150">
        <v>6.7199999999999996E-2</v>
      </c>
    </row>
    <row r="8151" spans="1:6" x14ac:dyDescent="0.3">
      <c r="A8151" t="s">
        <v>8186</v>
      </c>
      <c r="B8151" t="s">
        <v>214</v>
      </c>
      <c r="C8151">
        <v>235000</v>
      </c>
      <c r="D8151">
        <v>76277</v>
      </c>
      <c r="E8151">
        <v>1.26E-2</v>
      </c>
      <c r="F8151">
        <v>5.8500000000000003E-2</v>
      </c>
    </row>
    <row r="8152" spans="1:6" x14ac:dyDescent="0.3">
      <c r="A8152" t="s">
        <v>8187</v>
      </c>
      <c r="B8152" t="s">
        <v>26</v>
      </c>
      <c r="C8152">
        <v>298000</v>
      </c>
      <c r="D8152">
        <v>273533.59999999998</v>
      </c>
      <c r="E8152">
        <v>2.3300000000000001E-2</v>
      </c>
      <c r="F8152">
        <v>9.5100000000000004E-2</v>
      </c>
    </row>
    <row r="8153" spans="1:6" x14ac:dyDescent="0.3">
      <c r="A8153" t="s">
        <v>8188</v>
      </c>
      <c r="B8153" t="s">
        <v>88</v>
      </c>
      <c r="C8153">
        <v>263000</v>
      </c>
      <c r="D8153">
        <v>18511</v>
      </c>
      <c r="E8153">
        <v>5.4399999999999997E-2</v>
      </c>
      <c r="F8153">
        <v>9.5100000000000004E-2</v>
      </c>
    </row>
    <row r="8154" spans="1:6" x14ac:dyDescent="0.3">
      <c r="A8154" t="s">
        <v>8189</v>
      </c>
      <c r="B8154" t="s">
        <v>24</v>
      </c>
      <c r="C8154">
        <v>246000</v>
      </c>
      <c r="D8154">
        <v>12063.7</v>
      </c>
      <c r="F8154">
        <v>9.5100000000000004E-2</v>
      </c>
    </row>
    <row r="8155" spans="1:6" x14ac:dyDescent="0.3">
      <c r="A8155" t="s">
        <v>8190</v>
      </c>
      <c r="B8155" t="s">
        <v>35</v>
      </c>
      <c r="C8155">
        <v>230000</v>
      </c>
      <c r="D8155">
        <v>2750.6</v>
      </c>
      <c r="E8155">
        <v>1.9300000000000001E-2</v>
      </c>
      <c r="F8155">
        <v>8.5400000000000004E-2</v>
      </c>
    </row>
    <row r="8156" spans="1:6" x14ac:dyDescent="0.3">
      <c r="A8156" t="s">
        <v>8191</v>
      </c>
      <c r="B8156" t="s">
        <v>41</v>
      </c>
      <c r="C8156">
        <v>244000</v>
      </c>
      <c r="D8156">
        <v>3980</v>
      </c>
      <c r="E8156">
        <v>3.32E-2</v>
      </c>
      <c r="F8156">
        <v>9.5100000000000004E-2</v>
      </c>
    </row>
    <row r="8157" spans="1:6" x14ac:dyDescent="0.3">
      <c r="A8157" t="s">
        <v>8192</v>
      </c>
      <c r="B8157" t="s">
        <v>26</v>
      </c>
      <c r="C8157">
        <v>262000</v>
      </c>
      <c r="D8157">
        <v>258.39999999999998</v>
      </c>
      <c r="E8157">
        <v>1.9199999999999998E-2</v>
      </c>
      <c r="F8157">
        <v>5.1700000000000003E-2</v>
      </c>
    </row>
    <row r="8158" spans="1:6" x14ac:dyDescent="0.3">
      <c r="A8158" t="s">
        <v>8193</v>
      </c>
      <c r="B8158" t="s">
        <v>88</v>
      </c>
      <c r="C8158">
        <v>1120000</v>
      </c>
      <c r="D8158">
        <v>9438.7000000000007</v>
      </c>
      <c r="E8158">
        <v>8.3299999999999999E-2</v>
      </c>
      <c r="F8158">
        <v>9.3799999999999994E-2</v>
      </c>
    </row>
    <row r="8159" spans="1:6" x14ac:dyDescent="0.3">
      <c r="A8159" t="s">
        <v>8194</v>
      </c>
      <c r="B8159" t="s">
        <v>26</v>
      </c>
      <c r="C8159">
        <v>334000</v>
      </c>
      <c r="D8159">
        <v>4109.5</v>
      </c>
      <c r="E8159">
        <v>6.7599999999999993E-2</v>
      </c>
      <c r="F8159">
        <v>9.3799999999999994E-2</v>
      </c>
    </row>
    <row r="8160" spans="1:6" x14ac:dyDescent="0.3">
      <c r="A8160" t="s">
        <v>8195</v>
      </c>
      <c r="B8160" t="s">
        <v>81</v>
      </c>
      <c r="C8160">
        <v>246000</v>
      </c>
      <c r="D8160">
        <v>1488.4</v>
      </c>
      <c r="E8160">
        <v>2.7900000000000001E-2</v>
      </c>
      <c r="F8160">
        <v>9.3799999999999994E-2</v>
      </c>
    </row>
    <row r="8161" spans="1:6" x14ac:dyDescent="0.3">
      <c r="A8161" t="s">
        <v>8196</v>
      </c>
      <c r="B8161" t="s">
        <v>88</v>
      </c>
      <c r="C8161">
        <v>238000</v>
      </c>
      <c r="D8161">
        <v>5136.3</v>
      </c>
      <c r="E8161">
        <v>1.7899999999999999E-2</v>
      </c>
      <c r="F8161">
        <v>0.1119</v>
      </c>
    </row>
    <row r="8162" spans="1:6" x14ac:dyDescent="0.3">
      <c r="A8162" t="s">
        <v>8197</v>
      </c>
      <c r="B8162" t="s">
        <v>26</v>
      </c>
      <c r="C8162">
        <v>339000</v>
      </c>
      <c r="D8162">
        <v>124310.9</v>
      </c>
      <c r="E8162">
        <v>1.89E-2</v>
      </c>
      <c r="F8162">
        <v>4.6199999999999998E-2</v>
      </c>
    </row>
    <row r="8163" spans="1:6" x14ac:dyDescent="0.3">
      <c r="A8163" t="s">
        <v>8198</v>
      </c>
      <c r="B8163" t="s">
        <v>88</v>
      </c>
      <c r="C8163">
        <v>1030000</v>
      </c>
      <c r="D8163">
        <v>2763.3</v>
      </c>
      <c r="E8163">
        <v>8.8999999999999996E-2</v>
      </c>
      <c r="F8163">
        <v>9.3799999999999994E-2</v>
      </c>
    </row>
    <row r="8164" spans="1:6" x14ac:dyDescent="0.3">
      <c r="A8164" t="s">
        <v>8199</v>
      </c>
      <c r="B8164" t="s">
        <v>71</v>
      </c>
      <c r="C8164">
        <v>478000</v>
      </c>
      <c r="D8164">
        <v>203195.3</v>
      </c>
      <c r="E8164">
        <v>3.8699999999999998E-2</v>
      </c>
      <c r="F8164">
        <v>9.5100000000000004E-2</v>
      </c>
    </row>
    <row r="8165" spans="1:6" x14ac:dyDescent="0.3">
      <c r="A8165" t="s">
        <v>8200</v>
      </c>
      <c r="B8165" t="s">
        <v>53</v>
      </c>
      <c r="C8165">
        <v>216000</v>
      </c>
      <c r="D8165">
        <v>3045.5</v>
      </c>
      <c r="E8165">
        <v>2.3699999999999999E-2</v>
      </c>
      <c r="F8165">
        <v>9.5100000000000004E-2</v>
      </c>
    </row>
    <row r="8166" spans="1:6" x14ac:dyDescent="0.3">
      <c r="A8166" t="s">
        <v>8201</v>
      </c>
      <c r="B8166" t="s">
        <v>41</v>
      </c>
      <c r="C8166">
        <v>353000</v>
      </c>
      <c r="D8166">
        <v>163624.1</v>
      </c>
      <c r="E8166">
        <v>1.9599999999999999E-2</v>
      </c>
      <c r="F8166">
        <v>0.11849999999999999</v>
      </c>
    </row>
    <row r="8167" spans="1:6" x14ac:dyDescent="0.3">
      <c r="A8167" t="s">
        <v>8202</v>
      </c>
      <c r="B8167" t="s">
        <v>26</v>
      </c>
      <c r="C8167">
        <v>214000</v>
      </c>
      <c r="D8167">
        <v>5881.5</v>
      </c>
      <c r="E8167">
        <v>2.41E-2</v>
      </c>
      <c r="F8167">
        <v>9.5100000000000004E-2</v>
      </c>
    </row>
    <row r="8168" spans="1:6" x14ac:dyDescent="0.3">
      <c r="A8168" t="s">
        <v>8203</v>
      </c>
      <c r="B8168" t="s">
        <v>62</v>
      </c>
      <c r="C8168">
        <v>273000</v>
      </c>
      <c r="D8168">
        <v>163378.4</v>
      </c>
      <c r="E8168">
        <v>4.1399999999999999E-2</v>
      </c>
      <c r="F8168">
        <v>5.1799999999999999E-2</v>
      </c>
    </row>
    <row r="8169" spans="1:6" x14ac:dyDescent="0.3">
      <c r="A8169" t="s">
        <v>8204</v>
      </c>
      <c r="B8169" t="s">
        <v>26</v>
      </c>
      <c r="C8169">
        <v>985000</v>
      </c>
      <c r="D8169">
        <v>17101</v>
      </c>
      <c r="E8169">
        <v>7.4700000000000003E-2</v>
      </c>
      <c r="F8169">
        <v>7.5899999999999995E-2</v>
      </c>
    </row>
    <row r="8170" spans="1:6" x14ac:dyDescent="0.3">
      <c r="A8170" t="s">
        <v>8205</v>
      </c>
      <c r="B8170" t="s">
        <v>74</v>
      </c>
      <c r="C8170">
        <v>295000</v>
      </c>
      <c r="D8170">
        <v>443.1</v>
      </c>
      <c r="E8170">
        <v>2.9600000000000001E-2</v>
      </c>
      <c r="F8170">
        <v>7.5899999999999995E-2</v>
      </c>
    </row>
    <row r="8171" spans="1:6" x14ac:dyDescent="0.3">
      <c r="A8171" t="s">
        <v>8206</v>
      </c>
      <c r="B8171" t="s">
        <v>24</v>
      </c>
      <c r="C8171">
        <v>222000</v>
      </c>
      <c r="D8171">
        <v>289.8</v>
      </c>
      <c r="E8171">
        <v>1.9E-2</v>
      </c>
      <c r="F8171">
        <v>5.0999999999999997E-2</v>
      </c>
    </row>
    <row r="8172" spans="1:6" x14ac:dyDescent="0.3">
      <c r="A8172" t="s">
        <v>8207</v>
      </c>
      <c r="B8172" t="s">
        <v>88</v>
      </c>
      <c r="C8172">
        <v>292000</v>
      </c>
      <c r="D8172">
        <v>4394.2</v>
      </c>
      <c r="E8172">
        <v>4.4699999999999997E-2</v>
      </c>
      <c r="F8172">
        <v>9.5100000000000004E-2</v>
      </c>
    </row>
    <row r="8173" spans="1:6" x14ac:dyDescent="0.3">
      <c r="A8173" t="s">
        <v>8208</v>
      </c>
      <c r="B8173" t="s">
        <v>214</v>
      </c>
      <c r="C8173">
        <v>230000</v>
      </c>
      <c r="D8173">
        <v>2444.5</v>
      </c>
      <c r="E8173">
        <v>2.41E-2</v>
      </c>
      <c r="F8173">
        <v>0.13869999999999999</v>
      </c>
    </row>
    <row r="8174" spans="1:6" x14ac:dyDescent="0.3">
      <c r="A8174" t="s">
        <v>8209</v>
      </c>
      <c r="B8174" t="s">
        <v>21</v>
      </c>
      <c r="C8174">
        <v>549000</v>
      </c>
      <c r="D8174">
        <v>670825.4</v>
      </c>
      <c r="E8174">
        <v>2.0400000000000001E-2</v>
      </c>
      <c r="F8174">
        <v>8.4500000000000006E-2</v>
      </c>
    </row>
    <row r="8175" spans="1:6" x14ac:dyDescent="0.3">
      <c r="A8175" t="s">
        <v>8210</v>
      </c>
      <c r="B8175" t="s">
        <v>41</v>
      </c>
      <c r="C8175">
        <v>218000</v>
      </c>
      <c r="D8175">
        <v>443.4</v>
      </c>
      <c r="E8175">
        <v>3.9699999999999999E-2</v>
      </c>
      <c r="F8175">
        <v>9.5100000000000004E-2</v>
      </c>
    </row>
    <row r="8176" spans="1:6" x14ac:dyDescent="0.3">
      <c r="A8176" t="s">
        <v>8211</v>
      </c>
      <c r="B8176" t="s">
        <v>41</v>
      </c>
      <c r="C8176">
        <v>412000</v>
      </c>
      <c r="D8176">
        <v>9286</v>
      </c>
      <c r="E8176">
        <v>6.8199999999999997E-2</v>
      </c>
      <c r="F8176">
        <v>9.3799999999999994E-2</v>
      </c>
    </row>
    <row r="8177" spans="1:6" x14ac:dyDescent="0.3">
      <c r="A8177" t="s">
        <v>8212</v>
      </c>
      <c r="B8177" t="s">
        <v>88</v>
      </c>
      <c r="C8177">
        <v>252000</v>
      </c>
      <c r="D8177">
        <v>746.4</v>
      </c>
      <c r="E8177">
        <v>3.04E-2</v>
      </c>
      <c r="F8177">
        <v>9.3799999999999994E-2</v>
      </c>
    </row>
    <row r="8178" spans="1:6" x14ac:dyDescent="0.3">
      <c r="A8178" t="s">
        <v>8213</v>
      </c>
      <c r="B8178" t="s">
        <v>30</v>
      </c>
      <c r="C8178">
        <v>278000</v>
      </c>
      <c r="D8178">
        <v>40131.9</v>
      </c>
      <c r="E8178">
        <v>0.11119999999999999</v>
      </c>
      <c r="F8178">
        <v>7.5899999999999995E-2</v>
      </c>
    </row>
    <row r="8179" spans="1:6" x14ac:dyDescent="0.3">
      <c r="A8179" t="s">
        <v>8214</v>
      </c>
      <c r="B8179" t="s">
        <v>41</v>
      </c>
      <c r="C8179">
        <v>273000</v>
      </c>
      <c r="D8179">
        <v>17.600000000000001</v>
      </c>
      <c r="E8179">
        <v>4.1500000000000002E-2</v>
      </c>
      <c r="F8179">
        <v>0.3095</v>
      </c>
    </row>
    <row r="8180" spans="1:6" x14ac:dyDescent="0.3">
      <c r="A8180" t="s">
        <v>8215</v>
      </c>
      <c r="B8180" t="s">
        <v>26</v>
      </c>
      <c r="C8180">
        <v>244000</v>
      </c>
      <c r="D8180">
        <v>31788</v>
      </c>
      <c r="E8180">
        <v>3.09E-2</v>
      </c>
      <c r="F8180">
        <v>4.0899999999999999E-2</v>
      </c>
    </row>
    <row r="8181" spans="1:6" x14ac:dyDescent="0.3">
      <c r="A8181" t="s">
        <v>8216</v>
      </c>
      <c r="B8181" t="s">
        <v>26</v>
      </c>
      <c r="C8181">
        <v>201000</v>
      </c>
      <c r="D8181">
        <v>3526.3</v>
      </c>
      <c r="E8181">
        <v>4.07E-2</v>
      </c>
      <c r="F8181">
        <v>9.5100000000000004E-2</v>
      </c>
    </row>
    <row r="8182" spans="1:6" x14ac:dyDescent="0.3">
      <c r="A8182" t="s">
        <v>8217</v>
      </c>
      <c r="B8182" t="s">
        <v>88</v>
      </c>
      <c r="C8182">
        <v>373000</v>
      </c>
      <c r="D8182">
        <v>583.4</v>
      </c>
      <c r="E8182">
        <v>1.8700000000000001E-2</v>
      </c>
      <c r="F8182">
        <v>5.0999999999999997E-2</v>
      </c>
    </row>
    <row r="8183" spans="1:6" x14ac:dyDescent="0.3">
      <c r="A8183" t="s">
        <v>8218</v>
      </c>
      <c r="B8183" t="s">
        <v>24</v>
      </c>
      <c r="C8183">
        <v>318000</v>
      </c>
      <c r="D8183">
        <v>20495</v>
      </c>
      <c r="E8183">
        <v>1.06E-2</v>
      </c>
      <c r="F8183">
        <v>0.14710000000000001</v>
      </c>
    </row>
    <row r="8184" spans="1:6" x14ac:dyDescent="0.3">
      <c r="A8184" t="s">
        <v>8219</v>
      </c>
      <c r="B8184" t="s">
        <v>26</v>
      </c>
      <c r="C8184">
        <v>274000</v>
      </c>
      <c r="D8184">
        <v>65448.7</v>
      </c>
      <c r="F8184">
        <v>9.5100000000000004E-2</v>
      </c>
    </row>
    <row r="8185" spans="1:6" x14ac:dyDescent="0.3">
      <c r="A8185" t="s">
        <v>8220</v>
      </c>
      <c r="B8185" t="s">
        <v>62</v>
      </c>
      <c r="C8185">
        <v>244000</v>
      </c>
      <c r="D8185">
        <v>952.9</v>
      </c>
      <c r="E8185">
        <v>3.4500000000000003E-2</v>
      </c>
      <c r="F8185">
        <v>7.5899999999999995E-2</v>
      </c>
    </row>
    <row r="8186" spans="1:6" x14ac:dyDescent="0.3">
      <c r="A8186" t="s">
        <v>8221</v>
      </c>
      <c r="B8186" t="s">
        <v>41</v>
      </c>
      <c r="C8186">
        <v>254000</v>
      </c>
      <c r="D8186">
        <v>321.89999999999998</v>
      </c>
      <c r="E8186">
        <v>1.35E-2</v>
      </c>
      <c r="F8186">
        <v>0.13900000000000001</v>
      </c>
    </row>
    <row r="8187" spans="1:6" x14ac:dyDescent="0.3">
      <c r="A8187" t="s">
        <v>8222</v>
      </c>
      <c r="B8187" t="s">
        <v>26</v>
      </c>
      <c r="C8187">
        <v>215000</v>
      </c>
      <c r="D8187">
        <v>3011.5</v>
      </c>
      <c r="E8187">
        <v>3.5099999999999999E-2</v>
      </c>
      <c r="F8187">
        <v>7.5899999999999995E-2</v>
      </c>
    </row>
    <row r="8188" spans="1:6" x14ac:dyDescent="0.3">
      <c r="A8188" t="s">
        <v>8223</v>
      </c>
      <c r="B8188" t="s">
        <v>92</v>
      </c>
      <c r="C8188">
        <v>727000</v>
      </c>
      <c r="D8188">
        <v>6835.7</v>
      </c>
      <c r="E8188">
        <v>1.83E-2</v>
      </c>
      <c r="F8188">
        <v>5.7599999999999998E-2</v>
      </c>
    </row>
    <row r="8189" spans="1:6" x14ac:dyDescent="0.3">
      <c r="A8189" t="s">
        <v>8224</v>
      </c>
      <c r="B8189" t="s">
        <v>41</v>
      </c>
      <c r="C8189">
        <v>259000</v>
      </c>
      <c r="D8189">
        <v>1179.5999999999999</v>
      </c>
      <c r="E8189">
        <v>8.6E-3</v>
      </c>
      <c r="F8189">
        <v>8.1100000000000005E-2</v>
      </c>
    </row>
    <row r="8190" spans="1:6" x14ac:dyDescent="0.3">
      <c r="A8190" t="s">
        <v>8225</v>
      </c>
      <c r="B8190" t="s">
        <v>24</v>
      </c>
      <c r="C8190">
        <v>2060000</v>
      </c>
      <c r="D8190">
        <v>40796.6</v>
      </c>
      <c r="E8190">
        <v>6.5299999999999997E-2</v>
      </c>
      <c r="F8190">
        <v>5.3800000000000001E-2</v>
      </c>
    </row>
    <row r="8191" spans="1:6" x14ac:dyDescent="0.3">
      <c r="A8191" t="s">
        <v>8226</v>
      </c>
      <c r="B8191" t="s">
        <v>287</v>
      </c>
      <c r="C8191">
        <v>361000</v>
      </c>
      <c r="D8191">
        <v>124245.6</v>
      </c>
      <c r="E8191">
        <v>2.23E-2</v>
      </c>
      <c r="F8191">
        <v>4.0899999999999999E-2</v>
      </c>
    </row>
    <row r="8192" spans="1:6" x14ac:dyDescent="0.3">
      <c r="A8192" t="s">
        <v>8227</v>
      </c>
      <c r="B8192" t="s">
        <v>81</v>
      </c>
      <c r="C8192">
        <v>217000</v>
      </c>
      <c r="D8192">
        <v>18167</v>
      </c>
      <c r="E8192">
        <v>9.5999999999999992E-3</v>
      </c>
      <c r="F8192">
        <v>8.2199999999999995E-2</v>
      </c>
    </row>
    <row r="8193" spans="1:6" x14ac:dyDescent="0.3">
      <c r="A8193" t="s">
        <v>8228</v>
      </c>
      <c r="B8193" t="s">
        <v>71</v>
      </c>
      <c r="C8193">
        <v>280000</v>
      </c>
      <c r="D8193">
        <v>3438.5</v>
      </c>
      <c r="E8193">
        <v>2.98E-2</v>
      </c>
      <c r="F8193">
        <v>7.5899999999999995E-2</v>
      </c>
    </row>
    <row r="8194" spans="1:6" x14ac:dyDescent="0.3">
      <c r="A8194" t="s">
        <v>8229</v>
      </c>
      <c r="B8194" t="s">
        <v>88</v>
      </c>
      <c r="C8194">
        <v>232000</v>
      </c>
      <c r="D8194">
        <v>985.3</v>
      </c>
      <c r="E8194">
        <v>0.1275</v>
      </c>
      <c r="F8194">
        <v>7.5899999999999995E-2</v>
      </c>
    </row>
    <row r="8195" spans="1:6" x14ac:dyDescent="0.3">
      <c r="A8195" t="s">
        <v>8230</v>
      </c>
      <c r="B8195" t="s">
        <v>28</v>
      </c>
      <c r="C8195">
        <v>263000</v>
      </c>
      <c r="D8195">
        <v>2388.5</v>
      </c>
      <c r="E8195">
        <v>2.5499999999999998E-2</v>
      </c>
      <c r="F8195">
        <v>9.5100000000000004E-2</v>
      </c>
    </row>
    <row r="8196" spans="1:6" x14ac:dyDescent="0.3">
      <c r="A8196" t="s">
        <v>8231</v>
      </c>
      <c r="B8196" t="s">
        <v>53</v>
      </c>
      <c r="C8196">
        <v>257000</v>
      </c>
      <c r="D8196">
        <v>49547.7</v>
      </c>
      <c r="E8196">
        <v>6.0000000000000001E-3</v>
      </c>
      <c r="F8196">
        <v>8.2199999999999995E-2</v>
      </c>
    </row>
    <row r="8197" spans="1:6" x14ac:dyDescent="0.3">
      <c r="A8197" t="s">
        <v>8232</v>
      </c>
      <c r="B8197" t="s">
        <v>26</v>
      </c>
      <c r="C8197">
        <v>213000</v>
      </c>
      <c r="D8197">
        <v>10176.5</v>
      </c>
      <c r="E8197">
        <v>6.7100000000000007E-2</v>
      </c>
      <c r="F8197">
        <v>9.5100000000000004E-2</v>
      </c>
    </row>
    <row r="8198" spans="1:6" x14ac:dyDescent="0.3">
      <c r="A8198" t="s">
        <v>8233</v>
      </c>
      <c r="B8198" t="s">
        <v>24</v>
      </c>
      <c r="C8198">
        <v>219000</v>
      </c>
      <c r="D8198">
        <v>3125.4</v>
      </c>
      <c r="E8198">
        <v>7.6E-3</v>
      </c>
      <c r="F8198">
        <v>0.1133</v>
      </c>
    </row>
    <row r="8199" spans="1:6" x14ac:dyDescent="0.3">
      <c r="A8199" t="s">
        <v>8234</v>
      </c>
      <c r="B8199" t="s">
        <v>26</v>
      </c>
      <c r="C8199">
        <v>322000</v>
      </c>
      <c r="D8199">
        <v>46270.8</v>
      </c>
      <c r="E8199">
        <v>5.33E-2</v>
      </c>
      <c r="F8199">
        <v>8.4500000000000006E-2</v>
      </c>
    </row>
    <row r="8200" spans="1:6" x14ac:dyDescent="0.3">
      <c r="A8200" t="s">
        <v>8235</v>
      </c>
      <c r="B8200" t="s">
        <v>26</v>
      </c>
      <c r="C8200">
        <v>237000</v>
      </c>
      <c r="D8200">
        <v>5518.6</v>
      </c>
      <c r="E8200">
        <v>1.6199999999999999E-2</v>
      </c>
      <c r="F8200">
        <v>0.13270000000000001</v>
      </c>
    </row>
    <row r="8201" spans="1:6" x14ac:dyDescent="0.3">
      <c r="A8201" t="s">
        <v>8236</v>
      </c>
      <c r="B8201" t="s">
        <v>214</v>
      </c>
      <c r="C8201">
        <v>229000</v>
      </c>
      <c r="D8201">
        <v>1148.7</v>
      </c>
      <c r="E8201">
        <v>4.8300000000000003E-2</v>
      </c>
      <c r="F8201">
        <v>9.5100000000000004E-2</v>
      </c>
    </row>
    <row r="8202" spans="1:6" x14ac:dyDescent="0.3">
      <c r="A8202" t="s">
        <v>8237</v>
      </c>
      <c r="B8202" t="s">
        <v>26</v>
      </c>
      <c r="C8202">
        <v>212000</v>
      </c>
      <c r="D8202">
        <v>4664.7</v>
      </c>
      <c r="E8202">
        <v>2.3900000000000001E-2</v>
      </c>
      <c r="F8202">
        <v>4.0899999999999999E-2</v>
      </c>
    </row>
    <row r="8203" spans="1:6" x14ac:dyDescent="0.3">
      <c r="A8203" t="s">
        <v>8238</v>
      </c>
      <c r="B8203" t="s">
        <v>28</v>
      </c>
      <c r="C8203">
        <v>225000</v>
      </c>
      <c r="D8203">
        <v>17333.599999999999</v>
      </c>
      <c r="E8203">
        <v>1.8200000000000001E-2</v>
      </c>
      <c r="F8203">
        <v>0.1067</v>
      </c>
    </row>
    <row r="8204" spans="1:6" x14ac:dyDescent="0.3">
      <c r="A8204" t="s">
        <v>8239</v>
      </c>
      <c r="B8204" t="s">
        <v>88</v>
      </c>
      <c r="C8204">
        <v>327000</v>
      </c>
      <c r="D8204">
        <v>1765.1</v>
      </c>
      <c r="E8204">
        <v>7.1999999999999998E-3</v>
      </c>
      <c r="F8204">
        <v>8.1100000000000005E-2</v>
      </c>
    </row>
    <row r="8205" spans="1:6" x14ac:dyDescent="0.3">
      <c r="A8205" t="s">
        <v>8240</v>
      </c>
      <c r="B8205" t="s">
        <v>26</v>
      </c>
      <c r="C8205">
        <v>222000</v>
      </c>
      <c r="D8205">
        <v>1686.9</v>
      </c>
      <c r="E8205">
        <v>2.6100000000000002E-2</v>
      </c>
      <c r="F8205">
        <v>9.5100000000000004E-2</v>
      </c>
    </row>
    <row r="8206" spans="1:6" x14ac:dyDescent="0.3">
      <c r="A8206" t="s">
        <v>8241</v>
      </c>
      <c r="B8206" t="s">
        <v>195</v>
      </c>
      <c r="C8206">
        <v>212000</v>
      </c>
      <c r="D8206">
        <v>964.8</v>
      </c>
      <c r="E8206">
        <v>1.9099999999999999E-2</v>
      </c>
      <c r="F8206">
        <v>0.13100000000000001</v>
      </c>
    </row>
    <row r="8207" spans="1:6" x14ac:dyDescent="0.3">
      <c r="A8207" t="s">
        <v>8242</v>
      </c>
      <c r="B8207" t="s">
        <v>71</v>
      </c>
      <c r="C8207">
        <v>521000</v>
      </c>
      <c r="D8207">
        <v>3695.4</v>
      </c>
      <c r="E8207">
        <v>5.5999999999999999E-3</v>
      </c>
      <c r="F8207">
        <v>6.54E-2</v>
      </c>
    </row>
    <row r="8208" spans="1:6" x14ac:dyDescent="0.3">
      <c r="A8208" t="s">
        <v>8243</v>
      </c>
      <c r="B8208" t="s">
        <v>53</v>
      </c>
      <c r="C8208">
        <v>362000</v>
      </c>
      <c r="D8208">
        <v>64115.7</v>
      </c>
      <c r="E8208">
        <v>4.7800000000000002E-2</v>
      </c>
      <c r="F8208">
        <v>9.3799999999999994E-2</v>
      </c>
    </row>
    <row r="8209" spans="1:6" x14ac:dyDescent="0.3">
      <c r="A8209" t="s">
        <v>8244</v>
      </c>
      <c r="B8209" t="s">
        <v>26</v>
      </c>
      <c r="C8209">
        <v>321000</v>
      </c>
      <c r="D8209">
        <v>31144</v>
      </c>
      <c r="E8209">
        <v>1.2E-2</v>
      </c>
      <c r="F8209">
        <v>7.3599999999999999E-2</v>
      </c>
    </row>
    <row r="8210" spans="1:6" x14ac:dyDescent="0.3">
      <c r="A8210" t="s">
        <v>8245</v>
      </c>
      <c r="B8210" t="s">
        <v>88</v>
      </c>
      <c r="C8210">
        <v>210000</v>
      </c>
      <c r="F8210">
        <v>7.5899999999999995E-2</v>
      </c>
    </row>
    <row r="8211" spans="1:6" x14ac:dyDescent="0.3">
      <c r="A8211" t="s">
        <v>8246</v>
      </c>
      <c r="B8211" t="s">
        <v>26</v>
      </c>
      <c r="C8211">
        <v>405000</v>
      </c>
      <c r="D8211">
        <v>171150.9</v>
      </c>
      <c r="E8211">
        <v>7.0300000000000001E-2</v>
      </c>
      <c r="F8211">
        <v>7.5899999999999995E-2</v>
      </c>
    </row>
    <row r="8212" spans="1:6" x14ac:dyDescent="0.3">
      <c r="A8212" t="s">
        <v>8247</v>
      </c>
      <c r="B8212" t="s">
        <v>21</v>
      </c>
      <c r="C8212">
        <v>1320000</v>
      </c>
      <c r="D8212">
        <v>121452.6</v>
      </c>
      <c r="E8212">
        <v>1.9099999999999999E-2</v>
      </c>
      <c r="F8212">
        <v>4.6199999999999998E-2</v>
      </c>
    </row>
    <row r="8213" spans="1:6" x14ac:dyDescent="0.3">
      <c r="A8213" t="s">
        <v>8248</v>
      </c>
      <c r="B8213" t="s">
        <v>74</v>
      </c>
      <c r="C8213">
        <v>255000</v>
      </c>
      <c r="D8213">
        <v>1801.2</v>
      </c>
      <c r="E8213">
        <v>2.86E-2</v>
      </c>
      <c r="F8213">
        <v>5.0999999999999997E-2</v>
      </c>
    </row>
    <row r="8214" spans="1:6" x14ac:dyDescent="0.3">
      <c r="A8214" t="s">
        <v>8249</v>
      </c>
      <c r="B8214" t="s">
        <v>195</v>
      </c>
      <c r="C8214">
        <v>213000</v>
      </c>
      <c r="D8214">
        <v>135.9</v>
      </c>
      <c r="E8214">
        <v>4.7199999999999999E-2</v>
      </c>
      <c r="F8214">
        <v>5.1799999999999999E-2</v>
      </c>
    </row>
    <row r="8215" spans="1:6" x14ac:dyDescent="0.3">
      <c r="A8215" t="s">
        <v>8250</v>
      </c>
      <c r="B8215" t="s">
        <v>88</v>
      </c>
      <c r="C8215">
        <v>214000</v>
      </c>
      <c r="D8215">
        <v>425.8</v>
      </c>
      <c r="E8215">
        <v>2.06E-2</v>
      </c>
      <c r="F8215">
        <v>8.2400000000000001E-2</v>
      </c>
    </row>
    <row r="8216" spans="1:6" x14ac:dyDescent="0.3">
      <c r="A8216" t="s">
        <v>8251</v>
      </c>
      <c r="B8216" t="s">
        <v>41</v>
      </c>
      <c r="C8216">
        <v>227000</v>
      </c>
      <c r="D8216">
        <v>1961.4</v>
      </c>
      <c r="E8216">
        <v>2.8199999999999999E-2</v>
      </c>
      <c r="F8216">
        <v>0.1226</v>
      </c>
    </row>
    <row r="8217" spans="1:6" x14ac:dyDescent="0.3">
      <c r="A8217" t="s">
        <v>8252</v>
      </c>
      <c r="B8217" t="s">
        <v>88</v>
      </c>
      <c r="C8217">
        <v>410000</v>
      </c>
      <c r="D8217">
        <v>11673.8</v>
      </c>
      <c r="E8217">
        <v>6.3500000000000001E-2</v>
      </c>
      <c r="F8217">
        <v>9.3799999999999994E-2</v>
      </c>
    </row>
    <row r="8218" spans="1:6" x14ac:dyDescent="0.3">
      <c r="A8218" t="s">
        <v>8253</v>
      </c>
      <c r="B8218" t="s">
        <v>88</v>
      </c>
      <c r="C8218">
        <v>206000</v>
      </c>
      <c r="D8218">
        <v>486.1</v>
      </c>
      <c r="E8218">
        <v>1.21E-2</v>
      </c>
      <c r="F8218">
        <v>0.13089999999999999</v>
      </c>
    </row>
    <row r="8219" spans="1:6" x14ac:dyDescent="0.3">
      <c r="A8219" t="s">
        <v>8254</v>
      </c>
      <c r="B8219" t="s">
        <v>74</v>
      </c>
      <c r="C8219">
        <v>232000</v>
      </c>
      <c r="D8219">
        <v>3968.5</v>
      </c>
      <c r="E8219">
        <v>5.6399999999999999E-2</v>
      </c>
      <c r="F8219">
        <v>7.5899999999999995E-2</v>
      </c>
    </row>
    <row r="8220" spans="1:6" x14ac:dyDescent="0.3">
      <c r="A8220" t="s">
        <v>8255</v>
      </c>
      <c r="B8220" t="s">
        <v>50</v>
      </c>
      <c r="C8220">
        <v>202000</v>
      </c>
      <c r="D8220">
        <v>36659.599999999999</v>
      </c>
      <c r="E8220">
        <v>5.3900000000000003E-2</v>
      </c>
      <c r="F8220">
        <v>9.5100000000000004E-2</v>
      </c>
    </row>
    <row r="8221" spans="1:6" x14ac:dyDescent="0.3">
      <c r="A8221" t="s">
        <v>8256</v>
      </c>
      <c r="B8221" t="s">
        <v>24</v>
      </c>
      <c r="C8221">
        <v>211000</v>
      </c>
      <c r="D8221">
        <v>14627.4</v>
      </c>
      <c r="E8221">
        <v>2.3800000000000002E-2</v>
      </c>
      <c r="F8221">
        <v>9.5100000000000004E-2</v>
      </c>
    </row>
    <row r="8222" spans="1:6" x14ac:dyDescent="0.3">
      <c r="A8222" t="s">
        <v>8257</v>
      </c>
      <c r="B8222" t="s">
        <v>214</v>
      </c>
      <c r="C8222">
        <v>287000</v>
      </c>
      <c r="D8222">
        <v>1671.3</v>
      </c>
      <c r="F8222">
        <v>4.0899999999999999E-2</v>
      </c>
    </row>
    <row r="8223" spans="1:6" x14ac:dyDescent="0.3">
      <c r="A8223" t="s">
        <v>8258</v>
      </c>
      <c r="B8223" t="s">
        <v>28</v>
      </c>
      <c r="C8223">
        <v>255000</v>
      </c>
      <c r="D8223">
        <v>1480.9</v>
      </c>
      <c r="E8223">
        <v>1.2500000000000001E-2</v>
      </c>
      <c r="F8223">
        <v>8.2100000000000006E-2</v>
      </c>
    </row>
    <row r="8224" spans="1:6" x14ac:dyDescent="0.3">
      <c r="A8224" t="s">
        <v>8259</v>
      </c>
      <c r="B8224" t="s">
        <v>24</v>
      </c>
      <c r="C8224">
        <v>265000</v>
      </c>
      <c r="D8224">
        <v>17473.2</v>
      </c>
      <c r="F8224">
        <v>5.1799999999999999E-2</v>
      </c>
    </row>
    <row r="8225" spans="1:6" x14ac:dyDescent="0.3">
      <c r="A8225" t="s">
        <v>8260</v>
      </c>
      <c r="B8225" t="s">
        <v>88</v>
      </c>
      <c r="C8225">
        <v>530000</v>
      </c>
      <c r="D8225">
        <v>6649.9</v>
      </c>
      <c r="E8225">
        <v>5.04E-2</v>
      </c>
      <c r="F8225">
        <v>9.3799999999999994E-2</v>
      </c>
    </row>
    <row r="8226" spans="1:6" x14ac:dyDescent="0.3">
      <c r="A8226" t="s">
        <v>8261</v>
      </c>
      <c r="B8226" t="s">
        <v>71</v>
      </c>
      <c r="C8226">
        <v>210000</v>
      </c>
      <c r="D8226">
        <v>18375.900000000001</v>
      </c>
      <c r="E8226">
        <v>7.7100000000000002E-2</v>
      </c>
      <c r="F8226">
        <v>9.5100000000000004E-2</v>
      </c>
    </row>
    <row r="8227" spans="1:6" x14ac:dyDescent="0.3">
      <c r="A8227" t="s">
        <v>8262</v>
      </c>
      <c r="B8227" t="s">
        <v>26</v>
      </c>
      <c r="C8227">
        <v>224000</v>
      </c>
      <c r="D8227">
        <v>110400.9</v>
      </c>
      <c r="E8227">
        <v>1.04E-2</v>
      </c>
      <c r="F8227">
        <v>7.3599999999999999E-2</v>
      </c>
    </row>
    <row r="8228" spans="1:6" x14ac:dyDescent="0.3">
      <c r="A8228" t="s">
        <v>8263</v>
      </c>
      <c r="B8228" t="s">
        <v>26</v>
      </c>
      <c r="C8228">
        <v>206000</v>
      </c>
      <c r="D8228">
        <v>122566.39999999999</v>
      </c>
      <c r="E8228">
        <v>8.8300000000000003E-2</v>
      </c>
      <c r="F8228">
        <v>5.1799999999999999E-2</v>
      </c>
    </row>
    <row r="8229" spans="1:6" x14ac:dyDescent="0.3">
      <c r="A8229" t="s">
        <v>8264</v>
      </c>
      <c r="B8229" t="s">
        <v>26</v>
      </c>
      <c r="C8229">
        <v>396000</v>
      </c>
      <c r="D8229">
        <v>352040</v>
      </c>
      <c r="E8229">
        <v>1.9599999999999999E-2</v>
      </c>
      <c r="F8229">
        <v>6.1600000000000002E-2</v>
      </c>
    </row>
    <row r="8230" spans="1:6" x14ac:dyDescent="0.3">
      <c r="A8230" t="s">
        <v>8265</v>
      </c>
      <c r="B8230" t="s">
        <v>26</v>
      </c>
      <c r="C8230">
        <v>229000</v>
      </c>
      <c r="D8230">
        <v>23794.6</v>
      </c>
      <c r="E8230">
        <v>1.43E-2</v>
      </c>
      <c r="F8230">
        <v>5.8500000000000003E-2</v>
      </c>
    </row>
    <row r="8231" spans="1:6" x14ac:dyDescent="0.3">
      <c r="A8231" t="s">
        <v>8266</v>
      </c>
      <c r="B8231" t="s">
        <v>74</v>
      </c>
      <c r="C8231">
        <v>237000</v>
      </c>
      <c r="D8231">
        <v>3448.8</v>
      </c>
      <c r="E8231">
        <v>4.3700000000000003E-2</v>
      </c>
      <c r="F8231">
        <v>7.5899999999999995E-2</v>
      </c>
    </row>
    <row r="8232" spans="1:6" x14ac:dyDescent="0.3">
      <c r="A8232" t="s">
        <v>8267</v>
      </c>
      <c r="B8232" t="s">
        <v>41</v>
      </c>
      <c r="C8232">
        <v>265000</v>
      </c>
      <c r="D8232">
        <v>13837.5</v>
      </c>
      <c r="E8232">
        <v>4.1799999999999997E-2</v>
      </c>
      <c r="F8232">
        <v>7.5899999999999995E-2</v>
      </c>
    </row>
    <row r="8233" spans="1:6" x14ac:dyDescent="0.3">
      <c r="A8233" t="s">
        <v>8268</v>
      </c>
      <c r="B8233" t="s">
        <v>88</v>
      </c>
      <c r="C8233">
        <v>278000</v>
      </c>
      <c r="D8233">
        <v>220.4</v>
      </c>
      <c r="F8233">
        <v>9.3799999999999994E-2</v>
      </c>
    </row>
    <row r="8234" spans="1:6" x14ac:dyDescent="0.3">
      <c r="A8234" t="s">
        <v>8269</v>
      </c>
      <c r="B8234" t="s">
        <v>88</v>
      </c>
      <c r="C8234">
        <v>680000</v>
      </c>
      <c r="D8234">
        <v>2242.3000000000002</v>
      </c>
      <c r="E8234">
        <v>1.6899999999999998E-2</v>
      </c>
      <c r="F8234">
        <v>8.5400000000000004E-2</v>
      </c>
    </row>
    <row r="8235" spans="1:6" x14ac:dyDescent="0.3">
      <c r="A8235" t="s">
        <v>8270</v>
      </c>
      <c r="B8235" t="s">
        <v>88</v>
      </c>
      <c r="C8235">
        <v>310000</v>
      </c>
      <c r="D8235">
        <v>43505.9</v>
      </c>
      <c r="E8235">
        <v>1.9900000000000001E-2</v>
      </c>
      <c r="F8235">
        <v>5.8500000000000003E-2</v>
      </c>
    </row>
    <row r="8236" spans="1:6" x14ac:dyDescent="0.3">
      <c r="A8236" t="s">
        <v>8271</v>
      </c>
      <c r="B8236" t="s">
        <v>214</v>
      </c>
      <c r="C8236">
        <v>262000</v>
      </c>
      <c r="D8236">
        <v>236.3</v>
      </c>
      <c r="E8236">
        <v>1.41E-2</v>
      </c>
      <c r="F8236">
        <v>4.6199999999999998E-2</v>
      </c>
    </row>
    <row r="8237" spans="1:6" x14ac:dyDescent="0.3">
      <c r="A8237" t="s">
        <v>8272</v>
      </c>
      <c r="B8237" t="s">
        <v>62</v>
      </c>
      <c r="C8237">
        <v>284000</v>
      </c>
      <c r="D8237">
        <v>5439.7</v>
      </c>
      <c r="E8237">
        <v>4.0099999999999997E-2</v>
      </c>
      <c r="F8237">
        <v>7.5899999999999995E-2</v>
      </c>
    </row>
    <row r="8238" spans="1:6" x14ac:dyDescent="0.3">
      <c r="A8238" t="s">
        <v>8273</v>
      </c>
      <c r="B8238" t="s">
        <v>81</v>
      </c>
      <c r="C8238">
        <v>263000</v>
      </c>
      <c r="D8238">
        <v>15920.8</v>
      </c>
      <c r="E8238">
        <v>1.2999999999999999E-2</v>
      </c>
      <c r="F8238">
        <v>4.6199999999999998E-2</v>
      </c>
    </row>
    <row r="8239" spans="1:6" x14ac:dyDescent="0.3">
      <c r="A8239" t="s">
        <v>8274</v>
      </c>
      <c r="B8239" t="s">
        <v>26</v>
      </c>
      <c r="C8239">
        <v>244000</v>
      </c>
      <c r="D8239">
        <v>1407.7</v>
      </c>
      <c r="E8239">
        <v>2.75E-2</v>
      </c>
      <c r="F8239">
        <v>4.3200000000000002E-2</v>
      </c>
    </row>
    <row r="8240" spans="1:6" x14ac:dyDescent="0.3">
      <c r="A8240" t="s">
        <v>8275</v>
      </c>
      <c r="B8240" t="s">
        <v>53</v>
      </c>
      <c r="C8240">
        <v>217000</v>
      </c>
      <c r="D8240">
        <v>860.1</v>
      </c>
      <c r="E8240">
        <v>2.01E-2</v>
      </c>
      <c r="F8240">
        <v>6.4399999999999999E-2</v>
      </c>
    </row>
    <row r="8241" spans="1:6" x14ac:dyDescent="0.3">
      <c r="A8241" t="s">
        <v>8276</v>
      </c>
      <c r="B8241" t="s">
        <v>195</v>
      </c>
      <c r="C8241">
        <v>227000</v>
      </c>
      <c r="D8241">
        <v>7225.1</v>
      </c>
      <c r="E8241">
        <v>1.24E-2</v>
      </c>
      <c r="F8241">
        <v>8.6599999999999996E-2</v>
      </c>
    </row>
    <row r="8242" spans="1:6" x14ac:dyDescent="0.3">
      <c r="A8242" t="s">
        <v>8277</v>
      </c>
      <c r="B8242" t="s">
        <v>88</v>
      </c>
      <c r="C8242">
        <v>228000</v>
      </c>
      <c r="D8242">
        <v>1603.5</v>
      </c>
      <c r="E8242">
        <v>1.8599999999999998E-2</v>
      </c>
      <c r="F8242">
        <v>0.1067</v>
      </c>
    </row>
    <row r="8243" spans="1:6" x14ac:dyDescent="0.3">
      <c r="A8243" t="s">
        <v>8278</v>
      </c>
      <c r="B8243" t="s">
        <v>50</v>
      </c>
      <c r="C8243">
        <v>213000</v>
      </c>
      <c r="D8243">
        <v>5865</v>
      </c>
      <c r="E8243">
        <v>4.5999999999999999E-3</v>
      </c>
      <c r="F8243">
        <v>6.54E-2</v>
      </c>
    </row>
    <row r="8244" spans="1:6" x14ac:dyDescent="0.3">
      <c r="A8244" t="s">
        <v>8279</v>
      </c>
      <c r="B8244" t="s">
        <v>26</v>
      </c>
      <c r="C8244">
        <v>213000</v>
      </c>
      <c r="D8244">
        <v>58</v>
      </c>
      <c r="F8244">
        <v>7.5899999999999995E-2</v>
      </c>
    </row>
    <row r="8245" spans="1:6" x14ac:dyDescent="0.3">
      <c r="A8245" t="s">
        <v>8280</v>
      </c>
      <c r="B8245" t="s">
        <v>26</v>
      </c>
      <c r="C8245">
        <v>221000</v>
      </c>
      <c r="D8245">
        <v>444.4</v>
      </c>
      <c r="E8245">
        <v>4.65E-2</v>
      </c>
      <c r="F8245">
        <v>0.1241</v>
      </c>
    </row>
    <row r="8246" spans="1:6" x14ac:dyDescent="0.3">
      <c r="A8246" t="s">
        <v>8281</v>
      </c>
      <c r="B8246" t="s">
        <v>26</v>
      </c>
      <c r="C8246">
        <v>320000</v>
      </c>
      <c r="D8246">
        <v>53791.7</v>
      </c>
      <c r="E8246">
        <v>1.09E-2</v>
      </c>
      <c r="F8246">
        <v>8.2199999999999995E-2</v>
      </c>
    </row>
    <row r="8247" spans="1:6" x14ac:dyDescent="0.3">
      <c r="A8247" t="s">
        <v>8282</v>
      </c>
      <c r="B8247" t="s">
        <v>26</v>
      </c>
      <c r="C8247">
        <v>346000</v>
      </c>
      <c r="D8247">
        <v>12107.8</v>
      </c>
      <c r="E8247">
        <v>1.12E-2</v>
      </c>
      <c r="F8247">
        <v>7.3599999999999999E-2</v>
      </c>
    </row>
    <row r="8248" spans="1:6" x14ac:dyDescent="0.3">
      <c r="A8248" t="s">
        <v>8283</v>
      </c>
      <c r="B8248" t="s">
        <v>24</v>
      </c>
      <c r="C8248">
        <v>289000</v>
      </c>
      <c r="D8248">
        <v>9874.7999999999993</v>
      </c>
      <c r="E8248">
        <v>4.99E-2</v>
      </c>
      <c r="F8248">
        <v>9.5100000000000004E-2</v>
      </c>
    </row>
    <row r="8249" spans="1:6" x14ac:dyDescent="0.3">
      <c r="A8249" t="s">
        <v>8284</v>
      </c>
      <c r="B8249" t="s">
        <v>88</v>
      </c>
      <c r="C8249">
        <v>608000</v>
      </c>
      <c r="D8249">
        <v>785.1</v>
      </c>
      <c r="E8249">
        <v>0.1094</v>
      </c>
      <c r="F8249">
        <v>9.3799999999999994E-2</v>
      </c>
    </row>
    <row r="8250" spans="1:6" x14ac:dyDescent="0.3">
      <c r="A8250" t="s">
        <v>8285</v>
      </c>
      <c r="B8250" t="s">
        <v>92</v>
      </c>
      <c r="C8250">
        <v>228000</v>
      </c>
      <c r="D8250">
        <v>5124.5</v>
      </c>
      <c r="E8250">
        <v>1.4200000000000001E-2</v>
      </c>
      <c r="F8250">
        <v>5.8500000000000003E-2</v>
      </c>
    </row>
    <row r="8251" spans="1:6" x14ac:dyDescent="0.3">
      <c r="A8251" t="s">
        <v>8286</v>
      </c>
      <c r="B8251" t="s">
        <v>71</v>
      </c>
      <c r="C8251">
        <v>219000</v>
      </c>
      <c r="D8251">
        <v>167562.29999999999</v>
      </c>
      <c r="E8251">
        <v>6.4100000000000004E-2</v>
      </c>
      <c r="F8251">
        <v>5.1799999999999999E-2</v>
      </c>
    </row>
    <row r="8252" spans="1:6" x14ac:dyDescent="0.3">
      <c r="A8252" t="s">
        <v>8287</v>
      </c>
      <c r="B8252" t="s">
        <v>214</v>
      </c>
      <c r="C8252">
        <v>236000</v>
      </c>
      <c r="D8252">
        <v>13158.8</v>
      </c>
      <c r="E8252">
        <v>2.7E-2</v>
      </c>
      <c r="F8252">
        <v>5.2200000000000003E-2</v>
      </c>
    </row>
    <row r="8253" spans="1:6" x14ac:dyDescent="0.3">
      <c r="A8253" t="s">
        <v>8288</v>
      </c>
      <c r="B8253" t="s">
        <v>74</v>
      </c>
      <c r="C8253">
        <v>242000</v>
      </c>
      <c r="D8253">
        <v>1331</v>
      </c>
      <c r="E8253">
        <v>4.8899999999999999E-2</v>
      </c>
      <c r="F8253">
        <v>7.5899999999999995E-2</v>
      </c>
    </row>
    <row r="8254" spans="1:6" x14ac:dyDescent="0.3">
      <c r="A8254" t="s">
        <v>8289</v>
      </c>
      <c r="B8254" t="s">
        <v>81</v>
      </c>
      <c r="C8254">
        <v>227000</v>
      </c>
      <c r="D8254">
        <v>7039.1</v>
      </c>
      <c r="E8254">
        <v>4.8399999999999999E-2</v>
      </c>
      <c r="F8254">
        <v>7.5899999999999995E-2</v>
      </c>
    </row>
    <row r="8255" spans="1:6" x14ac:dyDescent="0.3">
      <c r="A8255" t="s">
        <v>8290</v>
      </c>
      <c r="B8255" t="s">
        <v>26</v>
      </c>
      <c r="C8255">
        <v>290000</v>
      </c>
      <c r="D8255">
        <v>22819.599999999999</v>
      </c>
      <c r="E8255">
        <v>6.6500000000000004E-2</v>
      </c>
      <c r="F8255">
        <v>7.5899999999999995E-2</v>
      </c>
    </row>
    <row r="8256" spans="1:6" x14ac:dyDescent="0.3">
      <c r="A8256" t="s">
        <v>8291</v>
      </c>
      <c r="B8256" t="s">
        <v>88</v>
      </c>
      <c r="C8256">
        <v>215000</v>
      </c>
      <c r="D8256">
        <v>2577.4</v>
      </c>
      <c r="E8256">
        <v>2.3300000000000001E-2</v>
      </c>
      <c r="F8256">
        <v>9.5100000000000004E-2</v>
      </c>
    </row>
    <row r="8257" spans="1:6" x14ac:dyDescent="0.3">
      <c r="A8257" t="s">
        <v>8292</v>
      </c>
      <c r="B8257" t="s">
        <v>26</v>
      </c>
      <c r="C8257">
        <v>317000</v>
      </c>
      <c r="D8257">
        <v>170857.4</v>
      </c>
      <c r="E8257">
        <v>5.6899999999999999E-2</v>
      </c>
      <c r="F8257">
        <v>9.5100000000000004E-2</v>
      </c>
    </row>
    <row r="8258" spans="1:6" x14ac:dyDescent="0.3">
      <c r="A8258" t="s">
        <v>8293</v>
      </c>
      <c r="B8258" t="s">
        <v>41</v>
      </c>
      <c r="C8258">
        <v>206000</v>
      </c>
      <c r="D8258">
        <v>1710.6</v>
      </c>
      <c r="E8258">
        <v>2.64E-2</v>
      </c>
      <c r="F8258">
        <v>9.5100000000000004E-2</v>
      </c>
    </row>
    <row r="8259" spans="1:6" x14ac:dyDescent="0.3">
      <c r="A8259" t="s">
        <v>8294</v>
      </c>
      <c r="B8259" t="s">
        <v>41</v>
      </c>
      <c r="C8259">
        <v>302000</v>
      </c>
      <c r="D8259">
        <v>2334.3000000000002</v>
      </c>
      <c r="E8259">
        <v>5.0099999999999999E-2</v>
      </c>
      <c r="F8259">
        <v>9.3799999999999994E-2</v>
      </c>
    </row>
    <row r="8260" spans="1:6" x14ac:dyDescent="0.3">
      <c r="A8260" t="s">
        <v>8295</v>
      </c>
      <c r="B8260" t="s">
        <v>92</v>
      </c>
      <c r="C8260">
        <v>215000</v>
      </c>
      <c r="D8260">
        <v>17463.7</v>
      </c>
      <c r="E8260">
        <v>3.1699999999999999E-2</v>
      </c>
      <c r="F8260">
        <v>9.5100000000000004E-2</v>
      </c>
    </row>
    <row r="8261" spans="1:6" x14ac:dyDescent="0.3">
      <c r="A8261" t="s">
        <v>8296</v>
      </c>
      <c r="B8261" t="s">
        <v>26</v>
      </c>
      <c r="C8261">
        <v>406000</v>
      </c>
      <c r="D8261">
        <v>49495.1</v>
      </c>
      <c r="E8261">
        <v>4.9500000000000002E-2</v>
      </c>
      <c r="F8261">
        <v>5.1799999999999999E-2</v>
      </c>
    </row>
    <row r="8262" spans="1:6" x14ac:dyDescent="0.3">
      <c r="A8262" t="s">
        <v>8297</v>
      </c>
      <c r="B8262" t="s">
        <v>26</v>
      </c>
      <c r="C8262">
        <v>209000</v>
      </c>
      <c r="D8262">
        <v>232.3</v>
      </c>
      <c r="E8262">
        <v>3.8899999999999997E-2</v>
      </c>
      <c r="F8262">
        <v>7.5899999999999995E-2</v>
      </c>
    </row>
    <row r="8263" spans="1:6" x14ac:dyDescent="0.3">
      <c r="A8263" t="s">
        <v>8298</v>
      </c>
      <c r="B8263" t="s">
        <v>74</v>
      </c>
      <c r="C8263">
        <v>214000</v>
      </c>
      <c r="D8263">
        <v>4584</v>
      </c>
      <c r="E8263">
        <v>9.9000000000000008E-3</v>
      </c>
      <c r="F8263">
        <v>0.14710000000000001</v>
      </c>
    </row>
    <row r="8264" spans="1:6" x14ac:dyDescent="0.3">
      <c r="A8264" t="s">
        <v>8299</v>
      </c>
      <c r="B8264" t="s">
        <v>26</v>
      </c>
      <c r="C8264">
        <v>258000</v>
      </c>
      <c r="D8264">
        <v>123128.2</v>
      </c>
      <c r="E8264">
        <v>5.5300000000000002E-2</v>
      </c>
      <c r="F8264">
        <v>9.5100000000000004E-2</v>
      </c>
    </row>
    <row r="8265" spans="1:6" x14ac:dyDescent="0.3">
      <c r="A8265" t="s">
        <v>8300</v>
      </c>
      <c r="B8265" t="s">
        <v>32</v>
      </c>
      <c r="C8265">
        <v>338000</v>
      </c>
      <c r="D8265">
        <v>2642.3</v>
      </c>
      <c r="E8265">
        <v>2.0199999999999999E-2</v>
      </c>
      <c r="F8265">
        <v>5.8500000000000003E-2</v>
      </c>
    </row>
    <row r="8266" spans="1:6" x14ac:dyDescent="0.3">
      <c r="A8266" t="s">
        <v>8301</v>
      </c>
      <c r="B8266" t="s">
        <v>81</v>
      </c>
      <c r="C8266">
        <v>224000</v>
      </c>
      <c r="D8266">
        <v>24839.599999999999</v>
      </c>
      <c r="E8266">
        <v>1.8100000000000002E-2</v>
      </c>
      <c r="F8266">
        <v>4.6199999999999998E-2</v>
      </c>
    </row>
    <row r="8267" spans="1:6" x14ac:dyDescent="0.3">
      <c r="A8267" t="s">
        <v>8302</v>
      </c>
      <c r="B8267" t="s">
        <v>81</v>
      </c>
      <c r="C8267">
        <v>327000</v>
      </c>
      <c r="D8267">
        <v>36441.699999999997</v>
      </c>
      <c r="E8267">
        <v>3.5400000000000001E-2</v>
      </c>
      <c r="F8267">
        <v>6.7199999999999996E-2</v>
      </c>
    </row>
    <row r="8268" spans="1:6" x14ac:dyDescent="0.3">
      <c r="A8268" t="s">
        <v>8303</v>
      </c>
      <c r="B8268" t="s">
        <v>53</v>
      </c>
      <c r="C8268">
        <v>518000</v>
      </c>
      <c r="D8268">
        <v>8147.4</v>
      </c>
      <c r="E8268">
        <v>1.5299999999999999E-2</v>
      </c>
      <c r="F8268">
        <v>8.5400000000000004E-2</v>
      </c>
    </row>
    <row r="8269" spans="1:6" x14ac:dyDescent="0.3">
      <c r="A8269" t="s">
        <v>8304</v>
      </c>
      <c r="B8269" t="s">
        <v>92</v>
      </c>
      <c r="C8269">
        <v>247000</v>
      </c>
      <c r="D8269">
        <v>11109.7</v>
      </c>
      <c r="E8269">
        <v>1.3899999999999999E-2</v>
      </c>
      <c r="F8269">
        <v>4.6199999999999998E-2</v>
      </c>
    </row>
    <row r="8270" spans="1:6" x14ac:dyDescent="0.3">
      <c r="A8270" t="s">
        <v>8305</v>
      </c>
      <c r="B8270" t="s">
        <v>88</v>
      </c>
      <c r="C8270">
        <v>267000</v>
      </c>
      <c r="D8270">
        <v>2179.5</v>
      </c>
      <c r="E8270">
        <v>2.0799999999999999E-2</v>
      </c>
      <c r="F8270">
        <v>9.5100000000000004E-2</v>
      </c>
    </row>
    <row r="8271" spans="1:6" x14ac:dyDescent="0.3">
      <c r="A8271" t="s">
        <v>8306</v>
      </c>
      <c r="B8271" t="s">
        <v>35</v>
      </c>
      <c r="C8271">
        <v>210000</v>
      </c>
      <c r="D8271">
        <v>1660.8</v>
      </c>
      <c r="E8271">
        <v>1.2500000000000001E-2</v>
      </c>
      <c r="F8271">
        <v>4.6199999999999998E-2</v>
      </c>
    </row>
    <row r="8272" spans="1:6" x14ac:dyDescent="0.3">
      <c r="A8272" t="s">
        <v>8307</v>
      </c>
      <c r="B8272" t="s">
        <v>62</v>
      </c>
      <c r="C8272">
        <v>257000</v>
      </c>
      <c r="D8272">
        <v>21518.5</v>
      </c>
      <c r="E8272">
        <v>4.1000000000000002E-2</v>
      </c>
      <c r="F8272">
        <v>9.5100000000000004E-2</v>
      </c>
    </row>
    <row r="8273" spans="1:6" x14ac:dyDescent="0.3">
      <c r="A8273" t="s">
        <v>8308</v>
      </c>
      <c r="B8273" t="s">
        <v>81</v>
      </c>
      <c r="C8273">
        <v>234000</v>
      </c>
      <c r="D8273">
        <v>27745206.699999999</v>
      </c>
      <c r="E8273">
        <v>2.3699999999999999E-2</v>
      </c>
      <c r="F8273">
        <v>9.98E-2</v>
      </c>
    </row>
    <row r="8274" spans="1:6" x14ac:dyDescent="0.3">
      <c r="A8274" t="s">
        <v>8309</v>
      </c>
      <c r="B8274" t="s">
        <v>26</v>
      </c>
      <c r="C8274">
        <v>262000</v>
      </c>
      <c r="D8274">
        <v>785</v>
      </c>
      <c r="E8274">
        <v>2.7900000000000001E-2</v>
      </c>
      <c r="F8274">
        <v>9.3799999999999994E-2</v>
      </c>
    </row>
    <row r="8275" spans="1:6" x14ac:dyDescent="0.3">
      <c r="A8275" t="s">
        <v>8310</v>
      </c>
      <c r="B8275" t="s">
        <v>195</v>
      </c>
      <c r="C8275">
        <v>263000</v>
      </c>
      <c r="D8275">
        <v>405.3</v>
      </c>
      <c r="E8275">
        <v>9.98E-2</v>
      </c>
      <c r="F8275">
        <v>0.39129999999999998</v>
      </c>
    </row>
    <row r="8276" spans="1:6" x14ac:dyDescent="0.3">
      <c r="A8276" t="s">
        <v>8311</v>
      </c>
      <c r="B8276" t="s">
        <v>74</v>
      </c>
      <c r="C8276">
        <v>252000</v>
      </c>
      <c r="D8276">
        <v>12510.8</v>
      </c>
      <c r="E8276">
        <v>5.9400000000000001E-2</v>
      </c>
      <c r="F8276">
        <v>7.5899999999999995E-2</v>
      </c>
    </row>
    <row r="8277" spans="1:6" x14ac:dyDescent="0.3">
      <c r="A8277" t="s">
        <v>8312</v>
      </c>
      <c r="B8277" t="s">
        <v>81</v>
      </c>
      <c r="C8277">
        <v>221000</v>
      </c>
      <c r="D8277">
        <v>1838.8</v>
      </c>
      <c r="E8277">
        <v>3.5700000000000003E-2</v>
      </c>
      <c r="F8277">
        <v>9.5100000000000004E-2</v>
      </c>
    </row>
    <row r="8278" spans="1:6" x14ac:dyDescent="0.3">
      <c r="A8278" t="s">
        <v>8313</v>
      </c>
      <c r="B8278" t="s">
        <v>74</v>
      </c>
      <c r="C8278">
        <v>247000</v>
      </c>
      <c r="D8278">
        <v>373096.5</v>
      </c>
      <c r="E8278">
        <v>1.4E-2</v>
      </c>
      <c r="F8278">
        <v>0.1027</v>
      </c>
    </row>
    <row r="8279" spans="1:6" x14ac:dyDescent="0.3">
      <c r="A8279" t="s">
        <v>8314</v>
      </c>
      <c r="B8279" t="s">
        <v>26</v>
      </c>
      <c r="C8279">
        <v>208000</v>
      </c>
      <c r="D8279">
        <v>65410.6</v>
      </c>
      <c r="E8279">
        <v>3.44E-2</v>
      </c>
      <c r="F8279">
        <v>9.5100000000000004E-2</v>
      </c>
    </row>
    <row r="8280" spans="1:6" x14ac:dyDescent="0.3">
      <c r="A8280" t="s">
        <v>8315</v>
      </c>
      <c r="B8280" t="s">
        <v>26</v>
      </c>
      <c r="C8280">
        <v>236000</v>
      </c>
      <c r="D8280">
        <v>29888.1</v>
      </c>
      <c r="E8280">
        <v>2.3E-2</v>
      </c>
      <c r="F8280">
        <v>5.1799999999999999E-2</v>
      </c>
    </row>
    <row r="8281" spans="1:6" x14ac:dyDescent="0.3">
      <c r="A8281" t="s">
        <v>8316</v>
      </c>
      <c r="B8281" t="s">
        <v>35</v>
      </c>
      <c r="C8281">
        <v>323000</v>
      </c>
      <c r="D8281">
        <v>40779.699999999997</v>
      </c>
      <c r="E8281">
        <v>3.9199999999999999E-2</v>
      </c>
      <c r="F8281">
        <v>6.7199999999999996E-2</v>
      </c>
    </row>
    <row r="8282" spans="1:6" x14ac:dyDescent="0.3">
      <c r="A8282" t="s">
        <v>8317</v>
      </c>
      <c r="B8282" t="s">
        <v>214</v>
      </c>
      <c r="C8282">
        <v>247000</v>
      </c>
      <c r="D8282">
        <v>14333.8</v>
      </c>
      <c r="E8282">
        <v>5.0900000000000001E-2</v>
      </c>
      <c r="F8282">
        <v>9.5100000000000004E-2</v>
      </c>
    </row>
    <row r="8283" spans="1:6" x14ac:dyDescent="0.3">
      <c r="A8283" t="s">
        <v>8318</v>
      </c>
      <c r="B8283" t="s">
        <v>214</v>
      </c>
      <c r="C8283">
        <v>232000</v>
      </c>
      <c r="D8283">
        <v>13973.9</v>
      </c>
      <c r="E8283">
        <v>1.2200000000000001E-2</v>
      </c>
      <c r="F8283">
        <v>0.14710000000000001</v>
      </c>
    </row>
    <row r="8284" spans="1:6" x14ac:dyDescent="0.3">
      <c r="A8284" t="s">
        <v>8319</v>
      </c>
      <c r="B8284" t="s">
        <v>24</v>
      </c>
      <c r="C8284">
        <v>315000</v>
      </c>
      <c r="D8284">
        <v>32515.7</v>
      </c>
      <c r="E8284">
        <v>1.8100000000000002E-2</v>
      </c>
      <c r="F8284">
        <v>8.5400000000000004E-2</v>
      </c>
    </row>
    <row r="8285" spans="1:6" x14ac:dyDescent="0.3">
      <c r="A8285" t="s">
        <v>8320</v>
      </c>
      <c r="B8285" t="s">
        <v>53</v>
      </c>
      <c r="C8285">
        <v>282000</v>
      </c>
      <c r="D8285">
        <v>890.3</v>
      </c>
      <c r="E8285">
        <v>2.4400000000000002E-2</v>
      </c>
      <c r="F8285">
        <v>9.5100000000000004E-2</v>
      </c>
    </row>
    <row r="8286" spans="1:6" x14ac:dyDescent="0.3">
      <c r="A8286" t="s">
        <v>8321</v>
      </c>
      <c r="B8286" t="s">
        <v>41</v>
      </c>
      <c r="C8286">
        <v>219000</v>
      </c>
      <c r="D8286">
        <v>1720.9</v>
      </c>
      <c r="E8286">
        <v>5.2299999999999999E-2</v>
      </c>
      <c r="F8286">
        <v>9.3799999999999994E-2</v>
      </c>
    </row>
    <row r="8287" spans="1:6" x14ac:dyDescent="0.3">
      <c r="A8287" t="s">
        <v>8322</v>
      </c>
      <c r="B8287" t="s">
        <v>88</v>
      </c>
      <c r="C8287">
        <v>217000</v>
      </c>
      <c r="D8287">
        <v>160</v>
      </c>
      <c r="E8287">
        <v>7.3599999999999999E-2</v>
      </c>
      <c r="F8287">
        <v>9.3799999999999994E-2</v>
      </c>
    </row>
    <row r="8288" spans="1:6" x14ac:dyDescent="0.3">
      <c r="A8288" t="s">
        <v>8323</v>
      </c>
      <c r="B8288" t="s">
        <v>92</v>
      </c>
      <c r="C8288">
        <v>210000</v>
      </c>
      <c r="D8288">
        <v>1995.4</v>
      </c>
      <c r="E8288">
        <v>1.7600000000000001E-2</v>
      </c>
      <c r="F8288">
        <v>5.1799999999999999E-2</v>
      </c>
    </row>
    <row r="8289" spans="1:6" x14ac:dyDescent="0.3">
      <c r="A8289" t="s">
        <v>8324</v>
      </c>
      <c r="B8289" t="s">
        <v>74</v>
      </c>
      <c r="C8289">
        <v>249000</v>
      </c>
      <c r="D8289">
        <v>6104</v>
      </c>
      <c r="E8289">
        <v>1.5800000000000002E-2</v>
      </c>
      <c r="F8289">
        <v>0.1067</v>
      </c>
    </row>
    <row r="8290" spans="1:6" x14ac:dyDescent="0.3">
      <c r="A8290" t="s">
        <v>8325</v>
      </c>
      <c r="B8290" t="s">
        <v>21</v>
      </c>
      <c r="C8290">
        <v>278000</v>
      </c>
      <c r="D8290">
        <v>86676.3</v>
      </c>
      <c r="E8290">
        <v>7.6499999999999999E-2</v>
      </c>
      <c r="F8290">
        <v>9.5100000000000004E-2</v>
      </c>
    </row>
    <row r="8291" spans="1:6" x14ac:dyDescent="0.3">
      <c r="A8291" t="s">
        <v>8326</v>
      </c>
      <c r="B8291" t="s">
        <v>74</v>
      </c>
      <c r="C8291">
        <v>226000</v>
      </c>
      <c r="D8291">
        <v>2328.8000000000002</v>
      </c>
      <c r="E8291">
        <v>8.77E-2</v>
      </c>
      <c r="F8291">
        <v>9.5100000000000004E-2</v>
      </c>
    </row>
    <row r="8292" spans="1:6" x14ac:dyDescent="0.3">
      <c r="A8292" t="s">
        <v>8327</v>
      </c>
      <c r="B8292" t="s">
        <v>26</v>
      </c>
      <c r="C8292">
        <v>2260000</v>
      </c>
      <c r="D8292">
        <v>16680.2</v>
      </c>
      <c r="E8292">
        <v>4.6100000000000002E-2</v>
      </c>
      <c r="F8292">
        <v>4.3200000000000002E-2</v>
      </c>
    </row>
    <row r="8293" spans="1:6" x14ac:dyDescent="0.3">
      <c r="A8293" t="s">
        <v>8328</v>
      </c>
      <c r="B8293" t="s">
        <v>88</v>
      </c>
      <c r="C8293">
        <v>248000</v>
      </c>
      <c r="D8293">
        <v>656.2</v>
      </c>
      <c r="E8293">
        <v>6.7999999999999996E-3</v>
      </c>
      <c r="F8293">
        <v>6.54E-2</v>
      </c>
    </row>
    <row r="8294" spans="1:6" x14ac:dyDescent="0.3">
      <c r="A8294" t="s">
        <v>8329</v>
      </c>
      <c r="B8294" t="s">
        <v>26</v>
      </c>
      <c r="C8294">
        <v>222000</v>
      </c>
      <c r="D8294">
        <v>97.6</v>
      </c>
      <c r="E8294">
        <v>4.1599999999999998E-2</v>
      </c>
      <c r="F8294">
        <v>9.3799999999999994E-2</v>
      </c>
    </row>
    <row r="8295" spans="1:6" x14ac:dyDescent="0.3">
      <c r="A8295" t="s">
        <v>8330</v>
      </c>
      <c r="B8295" t="s">
        <v>92</v>
      </c>
      <c r="C8295">
        <v>209000</v>
      </c>
      <c r="D8295">
        <v>72.400000000000006</v>
      </c>
      <c r="E8295">
        <v>2.7300000000000001E-2</v>
      </c>
      <c r="F8295">
        <v>5.1799999999999999E-2</v>
      </c>
    </row>
    <row r="8296" spans="1:6" x14ac:dyDescent="0.3">
      <c r="A8296" t="s">
        <v>8331</v>
      </c>
      <c r="B8296" t="s">
        <v>21</v>
      </c>
      <c r="C8296">
        <v>209000</v>
      </c>
      <c r="D8296">
        <v>1139.9000000000001</v>
      </c>
      <c r="E8296">
        <v>4.2000000000000003E-2</v>
      </c>
      <c r="F8296">
        <v>0.12429999999999999</v>
      </c>
    </row>
    <row r="8297" spans="1:6" x14ac:dyDescent="0.3">
      <c r="A8297" t="s">
        <v>8332</v>
      </c>
      <c r="B8297" t="s">
        <v>24</v>
      </c>
      <c r="C8297">
        <v>441000</v>
      </c>
      <c r="D8297">
        <v>6891.6</v>
      </c>
      <c r="E8297">
        <v>3.2500000000000001E-2</v>
      </c>
      <c r="F8297">
        <v>4.0899999999999999E-2</v>
      </c>
    </row>
    <row r="8298" spans="1:6" x14ac:dyDescent="0.3">
      <c r="A8298" t="s">
        <v>8333</v>
      </c>
      <c r="B8298" t="s">
        <v>26</v>
      </c>
      <c r="C8298">
        <v>304000</v>
      </c>
      <c r="D8298">
        <v>292210.90000000002</v>
      </c>
      <c r="E8298">
        <v>2.46E-2</v>
      </c>
      <c r="F8298">
        <v>4.0899999999999999E-2</v>
      </c>
    </row>
    <row r="8299" spans="1:6" x14ac:dyDescent="0.3">
      <c r="A8299" t="s">
        <v>8334</v>
      </c>
      <c r="B8299" t="s">
        <v>214</v>
      </c>
      <c r="C8299">
        <v>213000</v>
      </c>
      <c r="D8299">
        <v>1838.4</v>
      </c>
      <c r="E8299">
        <v>2.9000000000000001E-2</v>
      </c>
      <c r="F8299">
        <v>9.5100000000000004E-2</v>
      </c>
    </row>
    <row r="8300" spans="1:6" x14ac:dyDescent="0.3">
      <c r="A8300" t="s">
        <v>8335</v>
      </c>
      <c r="B8300" t="s">
        <v>41</v>
      </c>
      <c r="C8300">
        <v>256000</v>
      </c>
      <c r="D8300">
        <v>5951.5</v>
      </c>
      <c r="E8300">
        <v>3.2099999999999997E-2</v>
      </c>
      <c r="F8300">
        <v>7.5899999999999995E-2</v>
      </c>
    </row>
    <row r="8301" spans="1:6" x14ac:dyDescent="0.3">
      <c r="A8301" t="s">
        <v>8336</v>
      </c>
      <c r="B8301" t="s">
        <v>92</v>
      </c>
      <c r="C8301">
        <v>217000</v>
      </c>
      <c r="D8301">
        <v>1939.6</v>
      </c>
      <c r="E8301">
        <v>8.8000000000000005E-3</v>
      </c>
      <c r="F8301">
        <v>0.1298</v>
      </c>
    </row>
    <row r="8302" spans="1:6" x14ac:dyDescent="0.3">
      <c r="A8302" t="s">
        <v>8337</v>
      </c>
      <c r="B8302" t="s">
        <v>214</v>
      </c>
      <c r="C8302">
        <v>220000</v>
      </c>
      <c r="D8302">
        <v>1228.8</v>
      </c>
      <c r="E8302">
        <v>2.3400000000000001E-2</v>
      </c>
      <c r="F8302">
        <v>8.5400000000000004E-2</v>
      </c>
    </row>
    <row r="8303" spans="1:6" x14ac:dyDescent="0.3">
      <c r="A8303" t="s">
        <v>8338</v>
      </c>
      <c r="B8303" t="s">
        <v>24</v>
      </c>
      <c r="C8303">
        <v>233000</v>
      </c>
      <c r="D8303">
        <v>3136.1</v>
      </c>
      <c r="E8303">
        <v>1.55E-2</v>
      </c>
      <c r="F8303">
        <v>0.1067</v>
      </c>
    </row>
    <row r="8304" spans="1:6" x14ac:dyDescent="0.3">
      <c r="A8304" t="s">
        <v>8339</v>
      </c>
      <c r="B8304" t="s">
        <v>88</v>
      </c>
      <c r="C8304">
        <v>223000</v>
      </c>
      <c r="D8304">
        <v>10521.3</v>
      </c>
      <c r="E8304">
        <v>3.5900000000000001E-2</v>
      </c>
      <c r="F8304">
        <v>9.3799999999999994E-2</v>
      </c>
    </row>
    <row r="8305" spans="1:6" x14ac:dyDescent="0.3">
      <c r="A8305" t="s">
        <v>8340</v>
      </c>
      <c r="B8305" t="s">
        <v>92</v>
      </c>
      <c r="C8305">
        <v>210000</v>
      </c>
      <c r="D8305">
        <v>1849.9</v>
      </c>
      <c r="E8305">
        <v>4.6399999999999997E-2</v>
      </c>
      <c r="F8305">
        <v>0.1109</v>
      </c>
    </row>
    <row r="8306" spans="1:6" x14ac:dyDescent="0.3">
      <c r="A8306" t="s">
        <v>8341</v>
      </c>
      <c r="B8306" t="s">
        <v>24</v>
      </c>
      <c r="C8306">
        <v>288000</v>
      </c>
      <c r="D8306">
        <v>1593.5</v>
      </c>
      <c r="E8306">
        <v>8.8999999999999999E-3</v>
      </c>
      <c r="F8306">
        <v>8.2199999999999995E-2</v>
      </c>
    </row>
    <row r="8307" spans="1:6" x14ac:dyDescent="0.3">
      <c r="A8307" t="s">
        <v>8342</v>
      </c>
      <c r="B8307" t="s">
        <v>26</v>
      </c>
      <c r="C8307">
        <v>311000</v>
      </c>
      <c r="D8307">
        <v>46382.400000000001</v>
      </c>
      <c r="E8307">
        <v>2.2200000000000001E-2</v>
      </c>
      <c r="F8307">
        <v>7.5899999999999995E-2</v>
      </c>
    </row>
    <row r="8308" spans="1:6" x14ac:dyDescent="0.3">
      <c r="A8308" t="s">
        <v>8343</v>
      </c>
      <c r="B8308" t="s">
        <v>214</v>
      </c>
      <c r="C8308">
        <v>243000</v>
      </c>
      <c r="D8308">
        <v>1792.8</v>
      </c>
      <c r="E8308">
        <v>3.9E-2</v>
      </c>
      <c r="F8308">
        <v>9.5100000000000004E-2</v>
      </c>
    </row>
    <row r="8309" spans="1:6" x14ac:dyDescent="0.3">
      <c r="A8309" t="s">
        <v>8344</v>
      </c>
      <c r="B8309" t="s">
        <v>74</v>
      </c>
      <c r="C8309">
        <v>383000</v>
      </c>
      <c r="D8309">
        <v>3703.2</v>
      </c>
      <c r="E8309">
        <v>2.5899999999999999E-2</v>
      </c>
      <c r="F8309">
        <v>7.5899999999999995E-2</v>
      </c>
    </row>
    <row r="8310" spans="1:6" x14ac:dyDescent="0.3">
      <c r="A8310" t="s">
        <v>8345</v>
      </c>
      <c r="B8310" t="s">
        <v>81</v>
      </c>
      <c r="C8310">
        <v>251000</v>
      </c>
      <c r="D8310">
        <v>14842.6</v>
      </c>
      <c r="E8310">
        <v>5.4300000000000001E-2</v>
      </c>
      <c r="F8310">
        <v>7.5899999999999995E-2</v>
      </c>
    </row>
    <row r="8311" spans="1:6" x14ac:dyDescent="0.3">
      <c r="A8311" t="s">
        <v>8346</v>
      </c>
      <c r="B8311" t="s">
        <v>92</v>
      </c>
      <c r="C8311">
        <v>228000</v>
      </c>
      <c r="D8311">
        <v>6399.9</v>
      </c>
      <c r="E8311">
        <v>2.1999999999999999E-2</v>
      </c>
      <c r="F8311">
        <v>9.5100000000000004E-2</v>
      </c>
    </row>
    <row r="8312" spans="1:6" x14ac:dyDescent="0.3">
      <c r="A8312" t="s">
        <v>8347</v>
      </c>
      <c r="B8312" t="s">
        <v>62</v>
      </c>
      <c r="C8312">
        <v>458000</v>
      </c>
      <c r="D8312">
        <v>906.2</v>
      </c>
      <c r="E8312">
        <v>1.5900000000000001E-2</v>
      </c>
      <c r="F8312">
        <v>4.6199999999999998E-2</v>
      </c>
    </row>
    <row r="8313" spans="1:6" x14ac:dyDescent="0.3">
      <c r="A8313" t="s">
        <v>8348</v>
      </c>
      <c r="B8313" t="s">
        <v>92</v>
      </c>
      <c r="C8313">
        <v>208000</v>
      </c>
      <c r="D8313">
        <v>4484.3</v>
      </c>
      <c r="E8313">
        <v>0.01</v>
      </c>
      <c r="F8313">
        <v>6.54E-2</v>
      </c>
    </row>
    <row r="8314" spans="1:6" x14ac:dyDescent="0.3">
      <c r="A8314" t="s">
        <v>8349</v>
      </c>
      <c r="B8314" t="s">
        <v>26</v>
      </c>
      <c r="C8314">
        <v>274000</v>
      </c>
      <c r="D8314">
        <v>3428.9</v>
      </c>
      <c r="E8314">
        <v>1.7399999999999999E-2</v>
      </c>
      <c r="F8314">
        <v>4.6199999999999998E-2</v>
      </c>
    </row>
    <row r="8315" spans="1:6" x14ac:dyDescent="0.3">
      <c r="A8315" t="s">
        <v>8350</v>
      </c>
      <c r="B8315" t="s">
        <v>287</v>
      </c>
      <c r="C8315">
        <v>229000</v>
      </c>
      <c r="D8315">
        <v>4770.3999999999996</v>
      </c>
      <c r="E8315">
        <v>1.89E-2</v>
      </c>
      <c r="F8315">
        <v>8.5400000000000004E-2</v>
      </c>
    </row>
    <row r="8316" spans="1:6" x14ac:dyDescent="0.3">
      <c r="A8316" t="s">
        <v>8351</v>
      </c>
      <c r="B8316" t="s">
        <v>26</v>
      </c>
      <c r="C8316">
        <v>1510000</v>
      </c>
      <c r="D8316">
        <v>4445.3999999999996</v>
      </c>
      <c r="E8316">
        <v>5.8200000000000002E-2</v>
      </c>
      <c r="F8316">
        <v>9.3799999999999994E-2</v>
      </c>
    </row>
    <row r="8317" spans="1:6" x14ac:dyDescent="0.3">
      <c r="A8317" t="s">
        <v>8352</v>
      </c>
      <c r="B8317" t="s">
        <v>92</v>
      </c>
      <c r="C8317">
        <v>225000</v>
      </c>
      <c r="D8317">
        <v>2580.5</v>
      </c>
      <c r="E8317">
        <v>1.78E-2</v>
      </c>
      <c r="F8317">
        <v>0.1067</v>
      </c>
    </row>
    <row r="8318" spans="1:6" x14ac:dyDescent="0.3">
      <c r="A8318" t="s">
        <v>8353</v>
      </c>
      <c r="B8318" t="s">
        <v>26</v>
      </c>
      <c r="C8318">
        <v>401000</v>
      </c>
      <c r="D8318">
        <v>569717.80000000005</v>
      </c>
      <c r="E8318">
        <v>3.2899999999999999E-2</v>
      </c>
      <c r="F8318">
        <v>4.0899999999999999E-2</v>
      </c>
    </row>
    <row r="8319" spans="1:6" x14ac:dyDescent="0.3">
      <c r="A8319" t="s">
        <v>8354</v>
      </c>
      <c r="B8319" t="s">
        <v>26</v>
      </c>
      <c r="C8319">
        <v>219000</v>
      </c>
      <c r="D8319">
        <v>46434.7</v>
      </c>
      <c r="F8319">
        <v>5.1799999999999999E-2</v>
      </c>
    </row>
    <row r="8320" spans="1:6" x14ac:dyDescent="0.3">
      <c r="A8320" t="s">
        <v>8355</v>
      </c>
      <c r="B8320" t="s">
        <v>26</v>
      </c>
      <c r="C8320">
        <v>324000</v>
      </c>
      <c r="D8320">
        <v>23466.6</v>
      </c>
      <c r="F8320">
        <v>4.0899999999999999E-2</v>
      </c>
    </row>
    <row r="8321" spans="1:6" x14ac:dyDescent="0.3">
      <c r="A8321" t="s">
        <v>8356</v>
      </c>
      <c r="B8321" t="s">
        <v>62</v>
      </c>
      <c r="C8321">
        <v>210000</v>
      </c>
      <c r="D8321">
        <v>785.9</v>
      </c>
      <c r="E8321">
        <v>1.8599999999999998E-2</v>
      </c>
      <c r="F8321">
        <v>5.8500000000000003E-2</v>
      </c>
    </row>
    <row r="8322" spans="1:6" x14ac:dyDescent="0.3">
      <c r="A8322" t="s">
        <v>8357</v>
      </c>
      <c r="B8322" t="s">
        <v>195</v>
      </c>
      <c r="C8322">
        <v>288000</v>
      </c>
      <c r="D8322">
        <v>5775.2</v>
      </c>
      <c r="E8322">
        <v>3.1300000000000001E-2</v>
      </c>
      <c r="F8322">
        <v>7.5899999999999995E-2</v>
      </c>
    </row>
    <row r="8323" spans="1:6" x14ac:dyDescent="0.3">
      <c r="A8323" t="s">
        <v>8358</v>
      </c>
      <c r="B8323" t="s">
        <v>26</v>
      </c>
      <c r="C8323">
        <v>371000</v>
      </c>
      <c r="D8323">
        <v>3491.9</v>
      </c>
      <c r="E8323">
        <v>1.7299999999999999E-2</v>
      </c>
      <c r="F8323">
        <v>7.2599999999999998E-2</v>
      </c>
    </row>
    <row r="8324" spans="1:6" x14ac:dyDescent="0.3">
      <c r="A8324" t="s">
        <v>8359</v>
      </c>
      <c r="B8324" t="s">
        <v>62</v>
      </c>
      <c r="C8324">
        <v>207000</v>
      </c>
      <c r="D8324">
        <v>169.3</v>
      </c>
      <c r="E8324">
        <v>4.24E-2</v>
      </c>
      <c r="F8324">
        <v>9.5100000000000004E-2</v>
      </c>
    </row>
    <row r="8325" spans="1:6" x14ac:dyDescent="0.3">
      <c r="A8325" t="s">
        <v>8360</v>
      </c>
      <c r="B8325" t="s">
        <v>26</v>
      </c>
      <c r="C8325">
        <v>195000</v>
      </c>
      <c r="D8325">
        <v>289</v>
      </c>
      <c r="E8325">
        <v>1.7299999999999999E-2</v>
      </c>
      <c r="F8325">
        <v>0.1067</v>
      </c>
    </row>
    <row r="8326" spans="1:6" x14ac:dyDescent="0.3">
      <c r="A8326" t="s">
        <v>8361</v>
      </c>
      <c r="B8326" t="s">
        <v>74</v>
      </c>
      <c r="C8326">
        <v>691000</v>
      </c>
      <c r="D8326">
        <v>9784.6</v>
      </c>
      <c r="E8326">
        <v>2.6700000000000002E-2</v>
      </c>
      <c r="F8326">
        <v>7.5899999999999995E-2</v>
      </c>
    </row>
    <row r="8327" spans="1:6" x14ac:dyDescent="0.3">
      <c r="A8327" t="s">
        <v>8362</v>
      </c>
      <c r="B8327" t="s">
        <v>26</v>
      </c>
      <c r="C8327">
        <v>215000</v>
      </c>
      <c r="D8327">
        <v>124.5</v>
      </c>
      <c r="E8327">
        <v>9.5999999999999992E-3</v>
      </c>
      <c r="F8327">
        <v>7.3599999999999999E-2</v>
      </c>
    </row>
    <row r="8328" spans="1:6" x14ac:dyDescent="0.3">
      <c r="A8328" t="s">
        <v>8363</v>
      </c>
      <c r="B8328" t="s">
        <v>92</v>
      </c>
      <c r="C8328">
        <v>210000</v>
      </c>
      <c r="D8328">
        <v>3832.6</v>
      </c>
      <c r="E8328">
        <v>6.8999999999999999E-3</v>
      </c>
      <c r="F8328">
        <v>8.2199999999999995E-2</v>
      </c>
    </row>
    <row r="8329" spans="1:6" x14ac:dyDescent="0.3">
      <c r="A8329" t="s">
        <v>8364</v>
      </c>
      <c r="B8329" t="s">
        <v>88</v>
      </c>
      <c r="C8329">
        <v>247000</v>
      </c>
      <c r="D8329">
        <v>2910.9</v>
      </c>
      <c r="E8329">
        <v>0.17929999999999999</v>
      </c>
      <c r="F8329">
        <v>9.3799999999999994E-2</v>
      </c>
    </row>
    <row r="8330" spans="1:6" x14ac:dyDescent="0.3">
      <c r="A8330" t="s">
        <v>8365</v>
      </c>
      <c r="B8330" t="s">
        <v>24</v>
      </c>
      <c r="C8330">
        <v>228000</v>
      </c>
      <c r="D8330">
        <v>1502.5</v>
      </c>
      <c r="E8330">
        <v>5.5999999999999999E-3</v>
      </c>
      <c r="F8330">
        <v>6.54E-2</v>
      </c>
    </row>
    <row r="8331" spans="1:6" x14ac:dyDescent="0.3">
      <c r="A8331" t="s">
        <v>8366</v>
      </c>
      <c r="B8331" t="s">
        <v>92</v>
      </c>
      <c r="C8331">
        <v>235000</v>
      </c>
      <c r="D8331">
        <v>189.6</v>
      </c>
      <c r="E8331">
        <v>2.63E-2</v>
      </c>
      <c r="F8331">
        <v>9.3799999999999994E-2</v>
      </c>
    </row>
    <row r="8332" spans="1:6" x14ac:dyDescent="0.3">
      <c r="A8332" t="s">
        <v>8367</v>
      </c>
      <c r="B8332" t="s">
        <v>35</v>
      </c>
      <c r="C8332">
        <v>301000</v>
      </c>
      <c r="D8332">
        <v>47482.5</v>
      </c>
      <c r="E8332">
        <v>2.3300000000000001E-2</v>
      </c>
      <c r="F8332">
        <v>7.5899999999999995E-2</v>
      </c>
    </row>
    <row r="8333" spans="1:6" x14ac:dyDescent="0.3">
      <c r="A8333" t="s">
        <v>8368</v>
      </c>
      <c r="B8333" t="s">
        <v>26</v>
      </c>
      <c r="C8333">
        <v>385000</v>
      </c>
      <c r="D8333">
        <v>361.4</v>
      </c>
      <c r="E8333">
        <v>5.4999999999999997E-3</v>
      </c>
      <c r="F8333">
        <v>8.1100000000000005E-2</v>
      </c>
    </row>
    <row r="8334" spans="1:6" x14ac:dyDescent="0.3">
      <c r="A8334" t="s">
        <v>8369</v>
      </c>
      <c r="B8334" t="s">
        <v>88</v>
      </c>
      <c r="C8334">
        <v>236000</v>
      </c>
      <c r="D8334">
        <v>69521.8</v>
      </c>
      <c r="E8334">
        <v>4.7E-2</v>
      </c>
      <c r="F8334">
        <v>9.5100000000000004E-2</v>
      </c>
    </row>
    <row r="8335" spans="1:6" x14ac:dyDescent="0.3">
      <c r="A8335" t="s">
        <v>8370</v>
      </c>
      <c r="B8335" t="s">
        <v>214</v>
      </c>
      <c r="C8335">
        <v>235000</v>
      </c>
      <c r="D8335">
        <v>1699.3</v>
      </c>
      <c r="E8335">
        <v>1.52E-2</v>
      </c>
      <c r="F8335">
        <v>4.6199999999999998E-2</v>
      </c>
    </row>
    <row r="8336" spans="1:6" x14ac:dyDescent="0.3">
      <c r="A8336" t="s">
        <v>8371</v>
      </c>
      <c r="B8336" t="s">
        <v>26</v>
      </c>
      <c r="C8336">
        <v>887000</v>
      </c>
      <c r="D8336">
        <v>972118.5</v>
      </c>
      <c r="E8336">
        <v>2.5399999999999999E-2</v>
      </c>
      <c r="F8336">
        <v>9.3799999999999994E-2</v>
      </c>
    </row>
    <row r="8337" spans="1:6" x14ac:dyDescent="0.3">
      <c r="A8337" t="s">
        <v>8372</v>
      </c>
      <c r="B8337" t="s">
        <v>92</v>
      </c>
      <c r="C8337">
        <v>932000</v>
      </c>
      <c r="D8337">
        <v>36467.1</v>
      </c>
      <c r="E8337">
        <v>1.67E-2</v>
      </c>
      <c r="F8337">
        <v>4.6199999999999998E-2</v>
      </c>
    </row>
    <row r="8338" spans="1:6" x14ac:dyDescent="0.3">
      <c r="A8338" t="s">
        <v>8373</v>
      </c>
      <c r="B8338" t="s">
        <v>24</v>
      </c>
      <c r="C8338">
        <v>219000</v>
      </c>
      <c r="D8338">
        <v>660.2</v>
      </c>
      <c r="E8338">
        <v>9.4000000000000004E-3</v>
      </c>
      <c r="F8338">
        <v>0.19289999999999999</v>
      </c>
    </row>
    <row r="8339" spans="1:6" x14ac:dyDescent="0.3">
      <c r="A8339" t="s">
        <v>8374</v>
      </c>
      <c r="B8339" t="s">
        <v>21</v>
      </c>
      <c r="C8339">
        <v>228000</v>
      </c>
      <c r="D8339">
        <v>3224.9</v>
      </c>
      <c r="E8339">
        <v>2.8400000000000002E-2</v>
      </c>
      <c r="F8339">
        <v>0.13869999999999999</v>
      </c>
    </row>
    <row r="8340" spans="1:6" x14ac:dyDescent="0.3">
      <c r="A8340" t="s">
        <v>8375</v>
      </c>
      <c r="B8340" t="s">
        <v>50</v>
      </c>
      <c r="C8340">
        <v>241000</v>
      </c>
      <c r="D8340">
        <v>193874.8</v>
      </c>
      <c r="E8340">
        <v>3.4700000000000002E-2</v>
      </c>
      <c r="F8340">
        <v>6.1400000000000003E-2</v>
      </c>
    </row>
    <row r="8341" spans="1:6" x14ac:dyDescent="0.3">
      <c r="A8341" t="s">
        <v>8376</v>
      </c>
      <c r="B8341" t="s">
        <v>88</v>
      </c>
      <c r="C8341">
        <v>203000</v>
      </c>
      <c r="D8341">
        <v>500.4</v>
      </c>
      <c r="E8341">
        <v>2.7400000000000001E-2</v>
      </c>
      <c r="F8341">
        <v>6.4399999999999999E-2</v>
      </c>
    </row>
    <row r="8342" spans="1:6" x14ac:dyDescent="0.3">
      <c r="A8342" t="s">
        <v>8377</v>
      </c>
      <c r="B8342" t="s">
        <v>30</v>
      </c>
      <c r="C8342">
        <v>224000</v>
      </c>
      <c r="D8342">
        <v>267026.8</v>
      </c>
      <c r="E8342">
        <v>9.7999999999999997E-3</v>
      </c>
      <c r="F8342">
        <v>8.2199999999999995E-2</v>
      </c>
    </row>
    <row r="8343" spans="1:6" x14ac:dyDescent="0.3">
      <c r="A8343" t="s">
        <v>8378</v>
      </c>
      <c r="B8343" t="s">
        <v>26</v>
      </c>
      <c r="C8343">
        <v>225000</v>
      </c>
      <c r="D8343">
        <v>62207.9</v>
      </c>
      <c r="E8343">
        <v>2.35E-2</v>
      </c>
      <c r="F8343">
        <v>5.4600000000000003E-2</v>
      </c>
    </row>
    <row r="8344" spans="1:6" x14ac:dyDescent="0.3">
      <c r="A8344" t="s">
        <v>8379</v>
      </c>
      <c r="B8344" t="s">
        <v>24</v>
      </c>
      <c r="C8344">
        <v>222000</v>
      </c>
      <c r="D8344">
        <v>3066.5</v>
      </c>
      <c r="E8344">
        <v>2.5700000000000001E-2</v>
      </c>
      <c r="F8344">
        <v>7.5899999999999995E-2</v>
      </c>
    </row>
    <row r="8345" spans="1:6" x14ac:dyDescent="0.3">
      <c r="A8345" t="s">
        <v>8380</v>
      </c>
      <c r="B8345" t="s">
        <v>62</v>
      </c>
      <c r="C8345">
        <v>1260000</v>
      </c>
      <c r="D8345">
        <v>193940.6</v>
      </c>
      <c r="E8345">
        <v>5.0799999999999998E-2</v>
      </c>
      <c r="F8345">
        <v>7.5899999999999995E-2</v>
      </c>
    </row>
    <row r="8346" spans="1:6" x14ac:dyDescent="0.3">
      <c r="A8346" t="s">
        <v>8381</v>
      </c>
      <c r="B8346" t="s">
        <v>74</v>
      </c>
      <c r="C8346">
        <v>213000</v>
      </c>
      <c r="F8346">
        <v>7.5899999999999995E-2</v>
      </c>
    </row>
    <row r="8347" spans="1:6" x14ac:dyDescent="0.3">
      <c r="A8347" t="s">
        <v>8382</v>
      </c>
      <c r="B8347" t="s">
        <v>88</v>
      </c>
      <c r="C8347">
        <v>232000</v>
      </c>
      <c r="D8347">
        <v>25470.9</v>
      </c>
      <c r="E8347">
        <v>1.3599999999999999E-2</v>
      </c>
      <c r="F8347">
        <v>5.8500000000000003E-2</v>
      </c>
    </row>
    <row r="8348" spans="1:6" x14ac:dyDescent="0.3">
      <c r="A8348" t="s">
        <v>8383</v>
      </c>
      <c r="B8348" t="s">
        <v>26</v>
      </c>
      <c r="C8348">
        <v>270000</v>
      </c>
      <c r="D8348">
        <v>29316.5</v>
      </c>
      <c r="E8348">
        <v>3.04E-2</v>
      </c>
      <c r="F8348">
        <v>4.0899999999999999E-2</v>
      </c>
    </row>
    <row r="8349" spans="1:6" x14ac:dyDescent="0.3">
      <c r="A8349" t="s">
        <v>8384</v>
      </c>
      <c r="B8349" t="s">
        <v>26</v>
      </c>
      <c r="C8349">
        <v>227000</v>
      </c>
      <c r="D8349">
        <v>5815.3</v>
      </c>
      <c r="E8349">
        <v>7.0199999999999999E-2</v>
      </c>
      <c r="F8349">
        <v>7.5899999999999995E-2</v>
      </c>
    </row>
    <row r="8350" spans="1:6" x14ac:dyDescent="0.3">
      <c r="A8350" t="s">
        <v>8385</v>
      </c>
      <c r="B8350" t="s">
        <v>50</v>
      </c>
      <c r="C8350">
        <v>250000</v>
      </c>
      <c r="D8350">
        <v>59839.199999999997</v>
      </c>
      <c r="E8350">
        <v>6.6100000000000006E-2</v>
      </c>
      <c r="F8350">
        <v>6.7199999999999996E-2</v>
      </c>
    </row>
    <row r="8351" spans="1:6" x14ac:dyDescent="0.3">
      <c r="A8351" t="s">
        <v>8386</v>
      </c>
      <c r="B8351" t="s">
        <v>287</v>
      </c>
      <c r="C8351">
        <v>216000</v>
      </c>
      <c r="D8351">
        <v>1792.2</v>
      </c>
      <c r="E8351">
        <v>3.5999999999999999E-3</v>
      </c>
      <c r="F8351">
        <v>8.2199999999999995E-2</v>
      </c>
    </row>
    <row r="8352" spans="1:6" x14ac:dyDescent="0.3">
      <c r="A8352" t="s">
        <v>8387</v>
      </c>
      <c r="B8352" t="s">
        <v>26</v>
      </c>
      <c r="C8352">
        <v>271000</v>
      </c>
      <c r="D8352">
        <v>6252.5</v>
      </c>
      <c r="F8352">
        <v>7.5899999999999995E-2</v>
      </c>
    </row>
    <row r="8353" spans="1:6" x14ac:dyDescent="0.3">
      <c r="A8353" t="s">
        <v>8388</v>
      </c>
      <c r="B8353" t="s">
        <v>74</v>
      </c>
      <c r="C8353">
        <v>370000</v>
      </c>
      <c r="D8353">
        <v>6700.6</v>
      </c>
      <c r="E8353">
        <v>3.4500000000000003E-2</v>
      </c>
      <c r="F8353">
        <v>6.7199999999999996E-2</v>
      </c>
    </row>
    <row r="8354" spans="1:6" x14ac:dyDescent="0.3">
      <c r="A8354" t="s">
        <v>8389</v>
      </c>
      <c r="B8354" t="s">
        <v>53</v>
      </c>
      <c r="C8354">
        <v>471000</v>
      </c>
      <c r="D8354">
        <v>2003690.5</v>
      </c>
      <c r="E8354">
        <v>1.6799999999999999E-2</v>
      </c>
      <c r="F8354">
        <v>4.6199999999999998E-2</v>
      </c>
    </row>
    <row r="8355" spans="1:6" x14ac:dyDescent="0.3">
      <c r="A8355" t="s">
        <v>8390</v>
      </c>
      <c r="B8355" t="s">
        <v>88</v>
      </c>
      <c r="C8355">
        <v>246000</v>
      </c>
      <c r="D8355">
        <v>859</v>
      </c>
      <c r="E8355">
        <v>2.3E-2</v>
      </c>
      <c r="F8355">
        <v>0.16880000000000001</v>
      </c>
    </row>
    <row r="8356" spans="1:6" x14ac:dyDescent="0.3">
      <c r="A8356" t="s">
        <v>8391</v>
      </c>
      <c r="B8356" t="s">
        <v>62</v>
      </c>
      <c r="C8356">
        <v>203000</v>
      </c>
      <c r="D8356">
        <v>71175.199999999997</v>
      </c>
      <c r="E8356">
        <v>4.8800000000000003E-2</v>
      </c>
      <c r="F8356">
        <v>5.1799999999999999E-2</v>
      </c>
    </row>
    <row r="8357" spans="1:6" x14ac:dyDescent="0.3">
      <c r="A8357" t="s">
        <v>8392</v>
      </c>
      <c r="B8357" t="s">
        <v>26</v>
      </c>
      <c r="C8357">
        <v>317000</v>
      </c>
      <c r="D8357">
        <v>9243.2999999999993</v>
      </c>
      <c r="E8357">
        <v>3.4500000000000003E-2</v>
      </c>
      <c r="F8357">
        <v>9.3799999999999994E-2</v>
      </c>
    </row>
    <row r="8358" spans="1:6" x14ac:dyDescent="0.3">
      <c r="A8358" t="s">
        <v>8393</v>
      </c>
      <c r="B8358" t="s">
        <v>24</v>
      </c>
      <c r="C8358">
        <v>217000</v>
      </c>
      <c r="D8358">
        <v>92.9</v>
      </c>
      <c r="E8358">
        <v>9.2999999999999992E-3</v>
      </c>
      <c r="F8358">
        <v>0.15920000000000001</v>
      </c>
    </row>
    <row r="8359" spans="1:6" x14ac:dyDescent="0.3">
      <c r="A8359" t="s">
        <v>8394</v>
      </c>
      <c r="B8359" t="s">
        <v>74</v>
      </c>
      <c r="C8359">
        <v>259000</v>
      </c>
      <c r="D8359">
        <v>5494.4</v>
      </c>
      <c r="E8359">
        <v>2.8299999999999999E-2</v>
      </c>
      <c r="F8359">
        <v>9.5100000000000004E-2</v>
      </c>
    </row>
    <row r="8360" spans="1:6" x14ac:dyDescent="0.3">
      <c r="A8360" t="s">
        <v>8395</v>
      </c>
      <c r="B8360" t="s">
        <v>92</v>
      </c>
      <c r="C8360">
        <v>208000</v>
      </c>
      <c r="D8360">
        <v>248.5</v>
      </c>
      <c r="E8360">
        <v>1.8200000000000001E-2</v>
      </c>
      <c r="F8360">
        <v>0.57150000000000001</v>
      </c>
    </row>
    <row r="8361" spans="1:6" x14ac:dyDescent="0.3">
      <c r="A8361" t="s">
        <v>8396</v>
      </c>
      <c r="B8361" t="s">
        <v>24</v>
      </c>
      <c r="C8361">
        <v>210000</v>
      </c>
      <c r="D8361">
        <v>3389.4</v>
      </c>
      <c r="E8361">
        <v>5.5999999999999999E-3</v>
      </c>
      <c r="F8361">
        <v>8.2199999999999995E-2</v>
      </c>
    </row>
    <row r="8362" spans="1:6" x14ac:dyDescent="0.3">
      <c r="A8362" t="s">
        <v>8397</v>
      </c>
      <c r="B8362" t="s">
        <v>81</v>
      </c>
      <c r="C8362">
        <v>203000</v>
      </c>
      <c r="D8362">
        <v>360.8</v>
      </c>
      <c r="E8362">
        <v>3.9899999999999998E-2</v>
      </c>
      <c r="F8362">
        <v>5.1799999999999999E-2</v>
      </c>
    </row>
    <row r="8363" spans="1:6" x14ac:dyDescent="0.3">
      <c r="A8363" t="s">
        <v>8398</v>
      </c>
      <c r="B8363" t="s">
        <v>92</v>
      </c>
      <c r="C8363">
        <v>230000</v>
      </c>
      <c r="D8363">
        <v>408241.4</v>
      </c>
      <c r="E8363">
        <v>2.3199999999999998E-2</v>
      </c>
      <c r="F8363">
        <v>5.1799999999999999E-2</v>
      </c>
    </row>
    <row r="8364" spans="1:6" x14ac:dyDescent="0.3">
      <c r="A8364" t="s">
        <v>8399</v>
      </c>
      <c r="B8364" t="s">
        <v>81</v>
      </c>
      <c r="C8364">
        <v>387000</v>
      </c>
      <c r="D8364">
        <v>25293.1</v>
      </c>
      <c r="E8364">
        <v>3.49E-2</v>
      </c>
      <c r="F8364">
        <v>7.5899999999999995E-2</v>
      </c>
    </row>
    <row r="8365" spans="1:6" x14ac:dyDescent="0.3">
      <c r="A8365" t="s">
        <v>8400</v>
      </c>
      <c r="B8365" t="s">
        <v>32</v>
      </c>
      <c r="C8365">
        <v>221000</v>
      </c>
      <c r="D8365">
        <v>1393.4</v>
      </c>
      <c r="E8365">
        <v>5.5800000000000002E-2</v>
      </c>
      <c r="F8365">
        <v>9.3799999999999994E-2</v>
      </c>
    </row>
    <row r="8366" spans="1:6" x14ac:dyDescent="0.3">
      <c r="A8366" t="s">
        <v>8401</v>
      </c>
      <c r="B8366" t="s">
        <v>53</v>
      </c>
      <c r="C8366">
        <v>415000</v>
      </c>
      <c r="D8366">
        <v>131079.9</v>
      </c>
      <c r="E8366">
        <v>2.3900000000000001E-2</v>
      </c>
      <c r="F8366">
        <v>4.0899999999999999E-2</v>
      </c>
    </row>
    <row r="8367" spans="1:6" x14ac:dyDescent="0.3">
      <c r="A8367" t="s">
        <v>8402</v>
      </c>
      <c r="B8367" t="s">
        <v>74</v>
      </c>
      <c r="C8367">
        <v>205000</v>
      </c>
      <c r="D8367">
        <v>1600.7</v>
      </c>
      <c r="E8367">
        <v>9.1000000000000004E-3</v>
      </c>
      <c r="F8367">
        <v>8.2799999999999999E-2</v>
      </c>
    </row>
    <row r="8368" spans="1:6" x14ac:dyDescent="0.3">
      <c r="A8368" t="s">
        <v>8403</v>
      </c>
      <c r="B8368" t="s">
        <v>26</v>
      </c>
      <c r="C8368">
        <v>345000</v>
      </c>
      <c r="D8368">
        <v>23767.7</v>
      </c>
      <c r="E8368">
        <v>2.6599999999999999E-2</v>
      </c>
      <c r="F8368">
        <v>6.4399999999999999E-2</v>
      </c>
    </row>
    <row r="8369" spans="1:6" x14ac:dyDescent="0.3">
      <c r="A8369" t="s">
        <v>8404</v>
      </c>
      <c r="B8369" t="s">
        <v>26</v>
      </c>
      <c r="C8369">
        <v>230000</v>
      </c>
      <c r="D8369">
        <v>1654.4</v>
      </c>
      <c r="E8369">
        <v>2.2499999999999999E-2</v>
      </c>
      <c r="F8369">
        <v>5.1799999999999999E-2</v>
      </c>
    </row>
    <row r="8370" spans="1:6" x14ac:dyDescent="0.3">
      <c r="A8370" t="s">
        <v>8405</v>
      </c>
      <c r="B8370" t="s">
        <v>26</v>
      </c>
      <c r="C8370">
        <v>208000</v>
      </c>
      <c r="D8370">
        <v>2303.1</v>
      </c>
      <c r="E8370">
        <v>5.3600000000000002E-2</v>
      </c>
      <c r="F8370">
        <v>9.5100000000000004E-2</v>
      </c>
    </row>
    <row r="8371" spans="1:6" x14ac:dyDescent="0.3">
      <c r="A8371" t="s">
        <v>8406</v>
      </c>
      <c r="B8371" t="s">
        <v>81</v>
      </c>
      <c r="C8371">
        <v>226000</v>
      </c>
      <c r="D8371">
        <v>2755.6</v>
      </c>
      <c r="E8371">
        <v>2.3800000000000002E-2</v>
      </c>
      <c r="F8371">
        <v>7.5899999999999995E-2</v>
      </c>
    </row>
    <row r="8372" spans="1:6" x14ac:dyDescent="0.3">
      <c r="A8372" t="s">
        <v>8407</v>
      </c>
      <c r="B8372" t="s">
        <v>24</v>
      </c>
      <c r="C8372">
        <v>221000</v>
      </c>
      <c r="D8372">
        <v>1641.6</v>
      </c>
      <c r="E8372">
        <v>1.2200000000000001E-2</v>
      </c>
      <c r="F8372">
        <v>6.5699999999999995E-2</v>
      </c>
    </row>
    <row r="8373" spans="1:6" x14ac:dyDescent="0.3">
      <c r="A8373" t="s">
        <v>8408</v>
      </c>
      <c r="B8373" t="s">
        <v>24</v>
      </c>
      <c r="C8373">
        <v>296000</v>
      </c>
      <c r="D8373">
        <v>15829.1</v>
      </c>
      <c r="E8373">
        <v>5.8400000000000001E-2</v>
      </c>
      <c r="F8373">
        <v>9.5100000000000004E-2</v>
      </c>
    </row>
    <row r="8374" spans="1:6" x14ac:dyDescent="0.3">
      <c r="A8374" t="s">
        <v>8409</v>
      </c>
      <c r="B8374" t="s">
        <v>26</v>
      </c>
      <c r="C8374">
        <v>241000</v>
      </c>
      <c r="D8374">
        <v>17673.2</v>
      </c>
      <c r="E8374">
        <v>6.0900000000000003E-2</v>
      </c>
      <c r="F8374">
        <v>9.5100000000000004E-2</v>
      </c>
    </row>
    <row r="8375" spans="1:6" x14ac:dyDescent="0.3">
      <c r="A8375" t="s">
        <v>8410</v>
      </c>
      <c r="B8375" t="s">
        <v>26</v>
      </c>
      <c r="C8375">
        <v>217000</v>
      </c>
      <c r="D8375">
        <v>11448.8</v>
      </c>
      <c r="E8375">
        <v>3.4200000000000001E-2</v>
      </c>
      <c r="F8375">
        <v>9.5100000000000004E-2</v>
      </c>
    </row>
    <row r="8376" spans="1:6" x14ac:dyDescent="0.3">
      <c r="A8376" t="s">
        <v>8411</v>
      </c>
      <c r="B8376" t="s">
        <v>214</v>
      </c>
      <c r="C8376">
        <v>232000</v>
      </c>
      <c r="D8376">
        <v>654149.80000000005</v>
      </c>
      <c r="E8376">
        <v>1.83E-2</v>
      </c>
      <c r="F8376">
        <v>4.6199999999999998E-2</v>
      </c>
    </row>
    <row r="8377" spans="1:6" x14ac:dyDescent="0.3">
      <c r="A8377" t="s">
        <v>8412</v>
      </c>
      <c r="B8377" t="s">
        <v>41</v>
      </c>
      <c r="C8377">
        <v>238000</v>
      </c>
      <c r="D8377">
        <v>1751.7</v>
      </c>
      <c r="E8377">
        <v>3.1199999999999999E-2</v>
      </c>
      <c r="F8377">
        <v>9.3799999999999994E-2</v>
      </c>
    </row>
    <row r="8378" spans="1:6" x14ac:dyDescent="0.3">
      <c r="A8378" t="s">
        <v>8413</v>
      </c>
      <c r="B8378" t="s">
        <v>88</v>
      </c>
      <c r="C8378">
        <v>230000</v>
      </c>
      <c r="D8378">
        <v>741.7</v>
      </c>
      <c r="E8378">
        <v>3.1300000000000001E-2</v>
      </c>
      <c r="F8378">
        <v>5.0999999999999997E-2</v>
      </c>
    </row>
    <row r="8379" spans="1:6" x14ac:dyDescent="0.3">
      <c r="A8379" t="s">
        <v>8414</v>
      </c>
      <c r="B8379" t="s">
        <v>88</v>
      </c>
      <c r="C8379">
        <v>252000</v>
      </c>
      <c r="D8379">
        <v>2851</v>
      </c>
      <c r="E8379">
        <v>4.1200000000000001E-2</v>
      </c>
      <c r="F8379">
        <v>7.5899999999999995E-2</v>
      </c>
    </row>
    <row r="8380" spans="1:6" x14ac:dyDescent="0.3">
      <c r="A8380" t="s">
        <v>8415</v>
      </c>
      <c r="B8380" t="s">
        <v>62</v>
      </c>
      <c r="C8380">
        <v>340000</v>
      </c>
      <c r="D8380">
        <v>222931.8</v>
      </c>
      <c r="E8380">
        <v>2.1899999999999999E-2</v>
      </c>
      <c r="F8380">
        <v>9.5100000000000004E-2</v>
      </c>
    </row>
    <row r="8381" spans="1:6" x14ac:dyDescent="0.3">
      <c r="A8381" t="s">
        <v>8416</v>
      </c>
      <c r="B8381" t="s">
        <v>26</v>
      </c>
      <c r="C8381">
        <v>227000</v>
      </c>
      <c r="D8381">
        <v>52921.599999999999</v>
      </c>
      <c r="E8381">
        <v>4.7500000000000001E-2</v>
      </c>
      <c r="F8381">
        <v>9.5100000000000004E-2</v>
      </c>
    </row>
    <row r="8382" spans="1:6" x14ac:dyDescent="0.3">
      <c r="A8382" t="s">
        <v>8417</v>
      </c>
      <c r="B8382" t="s">
        <v>88</v>
      </c>
      <c r="C8382">
        <v>328000</v>
      </c>
      <c r="D8382">
        <v>207.2</v>
      </c>
      <c r="E8382">
        <v>8.3299999999999999E-2</v>
      </c>
      <c r="F8382">
        <v>9.3799999999999994E-2</v>
      </c>
    </row>
    <row r="8383" spans="1:6" x14ac:dyDescent="0.3">
      <c r="A8383" t="s">
        <v>8418</v>
      </c>
      <c r="B8383" t="s">
        <v>81</v>
      </c>
      <c r="C8383">
        <v>263000</v>
      </c>
      <c r="D8383">
        <v>17444</v>
      </c>
      <c r="E8383">
        <v>3.3599999999999998E-2</v>
      </c>
      <c r="F8383">
        <v>4.3200000000000002E-2</v>
      </c>
    </row>
    <row r="8384" spans="1:6" x14ac:dyDescent="0.3">
      <c r="A8384" t="s">
        <v>8419</v>
      </c>
      <c r="B8384" t="s">
        <v>53</v>
      </c>
      <c r="C8384">
        <v>282000</v>
      </c>
      <c r="D8384">
        <v>90464.4</v>
      </c>
      <c r="E8384">
        <v>5.8099999999999999E-2</v>
      </c>
      <c r="F8384">
        <v>4.0899999999999999E-2</v>
      </c>
    </row>
    <row r="8385" spans="1:6" x14ac:dyDescent="0.3">
      <c r="A8385" t="s">
        <v>8420</v>
      </c>
      <c r="B8385" t="s">
        <v>26</v>
      </c>
      <c r="C8385">
        <v>209000</v>
      </c>
      <c r="D8385">
        <v>400.2</v>
      </c>
      <c r="E8385">
        <v>5.8799999999999998E-2</v>
      </c>
      <c r="F8385">
        <v>0.15160000000000001</v>
      </c>
    </row>
    <row r="8386" spans="1:6" x14ac:dyDescent="0.3">
      <c r="A8386" t="s">
        <v>8421</v>
      </c>
      <c r="B8386" t="s">
        <v>88</v>
      </c>
      <c r="C8386">
        <v>289000</v>
      </c>
      <c r="D8386">
        <v>169263.3</v>
      </c>
      <c r="E8386">
        <v>3.7600000000000001E-2</v>
      </c>
      <c r="F8386">
        <v>7.5899999999999995E-2</v>
      </c>
    </row>
    <row r="8387" spans="1:6" x14ac:dyDescent="0.3">
      <c r="A8387" t="s">
        <v>8422</v>
      </c>
      <c r="B8387" t="s">
        <v>88</v>
      </c>
      <c r="C8387">
        <v>209000</v>
      </c>
      <c r="D8387">
        <v>1732.4</v>
      </c>
      <c r="E8387">
        <v>2.7799999999999998E-2</v>
      </c>
      <c r="F8387">
        <v>5.1799999999999999E-2</v>
      </c>
    </row>
    <row r="8388" spans="1:6" x14ac:dyDescent="0.3">
      <c r="A8388" t="s">
        <v>8423</v>
      </c>
      <c r="B8388" t="s">
        <v>26</v>
      </c>
      <c r="C8388">
        <v>218000</v>
      </c>
      <c r="D8388">
        <v>2001.2</v>
      </c>
      <c r="E8388">
        <v>1.06E-2</v>
      </c>
      <c r="F8388">
        <v>6.54E-2</v>
      </c>
    </row>
    <row r="8389" spans="1:6" x14ac:dyDescent="0.3">
      <c r="A8389" t="s">
        <v>8424</v>
      </c>
      <c r="B8389" t="s">
        <v>53</v>
      </c>
      <c r="C8389">
        <v>250000</v>
      </c>
      <c r="D8389">
        <v>772.2</v>
      </c>
      <c r="E8389">
        <v>5.0200000000000002E-2</v>
      </c>
      <c r="F8389">
        <v>9.5100000000000004E-2</v>
      </c>
    </row>
    <row r="8390" spans="1:6" x14ac:dyDescent="0.3">
      <c r="A8390" t="s">
        <v>8425</v>
      </c>
      <c r="B8390" t="s">
        <v>30</v>
      </c>
      <c r="C8390">
        <v>253000</v>
      </c>
      <c r="D8390">
        <v>219.7</v>
      </c>
      <c r="E8390">
        <v>4.7100000000000003E-2</v>
      </c>
      <c r="F8390">
        <v>9.5100000000000004E-2</v>
      </c>
    </row>
    <row r="8391" spans="1:6" x14ac:dyDescent="0.3">
      <c r="A8391" t="s">
        <v>8426</v>
      </c>
      <c r="B8391" t="s">
        <v>26</v>
      </c>
      <c r="C8391">
        <v>218000</v>
      </c>
      <c r="D8391">
        <v>144.6</v>
      </c>
      <c r="E8391">
        <v>7.9299999999999995E-2</v>
      </c>
      <c r="F8391">
        <v>7.5899999999999995E-2</v>
      </c>
    </row>
    <row r="8392" spans="1:6" x14ac:dyDescent="0.3">
      <c r="A8392" t="s">
        <v>8427</v>
      </c>
      <c r="B8392" t="s">
        <v>32</v>
      </c>
      <c r="C8392">
        <v>566000</v>
      </c>
      <c r="D8392">
        <v>6580.6</v>
      </c>
      <c r="E8392">
        <v>2.2800000000000001E-2</v>
      </c>
      <c r="F8392">
        <v>5.0999999999999997E-2</v>
      </c>
    </row>
    <row r="8393" spans="1:6" x14ac:dyDescent="0.3">
      <c r="A8393" t="s">
        <v>8428</v>
      </c>
      <c r="B8393" t="s">
        <v>74</v>
      </c>
      <c r="C8393">
        <v>242000</v>
      </c>
      <c r="D8393">
        <v>1816.4</v>
      </c>
      <c r="E8393">
        <v>4.7699999999999999E-2</v>
      </c>
      <c r="F8393">
        <v>9.5100000000000004E-2</v>
      </c>
    </row>
    <row r="8394" spans="1:6" x14ac:dyDescent="0.3">
      <c r="A8394" t="s">
        <v>8429</v>
      </c>
      <c r="B8394" t="s">
        <v>74</v>
      </c>
      <c r="C8394">
        <v>552000</v>
      </c>
      <c r="D8394">
        <v>109609.1</v>
      </c>
      <c r="E8394">
        <v>3.9100000000000003E-2</v>
      </c>
      <c r="F8394">
        <v>9.5100000000000004E-2</v>
      </c>
    </row>
    <row r="8395" spans="1:6" x14ac:dyDescent="0.3">
      <c r="A8395" t="s">
        <v>8430</v>
      </c>
      <c r="B8395" t="s">
        <v>50</v>
      </c>
      <c r="C8395">
        <v>277000</v>
      </c>
      <c r="D8395">
        <v>1614.7</v>
      </c>
      <c r="E8395">
        <v>6.3100000000000003E-2</v>
      </c>
      <c r="F8395">
        <v>9.3799999999999994E-2</v>
      </c>
    </row>
    <row r="8396" spans="1:6" x14ac:dyDescent="0.3">
      <c r="A8396" t="s">
        <v>8431</v>
      </c>
      <c r="B8396" t="s">
        <v>24</v>
      </c>
      <c r="C8396">
        <v>286000</v>
      </c>
      <c r="D8396">
        <v>515.4</v>
      </c>
      <c r="E8396">
        <v>4.3299999999999998E-2</v>
      </c>
      <c r="F8396">
        <v>5.0999999999999997E-2</v>
      </c>
    </row>
    <row r="8397" spans="1:6" x14ac:dyDescent="0.3">
      <c r="A8397" t="s">
        <v>8432</v>
      </c>
      <c r="B8397" t="s">
        <v>92</v>
      </c>
      <c r="C8397">
        <v>209000</v>
      </c>
      <c r="D8397">
        <v>3635.9</v>
      </c>
      <c r="E8397">
        <v>1.0200000000000001E-2</v>
      </c>
      <c r="F8397">
        <v>8.2199999999999995E-2</v>
      </c>
    </row>
    <row r="8398" spans="1:6" x14ac:dyDescent="0.3">
      <c r="A8398" t="s">
        <v>8433</v>
      </c>
      <c r="B8398" t="s">
        <v>53</v>
      </c>
      <c r="C8398">
        <v>244000</v>
      </c>
      <c r="D8398">
        <v>1569.8</v>
      </c>
      <c r="E8398">
        <v>2.0400000000000001E-2</v>
      </c>
      <c r="F8398">
        <v>9.3799999999999994E-2</v>
      </c>
    </row>
    <row r="8399" spans="1:6" x14ac:dyDescent="0.3">
      <c r="A8399" t="s">
        <v>8434</v>
      </c>
      <c r="B8399" t="s">
        <v>88</v>
      </c>
      <c r="C8399">
        <v>253000</v>
      </c>
      <c r="D8399">
        <v>7923.6</v>
      </c>
      <c r="E8399">
        <v>3.1600000000000003E-2</v>
      </c>
      <c r="F8399">
        <v>9.3799999999999994E-2</v>
      </c>
    </row>
    <row r="8400" spans="1:6" x14ac:dyDescent="0.3">
      <c r="A8400" t="s">
        <v>8435</v>
      </c>
      <c r="B8400" t="s">
        <v>74</v>
      </c>
      <c r="C8400">
        <v>204000</v>
      </c>
      <c r="D8400">
        <v>2918</v>
      </c>
      <c r="E8400">
        <v>2.3099999999999999E-2</v>
      </c>
      <c r="F8400">
        <v>5.8500000000000003E-2</v>
      </c>
    </row>
    <row r="8401" spans="1:6" x14ac:dyDescent="0.3">
      <c r="A8401" t="s">
        <v>8436</v>
      </c>
      <c r="B8401" t="s">
        <v>214</v>
      </c>
      <c r="C8401">
        <v>200000</v>
      </c>
      <c r="D8401">
        <v>1748</v>
      </c>
      <c r="E8401">
        <v>1.38E-2</v>
      </c>
      <c r="F8401">
        <v>5.8500000000000003E-2</v>
      </c>
    </row>
    <row r="8402" spans="1:6" x14ac:dyDescent="0.3">
      <c r="A8402" t="s">
        <v>8437</v>
      </c>
      <c r="B8402" t="s">
        <v>53</v>
      </c>
      <c r="C8402">
        <v>354000</v>
      </c>
      <c r="D8402">
        <v>32038.9</v>
      </c>
      <c r="E8402">
        <v>3.8600000000000002E-2</v>
      </c>
      <c r="F8402">
        <v>5.3800000000000001E-2</v>
      </c>
    </row>
    <row r="8403" spans="1:6" x14ac:dyDescent="0.3">
      <c r="A8403" t="s">
        <v>8438</v>
      </c>
      <c r="B8403" t="s">
        <v>26</v>
      </c>
      <c r="C8403">
        <v>257000</v>
      </c>
      <c r="D8403">
        <v>2341393.1</v>
      </c>
      <c r="E8403">
        <v>3.0499999999999999E-2</v>
      </c>
      <c r="F8403">
        <v>5.1799999999999999E-2</v>
      </c>
    </row>
    <row r="8404" spans="1:6" x14ac:dyDescent="0.3">
      <c r="A8404" t="s">
        <v>8439</v>
      </c>
      <c r="B8404" t="s">
        <v>92</v>
      </c>
      <c r="C8404">
        <v>204000</v>
      </c>
      <c r="D8404">
        <v>5038</v>
      </c>
      <c r="E8404">
        <v>1.72E-2</v>
      </c>
      <c r="F8404">
        <v>0.1192</v>
      </c>
    </row>
    <row r="8405" spans="1:6" x14ac:dyDescent="0.3">
      <c r="A8405" t="s">
        <v>8440</v>
      </c>
      <c r="B8405" t="s">
        <v>26</v>
      </c>
      <c r="C8405">
        <v>205000</v>
      </c>
      <c r="D8405">
        <v>359.3</v>
      </c>
      <c r="E8405">
        <v>2.0799999999999999E-2</v>
      </c>
      <c r="F8405">
        <v>0.15429999999999999</v>
      </c>
    </row>
    <row r="8406" spans="1:6" x14ac:dyDescent="0.3">
      <c r="A8406" t="s">
        <v>8441</v>
      </c>
      <c r="B8406" t="s">
        <v>88</v>
      </c>
      <c r="C8406">
        <v>202000</v>
      </c>
      <c r="D8406">
        <v>846.2</v>
      </c>
      <c r="E8406">
        <v>3.4200000000000001E-2</v>
      </c>
      <c r="F8406">
        <v>0.11700000000000001</v>
      </c>
    </row>
    <row r="8407" spans="1:6" x14ac:dyDescent="0.3">
      <c r="A8407" t="s">
        <v>8442</v>
      </c>
      <c r="B8407" t="s">
        <v>88</v>
      </c>
      <c r="C8407">
        <v>224000</v>
      </c>
      <c r="D8407">
        <v>130.6</v>
      </c>
      <c r="E8407">
        <v>7.9299999999999995E-2</v>
      </c>
      <c r="F8407">
        <v>7.5899999999999995E-2</v>
      </c>
    </row>
    <row r="8408" spans="1:6" x14ac:dyDescent="0.3">
      <c r="A8408" t="s">
        <v>8443</v>
      </c>
      <c r="B8408" t="s">
        <v>26</v>
      </c>
      <c r="C8408">
        <v>470000</v>
      </c>
      <c r="D8408">
        <v>12699.2</v>
      </c>
      <c r="E8408">
        <v>2.3400000000000001E-2</v>
      </c>
      <c r="F8408">
        <v>7.5899999999999995E-2</v>
      </c>
    </row>
    <row r="8409" spans="1:6" x14ac:dyDescent="0.3">
      <c r="A8409" t="s">
        <v>8444</v>
      </c>
      <c r="B8409" t="s">
        <v>41</v>
      </c>
      <c r="C8409">
        <v>226000</v>
      </c>
      <c r="D8409">
        <v>710.5</v>
      </c>
      <c r="E8409">
        <v>1.83E-2</v>
      </c>
      <c r="F8409">
        <v>0.13719999999999999</v>
      </c>
    </row>
    <row r="8410" spans="1:6" x14ac:dyDescent="0.3">
      <c r="A8410" t="s">
        <v>8445</v>
      </c>
      <c r="B8410" t="s">
        <v>71</v>
      </c>
      <c r="C8410">
        <v>386000</v>
      </c>
      <c r="D8410">
        <v>1750.1</v>
      </c>
      <c r="E8410">
        <v>1.18E-2</v>
      </c>
      <c r="F8410">
        <v>8.1100000000000005E-2</v>
      </c>
    </row>
    <row r="8411" spans="1:6" x14ac:dyDescent="0.3">
      <c r="A8411" t="s">
        <v>8446</v>
      </c>
      <c r="B8411" t="s">
        <v>41</v>
      </c>
      <c r="C8411">
        <v>233000</v>
      </c>
      <c r="D8411">
        <v>1217.5</v>
      </c>
      <c r="E8411">
        <v>2.98E-2</v>
      </c>
      <c r="F8411">
        <v>5.1799999999999999E-2</v>
      </c>
    </row>
    <row r="8412" spans="1:6" x14ac:dyDescent="0.3">
      <c r="A8412" t="s">
        <v>8447</v>
      </c>
      <c r="B8412" t="s">
        <v>26</v>
      </c>
      <c r="C8412">
        <v>719000</v>
      </c>
      <c r="D8412">
        <v>430316.79999999999</v>
      </c>
      <c r="E8412">
        <v>4.2999999999999997E-2</v>
      </c>
      <c r="F8412">
        <v>6.7199999999999996E-2</v>
      </c>
    </row>
    <row r="8413" spans="1:6" x14ac:dyDescent="0.3">
      <c r="A8413" t="s">
        <v>8448</v>
      </c>
      <c r="B8413" t="s">
        <v>53</v>
      </c>
      <c r="C8413">
        <v>216000</v>
      </c>
      <c r="D8413">
        <v>22121.4</v>
      </c>
      <c r="E8413">
        <v>7.6600000000000001E-2</v>
      </c>
      <c r="F8413">
        <v>9.5100000000000004E-2</v>
      </c>
    </row>
    <row r="8414" spans="1:6" x14ac:dyDescent="0.3">
      <c r="A8414" t="s">
        <v>8449</v>
      </c>
      <c r="B8414" t="s">
        <v>62</v>
      </c>
      <c r="C8414">
        <v>295000</v>
      </c>
      <c r="D8414">
        <v>36701.800000000003</v>
      </c>
      <c r="E8414">
        <v>6.3E-2</v>
      </c>
      <c r="F8414">
        <v>4.0899999999999999E-2</v>
      </c>
    </row>
    <row r="8415" spans="1:6" x14ac:dyDescent="0.3">
      <c r="A8415" t="s">
        <v>8450</v>
      </c>
      <c r="B8415" t="s">
        <v>41</v>
      </c>
      <c r="C8415">
        <v>345000</v>
      </c>
      <c r="D8415">
        <v>8775.7000000000007</v>
      </c>
      <c r="E8415">
        <v>6.1699999999999998E-2</v>
      </c>
      <c r="F8415">
        <v>9.3799999999999994E-2</v>
      </c>
    </row>
    <row r="8416" spans="1:6" x14ac:dyDescent="0.3">
      <c r="A8416" t="s">
        <v>8451</v>
      </c>
      <c r="B8416" t="s">
        <v>26</v>
      </c>
      <c r="C8416">
        <v>245000</v>
      </c>
      <c r="D8416">
        <v>1463988</v>
      </c>
      <c r="E8416">
        <v>5.3499999999999999E-2</v>
      </c>
      <c r="F8416">
        <v>9.5100000000000004E-2</v>
      </c>
    </row>
    <row r="8417" spans="1:6" x14ac:dyDescent="0.3">
      <c r="A8417" t="s">
        <v>8452</v>
      </c>
      <c r="B8417" t="s">
        <v>88</v>
      </c>
      <c r="C8417">
        <v>210000</v>
      </c>
      <c r="D8417">
        <v>21187.9</v>
      </c>
      <c r="E8417">
        <v>3.0499999999999999E-2</v>
      </c>
      <c r="F8417">
        <v>5.1799999999999999E-2</v>
      </c>
    </row>
    <row r="8418" spans="1:6" x14ac:dyDescent="0.3">
      <c r="A8418" t="s">
        <v>8453</v>
      </c>
      <c r="B8418" t="s">
        <v>26</v>
      </c>
      <c r="C8418">
        <v>204000</v>
      </c>
      <c r="D8418">
        <v>7702.6</v>
      </c>
      <c r="E8418">
        <v>2.29E-2</v>
      </c>
      <c r="F8418">
        <v>0.1067</v>
      </c>
    </row>
    <row r="8419" spans="1:6" x14ac:dyDescent="0.3">
      <c r="A8419" t="s">
        <v>8454</v>
      </c>
      <c r="B8419" t="s">
        <v>81</v>
      </c>
      <c r="C8419">
        <v>279000</v>
      </c>
      <c r="D8419">
        <v>14833.2</v>
      </c>
      <c r="E8419">
        <v>1.3599999999999999E-2</v>
      </c>
      <c r="F8419">
        <v>4.8800000000000003E-2</v>
      </c>
    </row>
    <row r="8420" spans="1:6" x14ac:dyDescent="0.3">
      <c r="A8420" t="s">
        <v>8455</v>
      </c>
      <c r="B8420" t="s">
        <v>41</v>
      </c>
      <c r="C8420">
        <v>204000</v>
      </c>
      <c r="D8420">
        <v>84.6</v>
      </c>
      <c r="E8420">
        <v>3.85E-2</v>
      </c>
      <c r="F8420">
        <v>0.1241</v>
      </c>
    </row>
    <row r="8421" spans="1:6" x14ac:dyDescent="0.3">
      <c r="A8421" t="s">
        <v>8456</v>
      </c>
      <c r="B8421" t="s">
        <v>32</v>
      </c>
      <c r="C8421">
        <v>253000</v>
      </c>
      <c r="D8421">
        <v>5914686.4000000004</v>
      </c>
      <c r="E8421">
        <v>3.32E-2</v>
      </c>
      <c r="F8421">
        <v>0.11840000000000001</v>
      </c>
    </row>
    <row r="8422" spans="1:6" x14ac:dyDescent="0.3">
      <c r="A8422" t="s">
        <v>8457</v>
      </c>
      <c r="B8422" t="s">
        <v>195</v>
      </c>
      <c r="C8422">
        <v>246000</v>
      </c>
      <c r="D8422">
        <v>567195.80000000005</v>
      </c>
      <c r="E8422">
        <v>3.5999999999999999E-3</v>
      </c>
      <c r="F8422">
        <v>0.6149</v>
      </c>
    </row>
    <row r="8423" spans="1:6" x14ac:dyDescent="0.3">
      <c r="A8423" t="s">
        <v>8458</v>
      </c>
      <c r="B8423" t="s">
        <v>26</v>
      </c>
      <c r="C8423">
        <v>346000</v>
      </c>
      <c r="D8423">
        <v>199501.7</v>
      </c>
      <c r="E8423">
        <v>3.5000000000000003E-2</v>
      </c>
      <c r="F8423">
        <v>7.5899999999999995E-2</v>
      </c>
    </row>
    <row r="8424" spans="1:6" x14ac:dyDescent="0.3">
      <c r="A8424" t="s">
        <v>8459</v>
      </c>
      <c r="B8424" t="s">
        <v>92</v>
      </c>
      <c r="C8424">
        <v>245000</v>
      </c>
      <c r="D8424">
        <v>2651.8</v>
      </c>
      <c r="E8424">
        <v>2.9700000000000001E-2</v>
      </c>
      <c r="F8424">
        <v>7.5899999999999995E-2</v>
      </c>
    </row>
    <row r="8425" spans="1:6" x14ac:dyDescent="0.3">
      <c r="A8425" t="s">
        <v>8460</v>
      </c>
      <c r="B8425" t="s">
        <v>92</v>
      </c>
      <c r="C8425">
        <v>323000</v>
      </c>
      <c r="D8425">
        <v>4427.6000000000004</v>
      </c>
      <c r="E8425">
        <v>1.1599999999999999E-2</v>
      </c>
      <c r="F8425">
        <v>7.3099999999999998E-2</v>
      </c>
    </row>
    <row r="8426" spans="1:6" x14ac:dyDescent="0.3">
      <c r="A8426" t="s">
        <v>8461</v>
      </c>
      <c r="B8426" t="s">
        <v>62</v>
      </c>
      <c r="C8426">
        <v>203000</v>
      </c>
      <c r="D8426">
        <v>9362.4</v>
      </c>
      <c r="E8426">
        <v>3.6499999999999998E-2</v>
      </c>
      <c r="F8426">
        <v>9.5100000000000004E-2</v>
      </c>
    </row>
    <row r="8427" spans="1:6" x14ac:dyDescent="0.3">
      <c r="A8427" t="s">
        <v>8462</v>
      </c>
      <c r="B8427" t="s">
        <v>53</v>
      </c>
      <c r="C8427">
        <v>205000</v>
      </c>
      <c r="D8427">
        <v>1313.2</v>
      </c>
      <c r="E8427">
        <v>1.0800000000000001E-2</v>
      </c>
      <c r="F8427">
        <v>6.54E-2</v>
      </c>
    </row>
    <row r="8428" spans="1:6" x14ac:dyDescent="0.3">
      <c r="A8428" t="s">
        <v>8463</v>
      </c>
      <c r="B8428" t="s">
        <v>88</v>
      </c>
      <c r="C8428">
        <v>303000</v>
      </c>
      <c r="D8428">
        <v>22388.1</v>
      </c>
      <c r="E8428">
        <v>3.85E-2</v>
      </c>
      <c r="F8428">
        <v>7.5899999999999995E-2</v>
      </c>
    </row>
    <row r="8429" spans="1:6" x14ac:dyDescent="0.3">
      <c r="A8429" t="s">
        <v>8464</v>
      </c>
      <c r="B8429" t="s">
        <v>41</v>
      </c>
      <c r="C8429">
        <v>232000</v>
      </c>
      <c r="D8429">
        <v>1645.7</v>
      </c>
      <c r="E8429">
        <v>4.5999999999999999E-2</v>
      </c>
      <c r="F8429">
        <v>9.98E-2</v>
      </c>
    </row>
    <row r="8430" spans="1:6" x14ac:dyDescent="0.3">
      <c r="A8430" t="s">
        <v>8465</v>
      </c>
      <c r="B8430" t="s">
        <v>26</v>
      </c>
      <c r="C8430">
        <v>201000</v>
      </c>
      <c r="D8430">
        <v>98.4</v>
      </c>
      <c r="E8430">
        <v>3.7699999999999997E-2</v>
      </c>
      <c r="F8430">
        <v>9.5100000000000004E-2</v>
      </c>
    </row>
    <row r="8431" spans="1:6" x14ac:dyDescent="0.3">
      <c r="A8431" t="s">
        <v>8466</v>
      </c>
      <c r="B8431" t="s">
        <v>30</v>
      </c>
      <c r="C8431">
        <v>1100000</v>
      </c>
      <c r="D8431">
        <v>496727.3</v>
      </c>
      <c r="E8431">
        <v>4.5900000000000003E-2</v>
      </c>
      <c r="F8431">
        <v>6.7199999999999996E-2</v>
      </c>
    </row>
    <row r="8432" spans="1:6" x14ac:dyDescent="0.3">
      <c r="A8432" t="s">
        <v>8467</v>
      </c>
      <c r="B8432" t="s">
        <v>53</v>
      </c>
      <c r="C8432">
        <v>243000</v>
      </c>
      <c r="D8432">
        <v>1419.8</v>
      </c>
      <c r="E8432">
        <v>9.4700000000000006E-2</v>
      </c>
      <c r="F8432">
        <v>9.3799999999999994E-2</v>
      </c>
    </row>
    <row r="8433" spans="1:6" x14ac:dyDescent="0.3">
      <c r="A8433" t="s">
        <v>8468</v>
      </c>
      <c r="B8433" t="s">
        <v>88</v>
      </c>
      <c r="C8433">
        <v>217000</v>
      </c>
      <c r="D8433">
        <v>252.9</v>
      </c>
      <c r="E8433">
        <v>1.03E-2</v>
      </c>
      <c r="F8433">
        <v>0.10150000000000001</v>
      </c>
    </row>
    <row r="8434" spans="1:6" x14ac:dyDescent="0.3">
      <c r="A8434" t="s">
        <v>8469</v>
      </c>
      <c r="B8434" t="s">
        <v>214</v>
      </c>
      <c r="C8434">
        <v>209000</v>
      </c>
      <c r="D8434">
        <v>2399.9</v>
      </c>
      <c r="E8434">
        <v>7.1000000000000004E-3</v>
      </c>
      <c r="F8434">
        <v>6.54E-2</v>
      </c>
    </row>
    <row r="8435" spans="1:6" x14ac:dyDescent="0.3">
      <c r="A8435" t="s">
        <v>8470</v>
      </c>
      <c r="B8435" t="s">
        <v>88</v>
      </c>
      <c r="C8435">
        <v>329000</v>
      </c>
      <c r="D8435">
        <v>728.8</v>
      </c>
      <c r="E8435">
        <v>1.0699999999999999E-2</v>
      </c>
      <c r="F8435">
        <v>0.13270000000000001</v>
      </c>
    </row>
    <row r="8436" spans="1:6" x14ac:dyDescent="0.3">
      <c r="A8436" t="s">
        <v>8471</v>
      </c>
      <c r="B8436" t="s">
        <v>81</v>
      </c>
      <c r="C8436">
        <v>305000</v>
      </c>
      <c r="D8436">
        <v>8924.1</v>
      </c>
      <c r="E8436">
        <v>1.67E-2</v>
      </c>
      <c r="F8436">
        <v>5.7599999999999998E-2</v>
      </c>
    </row>
    <row r="8437" spans="1:6" x14ac:dyDescent="0.3">
      <c r="A8437" t="s">
        <v>8472</v>
      </c>
      <c r="B8437" t="s">
        <v>26</v>
      </c>
      <c r="C8437">
        <v>330000</v>
      </c>
      <c r="D8437">
        <v>5414.9</v>
      </c>
      <c r="E8437">
        <v>2.5499999999999998E-2</v>
      </c>
      <c r="F8437">
        <v>7.5899999999999995E-2</v>
      </c>
    </row>
    <row r="8438" spans="1:6" x14ac:dyDescent="0.3">
      <c r="A8438" t="s">
        <v>8473</v>
      </c>
      <c r="B8438" t="s">
        <v>88</v>
      </c>
      <c r="C8438">
        <v>201000</v>
      </c>
      <c r="D8438">
        <v>7743.9</v>
      </c>
      <c r="E8438">
        <v>2.41E-2</v>
      </c>
      <c r="F8438">
        <v>9.5100000000000004E-2</v>
      </c>
    </row>
    <row r="8439" spans="1:6" x14ac:dyDescent="0.3">
      <c r="A8439" t="s">
        <v>8474</v>
      </c>
      <c r="B8439" t="s">
        <v>214</v>
      </c>
      <c r="C8439">
        <v>215000</v>
      </c>
      <c r="D8439">
        <v>474.6</v>
      </c>
      <c r="E8439">
        <v>8.0000000000000002E-3</v>
      </c>
      <c r="F8439">
        <v>0.3805</v>
      </c>
    </row>
    <row r="8440" spans="1:6" x14ac:dyDescent="0.3">
      <c r="A8440" t="s">
        <v>8475</v>
      </c>
      <c r="B8440" t="s">
        <v>195</v>
      </c>
      <c r="C8440">
        <v>344000</v>
      </c>
      <c r="D8440">
        <v>1614.3</v>
      </c>
      <c r="E8440">
        <v>1.17E-2</v>
      </c>
      <c r="F8440">
        <v>8.1100000000000005E-2</v>
      </c>
    </row>
    <row r="8441" spans="1:6" x14ac:dyDescent="0.3">
      <c r="A8441" t="s">
        <v>8476</v>
      </c>
      <c r="B8441" t="s">
        <v>53</v>
      </c>
      <c r="C8441">
        <v>335000</v>
      </c>
      <c r="D8441">
        <v>856.7</v>
      </c>
      <c r="E8441">
        <v>3.7699999999999997E-2</v>
      </c>
      <c r="F8441">
        <v>0.12429999999999999</v>
      </c>
    </row>
    <row r="8442" spans="1:6" x14ac:dyDescent="0.3">
      <c r="A8442" t="s">
        <v>8477</v>
      </c>
      <c r="B8442" t="s">
        <v>30</v>
      </c>
      <c r="C8442">
        <v>498000</v>
      </c>
      <c r="D8442">
        <v>2448406.6</v>
      </c>
      <c r="F8442">
        <v>5.1799999999999999E-2</v>
      </c>
    </row>
    <row r="8443" spans="1:6" x14ac:dyDescent="0.3">
      <c r="A8443" t="s">
        <v>8478</v>
      </c>
      <c r="B8443" t="s">
        <v>50</v>
      </c>
      <c r="C8443">
        <v>219000</v>
      </c>
      <c r="D8443">
        <v>26272.7</v>
      </c>
      <c r="E8443">
        <v>2.1999999999999999E-2</v>
      </c>
      <c r="F8443">
        <v>9.5100000000000004E-2</v>
      </c>
    </row>
    <row r="8444" spans="1:6" x14ac:dyDescent="0.3">
      <c r="A8444" t="s">
        <v>8479</v>
      </c>
      <c r="B8444" t="s">
        <v>41</v>
      </c>
      <c r="C8444">
        <v>291000</v>
      </c>
      <c r="D8444">
        <v>3407.3</v>
      </c>
      <c r="E8444">
        <v>1.0800000000000001E-2</v>
      </c>
      <c r="F8444">
        <v>0.17860000000000001</v>
      </c>
    </row>
    <row r="8445" spans="1:6" x14ac:dyDescent="0.3">
      <c r="A8445" t="s">
        <v>8480</v>
      </c>
      <c r="B8445" t="s">
        <v>88</v>
      </c>
      <c r="C8445">
        <v>232000</v>
      </c>
      <c r="D8445">
        <v>225.8</v>
      </c>
      <c r="E8445">
        <v>4.2900000000000001E-2</v>
      </c>
      <c r="F8445">
        <v>9.3799999999999994E-2</v>
      </c>
    </row>
    <row r="8446" spans="1:6" x14ac:dyDescent="0.3">
      <c r="A8446" t="s">
        <v>8481</v>
      </c>
      <c r="B8446" t="s">
        <v>88</v>
      </c>
      <c r="C8446">
        <v>455000</v>
      </c>
      <c r="D8446">
        <v>11215</v>
      </c>
      <c r="E8446">
        <v>3.9399999999999998E-2</v>
      </c>
      <c r="F8446">
        <v>9.3799999999999994E-2</v>
      </c>
    </row>
    <row r="8447" spans="1:6" x14ac:dyDescent="0.3">
      <c r="A8447" t="s">
        <v>8482</v>
      </c>
      <c r="B8447" t="s">
        <v>88</v>
      </c>
      <c r="C8447">
        <v>238000</v>
      </c>
      <c r="D8447">
        <v>163.4</v>
      </c>
      <c r="E8447">
        <v>4.0399999999999998E-2</v>
      </c>
      <c r="F8447">
        <v>9.3799999999999994E-2</v>
      </c>
    </row>
    <row r="8448" spans="1:6" x14ac:dyDescent="0.3">
      <c r="A8448" t="s">
        <v>8483</v>
      </c>
      <c r="B8448" t="s">
        <v>24</v>
      </c>
      <c r="C8448">
        <v>289000</v>
      </c>
      <c r="D8448">
        <v>4814.7</v>
      </c>
      <c r="E8448">
        <v>2.3599999999999999E-2</v>
      </c>
      <c r="F8448">
        <v>9.5100000000000004E-2</v>
      </c>
    </row>
    <row r="8449" spans="1:6" x14ac:dyDescent="0.3">
      <c r="A8449" t="s">
        <v>8484</v>
      </c>
      <c r="B8449" t="s">
        <v>214</v>
      </c>
      <c r="C8449">
        <v>325000</v>
      </c>
      <c r="D8449">
        <v>13670.9</v>
      </c>
      <c r="E8449">
        <v>0.02</v>
      </c>
      <c r="F8449">
        <v>0.1067</v>
      </c>
    </row>
    <row r="8450" spans="1:6" x14ac:dyDescent="0.3">
      <c r="A8450" t="s">
        <v>8485</v>
      </c>
      <c r="B8450" t="s">
        <v>26</v>
      </c>
      <c r="C8450">
        <v>258000</v>
      </c>
      <c r="D8450">
        <v>3019.4</v>
      </c>
      <c r="E8450">
        <v>1.21E-2</v>
      </c>
      <c r="F8450">
        <v>5.1999999999999998E-2</v>
      </c>
    </row>
    <row r="8451" spans="1:6" x14ac:dyDescent="0.3">
      <c r="A8451" t="s">
        <v>8486</v>
      </c>
      <c r="B8451" t="s">
        <v>26</v>
      </c>
      <c r="C8451">
        <v>274000</v>
      </c>
      <c r="D8451">
        <v>1325.3</v>
      </c>
      <c r="E8451">
        <v>1.1299999999999999E-2</v>
      </c>
      <c r="F8451">
        <v>6.54E-2</v>
      </c>
    </row>
    <row r="8452" spans="1:6" x14ac:dyDescent="0.3">
      <c r="A8452" t="s">
        <v>8487</v>
      </c>
      <c r="B8452" t="s">
        <v>74</v>
      </c>
      <c r="C8452">
        <v>209000</v>
      </c>
      <c r="D8452">
        <v>1196.4000000000001</v>
      </c>
      <c r="E8452">
        <v>2.87E-2</v>
      </c>
      <c r="F8452">
        <v>7.5899999999999995E-2</v>
      </c>
    </row>
    <row r="8453" spans="1:6" x14ac:dyDescent="0.3">
      <c r="A8453" t="s">
        <v>8488</v>
      </c>
      <c r="B8453" t="s">
        <v>74</v>
      </c>
      <c r="C8453">
        <v>219000</v>
      </c>
      <c r="D8453">
        <v>288.3</v>
      </c>
      <c r="E8453">
        <v>1.7500000000000002E-2</v>
      </c>
      <c r="F8453">
        <v>0.1067</v>
      </c>
    </row>
    <row r="8454" spans="1:6" x14ac:dyDescent="0.3">
      <c r="A8454" t="s">
        <v>8489</v>
      </c>
      <c r="B8454" t="s">
        <v>74</v>
      </c>
      <c r="C8454">
        <v>257000</v>
      </c>
      <c r="D8454">
        <v>4614.2</v>
      </c>
      <c r="E8454">
        <v>5.3199999999999997E-2</v>
      </c>
      <c r="F8454">
        <v>7.5899999999999995E-2</v>
      </c>
    </row>
    <row r="8455" spans="1:6" x14ac:dyDescent="0.3">
      <c r="A8455" t="s">
        <v>8490</v>
      </c>
      <c r="B8455" t="s">
        <v>26</v>
      </c>
      <c r="C8455">
        <v>256000</v>
      </c>
      <c r="D8455">
        <v>1703</v>
      </c>
      <c r="E8455">
        <v>1.29E-2</v>
      </c>
      <c r="F8455">
        <v>0.13089999999999999</v>
      </c>
    </row>
    <row r="8456" spans="1:6" x14ac:dyDescent="0.3">
      <c r="A8456" t="s">
        <v>8491</v>
      </c>
      <c r="B8456" t="s">
        <v>214</v>
      </c>
      <c r="C8456">
        <v>247000</v>
      </c>
      <c r="D8456">
        <v>197999.6</v>
      </c>
      <c r="E8456">
        <v>3.0599999999999999E-2</v>
      </c>
      <c r="F8456">
        <v>7.3499999999999996E-2</v>
      </c>
    </row>
    <row r="8457" spans="1:6" x14ac:dyDescent="0.3">
      <c r="A8457" t="s">
        <v>8492</v>
      </c>
      <c r="B8457" t="s">
        <v>92</v>
      </c>
      <c r="C8457">
        <v>283000</v>
      </c>
      <c r="D8457">
        <v>1137</v>
      </c>
      <c r="E8457">
        <v>2.9499999999999998E-2</v>
      </c>
      <c r="F8457">
        <v>7.5899999999999995E-2</v>
      </c>
    </row>
    <row r="8458" spans="1:6" x14ac:dyDescent="0.3">
      <c r="A8458" t="s">
        <v>8493</v>
      </c>
      <c r="B8458" t="s">
        <v>53</v>
      </c>
      <c r="C8458">
        <v>159000</v>
      </c>
      <c r="D8458">
        <v>88423.7</v>
      </c>
      <c r="E8458">
        <v>1.46E-2</v>
      </c>
      <c r="F8458">
        <v>0.22939999999999999</v>
      </c>
    </row>
    <row r="8459" spans="1:6" x14ac:dyDescent="0.3">
      <c r="A8459" t="s">
        <v>8494</v>
      </c>
      <c r="B8459" t="s">
        <v>287</v>
      </c>
      <c r="C8459">
        <v>314000</v>
      </c>
      <c r="D8459">
        <v>5477</v>
      </c>
      <c r="E8459">
        <v>8.2000000000000003E-2</v>
      </c>
      <c r="F8459">
        <v>7.5899999999999995E-2</v>
      </c>
    </row>
    <row r="8460" spans="1:6" x14ac:dyDescent="0.3">
      <c r="A8460" t="s">
        <v>8495</v>
      </c>
      <c r="B8460" t="s">
        <v>287</v>
      </c>
      <c r="C8460">
        <v>201000</v>
      </c>
      <c r="D8460">
        <v>12528.2</v>
      </c>
      <c r="E8460">
        <v>3.27E-2</v>
      </c>
      <c r="F8460">
        <v>7.5899999999999995E-2</v>
      </c>
    </row>
    <row r="8461" spans="1:6" x14ac:dyDescent="0.3">
      <c r="A8461" t="s">
        <v>8496</v>
      </c>
      <c r="B8461" t="s">
        <v>62</v>
      </c>
      <c r="C8461">
        <v>239000</v>
      </c>
      <c r="D8461">
        <v>524.5</v>
      </c>
      <c r="E8461">
        <v>2.81E-2</v>
      </c>
      <c r="F8461">
        <v>9.5100000000000004E-2</v>
      </c>
    </row>
    <row r="8462" spans="1:6" x14ac:dyDescent="0.3">
      <c r="A8462" t="s">
        <v>8497</v>
      </c>
      <c r="B8462" t="s">
        <v>287</v>
      </c>
      <c r="C8462">
        <v>195000</v>
      </c>
      <c r="D8462">
        <v>1194.3</v>
      </c>
      <c r="E8462">
        <v>1.95E-2</v>
      </c>
      <c r="F8462">
        <v>0.1067</v>
      </c>
    </row>
    <row r="8463" spans="1:6" x14ac:dyDescent="0.3">
      <c r="A8463" t="s">
        <v>8498</v>
      </c>
      <c r="B8463" t="s">
        <v>32</v>
      </c>
      <c r="C8463">
        <v>195000</v>
      </c>
      <c r="D8463">
        <v>592805.4</v>
      </c>
      <c r="E8463">
        <v>7.3700000000000002E-2</v>
      </c>
      <c r="F8463">
        <v>9.5100000000000004E-2</v>
      </c>
    </row>
    <row r="8464" spans="1:6" x14ac:dyDescent="0.3">
      <c r="A8464" t="s">
        <v>8499</v>
      </c>
      <c r="B8464" t="s">
        <v>26</v>
      </c>
      <c r="C8464">
        <v>428000</v>
      </c>
      <c r="D8464">
        <v>516.9</v>
      </c>
      <c r="E8464">
        <v>2.1499999999999998E-2</v>
      </c>
      <c r="F8464">
        <v>0.1053</v>
      </c>
    </row>
    <row r="8465" spans="1:6" x14ac:dyDescent="0.3">
      <c r="A8465" t="s">
        <v>8500</v>
      </c>
      <c r="B8465" t="s">
        <v>26</v>
      </c>
      <c r="C8465">
        <v>227000</v>
      </c>
      <c r="D8465">
        <v>57.5</v>
      </c>
      <c r="F8465">
        <v>4.0899999999999999E-2</v>
      </c>
    </row>
    <row r="8466" spans="1:6" x14ac:dyDescent="0.3">
      <c r="A8466" t="s">
        <v>8501</v>
      </c>
      <c r="B8466" t="s">
        <v>26</v>
      </c>
      <c r="C8466">
        <v>208000</v>
      </c>
      <c r="D8466">
        <v>13123.8</v>
      </c>
      <c r="E8466">
        <v>2.07E-2</v>
      </c>
      <c r="F8466">
        <v>9.5000000000000001E-2</v>
      </c>
    </row>
    <row r="8467" spans="1:6" x14ac:dyDescent="0.3">
      <c r="A8467" t="s">
        <v>8502</v>
      </c>
      <c r="B8467" t="s">
        <v>62</v>
      </c>
      <c r="C8467">
        <v>620000</v>
      </c>
      <c r="D8467">
        <v>184708.1</v>
      </c>
      <c r="E8467">
        <v>4.8099999999999997E-2</v>
      </c>
      <c r="F8467">
        <v>4.0899999999999999E-2</v>
      </c>
    </row>
    <row r="8468" spans="1:6" x14ac:dyDescent="0.3">
      <c r="A8468" t="s">
        <v>8503</v>
      </c>
      <c r="B8468" t="s">
        <v>62</v>
      </c>
      <c r="C8468">
        <v>258000</v>
      </c>
      <c r="D8468">
        <v>4306.8999999999996</v>
      </c>
      <c r="E8468">
        <v>1.9699999999999999E-2</v>
      </c>
      <c r="F8468">
        <v>5.7599999999999998E-2</v>
      </c>
    </row>
    <row r="8469" spans="1:6" x14ac:dyDescent="0.3">
      <c r="A8469" t="s">
        <v>8504</v>
      </c>
      <c r="B8469" t="s">
        <v>287</v>
      </c>
      <c r="C8469">
        <v>220000</v>
      </c>
      <c r="D8469">
        <v>8816.9</v>
      </c>
      <c r="E8469">
        <v>4.0300000000000002E-2</v>
      </c>
      <c r="F8469">
        <v>7.5899999999999995E-2</v>
      </c>
    </row>
    <row r="8470" spans="1:6" x14ac:dyDescent="0.3">
      <c r="A8470" t="s">
        <v>8505</v>
      </c>
      <c r="B8470" t="s">
        <v>26</v>
      </c>
      <c r="C8470">
        <v>270000</v>
      </c>
      <c r="D8470">
        <v>2636</v>
      </c>
      <c r="E8470">
        <v>2.2700000000000001E-2</v>
      </c>
      <c r="F8470">
        <v>5.3800000000000001E-2</v>
      </c>
    </row>
    <row r="8471" spans="1:6" x14ac:dyDescent="0.3">
      <c r="A8471" t="s">
        <v>8506</v>
      </c>
      <c r="B8471" t="s">
        <v>214</v>
      </c>
      <c r="C8471">
        <v>698000</v>
      </c>
      <c r="D8471">
        <v>16287.3</v>
      </c>
      <c r="E8471">
        <v>1.4500000000000001E-2</v>
      </c>
      <c r="F8471">
        <v>8.5400000000000004E-2</v>
      </c>
    </row>
    <row r="8472" spans="1:6" x14ac:dyDescent="0.3">
      <c r="A8472" t="s">
        <v>8507</v>
      </c>
      <c r="B8472" t="s">
        <v>74</v>
      </c>
      <c r="C8472">
        <v>295000</v>
      </c>
      <c r="D8472">
        <v>387.5</v>
      </c>
      <c r="E8472">
        <v>4.58E-2</v>
      </c>
      <c r="F8472">
        <v>7.5899999999999995E-2</v>
      </c>
    </row>
    <row r="8473" spans="1:6" x14ac:dyDescent="0.3">
      <c r="A8473" t="s">
        <v>8508</v>
      </c>
      <c r="B8473" t="s">
        <v>74</v>
      </c>
      <c r="C8473">
        <v>630000</v>
      </c>
      <c r="D8473">
        <v>31.6</v>
      </c>
      <c r="F8473">
        <v>9.3799999999999994E-2</v>
      </c>
    </row>
    <row r="8474" spans="1:6" x14ac:dyDescent="0.3">
      <c r="A8474" t="s">
        <v>8509</v>
      </c>
      <c r="B8474" t="s">
        <v>26</v>
      </c>
      <c r="C8474">
        <v>200000</v>
      </c>
      <c r="D8474">
        <v>857.4</v>
      </c>
      <c r="E8474">
        <v>2.5100000000000001E-2</v>
      </c>
      <c r="F8474">
        <v>9.5100000000000004E-2</v>
      </c>
    </row>
    <row r="8475" spans="1:6" x14ac:dyDescent="0.3">
      <c r="A8475" t="s">
        <v>8510</v>
      </c>
      <c r="B8475" t="s">
        <v>88</v>
      </c>
      <c r="C8475">
        <v>203000</v>
      </c>
      <c r="D8475">
        <v>973.4</v>
      </c>
      <c r="E8475">
        <v>4.9200000000000001E-2</v>
      </c>
      <c r="F8475">
        <v>7.5899999999999995E-2</v>
      </c>
    </row>
    <row r="8476" spans="1:6" x14ac:dyDescent="0.3">
      <c r="A8476" t="s">
        <v>8511</v>
      </c>
      <c r="B8476" t="s">
        <v>26</v>
      </c>
      <c r="C8476">
        <v>202000</v>
      </c>
      <c r="D8476">
        <v>56072.9</v>
      </c>
      <c r="E8476">
        <v>2.0299999999999999E-2</v>
      </c>
      <c r="F8476">
        <v>5.8500000000000003E-2</v>
      </c>
    </row>
    <row r="8477" spans="1:6" x14ac:dyDescent="0.3">
      <c r="A8477" t="s">
        <v>8512</v>
      </c>
      <c r="B8477" t="s">
        <v>28</v>
      </c>
      <c r="C8477">
        <v>236000</v>
      </c>
      <c r="D8477">
        <v>5118.2</v>
      </c>
      <c r="E8477">
        <v>3.9100000000000003E-2</v>
      </c>
      <c r="F8477">
        <v>9.5100000000000004E-2</v>
      </c>
    </row>
    <row r="8478" spans="1:6" x14ac:dyDescent="0.3">
      <c r="A8478" t="s">
        <v>8513</v>
      </c>
      <c r="B8478" t="s">
        <v>26</v>
      </c>
      <c r="C8478">
        <v>282000</v>
      </c>
      <c r="D8478">
        <v>20196.2</v>
      </c>
      <c r="E8478">
        <v>2.01E-2</v>
      </c>
      <c r="F8478">
        <v>8.1500000000000003E-2</v>
      </c>
    </row>
    <row r="8479" spans="1:6" x14ac:dyDescent="0.3">
      <c r="A8479" t="s">
        <v>8514</v>
      </c>
      <c r="B8479" t="s">
        <v>62</v>
      </c>
      <c r="C8479">
        <v>196000</v>
      </c>
      <c r="D8479">
        <v>3365</v>
      </c>
      <c r="E8479">
        <v>9.1000000000000004E-3</v>
      </c>
      <c r="F8479">
        <v>8.2199999999999995E-2</v>
      </c>
    </row>
    <row r="8480" spans="1:6" x14ac:dyDescent="0.3">
      <c r="A8480" t="s">
        <v>8515</v>
      </c>
      <c r="B8480" t="s">
        <v>41</v>
      </c>
      <c r="C8480">
        <v>270000</v>
      </c>
      <c r="D8480">
        <v>19315</v>
      </c>
      <c r="E8480">
        <v>1.2500000000000001E-2</v>
      </c>
      <c r="F8480">
        <v>7.2599999999999998E-2</v>
      </c>
    </row>
    <row r="8481" spans="1:6" x14ac:dyDescent="0.3">
      <c r="A8481" t="s">
        <v>8516</v>
      </c>
      <c r="B8481" t="s">
        <v>26</v>
      </c>
      <c r="C8481">
        <v>217000</v>
      </c>
      <c r="D8481">
        <v>2231.8000000000002</v>
      </c>
      <c r="E8481">
        <v>1.1900000000000001E-2</v>
      </c>
      <c r="F8481">
        <v>0.13769999999999999</v>
      </c>
    </row>
    <row r="8482" spans="1:6" x14ac:dyDescent="0.3">
      <c r="A8482" t="s">
        <v>8517</v>
      </c>
      <c r="B8482" t="s">
        <v>26</v>
      </c>
      <c r="C8482">
        <v>888000</v>
      </c>
      <c r="D8482">
        <v>235663.5</v>
      </c>
      <c r="E8482">
        <v>3.7199999999999997E-2</v>
      </c>
      <c r="F8482">
        <v>4.0899999999999999E-2</v>
      </c>
    </row>
    <row r="8483" spans="1:6" x14ac:dyDescent="0.3">
      <c r="A8483" t="s">
        <v>8518</v>
      </c>
      <c r="B8483" t="s">
        <v>81</v>
      </c>
      <c r="C8483">
        <v>231000</v>
      </c>
      <c r="D8483">
        <v>10427</v>
      </c>
      <c r="E8483">
        <v>2.3E-2</v>
      </c>
      <c r="F8483">
        <v>7.5899999999999995E-2</v>
      </c>
    </row>
    <row r="8484" spans="1:6" x14ac:dyDescent="0.3">
      <c r="A8484" t="s">
        <v>8519</v>
      </c>
      <c r="B8484" t="s">
        <v>53</v>
      </c>
      <c r="C8484">
        <v>189000</v>
      </c>
      <c r="D8484">
        <v>2335.3000000000002</v>
      </c>
      <c r="E8484">
        <v>2.2700000000000001E-2</v>
      </c>
      <c r="F8484">
        <v>5.1799999999999999E-2</v>
      </c>
    </row>
    <row r="8485" spans="1:6" x14ac:dyDescent="0.3">
      <c r="A8485" t="s">
        <v>8520</v>
      </c>
      <c r="B8485" t="s">
        <v>88</v>
      </c>
      <c r="C8485">
        <v>283000</v>
      </c>
      <c r="D8485">
        <v>1075.8</v>
      </c>
      <c r="E8485">
        <v>3.5799999999999998E-2</v>
      </c>
      <c r="F8485">
        <v>9.3799999999999994E-2</v>
      </c>
    </row>
    <row r="8486" spans="1:6" x14ac:dyDescent="0.3">
      <c r="A8486" t="s">
        <v>8521</v>
      </c>
      <c r="B8486" t="s">
        <v>50</v>
      </c>
      <c r="C8486">
        <v>304000</v>
      </c>
      <c r="D8486">
        <v>47897.5</v>
      </c>
      <c r="E8486">
        <v>2.64E-2</v>
      </c>
      <c r="F8486">
        <v>9.5100000000000004E-2</v>
      </c>
    </row>
    <row r="8487" spans="1:6" x14ac:dyDescent="0.3">
      <c r="A8487" t="s">
        <v>8522</v>
      </c>
      <c r="B8487" t="s">
        <v>24</v>
      </c>
      <c r="C8487">
        <v>251000</v>
      </c>
      <c r="D8487">
        <v>1200724.3</v>
      </c>
      <c r="F8487">
        <v>9.5100000000000004E-2</v>
      </c>
    </row>
    <row r="8488" spans="1:6" x14ac:dyDescent="0.3">
      <c r="A8488" t="s">
        <v>8523</v>
      </c>
      <c r="B8488" t="s">
        <v>214</v>
      </c>
      <c r="C8488">
        <v>286000</v>
      </c>
      <c r="D8488">
        <v>404.6</v>
      </c>
      <c r="E8488">
        <v>1.7500000000000002E-2</v>
      </c>
      <c r="F8488">
        <v>0.1067</v>
      </c>
    </row>
    <row r="8489" spans="1:6" x14ac:dyDescent="0.3">
      <c r="A8489" t="s">
        <v>8524</v>
      </c>
      <c r="B8489" t="s">
        <v>41</v>
      </c>
      <c r="C8489">
        <v>210000</v>
      </c>
      <c r="D8489">
        <v>117.7</v>
      </c>
      <c r="E8489">
        <v>2.5999999999999999E-3</v>
      </c>
      <c r="F8489">
        <v>0.2399</v>
      </c>
    </row>
    <row r="8490" spans="1:6" x14ac:dyDescent="0.3">
      <c r="A8490" t="s">
        <v>8525</v>
      </c>
      <c r="B8490" t="s">
        <v>62</v>
      </c>
      <c r="C8490">
        <v>270000</v>
      </c>
      <c r="D8490">
        <v>11010</v>
      </c>
      <c r="E8490">
        <v>1.83E-2</v>
      </c>
      <c r="F8490">
        <v>5.8500000000000003E-2</v>
      </c>
    </row>
    <row r="8491" spans="1:6" x14ac:dyDescent="0.3">
      <c r="A8491" t="s">
        <v>8526</v>
      </c>
      <c r="B8491" t="s">
        <v>26</v>
      </c>
      <c r="C8491">
        <v>281000</v>
      </c>
      <c r="D8491">
        <v>6434.6</v>
      </c>
      <c r="E8491">
        <v>1.9900000000000001E-2</v>
      </c>
      <c r="F8491">
        <v>7.5899999999999995E-2</v>
      </c>
    </row>
    <row r="8492" spans="1:6" x14ac:dyDescent="0.3">
      <c r="A8492" t="s">
        <v>8527</v>
      </c>
      <c r="B8492" t="s">
        <v>92</v>
      </c>
      <c r="C8492">
        <v>197000</v>
      </c>
      <c r="D8492">
        <v>66279.5</v>
      </c>
      <c r="E8492">
        <v>2.5000000000000001E-2</v>
      </c>
      <c r="F8492">
        <v>9.5100000000000004E-2</v>
      </c>
    </row>
    <row r="8493" spans="1:6" x14ac:dyDescent="0.3">
      <c r="A8493" t="s">
        <v>8528</v>
      </c>
      <c r="B8493" t="s">
        <v>26</v>
      </c>
      <c r="C8493">
        <v>205000</v>
      </c>
      <c r="D8493">
        <v>4285.8</v>
      </c>
      <c r="E8493">
        <v>2.9499999999999998E-2</v>
      </c>
      <c r="F8493">
        <v>9.5100000000000004E-2</v>
      </c>
    </row>
    <row r="8494" spans="1:6" x14ac:dyDescent="0.3">
      <c r="A8494" t="s">
        <v>8529</v>
      </c>
      <c r="B8494" t="s">
        <v>26</v>
      </c>
      <c r="C8494">
        <v>370000</v>
      </c>
      <c r="D8494">
        <v>3790.5</v>
      </c>
      <c r="E8494">
        <v>9.5999999999999992E-3</v>
      </c>
      <c r="F8494">
        <v>8.2199999999999995E-2</v>
      </c>
    </row>
    <row r="8495" spans="1:6" x14ac:dyDescent="0.3">
      <c r="A8495" t="s">
        <v>8530</v>
      </c>
      <c r="B8495" t="s">
        <v>214</v>
      </c>
      <c r="C8495">
        <v>236000</v>
      </c>
      <c r="D8495">
        <v>638.5</v>
      </c>
      <c r="E8495">
        <v>2.64E-2</v>
      </c>
      <c r="F8495">
        <v>9.3799999999999994E-2</v>
      </c>
    </row>
    <row r="8496" spans="1:6" x14ac:dyDescent="0.3">
      <c r="A8496" t="s">
        <v>8531</v>
      </c>
      <c r="B8496" t="s">
        <v>195</v>
      </c>
      <c r="C8496">
        <v>233000</v>
      </c>
      <c r="D8496">
        <v>2554.8000000000002</v>
      </c>
      <c r="E8496">
        <v>1.0999999999999999E-2</v>
      </c>
      <c r="F8496">
        <v>8.2799999999999999E-2</v>
      </c>
    </row>
    <row r="8497" spans="1:6" x14ac:dyDescent="0.3">
      <c r="A8497" t="s">
        <v>8532</v>
      </c>
      <c r="B8497" t="s">
        <v>214</v>
      </c>
      <c r="C8497">
        <v>223000</v>
      </c>
      <c r="D8497">
        <v>1646.7</v>
      </c>
      <c r="E8497">
        <v>8.8999999999999999E-3</v>
      </c>
      <c r="F8497">
        <v>0.1187</v>
      </c>
    </row>
    <row r="8498" spans="1:6" x14ac:dyDescent="0.3">
      <c r="A8498" t="s">
        <v>8533</v>
      </c>
      <c r="B8498" t="s">
        <v>41</v>
      </c>
      <c r="C8498">
        <v>290000</v>
      </c>
      <c r="D8498">
        <v>54939.5</v>
      </c>
      <c r="E8498">
        <v>5.8299999999999998E-2</v>
      </c>
      <c r="F8498">
        <v>7.5899999999999995E-2</v>
      </c>
    </row>
    <row r="8499" spans="1:6" x14ac:dyDescent="0.3">
      <c r="A8499" t="s">
        <v>8534</v>
      </c>
      <c r="B8499" t="s">
        <v>71</v>
      </c>
      <c r="C8499">
        <v>229000</v>
      </c>
      <c r="D8499">
        <v>258</v>
      </c>
      <c r="E8499">
        <v>1.66E-2</v>
      </c>
      <c r="F8499">
        <v>8.5400000000000004E-2</v>
      </c>
    </row>
    <row r="8500" spans="1:6" x14ac:dyDescent="0.3">
      <c r="A8500" t="s">
        <v>8535</v>
      </c>
      <c r="B8500" t="s">
        <v>26</v>
      </c>
      <c r="C8500">
        <v>354000</v>
      </c>
      <c r="D8500">
        <v>4290.3999999999996</v>
      </c>
      <c r="E8500">
        <v>2.4500000000000001E-2</v>
      </c>
      <c r="F8500">
        <v>5.0999999999999997E-2</v>
      </c>
    </row>
    <row r="8501" spans="1:6" x14ac:dyDescent="0.3">
      <c r="A8501" t="s">
        <v>8536</v>
      </c>
      <c r="B8501" t="s">
        <v>92</v>
      </c>
      <c r="C8501">
        <v>212000</v>
      </c>
      <c r="D8501">
        <v>2311.6</v>
      </c>
      <c r="E8501">
        <v>1.3899999999999999E-2</v>
      </c>
      <c r="F8501">
        <v>0.1062</v>
      </c>
    </row>
    <row r="8502" spans="1:6" x14ac:dyDescent="0.3">
      <c r="A8502" t="s">
        <v>8537</v>
      </c>
      <c r="B8502" t="s">
        <v>92</v>
      </c>
      <c r="C8502">
        <v>233000</v>
      </c>
      <c r="D8502">
        <v>4205.6000000000004</v>
      </c>
      <c r="F8502">
        <v>4.0899999999999999E-2</v>
      </c>
    </row>
    <row r="8503" spans="1:6" x14ac:dyDescent="0.3">
      <c r="A8503" t="s">
        <v>8538</v>
      </c>
      <c r="B8503" t="s">
        <v>62</v>
      </c>
      <c r="C8503">
        <v>396000</v>
      </c>
      <c r="D8503">
        <v>1258.8</v>
      </c>
      <c r="E8503">
        <v>1.8800000000000001E-2</v>
      </c>
      <c r="F8503">
        <v>0.13719999999999999</v>
      </c>
    </row>
    <row r="8504" spans="1:6" x14ac:dyDescent="0.3">
      <c r="A8504" t="s">
        <v>8539</v>
      </c>
      <c r="B8504" t="s">
        <v>287</v>
      </c>
      <c r="C8504">
        <v>230000</v>
      </c>
      <c r="D8504">
        <v>20223.3</v>
      </c>
      <c r="E8504">
        <v>2.6700000000000002E-2</v>
      </c>
      <c r="F8504">
        <v>7.5899999999999995E-2</v>
      </c>
    </row>
    <row r="8505" spans="1:6" x14ac:dyDescent="0.3">
      <c r="A8505" t="s">
        <v>8540</v>
      </c>
      <c r="B8505" t="s">
        <v>26</v>
      </c>
      <c r="C8505">
        <v>267000</v>
      </c>
      <c r="D8505">
        <v>11470</v>
      </c>
      <c r="E8505">
        <v>7.17E-2</v>
      </c>
      <c r="F8505">
        <v>7.5899999999999995E-2</v>
      </c>
    </row>
    <row r="8506" spans="1:6" x14ac:dyDescent="0.3">
      <c r="A8506" t="s">
        <v>8541</v>
      </c>
      <c r="B8506" t="s">
        <v>88</v>
      </c>
      <c r="C8506">
        <v>214000</v>
      </c>
      <c r="D8506">
        <v>1957.1</v>
      </c>
      <c r="F8506">
        <v>0.11700000000000001</v>
      </c>
    </row>
    <row r="8507" spans="1:6" x14ac:dyDescent="0.3">
      <c r="A8507" t="s">
        <v>8542</v>
      </c>
      <c r="B8507" t="s">
        <v>26</v>
      </c>
      <c r="C8507">
        <v>250000</v>
      </c>
      <c r="D8507">
        <v>1240.3</v>
      </c>
      <c r="F8507">
        <v>4.0899999999999999E-2</v>
      </c>
    </row>
    <row r="8508" spans="1:6" x14ac:dyDescent="0.3">
      <c r="A8508" t="s">
        <v>8543</v>
      </c>
      <c r="B8508" t="s">
        <v>88</v>
      </c>
      <c r="C8508">
        <v>230000</v>
      </c>
      <c r="D8508">
        <v>785.6</v>
      </c>
      <c r="E8508">
        <v>2.5100000000000001E-2</v>
      </c>
      <c r="F8508">
        <v>5.4600000000000003E-2</v>
      </c>
    </row>
    <row r="8509" spans="1:6" x14ac:dyDescent="0.3">
      <c r="A8509" t="s">
        <v>8544</v>
      </c>
      <c r="B8509" t="s">
        <v>24</v>
      </c>
      <c r="C8509">
        <v>360000</v>
      </c>
      <c r="D8509">
        <v>178133.2</v>
      </c>
      <c r="E8509">
        <v>9.4999999999999998E-3</v>
      </c>
      <c r="F8509">
        <v>8.2199999999999995E-2</v>
      </c>
    </row>
    <row r="8510" spans="1:6" x14ac:dyDescent="0.3">
      <c r="A8510" t="s">
        <v>8545</v>
      </c>
      <c r="B8510" t="s">
        <v>214</v>
      </c>
      <c r="C8510">
        <v>224000</v>
      </c>
      <c r="D8510">
        <v>23951.9</v>
      </c>
      <c r="E8510">
        <v>9.4999999999999998E-3</v>
      </c>
      <c r="F8510">
        <v>8.2199999999999995E-2</v>
      </c>
    </row>
    <row r="8511" spans="1:6" x14ac:dyDescent="0.3">
      <c r="A8511" t="s">
        <v>8546</v>
      </c>
      <c r="B8511" t="s">
        <v>26</v>
      </c>
      <c r="C8511">
        <v>388000</v>
      </c>
      <c r="D8511">
        <v>1549.1</v>
      </c>
      <c r="E8511">
        <v>4.7000000000000002E-3</v>
      </c>
      <c r="F8511">
        <v>8.1100000000000005E-2</v>
      </c>
    </row>
    <row r="8512" spans="1:6" x14ac:dyDescent="0.3">
      <c r="A8512" t="s">
        <v>8547</v>
      </c>
      <c r="B8512" t="s">
        <v>88</v>
      </c>
      <c r="C8512">
        <v>646000</v>
      </c>
      <c r="D8512">
        <v>18262</v>
      </c>
      <c r="E8512">
        <v>4.1300000000000003E-2</v>
      </c>
      <c r="F8512">
        <v>9.3799999999999994E-2</v>
      </c>
    </row>
    <row r="8513" spans="1:6" x14ac:dyDescent="0.3">
      <c r="A8513" t="s">
        <v>8548</v>
      </c>
      <c r="B8513" t="s">
        <v>26</v>
      </c>
      <c r="C8513">
        <v>205000</v>
      </c>
      <c r="D8513">
        <v>10644.2</v>
      </c>
      <c r="E8513">
        <v>3.4500000000000003E-2</v>
      </c>
      <c r="F8513">
        <v>0.1535</v>
      </c>
    </row>
    <row r="8514" spans="1:6" x14ac:dyDescent="0.3">
      <c r="A8514" t="s">
        <v>8549</v>
      </c>
      <c r="B8514" t="s">
        <v>26</v>
      </c>
      <c r="C8514">
        <v>198000</v>
      </c>
      <c r="D8514">
        <v>507.1</v>
      </c>
      <c r="E8514">
        <v>4.82E-2</v>
      </c>
      <c r="F8514">
        <v>9.5100000000000004E-2</v>
      </c>
    </row>
    <row r="8515" spans="1:6" x14ac:dyDescent="0.3">
      <c r="A8515" t="s">
        <v>8550</v>
      </c>
      <c r="B8515" t="s">
        <v>26</v>
      </c>
      <c r="C8515">
        <v>253000</v>
      </c>
      <c r="D8515">
        <v>20496.5</v>
      </c>
      <c r="F8515">
        <v>5.1799999999999999E-2</v>
      </c>
    </row>
    <row r="8516" spans="1:6" x14ac:dyDescent="0.3">
      <c r="A8516" t="s">
        <v>8551</v>
      </c>
      <c r="B8516" t="s">
        <v>26</v>
      </c>
      <c r="C8516">
        <v>189000</v>
      </c>
      <c r="D8516">
        <v>270.89999999999998</v>
      </c>
      <c r="E8516">
        <v>1.66E-2</v>
      </c>
      <c r="F8516">
        <v>6.5699999999999995E-2</v>
      </c>
    </row>
    <row r="8517" spans="1:6" x14ac:dyDescent="0.3">
      <c r="A8517" t="s">
        <v>8552</v>
      </c>
      <c r="B8517" t="s">
        <v>195</v>
      </c>
      <c r="C8517">
        <v>198000</v>
      </c>
      <c r="D8517">
        <v>190632.2</v>
      </c>
      <c r="E8517">
        <v>8.0000000000000002E-3</v>
      </c>
      <c r="F8517">
        <v>8.2199999999999995E-2</v>
      </c>
    </row>
    <row r="8518" spans="1:6" x14ac:dyDescent="0.3">
      <c r="A8518" t="s">
        <v>8553</v>
      </c>
      <c r="B8518" t="s">
        <v>26</v>
      </c>
      <c r="C8518">
        <v>203000</v>
      </c>
      <c r="D8518">
        <v>3653347.7</v>
      </c>
      <c r="E8518">
        <v>6.4000000000000003E-3</v>
      </c>
      <c r="F8518">
        <v>8.2199999999999995E-2</v>
      </c>
    </row>
    <row r="8519" spans="1:6" x14ac:dyDescent="0.3">
      <c r="A8519" t="s">
        <v>8554</v>
      </c>
      <c r="B8519" t="s">
        <v>74</v>
      </c>
      <c r="C8519">
        <v>268000</v>
      </c>
      <c r="D8519">
        <v>12384.9</v>
      </c>
      <c r="E8519">
        <v>8.3699999999999997E-2</v>
      </c>
      <c r="F8519">
        <v>9.3799999999999994E-2</v>
      </c>
    </row>
    <row r="8520" spans="1:6" x14ac:dyDescent="0.3">
      <c r="A8520" t="s">
        <v>8555</v>
      </c>
      <c r="B8520" t="s">
        <v>88</v>
      </c>
      <c r="C8520">
        <v>222000</v>
      </c>
      <c r="D8520">
        <v>6934.9</v>
      </c>
      <c r="E8520">
        <v>4.3900000000000002E-2</v>
      </c>
      <c r="F8520">
        <v>7.5899999999999995E-2</v>
      </c>
    </row>
    <row r="8521" spans="1:6" x14ac:dyDescent="0.3">
      <c r="A8521" t="s">
        <v>8556</v>
      </c>
      <c r="B8521" t="s">
        <v>26</v>
      </c>
      <c r="C8521">
        <v>198000</v>
      </c>
      <c r="D8521">
        <v>8972.4</v>
      </c>
      <c r="E8521">
        <v>6.7400000000000002E-2</v>
      </c>
      <c r="F8521">
        <v>9.5100000000000004E-2</v>
      </c>
    </row>
    <row r="8522" spans="1:6" x14ac:dyDescent="0.3">
      <c r="A8522" t="s">
        <v>8557</v>
      </c>
      <c r="B8522" t="s">
        <v>74</v>
      </c>
      <c r="C8522">
        <v>295000</v>
      </c>
      <c r="D8522">
        <v>22290.2</v>
      </c>
      <c r="E8522">
        <v>4.7399999999999998E-2</v>
      </c>
      <c r="F8522">
        <v>7.5899999999999995E-2</v>
      </c>
    </row>
    <row r="8523" spans="1:6" x14ac:dyDescent="0.3">
      <c r="A8523" t="s">
        <v>8558</v>
      </c>
      <c r="B8523" t="s">
        <v>26</v>
      </c>
      <c r="C8523">
        <v>279000</v>
      </c>
      <c r="D8523">
        <v>1664</v>
      </c>
      <c r="E8523">
        <v>2.7199999999999998E-2</v>
      </c>
      <c r="F8523">
        <v>9.5000000000000001E-2</v>
      </c>
    </row>
    <row r="8524" spans="1:6" x14ac:dyDescent="0.3">
      <c r="A8524" t="s">
        <v>8559</v>
      </c>
      <c r="B8524" t="s">
        <v>287</v>
      </c>
      <c r="C8524">
        <v>262000</v>
      </c>
      <c r="D8524">
        <v>1610.5</v>
      </c>
      <c r="E8524">
        <v>6.3E-3</v>
      </c>
      <c r="F8524">
        <v>8.1100000000000005E-2</v>
      </c>
    </row>
    <row r="8525" spans="1:6" x14ac:dyDescent="0.3">
      <c r="A8525" t="s">
        <v>8560</v>
      </c>
      <c r="B8525" t="s">
        <v>62</v>
      </c>
      <c r="C8525">
        <v>442000</v>
      </c>
      <c r="D8525">
        <v>2980.3</v>
      </c>
      <c r="E8525">
        <v>2.2800000000000001E-2</v>
      </c>
      <c r="F8525">
        <v>5.7599999999999998E-2</v>
      </c>
    </row>
    <row r="8526" spans="1:6" x14ac:dyDescent="0.3">
      <c r="A8526" t="s">
        <v>8561</v>
      </c>
      <c r="B8526" t="s">
        <v>32</v>
      </c>
      <c r="C8526">
        <v>220000</v>
      </c>
      <c r="D8526">
        <v>11741.6</v>
      </c>
      <c r="E8526">
        <v>4.48E-2</v>
      </c>
      <c r="F8526">
        <v>8.4500000000000006E-2</v>
      </c>
    </row>
    <row r="8527" spans="1:6" x14ac:dyDescent="0.3">
      <c r="A8527" t="s">
        <v>8562</v>
      </c>
      <c r="B8527" t="s">
        <v>195</v>
      </c>
      <c r="C8527">
        <v>199000</v>
      </c>
      <c r="D8527">
        <v>1378.1</v>
      </c>
      <c r="E8527">
        <v>2.6499999999999999E-2</v>
      </c>
      <c r="F8527">
        <v>0.12429999999999999</v>
      </c>
    </row>
    <row r="8528" spans="1:6" x14ac:dyDescent="0.3">
      <c r="A8528" t="s">
        <v>8563</v>
      </c>
      <c r="B8528" t="s">
        <v>26</v>
      </c>
      <c r="C8528">
        <v>264000</v>
      </c>
      <c r="D8528">
        <v>535413.5</v>
      </c>
      <c r="E8528">
        <v>4.9700000000000001E-2</v>
      </c>
      <c r="F8528">
        <v>7.5899999999999995E-2</v>
      </c>
    </row>
    <row r="8529" spans="1:6" x14ac:dyDescent="0.3">
      <c r="A8529" t="s">
        <v>8564</v>
      </c>
      <c r="B8529" t="s">
        <v>32</v>
      </c>
      <c r="C8529">
        <v>299000</v>
      </c>
      <c r="D8529">
        <v>98508.1</v>
      </c>
      <c r="E8529">
        <v>9.9000000000000008E-3</v>
      </c>
      <c r="F8529">
        <v>8.2199999999999995E-2</v>
      </c>
    </row>
    <row r="8530" spans="1:6" x14ac:dyDescent="0.3">
      <c r="A8530" t="s">
        <v>8565</v>
      </c>
      <c r="B8530" t="s">
        <v>26</v>
      </c>
      <c r="C8530">
        <v>229000</v>
      </c>
      <c r="D8530">
        <v>14345.9</v>
      </c>
      <c r="E8530">
        <v>7.4899999999999994E-2</v>
      </c>
      <c r="F8530">
        <v>9.3799999999999994E-2</v>
      </c>
    </row>
    <row r="8531" spans="1:6" x14ac:dyDescent="0.3">
      <c r="A8531" t="s">
        <v>8566</v>
      </c>
      <c r="B8531" t="s">
        <v>490</v>
      </c>
      <c r="C8531">
        <v>270000</v>
      </c>
      <c r="D8531">
        <v>15945.6</v>
      </c>
      <c r="E8531">
        <v>9.5999999999999992E-3</v>
      </c>
      <c r="F8531">
        <v>6.54E-2</v>
      </c>
    </row>
    <row r="8532" spans="1:6" x14ac:dyDescent="0.3">
      <c r="A8532" t="s">
        <v>8567</v>
      </c>
      <c r="B8532" t="s">
        <v>32</v>
      </c>
      <c r="C8532">
        <v>202000</v>
      </c>
      <c r="D8532">
        <v>60067.8</v>
      </c>
      <c r="E8532">
        <v>3.1300000000000001E-2</v>
      </c>
      <c r="F8532">
        <v>0.17100000000000001</v>
      </c>
    </row>
    <row r="8533" spans="1:6" x14ac:dyDescent="0.3">
      <c r="A8533" t="s">
        <v>8568</v>
      </c>
      <c r="B8533" t="s">
        <v>214</v>
      </c>
      <c r="C8533">
        <v>252000</v>
      </c>
      <c r="D8533">
        <v>4303.5</v>
      </c>
      <c r="E8533">
        <v>5.91E-2</v>
      </c>
      <c r="F8533">
        <v>9.3799999999999994E-2</v>
      </c>
    </row>
    <row r="8534" spans="1:6" x14ac:dyDescent="0.3">
      <c r="A8534" t="s">
        <v>8569</v>
      </c>
      <c r="B8534" t="s">
        <v>26</v>
      </c>
      <c r="C8534">
        <v>226000</v>
      </c>
      <c r="D8534">
        <v>23793.200000000001</v>
      </c>
      <c r="E8534">
        <v>1.61E-2</v>
      </c>
      <c r="F8534">
        <v>5.8500000000000003E-2</v>
      </c>
    </row>
    <row r="8535" spans="1:6" x14ac:dyDescent="0.3">
      <c r="A8535" t="s">
        <v>8570</v>
      </c>
      <c r="B8535" t="s">
        <v>30</v>
      </c>
      <c r="C8535">
        <v>273000</v>
      </c>
      <c r="D8535">
        <v>25229.7</v>
      </c>
      <c r="E8535">
        <v>3.4500000000000003E-2</v>
      </c>
      <c r="F8535">
        <v>9.5100000000000004E-2</v>
      </c>
    </row>
    <row r="8536" spans="1:6" x14ac:dyDescent="0.3">
      <c r="A8536" t="s">
        <v>8571</v>
      </c>
      <c r="B8536" t="s">
        <v>214</v>
      </c>
      <c r="C8536">
        <v>206000</v>
      </c>
      <c r="D8536">
        <v>72798.600000000006</v>
      </c>
      <c r="E8536">
        <v>3.04E-2</v>
      </c>
      <c r="F8536">
        <v>0.13250000000000001</v>
      </c>
    </row>
    <row r="8537" spans="1:6" x14ac:dyDescent="0.3">
      <c r="A8537" t="s">
        <v>8572</v>
      </c>
      <c r="B8537" t="s">
        <v>92</v>
      </c>
      <c r="C8537">
        <v>248000</v>
      </c>
      <c r="D8537">
        <v>1055.8</v>
      </c>
      <c r="E8537">
        <v>2.07E-2</v>
      </c>
      <c r="F8537">
        <v>0.1067</v>
      </c>
    </row>
    <row r="8538" spans="1:6" x14ac:dyDescent="0.3">
      <c r="A8538" t="s">
        <v>8573</v>
      </c>
      <c r="B8538" t="s">
        <v>88</v>
      </c>
      <c r="C8538">
        <v>229000</v>
      </c>
      <c r="D8538">
        <v>574.20000000000005</v>
      </c>
      <c r="E8538">
        <v>1.29E-2</v>
      </c>
      <c r="F8538">
        <v>4.6199999999999998E-2</v>
      </c>
    </row>
    <row r="8539" spans="1:6" x14ac:dyDescent="0.3">
      <c r="A8539" t="s">
        <v>8574</v>
      </c>
      <c r="B8539" t="s">
        <v>214</v>
      </c>
      <c r="C8539">
        <v>200000</v>
      </c>
      <c r="D8539">
        <v>27325.5</v>
      </c>
      <c r="E8539">
        <v>5.7500000000000002E-2</v>
      </c>
      <c r="F8539">
        <v>9.5100000000000004E-2</v>
      </c>
    </row>
    <row r="8540" spans="1:6" x14ac:dyDescent="0.3">
      <c r="A8540" t="s">
        <v>8575</v>
      </c>
      <c r="B8540" t="s">
        <v>32</v>
      </c>
      <c r="C8540">
        <v>271000</v>
      </c>
      <c r="D8540">
        <v>787.4</v>
      </c>
      <c r="E8540">
        <v>1.1599999999999999E-2</v>
      </c>
      <c r="F8540">
        <v>0.18859999999999999</v>
      </c>
    </row>
    <row r="8541" spans="1:6" x14ac:dyDescent="0.3">
      <c r="A8541" t="s">
        <v>8576</v>
      </c>
      <c r="B8541" t="s">
        <v>81</v>
      </c>
      <c r="C8541">
        <v>622000</v>
      </c>
      <c r="D8541">
        <v>1432378.2</v>
      </c>
      <c r="E8541">
        <v>3.1899999999999998E-2</v>
      </c>
      <c r="F8541">
        <v>4.0899999999999999E-2</v>
      </c>
    </row>
    <row r="8542" spans="1:6" x14ac:dyDescent="0.3">
      <c r="A8542" t="s">
        <v>8577</v>
      </c>
      <c r="B8542" t="s">
        <v>26</v>
      </c>
      <c r="C8542">
        <v>203000</v>
      </c>
      <c r="D8542">
        <v>2922.5</v>
      </c>
      <c r="E8542">
        <v>3.4500000000000003E-2</v>
      </c>
      <c r="F8542">
        <v>5.1799999999999999E-2</v>
      </c>
    </row>
    <row r="8543" spans="1:6" x14ac:dyDescent="0.3">
      <c r="A8543" t="s">
        <v>8578</v>
      </c>
      <c r="B8543" t="s">
        <v>214</v>
      </c>
      <c r="C8543">
        <v>208000</v>
      </c>
      <c r="D8543">
        <v>1284.3</v>
      </c>
      <c r="E8543">
        <v>6.1000000000000004E-3</v>
      </c>
      <c r="F8543">
        <v>6.54E-2</v>
      </c>
    </row>
    <row r="8544" spans="1:6" x14ac:dyDescent="0.3">
      <c r="A8544" t="s">
        <v>8579</v>
      </c>
      <c r="B8544" t="s">
        <v>41</v>
      </c>
      <c r="C8544">
        <v>210000</v>
      </c>
      <c r="D8544">
        <v>17674.5</v>
      </c>
      <c r="E8544">
        <v>0.1</v>
      </c>
      <c r="F8544">
        <v>7.5899999999999995E-2</v>
      </c>
    </row>
    <row r="8545" spans="1:6" x14ac:dyDescent="0.3">
      <c r="A8545" t="s">
        <v>8580</v>
      </c>
      <c r="B8545" t="s">
        <v>41</v>
      </c>
      <c r="C8545">
        <v>275000</v>
      </c>
      <c r="D8545">
        <v>191592.5</v>
      </c>
      <c r="E8545">
        <v>4.0399999999999998E-2</v>
      </c>
      <c r="F8545">
        <v>7.5899999999999995E-2</v>
      </c>
    </row>
    <row r="8546" spans="1:6" x14ac:dyDescent="0.3">
      <c r="A8546" t="s">
        <v>8581</v>
      </c>
      <c r="B8546" t="s">
        <v>21</v>
      </c>
      <c r="C8546">
        <v>259000</v>
      </c>
      <c r="D8546">
        <v>12383.8</v>
      </c>
      <c r="E8546">
        <v>1.7600000000000001E-2</v>
      </c>
      <c r="F8546">
        <v>5.7599999999999998E-2</v>
      </c>
    </row>
    <row r="8547" spans="1:6" x14ac:dyDescent="0.3">
      <c r="A8547" t="s">
        <v>8582</v>
      </c>
      <c r="B8547" t="s">
        <v>88</v>
      </c>
      <c r="C8547">
        <v>341000</v>
      </c>
      <c r="D8547">
        <v>15839.9</v>
      </c>
      <c r="E8547">
        <v>2.6499999999999999E-2</v>
      </c>
      <c r="F8547">
        <v>4.0899999999999999E-2</v>
      </c>
    </row>
    <row r="8548" spans="1:6" x14ac:dyDescent="0.3">
      <c r="A8548" t="s">
        <v>8583</v>
      </c>
      <c r="B8548" t="s">
        <v>26</v>
      </c>
      <c r="C8548">
        <v>247000</v>
      </c>
      <c r="D8548">
        <v>25024.400000000001</v>
      </c>
      <c r="E8548">
        <v>5.57E-2</v>
      </c>
      <c r="F8548">
        <v>9.3799999999999994E-2</v>
      </c>
    </row>
    <row r="8549" spans="1:6" x14ac:dyDescent="0.3">
      <c r="A8549" t="s">
        <v>8584</v>
      </c>
      <c r="B8549" t="s">
        <v>26</v>
      </c>
      <c r="C8549">
        <v>256000</v>
      </c>
      <c r="D8549">
        <v>58513.9</v>
      </c>
      <c r="E8549">
        <v>4.3099999999999999E-2</v>
      </c>
      <c r="F8549">
        <v>5.1799999999999999E-2</v>
      </c>
    </row>
    <row r="8550" spans="1:6" x14ac:dyDescent="0.3">
      <c r="A8550" t="s">
        <v>8585</v>
      </c>
      <c r="B8550" t="s">
        <v>71</v>
      </c>
      <c r="C8550">
        <v>201000</v>
      </c>
      <c r="D8550">
        <v>985.8</v>
      </c>
      <c r="E8550">
        <v>3.4000000000000002E-2</v>
      </c>
      <c r="F8550">
        <v>9.98E-2</v>
      </c>
    </row>
    <row r="8551" spans="1:6" x14ac:dyDescent="0.3">
      <c r="A8551" t="s">
        <v>8586</v>
      </c>
      <c r="B8551" t="s">
        <v>74</v>
      </c>
      <c r="C8551">
        <v>216000</v>
      </c>
      <c r="D8551">
        <v>674996.8</v>
      </c>
      <c r="E8551">
        <v>9.9000000000000008E-3</v>
      </c>
      <c r="F8551">
        <v>0.67179999999999995</v>
      </c>
    </row>
    <row r="8552" spans="1:6" x14ac:dyDescent="0.3">
      <c r="A8552" t="s">
        <v>8587</v>
      </c>
      <c r="B8552" t="s">
        <v>26</v>
      </c>
      <c r="C8552">
        <v>413000</v>
      </c>
      <c r="D8552">
        <v>1734.6</v>
      </c>
      <c r="E8552">
        <v>9.4999999999999998E-3</v>
      </c>
      <c r="F8552">
        <v>6.54E-2</v>
      </c>
    </row>
    <row r="8553" spans="1:6" x14ac:dyDescent="0.3">
      <c r="A8553" t="s">
        <v>8588</v>
      </c>
      <c r="B8553" t="s">
        <v>88</v>
      </c>
      <c r="C8553">
        <v>217000</v>
      </c>
      <c r="D8553">
        <v>1998.5</v>
      </c>
      <c r="E8553">
        <v>4.3299999999999998E-2</v>
      </c>
      <c r="F8553">
        <v>9.3799999999999994E-2</v>
      </c>
    </row>
    <row r="8554" spans="1:6" x14ac:dyDescent="0.3">
      <c r="A8554" t="s">
        <v>8589</v>
      </c>
      <c r="B8554" t="s">
        <v>88</v>
      </c>
      <c r="C8554">
        <v>225000</v>
      </c>
      <c r="D8554">
        <v>8523</v>
      </c>
      <c r="E8554">
        <v>3.8100000000000002E-2</v>
      </c>
      <c r="F8554">
        <v>9.5100000000000004E-2</v>
      </c>
    </row>
    <row r="8555" spans="1:6" x14ac:dyDescent="0.3">
      <c r="A8555" t="s">
        <v>8590</v>
      </c>
      <c r="B8555" t="s">
        <v>74</v>
      </c>
      <c r="C8555">
        <v>209000</v>
      </c>
      <c r="D8555">
        <v>944.5</v>
      </c>
      <c r="E8555">
        <v>1.5100000000000001E-2</v>
      </c>
      <c r="F8555">
        <v>5.8500000000000003E-2</v>
      </c>
    </row>
    <row r="8556" spans="1:6" x14ac:dyDescent="0.3">
      <c r="A8556" t="s">
        <v>8591</v>
      </c>
      <c r="B8556" t="s">
        <v>490</v>
      </c>
      <c r="C8556">
        <v>163000</v>
      </c>
      <c r="D8556">
        <v>1037.4000000000001</v>
      </c>
      <c r="E8556">
        <v>1.09E-2</v>
      </c>
      <c r="F8556">
        <v>0.1174</v>
      </c>
    </row>
    <row r="8557" spans="1:6" x14ac:dyDescent="0.3">
      <c r="A8557" t="s">
        <v>8592</v>
      </c>
      <c r="B8557" t="s">
        <v>74</v>
      </c>
      <c r="C8557">
        <v>221000</v>
      </c>
      <c r="D8557">
        <v>9443.7999999999993</v>
      </c>
      <c r="E8557">
        <v>4.48E-2</v>
      </c>
      <c r="F8557">
        <v>9.3799999999999994E-2</v>
      </c>
    </row>
    <row r="8558" spans="1:6" x14ac:dyDescent="0.3">
      <c r="A8558" t="s">
        <v>8593</v>
      </c>
      <c r="B8558" t="s">
        <v>195</v>
      </c>
      <c r="C8558">
        <v>301000</v>
      </c>
      <c r="D8558">
        <v>38229.800000000003</v>
      </c>
      <c r="E8558">
        <v>1.18E-2</v>
      </c>
      <c r="F8558">
        <v>6.54E-2</v>
      </c>
    </row>
    <row r="8559" spans="1:6" x14ac:dyDescent="0.3">
      <c r="A8559" t="s">
        <v>8594</v>
      </c>
      <c r="B8559" t="s">
        <v>26</v>
      </c>
      <c r="C8559">
        <v>202000</v>
      </c>
      <c r="D8559">
        <v>286069.90000000002</v>
      </c>
      <c r="E8559">
        <v>2.3E-2</v>
      </c>
      <c r="F8559">
        <v>6.7199999999999996E-2</v>
      </c>
    </row>
    <row r="8560" spans="1:6" x14ac:dyDescent="0.3">
      <c r="A8560" t="s">
        <v>8595</v>
      </c>
      <c r="B8560" t="s">
        <v>74</v>
      </c>
      <c r="C8560">
        <v>373000</v>
      </c>
      <c r="D8560">
        <v>15273.3</v>
      </c>
      <c r="E8560">
        <v>2.93E-2</v>
      </c>
      <c r="F8560">
        <v>4.3200000000000002E-2</v>
      </c>
    </row>
    <row r="8561" spans="1:6" x14ac:dyDescent="0.3">
      <c r="A8561" t="s">
        <v>8596</v>
      </c>
      <c r="B8561" t="s">
        <v>21</v>
      </c>
      <c r="C8561">
        <v>196000</v>
      </c>
      <c r="D8561">
        <v>7633.6</v>
      </c>
      <c r="E8561">
        <v>1.2200000000000001E-2</v>
      </c>
      <c r="F8561">
        <v>8.2199999999999995E-2</v>
      </c>
    </row>
    <row r="8562" spans="1:6" x14ac:dyDescent="0.3">
      <c r="A8562" t="s">
        <v>8597</v>
      </c>
      <c r="B8562" t="s">
        <v>26</v>
      </c>
      <c r="C8562">
        <v>398000</v>
      </c>
      <c r="D8562">
        <v>55425</v>
      </c>
      <c r="E8562">
        <v>3.6999999999999998E-2</v>
      </c>
      <c r="F8562">
        <v>7.5899999999999995E-2</v>
      </c>
    </row>
    <row r="8563" spans="1:6" x14ac:dyDescent="0.3">
      <c r="A8563" t="s">
        <v>8598</v>
      </c>
      <c r="B8563" t="s">
        <v>53</v>
      </c>
      <c r="C8563">
        <v>301000</v>
      </c>
      <c r="D8563">
        <v>6286.8</v>
      </c>
      <c r="E8563">
        <v>3.3000000000000002E-2</v>
      </c>
      <c r="F8563">
        <v>0.1109</v>
      </c>
    </row>
    <row r="8564" spans="1:6" x14ac:dyDescent="0.3">
      <c r="A8564" t="s">
        <v>8599</v>
      </c>
      <c r="B8564" t="s">
        <v>53</v>
      </c>
      <c r="C8564">
        <v>205000</v>
      </c>
      <c r="D8564">
        <v>1423.8</v>
      </c>
      <c r="E8564">
        <v>3.7900000000000003E-2</v>
      </c>
      <c r="F8564">
        <v>9.5100000000000004E-2</v>
      </c>
    </row>
    <row r="8565" spans="1:6" x14ac:dyDescent="0.3">
      <c r="A8565" t="s">
        <v>8600</v>
      </c>
      <c r="B8565" t="s">
        <v>41</v>
      </c>
      <c r="C8565">
        <v>199000</v>
      </c>
      <c r="D8565">
        <v>3786.2</v>
      </c>
      <c r="E8565">
        <v>7.6E-3</v>
      </c>
      <c r="F8565">
        <v>8.2199999999999995E-2</v>
      </c>
    </row>
    <row r="8566" spans="1:6" x14ac:dyDescent="0.3">
      <c r="A8566" t="s">
        <v>8601</v>
      </c>
      <c r="B8566" t="s">
        <v>92</v>
      </c>
      <c r="C8566">
        <v>213000</v>
      </c>
      <c r="D8566">
        <v>142</v>
      </c>
      <c r="E8566">
        <v>0.11020000000000001</v>
      </c>
      <c r="F8566">
        <v>9.5100000000000004E-2</v>
      </c>
    </row>
    <row r="8567" spans="1:6" x14ac:dyDescent="0.3">
      <c r="A8567" t="s">
        <v>8602</v>
      </c>
      <c r="B8567" t="s">
        <v>71</v>
      </c>
      <c r="C8567">
        <v>385000</v>
      </c>
      <c r="D8567">
        <v>111685</v>
      </c>
      <c r="E8567">
        <v>2.1700000000000001E-2</v>
      </c>
      <c r="F8567">
        <v>8.3299999999999999E-2</v>
      </c>
    </row>
    <row r="8568" spans="1:6" x14ac:dyDescent="0.3">
      <c r="A8568" t="s">
        <v>8603</v>
      </c>
      <c r="B8568" t="s">
        <v>41</v>
      </c>
      <c r="C8568">
        <v>235000</v>
      </c>
      <c r="D8568">
        <v>61.5</v>
      </c>
      <c r="E8568">
        <v>1.8599999999999998E-2</v>
      </c>
      <c r="F8568">
        <v>0.2059</v>
      </c>
    </row>
    <row r="8569" spans="1:6" x14ac:dyDescent="0.3">
      <c r="A8569" t="s">
        <v>8604</v>
      </c>
      <c r="B8569" t="s">
        <v>53</v>
      </c>
      <c r="C8569">
        <v>211000</v>
      </c>
      <c r="D8569">
        <v>808.4</v>
      </c>
      <c r="E8569">
        <v>1.5599999999999999E-2</v>
      </c>
      <c r="F8569">
        <v>4.6199999999999998E-2</v>
      </c>
    </row>
    <row r="8570" spans="1:6" x14ac:dyDescent="0.3">
      <c r="A8570" t="s">
        <v>8605</v>
      </c>
      <c r="B8570" t="s">
        <v>26</v>
      </c>
      <c r="C8570">
        <v>219000</v>
      </c>
      <c r="D8570">
        <v>1304.3</v>
      </c>
      <c r="E8570">
        <v>5.9700000000000003E-2</v>
      </c>
      <c r="F8570">
        <v>7.5899999999999995E-2</v>
      </c>
    </row>
    <row r="8571" spans="1:6" x14ac:dyDescent="0.3">
      <c r="A8571" t="s">
        <v>8606</v>
      </c>
      <c r="B8571" t="s">
        <v>74</v>
      </c>
      <c r="C8571">
        <v>199000</v>
      </c>
      <c r="D8571">
        <v>117.7</v>
      </c>
      <c r="E8571">
        <v>1.4E-3</v>
      </c>
      <c r="F8571">
        <v>0.20949999999999999</v>
      </c>
    </row>
    <row r="8572" spans="1:6" x14ac:dyDescent="0.3">
      <c r="A8572" t="s">
        <v>8607</v>
      </c>
      <c r="B8572" t="s">
        <v>92</v>
      </c>
      <c r="C8572">
        <v>376000</v>
      </c>
      <c r="D8572">
        <v>276612.59999999998</v>
      </c>
      <c r="E8572">
        <v>3.8899999999999997E-2</v>
      </c>
      <c r="F8572">
        <v>5.0999999999999997E-2</v>
      </c>
    </row>
    <row r="8573" spans="1:6" x14ac:dyDescent="0.3">
      <c r="A8573" t="s">
        <v>8608</v>
      </c>
      <c r="B8573" t="s">
        <v>26</v>
      </c>
      <c r="C8573">
        <v>192000</v>
      </c>
      <c r="D8573">
        <v>1517.8</v>
      </c>
      <c r="E8573">
        <v>5.7700000000000001E-2</v>
      </c>
      <c r="F8573">
        <v>9.5100000000000004E-2</v>
      </c>
    </row>
    <row r="8574" spans="1:6" x14ac:dyDescent="0.3">
      <c r="A8574" t="s">
        <v>8609</v>
      </c>
      <c r="B8574" t="s">
        <v>26</v>
      </c>
      <c r="C8574">
        <v>198000</v>
      </c>
      <c r="D8574">
        <v>23199.200000000001</v>
      </c>
      <c r="E8574">
        <v>3.9699999999999999E-2</v>
      </c>
      <c r="F8574">
        <v>9.5100000000000004E-2</v>
      </c>
    </row>
    <row r="8575" spans="1:6" x14ac:dyDescent="0.3">
      <c r="A8575" t="s">
        <v>8610</v>
      </c>
      <c r="B8575" t="s">
        <v>92</v>
      </c>
      <c r="C8575">
        <v>250000</v>
      </c>
      <c r="D8575">
        <v>3245.8</v>
      </c>
      <c r="E8575">
        <v>1.8700000000000001E-2</v>
      </c>
      <c r="F8575">
        <v>8.5400000000000004E-2</v>
      </c>
    </row>
    <row r="8576" spans="1:6" x14ac:dyDescent="0.3">
      <c r="A8576" t="s">
        <v>8611</v>
      </c>
      <c r="B8576" t="s">
        <v>21</v>
      </c>
      <c r="C8576">
        <v>204000</v>
      </c>
      <c r="D8576">
        <v>3946.6</v>
      </c>
      <c r="E8576">
        <v>4.5400000000000003E-2</v>
      </c>
      <c r="F8576">
        <v>9.5100000000000004E-2</v>
      </c>
    </row>
    <row r="8577" spans="1:6" x14ac:dyDescent="0.3">
      <c r="A8577" t="s">
        <v>8612</v>
      </c>
      <c r="B8577" t="s">
        <v>88</v>
      </c>
      <c r="C8577">
        <v>711000</v>
      </c>
      <c r="D8577">
        <v>268799.09999999998</v>
      </c>
      <c r="E8577">
        <v>6.2199999999999998E-2</v>
      </c>
      <c r="F8577">
        <v>7.5899999999999995E-2</v>
      </c>
    </row>
    <row r="8578" spans="1:6" x14ac:dyDescent="0.3">
      <c r="A8578" t="s">
        <v>8613</v>
      </c>
      <c r="B8578" t="s">
        <v>26</v>
      </c>
      <c r="C8578">
        <v>981000</v>
      </c>
      <c r="D8578">
        <v>166101.79999999999</v>
      </c>
      <c r="E8578">
        <v>3.7400000000000003E-2</v>
      </c>
      <c r="F8578">
        <v>7.5899999999999995E-2</v>
      </c>
    </row>
    <row r="8579" spans="1:6" x14ac:dyDescent="0.3">
      <c r="A8579" t="s">
        <v>8614</v>
      </c>
      <c r="B8579" t="s">
        <v>195</v>
      </c>
      <c r="C8579">
        <v>238000</v>
      </c>
      <c r="D8579">
        <v>376.6</v>
      </c>
      <c r="E8579">
        <v>3.5999999999999999E-3</v>
      </c>
      <c r="F8579">
        <v>0.15939999999999999</v>
      </c>
    </row>
    <row r="8580" spans="1:6" x14ac:dyDescent="0.3">
      <c r="A8580" t="s">
        <v>8615</v>
      </c>
      <c r="B8580" t="s">
        <v>50</v>
      </c>
      <c r="C8580">
        <v>364000</v>
      </c>
      <c r="D8580">
        <v>44519</v>
      </c>
      <c r="E8580">
        <v>2.9700000000000001E-2</v>
      </c>
      <c r="F8580">
        <v>7.5899999999999995E-2</v>
      </c>
    </row>
    <row r="8581" spans="1:6" x14ac:dyDescent="0.3">
      <c r="A8581" t="s">
        <v>8616</v>
      </c>
      <c r="B8581" t="s">
        <v>41</v>
      </c>
      <c r="C8581">
        <v>306000</v>
      </c>
      <c r="D8581">
        <v>1565.6</v>
      </c>
      <c r="E8581">
        <v>2.7400000000000001E-2</v>
      </c>
      <c r="F8581">
        <v>5.7599999999999998E-2</v>
      </c>
    </row>
    <row r="8582" spans="1:6" x14ac:dyDescent="0.3">
      <c r="A8582" t="s">
        <v>8617</v>
      </c>
      <c r="B8582" t="s">
        <v>35</v>
      </c>
      <c r="C8582">
        <v>365000</v>
      </c>
      <c r="D8582">
        <v>206025.8</v>
      </c>
      <c r="E8582">
        <v>3.9600000000000003E-2</v>
      </c>
      <c r="F8582">
        <v>4.0899999999999999E-2</v>
      </c>
    </row>
    <row r="8583" spans="1:6" x14ac:dyDescent="0.3">
      <c r="A8583" t="s">
        <v>8618</v>
      </c>
      <c r="B8583" t="s">
        <v>71</v>
      </c>
      <c r="C8583">
        <v>196000</v>
      </c>
      <c r="D8583">
        <v>2360.1999999999998</v>
      </c>
      <c r="E8583">
        <v>4.2000000000000003E-2</v>
      </c>
      <c r="F8583">
        <v>9.5100000000000004E-2</v>
      </c>
    </row>
    <row r="8584" spans="1:6" x14ac:dyDescent="0.3">
      <c r="A8584" t="s">
        <v>8619</v>
      </c>
      <c r="B8584" t="s">
        <v>88</v>
      </c>
      <c r="C8584">
        <v>440000</v>
      </c>
      <c r="D8584">
        <v>21139.7</v>
      </c>
      <c r="E8584">
        <v>7.6100000000000001E-2</v>
      </c>
      <c r="F8584">
        <v>7.5899999999999995E-2</v>
      </c>
    </row>
    <row r="8585" spans="1:6" x14ac:dyDescent="0.3">
      <c r="A8585" t="s">
        <v>8620</v>
      </c>
      <c r="B8585" t="s">
        <v>88</v>
      </c>
      <c r="C8585">
        <v>192000</v>
      </c>
      <c r="D8585">
        <v>582.79999999999995</v>
      </c>
      <c r="E8585">
        <v>2.4899999999999999E-2</v>
      </c>
      <c r="F8585">
        <v>0.32940000000000003</v>
      </c>
    </row>
    <row r="8586" spans="1:6" x14ac:dyDescent="0.3">
      <c r="A8586" t="s">
        <v>8621</v>
      </c>
      <c r="B8586" t="s">
        <v>26</v>
      </c>
      <c r="C8586">
        <v>198000</v>
      </c>
      <c r="D8586">
        <v>20092.400000000001</v>
      </c>
      <c r="E8586">
        <v>1.5800000000000002E-2</v>
      </c>
      <c r="F8586">
        <v>5.8500000000000003E-2</v>
      </c>
    </row>
    <row r="8587" spans="1:6" x14ac:dyDescent="0.3">
      <c r="A8587" t="s">
        <v>8622</v>
      </c>
      <c r="B8587" t="s">
        <v>50</v>
      </c>
      <c r="C8587">
        <v>357000</v>
      </c>
      <c r="D8587">
        <v>27741.200000000001</v>
      </c>
      <c r="E8587">
        <v>3.4700000000000002E-2</v>
      </c>
      <c r="F8587">
        <v>6.7199999999999996E-2</v>
      </c>
    </row>
    <row r="8588" spans="1:6" x14ac:dyDescent="0.3">
      <c r="A8588" t="s">
        <v>8623</v>
      </c>
      <c r="B8588" t="s">
        <v>24</v>
      </c>
      <c r="C8588">
        <v>351000</v>
      </c>
      <c r="D8588">
        <v>10117.4</v>
      </c>
      <c r="E8588">
        <v>7.0599999999999996E-2</v>
      </c>
      <c r="F8588">
        <v>9.3799999999999994E-2</v>
      </c>
    </row>
    <row r="8589" spans="1:6" x14ac:dyDescent="0.3">
      <c r="A8589" t="s">
        <v>8624</v>
      </c>
      <c r="B8589" t="s">
        <v>88</v>
      </c>
      <c r="C8589">
        <v>438000</v>
      </c>
      <c r="D8589">
        <v>3154.6</v>
      </c>
      <c r="E8589">
        <v>6.8000000000000005E-2</v>
      </c>
      <c r="F8589">
        <v>9.3799999999999994E-2</v>
      </c>
    </row>
    <row r="8590" spans="1:6" x14ac:dyDescent="0.3">
      <c r="A8590" t="s">
        <v>8625</v>
      </c>
      <c r="B8590" t="s">
        <v>74</v>
      </c>
      <c r="C8590">
        <v>220000</v>
      </c>
      <c r="D8590">
        <v>11133.1</v>
      </c>
      <c r="E8590">
        <v>2.41E-2</v>
      </c>
      <c r="F8590">
        <v>9.5100000000000004E-2</v>
      </c>
    </row>
    <row r="8591" spans="1:6" x14ac:dyDescent="0.3">
      <c r="A8591" t="s">
        <v>8626</v>
      </c>
      <c r="B8591" t="s">
        <v>88</v>
      </c>
      <c r="C8591">
        <v>232000</v>
      </c>
      <c r="D8591">
        <v>1980</v>
      </c>
      <c r="E8591">
        <v>2.5999999999999999E-2</v>
      </c>
      <c r="F8591">
        <v>9.5100000000000004E-2</v>
      </c>
    </row>
    <row r="8592" spans="1:6" x14ac:dyDescent="0.3">
      <c r="A8592" t="s">
        <v>8627</v>
      </c>
      <c r="B8592" t="s">
        <v>32</v>
      </c>
      <c r="C8592">
        <v>2060000</v>
      </c>
      <c r="D8592">
        <v>116328.3</v>
      </c>
      <c r="E8592">
        <v>2.7300000000000001E-2</v>
      </c>
      <c r="F8592">
        <v>7.5899999999999995E-2</v>
      </c>
    </row>
    <row r="8593" spans="1:6" x14ac:dyDescent="0.3">
      <c r="A8593" t="s">
        <v>8628</v>
      </c>
      <c r="B8593" t="s">
        <v>88</v>
      </c>
      <c r="C8593">
        <v>194000</v>
      </c>
      <c r="D8593">
        <v>9880.2999999999993</v>
      </c>
      <c r="E8593">
        <v>2.8400000000000002E-2</v>
      </c>
      <c r="F8593">
        <v>9.5100000000000004E-2</v>
      </c>
    </row>
    <row r="8594" spans="1:6" x14ac:dyDescent="0.3">
      <c r="A8594" t="s">
        <v>8629</v>
      </c>
      <c r="B8594" t="s">
        <v>26</v>
      </c>
      <c r="C8594">
        <v>202000</v>
      </c>
      <c r="D8594">
        <v>4258.5</v>
      </c>
      <c r="E8594">
        <v>7.7799999999999994E-2</v>
      </c>
      <c r="F8594">
        <v>9.5100000000000004E-2</v>
      </c>
    </row>
    <row r="8595" spans="1:6" x14ac:dyDescent="0.3">
      <c r="A8595" t="s">
        <v>8630</v>
      </c>
      <c r="B8595" t="s">
        <v>88</v>
      </c>
      <c r="C8595">
        <v>204000</v>
      </c>
      <c r="D8595">
        <v>134.80000000000001</v>
      </c>
      <c r="E8595">
        <v>1.4999999999999999E-2</v>
      </c>
      <c r="F8595">
        <v>0.1691</v>
      </c>
    </row>
    <row r="8596" spans="1:6" x14ac:dyDescent="0.3">
      <c r="A8596" t="s">
        <v>8631</v>
      </c>
      <c r="B8596" t="s">
        <v>88</v>
      </c>
      <c r="C8596">
        <v>499000</v>
      </c>
      <c r="D8596">
        <v>899.5</v>
      </c>
      <c r="E8596">
        <v>6.93E-2</v>
      </c>
      <c r="F8596">
        <v>0.1226</v>
      </c>
    </row>
    <row r="8597" spans="1:6" x14ac:dyDescent="0.3">
      <c r="A8597" t="s">
        <v>8632</v>
      </c>
      <c r="B8597" t="s">
        <v>195</v>
      </c>
      <c r="C8597">
        <v>209000</v>
      </c>
      <c r="D8597">
        <v>1980.9</v>
      </c>
      <c r="E8597">
        <v>1.0999999999999999E-2</v>
      </c>
      <c r="F8597">
        <v>0.13270000000000001</v>
      </c>
    </row>
    <row r="8598" spans="1:6" x14ac:dyDescent="0.3">
      <c r="A8598" t="s">
        <v>8633</v>
      </c>
      <c r="B8598" t="s">
        <v>26</v>
      </c>
      <c r="C8598">
        <v>217000</v>
      </c>
      <c r="D8598">
        <v>4571.1000000000004</v>
      </c>
      <c r="E8598">
        <v>2.0299999999999999E-2</v>
      </c>
      <c r="F8598">
        <v>8.5400000000000004E-2</v>
      </c>
    </row>
    <row r="8599" spans="1:6" x14ac:dyDescent="0.3">
      <c r="A8599" t="s">
        <v>8634</v>
      </c>
      <c r="B8599" t="s">
        <v>88</v>
      </c>
      <c r="C8599">
        <v>346000</v>
      </c>
      <c r="D8599">
        <v>232149</v>
      </c>
      <c r="E8599">
        <v>1.6400000000000001E-2</v>
      </c>
      <c r="F8599">
        <v>5.8500000000000003E-2</v>
      </c>
    </row>
    <row r="8600" spans="1:6" x14ac:dyDescent="0.3">
      <c r="A8600" t="s">
        <v>8635</v>
      </c>
      <c r="B8600" t="s">
        <v>214</v>
      </c>
      <c r="C8600">
        <v>251000</v>
      </c>
      <c r="D8600">
        <v>3548.7</v>
      </c>
      <c r="E8600">
        <v>1.29E-2</v>
      </c>
      <c r="F8600">
        <v>8.5400000000000004E-2</v>
      </c>
    </row>
    <row r="8601" spans="1:6" x14ac:dyDescent="0.3">
      <c r="A8601" t="s">
        <v>8636</v>
      </c>
      <c r="B8601" t="s">
        <v>81</v>
      </c>
      <c r="C8601">
        <v>230000</v>
      </c>
      <c r="D8601">
        <v>2244.5</v>
      </c>
      <c r="F8601">
        <v>9.5100000000000004E-2</v>
      </c>
    </row>
    <row r="8602" spans="1:6" x14ac:dyDescent="0.3">
      <c r="A8602" t="s">
        <v>8637</v>
      </c>
      <c r="B8602" t="s">
        <v>53</v>
      </c>
      <c r="C8602">
        <v>195000</v>
      </c>
      <c r="D8602">
        <v>19548.2</v>
      </c>
      <c r="E8602">
        <v>5.0500000000000003E-2</v>
      </c>
      <c r="F8602">
        <v>9.5100000000000004E-2</v>
      </c>
    </row>
    <row r="8603" spans="1:6" x14ac:dyDescent="0.3">
      <c r="A8603" t="s">
        <v>8638</v>
      </c>
      <c r="B8603" t="s">
        <v>195</v>
      </c>
      <c r="C8603">
        <v>266000</v>
      </c>
      <c r="D8603">
        <v>12105.9</v>
      </c>
      <c r="E8603">
        <v>2.0500000000000001E-2</v>
      </c>
      <c r="F8603">
        <v>8.5400000000000004E-2</v>
      </c>
    </row>
    <row r="8604" spans="1:6" x14ac:dyDescent="0.3">
      <c r="A8604" t="s">
        <v>8639</v>
      </c>
      <c r="B8604" t="s">
        <v>88</v>
      </c>
      <c r="C8604">
        <v>451000</v>
      </c>
      <c r="D8604">
        <v>986.8</v>
      </c>
      <c r="E8604">
        <v>1.6799999999999999E-2</v>
      </c>
      <c r="F8604">
        <v>0.13100000000000001</v>
      </c>
    </row>
    <row r="8605" spans="1:6" x14ac:dyDescent="0.3">
      <c r="A8605" t="s">
        <v>8640</v>
      </c>
      <c r="B8605" t="s">
        <v>41</v>
      </c>
      <c r="C8605">
        <v>255000</v>
      </c>
      <c r="D8605">
        <v>71.599999999999994</v>
      </c>
      <c r="E8605">
        <v>4.4999999999999997E-3</v>
      </c>
      <c r="F8605">
        <v>0.1779</v>
      </c>
    </row>
    <row r="8606" spans="1:6" x14ac:dyDescent="0.3">
      <c r="A8606" t="s">
        <v>8641</v>
      </c>
      <c r="B8606" t="s">
        <v>26</v>
      </c>
      <c r="C8606">
        <v>224000</v>
      </c>
      <c r="D8606">
        <v>56977</v>
      </c>
      <c r="E8606">
        <v>3.3599999999999998E-2</v>
      </c>
      <c r="F8606">
        <v>9.5100000000000004E-2</v>
      </c>
    </row>
    <row r="8607" spans="1:6" x14ac:dyDescent="0.3">
      <c r="A8607" t="s">
        <v>8642</v>
      </c>
      <c r="B8607" t="s">
        <v>26</v>
      </c>
      <c r="C8607">
        <v>232000</v>
      </c>
      <c r="D8607">
        <v>4527.1000000000004</v>
      </c>
      <c r="E8607">
        <v>7.7600000000000002E-2</v>
      </c>
      <c r="F8607">
        <v>4.0899999999999999E-2</v>
      </c>
    </row>
    <row r="8608" spans="1:6" x14ac:dyDescent="0.3">
      <c r="A8608" t="s">
        <v>8643</v>
      </c>
      <c r="B8608" t="s">
        <v>88</v>
      </c>
      <c r="C8608">
        <v>210000</v>
      </c>
      <c r="D8608">
        <v>5606.5</v>
      </c>
      <c r="E8608">
        <v>3.8300000000000001E-2</v>
      </c>
      <c r="F8608">
        <v>7.5899999999999995E-2</v>
      </c>
    </row>
    <row r="8609" spans="1:6" x14ac:dyDescent="0.3">
      <c r="A8609" t="s">
        <v>8644</v>
      </c>
      <c r="B8609" t="s">
        <v>41</v>
      </c>
      <c r="C8609">
        <v>229000</v>
      </c>
      <c r="D8609">
        <v>590665.80000000005</v>
      </c>
      <c r="E8609">
        <v>2.1600000000000001E-2</v>
      </c>
      <c r="F8609">
        <v>5.4600000000000003E-2</v>
      </c>
    </row>
    <row r="8610" spans="1:6" x14ac:dyDescent="0.3">
      <c r="A8610" t="s">
        <v>8645</v>
      </c>
      <c r="B8610" t="s">
        <v>92</v>
      </c>
      <c r="C8610">
        <v>246000</v>
      </c>
      <c r="D8610">
        <v>2612.4</v>
      </c>
      <c r="E8610">
        <v>2.7300000000000001E-2</v>
      </c>
      <c r="F8610">
        <v>9.5100000000000004E-2</v>
      </c>
    </row>
    <row r="8611" spans="1:6" x14ac:dyDescent="0.3">
      <c r="A8611" t="s">
        <v>8646</v>
      </c>
      <c r="B8611" t="s">
        <v>26</v>
      </c>
      <c r="C8611">
        <v>243000</v>
      </c>
      <c r="D8611">
        <v>4532.8999999999996</v>
      </c>
      <c r="E8611">
        <v>4.8300000000000003E-2</v>
      </c>
      <c r="F8611">
        <v>7.5899999999999995E-2</v>
      </c>
    </row>
    <row r="8612" spans="1:6" x14ac:dyDescent="0.3">
      <c r="A8612" t="s">
        <v>8647</v>
      </c>
      <c r="B8612" t="s">
        <v>26</v>
      </c>
      <c r="C8612">
        <v>336000</v>
      </c>
      <c r="D8612">
        <v>465307</v>
      </c>
      <c r="E8612">
        <v>1.55E-2</v>
      </c>
      <c r="F8612">
        <v>6.1600000000000002E-2</v>
      </c>
    </row>
    <row r="8613" spans="1:6" x14ac:dyDescent="0.3">
      <c r="A8613" t="s">
        <v>8648</v>
      </c>
      <c r="B8613" t="s">
        <v>92</v>
      </c>
      <c r="C8613">
        <v>210000</v>
      </c>
      <c r="D8613">
        <v>1373.2</v>
      </c>
      <c r="E8613">
        <v>1.9599999999999999E-2</v>
      </c>
      <c r="F8613">
        <v>0.1709</v>
      </c>
    </row>
    <row r="8614" spans="1:6" x14ac:dyDescent="0.3">
      <c r="A8614" t="s">
        <v>8649</v>
      </c>
      <c r="B8614" t="s">
        <v>26</v>
      </c>
      <c r="C8614">
        <v>521000</v>
      </c>
      <c r="D8614">
        <v>22277.200000000001</v>
      </c>
      <c r="E8614">
        <v>4.1700000000000001E-2</v>
      </c>
      <c r="F8614">
        <v>9.5100000000000004E-2</v>
      </c>
    </row>
    <row r="8615" spans="1:6" x14ac:dyDescent="0.3">
      <c r="A8615" t="s">
        <v>8650</v>
      </c>
      <c r="B8615" t="s">
        <v>41</v>
      </c>
      <c r="C8615">
        <v>215000</v>
      </c>
      <c r="D8615">
        <v>13375.3</v>
      </c>
      <c r="E8615">
        <v>2.2499999999999999E-2</v>
      </c>
      <c r="F8615">
        <v>9.3799999999999994E-2</v>
      </c>
    </row>
    <row r="8616" spans="1:6" x14ac:dyDescent="0.3">
      <c r="A8616" t="s">
        <v>8651</v>
      </c>
      <c r="B8616" t="s">
        <v>26</v>
      </c>
      <c r="C8616">
        <v>247000</v>
      </c>
      <c r="D8616">
        <v>239295.1</v>
      </c>
      <c r="E8616">
        <v>2.3099999999999999E-2</v>
      </c>
      <c r="F8616">
        <v>5.1799999999999999E-2</v>
      </c>
    </row>
    <row r="8617" spans="1:6" x14ac:dyDescent="0.3">
      <c r="A8617" t="s">
        <v>8652</v>
      </c>
      <c r="B8617" t="s">
        <v>21</v>
      </c>
      <c r="C8617">
        <v>289000</v>
      </c>
      <c r="D8617">
        <v>8121.7</v>
      </c>
      <c r="E8617">
        <v>2.46E-2</v>
      </c>
      <c r="F8617">
        <v>5.8400000000000001E-2</v>
      </c>
    </row>
    <row r="8618" spans="1:6" x14ac:dyDescent="0.3">
      <c r="A8618" t="s">
        <v>8653</v>
      </c>
      <c r="B8618" t="s">
        <v>88</v>
      </c>
      <c r="C8618">
        <v>229000</v>
      </c>
      <c r="D8618">
        <v>76889.600000000006</v>
      </c>
      <c r="E8618">
        <v>3.7699999999999997E-2</v>
      </c>
      <c r="F8618">
        <v>9.5100000000000004E-2</v>
      </c>
    </row>
    <row r="8619" spans="1:6" x14ac:dyDescent="0.3">
      <c r="A8619" t="s">
        <v>8654</v>
      </c>
      <c r="B8619" t="s">
        <v>24</v>
      </c>
      <c r="C8619">
        <v>219000</v>
      </c>
      <c r="D8619">
        <v>1537.8</v>
      </c>
      <c r="E8619">
        <v>6.7000000000000002E-3</v>
      </c>
      <c r="F8619">
        <v>6.54E-2</v>
      </c>
    </row>
    <row r="8620" spans="1:6" x14ac:dyDescent="0.3">
      <c r="A8620" t="s">
        <v>8655</v>
      </c>
      <c r="B8620" t="s">
        <v>53</v>
      </c>
      <c r="C8620">
        <v>231000</v>
      </c>
      <c r="D8620">
        <v>7574.4</v>
      </c>
      <c r="E8620">
        <v>2.8799999999999999E-2</v>
      </c>
      <c r="F8620">
        <v>9.3799999999999994E-2</v>
      </c>
    </row>
    <row r="8621" spans="1:6" x14ac:dyDescent="0.3">
      <c r="A8621" t="s">
        <v>8656</v>
      </c>
      <c r="B8621" t="s">
        <v>26</v>
      </c>
      <c r="C8621">
        <v>233000</v>
      </c>
      <c r="D8621">
        <v>2701.7</v>
      </c>
      <c r="E8621">
        <v>3.6200000000000003E-2</v>
      </c>
      <c r="F8621">
        <v>9.5100000000000004E-2</v>
      </c>
    </row>
    <row r="8622" spans="1:6" x14ac:dyDescent="0.3">
      <c r="A8622" t="s">
        <v>8657</v>
      </c>
      <c r="B8622" t="s">
        <v>88</v>
      </c>
      <c r="C8622">
        <v>337000</v>
      </c>
      <c r="D8622">
        <v>2913.7</v>
      </c>
      <c r="E8622">
        <v>3.73E-2</v>
      </c>
      <c r="F8622">
        <v>9.3799999999999994E-2</v>
      </c>
    </row>
    <row r="8623" spans="1:6" x14ac:dyDescent="0.3">
      <c r="A8623" t="s">
        <v>8658</v>
      </c>
      <c r="B8623" t="s">
        <v>92</v>
      </c>
      <c r="C8623">
        <v>196000</v>
      </c>
      <c r="D8623">
        <v>5128</v>
      </c>
      <c r="E8623">
        <v>5.1700000000000003E-2</v>
      </c>
      <c r="F8623">
        <v>9.5100000000000004E-2</v>
      </c>
    </row>
    <row r="8624" spans="1:6" x14ac:dyDescent="0.3">
      <c r="A8624" t="s">
        <v>8659</v>
      </c>
      <c r="B8624" t="s">
        <v>32</v>
      </c>
      <c r="C8624">
        <v>193000</v>
      </c>
      <c r="D8624">
        <v>116013.2</v>
      </c>
      <c r="E8624">
        <v>7.3300000000000004E-2</v>
      </c>
      <c r="F8624">
        <v>9.5100000000000004E-2</v>
      </c>
    </row>
    <row r="8625" spans="1:6" x14ac:dyDescent="0.3">
      <c r="A8625" t="s">
        <v>8660</v>
      </c>
      <c r="B8625" t="s">
        <v>26</v>
      </c>
      <c r="C8625">
        <v>196000</v>
      </c>
      <c r="D8625">
        <v>5570405.2000000002</v>
      </c>
      <c r="E8625">
        <v>7.4000000000000003E-3</v>
      </c>
      <c r="F8625">
        <v>8.2199999999999995E-2</v>
      </c>
    </row>
    <row r="8626" spans="1:6" x14ac:dyDescent="0.3">
      <c r="A8626" t="s">
        <v>8661</v>
      </c>
      <c r="B8626" t="s">
        <v>26</v>
      </c>
      <c r="C8626">
        <v>212000</v>
      </c>
      <c r="D8626">
        <v>4742.3</v>
      </c>
      <c r="E8626">
        <v>2.7199999999999998E-2</v>
      </c>
      <c r="F8626">
        <v>9.5100000000000004E-2</v>
      </c>
    </row>
    <row r="8627" spans="1:6" x14ac:dyDescent="0.3">
      <c r="A8627" t="s">
        <v>8662</v>
      </c>
      <c r="B8627" t="s">
        <v>88</v>
      </c>
      <c r="C8627">
        <v>309000</v>
      </c>
      <c r="D8627">
        <v>60716.7</v>
      </c>
      <c r="E8627">
        <v>4.41E-2</v>
      </c>
      <c r="F8627">
        <v>9.5100000000000004E-2</v>
      </c>
    </row>
    <row r="8628" spans="1:6" x14ac:dyDescent="0.3">
      <c r="A8628" t="s">
        <v>8663</v>
      </c>
      <c r="B8628" t="s">
        <v>88</v>
      </c>
      <c r="C8628">
        <v>213000</v>
      </c>
      <c r="D8628">
        <v>4974.5</v>
      </c>
      <c r="E8628">
        <v>4.41E-2</v>
      </c>
      <c r="F8628">
        <v>7.5899999999999995E-2</v>
      </c>
    </row>
    <row r="8629" spans="1:6" x14ac:dyDescent="0.3">
      <c r="A8629" t="s">
        <v>8664</v>
      </c>
      <c r="B8629" t="s">
        <v>53</v>
      </c>
      <c r="C8629">
        <v>220000</v>
      </c>
      <c r="D8629">
        <v>29941.7</v>
      </c>
      <c r="E8629">
        <v>1.78E-2</v>
      </c>
      <c r="F8629">
        <v>5.8500000000000003E-2</v>
      </c>
    </row>
    <row r="8630" spans="1:6" x14ac:dyDescent="0.3">
      <c r="A8630" t="s">
        <v>8665</v>
      </c>
      <c r="B8630" t="s">
        <v>88</v>
      </c>
      <c r="C8630">
        <v>198000</v>
      </c>
      <c r="D8630">
        <v>103.8</v>
      </c>
      <c r="E8630">
        <v>8.5099999999999995E-2</v>
      </c>
      <c r="F8630">
        <v>7.5899999999999995E-2</v>
      </c>
    </row>
    <row r="8631" spans="1:6" x14ac:dyDescent="0.3">
      <c r="A8631" t="s">
        <v>8666</v>
      </c>
      <c r="B8631" t="s">
        <v>490</v>
      </c>
      <c r="C8631">
        <v>247000</v>
      </c>
      <c r="D8631">
        <v>3109.2</v>
      </c>
      <c r="E8631">
        <v>2.7099999999999999E-2</v>
      </c>
      <c r="F8631">
        <v>0.16880000000000001</v>
      </c>
    </row>
    <row r="8632" spans="1:6" x14ac:dyDescent="0.3">
      <c r="A8632" t="s">
        <v>8667</v>
      </c>
      <c r="B8632" t="s">
        <v>92</v>
      </c>
      <c r="C8632">
        <v>242000</v>
      </c>
      <c r="D8632">
        <v>9380.4</v>
      </c>
      <c r="E8632">
        <v>1.14E-2</v>
      </c>
      <c r="F8632">
        <v>0.1067</v>
      </c>
    </row>
    <row r="8633" spans="1:6" x14ac:dyDescent="0.3">
      <c r="A8633" t="s">
        <v>8668</v>
      </c>
      <c r="B8633" t="s">
        <v>214</v>
      </c>
      <c r="C8633">
        <v>194000</v>
      </c>
      <c r="D8633">
        <v>1976</v>
      </c>
      <c r="E8633">
        <v>9.1000000000000004E-3</v>
      </c>
      <c r="F8633">
        <v>8.2199999999999995E-2</v>
      </c>
    </row>
    <row r="8634" spans="1:6" x14ac:dyDescent="0.3">
      <c r="A8634" t="s">
        <v>8669</v>
      </c>
      <c r="B8634" t="s">
        <v>81</v>
      </c>
      <c r="C8634">
        <v>194000</v>
      </c>
      <c r="D8634">
        <v>225742.3</v>
      </c>
      <c r="E8634">
        <v>1.2999999999999999E-2</v>
      </c>
      <c r="F8634">
        <v>7.3599999999999999E-2</v>
      </c>
    </row>
    <row r="8635" spans="1:6" x14ac:dyDescent="0.3">
      <c r="A8635" t="s">
        <v>8670</v>
      </c>
      <c r="B8635" t="s">
        <v>26</v>
      </c>
      <c r="C8635">
        <v>868000</v>
      </c>
      <c r="D8635">
        <v>5712.5</v>
      </c>
      <c r="E8635">
        <v>6.7000000000000002E-3</v>
      </c>
      <c r="F8635">
        <v>8.2199999999999995E-2</v>
      </c>
    </row>
    <row r="8636" spans="1:6" x14ac:dyDescent="0.3">
      <c r="A8636" t="s">
        <v>8671</v>
      </c>
      <c r="B8636" t="s">
        <v>50</v>
      </c>
      <c r="C8636">
        <v>314000</v>
      </c>
      <c r="D8636">
        <v>169936.9</v>
      </c>
      <c r="E8636">
        <v>5.4699999999999999E-2</v>
      </c>
      <c r="F8636">
        <v>7.5899999999999995E-2</v>
      </c>
    </row>
    <row r="8637" spans="1:6" x14ac:dyDescent="0.3">
      <c r="A8637" t="s">
        <v>8672</v>
      </c>
      <c r="B8637" t="s">
        <v>26</v>
      </c>
      <c r="C8637">
        <v>263000</v>
      </c>
      <c r="D8637">
        <v>48622.8</v>
      </c>
      <c r="E8637">
        <v>6.3E-3</v>
      </c>
      <c r="F8637">
        <v>6.54E-2</v>
      </c>
    </row>
    <row r="8638" spans="1:6" x14ac:dyDescent="0.3">
      <c r="A8638" t="s">
        <v>8673</v>
      </c>
      <c r="B8638" t="s">
        <v>26</v>
      </c>
      <c r="C8638">
        <v>218000</v>
      </c>
      <c r="D8638">
        <v>122.3</v>
      </c>
      <c r="E8638">
        <v>3.5000000000000001E-3</v>
      </c>
      <c r="F8638">
        <v>0.3805</v>
      </c>
    </row>
    <row r="8639" spans="1:6" x14ac:dyDescent="0.3">
      <c r="A8639" t="s">
        <v>8674</v>
      </c>
      <c r="B8639" t="s">
        <v>62</v>
      </c>
      <c r="C8639">
        <v>210000</v>
      </c>
      <c r="D8639">
        <v>6097.4</v>
      </c>
      <c r="E8639">
        <v>1.26E-2</v>
      </c>
      <c r="F8639">
        <v>7.3599999999999999E-2</v>
      </c>
    </row>
    <row r="8640" spans="1:6" x14ac:dyDescent="0.3">
      <c r="A8640" t="s">
        <v>8675</v>
      </c>
      <c r="B8640" t="s">
        <v>287</v>
      </c>
      <c r="C8640">
        <v>225000</v>
      </c>
      <c r="D8640">
        <v>5973.8</v>
      </c>
      <c r="E8640">
        <v>1.9400000000000001E-2</v>
      </c>
      <c r="F8640">
        <v>4.6199999999999998E-2</v>
      </c>
    </row>
    <row r="8641" spans="1:6" x14ac:dyDescent="0.3">
      <c r="A8641" t="s">
        <v>8676</v>
      </c>
      <c r="B8641" t="s">
        <v>195</v>
      </c>
      <c r="C8641">
        <v>236000</v>
      </c>
      <c r="D8641">
        <v>7890.3</v>
      </c>
      <c r="E8641">
        <v>1.7299999999999999E-2</v>
      </c>
      <c r="F8641">
        <v>4.6199999999999998E-2</v>
      </c>
    </row>
    <row r="8642" spans="1:6" x14ac:dyDescent="0.3">
      <c r="A8642" t="s">
        <v>8677</v>
      </c>
      <c r="B8642" t="s">
        <v>62</v>
      </c>
      <c r="C8642">
        <v>251000</v>
      </c>
      <c r="D8642">
        <v>2267.3000000000002</v>
      </c>
      <c r="E8642">
        <v>1.9099999999999999E-2</v>
      </c>
      <c r="F8642">
        <v>4.6199999999999998E-2</v>
      </c>
    </row>
    <row r="8643" spans="1:6" x14ac:dyDescent="0.3">
      <c r="A8643" t="s">
        <v>8678</v>
      </c>
      <c r="B8643" t="s">
        <v>53</v>
      </c>
      <c r="C8643">
        <v>292000</v>
      </c>
      <c r="D8643">
        <v>113.9</v>
      </c>
      <c r="E8643">
        <v>9.7699999999999995E-2</v>
      </c>
      <c r="F8643">
        <v>5.0999999999999997E-2</v>
      </c>
    </row>
    <row r="8644" spans="1:6" x14ac:dyDescent="0.3">
      <c r="A8644" t="s">
        <v>8679</v>
      </c>
      <c r="B8644" t="s">
        <v>88</v>
      </c>
      <c r="C8644">
        <v>205000</v>
      </c>
      <c r="D8644">
        <v>1709.6</v>
      </c>
      <c r="E8644">
        <v>7.6E-3</v>
      </c>
      <c r="F8644">
        <v>8.1100000000000005E-2</v>
      </c>
    </row>
    <row r="8645" spans="1:6" x14ac:dyDescent="0.3">
      <c r="A8645" t="s">
        <v>8680</v>
      </c>
      <c r="B8645" t="s">
        <v>26</v>
      </c>
      <c r="C8645">
        <v>257000</v>
      </c>
      <c r="D8645">
        <v>806144.8</v>
      </c>
      <c r="E8645">
        <v>1.52E-2</v>
      </c>
      <c r="F8645">
        <v>4.6199999999999998E-2</v>
      </c>
    </row>
    <row r="8646" spans="1:6" x14ac:dyDescent="0.3">
      <c r="A8646" t="s">
        <v>8681</v>
      </c>
      <c r="B8646" t="s">
        <v>26</v>
      </c>
      <c r="C8646">
        <v>267000</v>
      </c>
      <c r="D8646">
        <v>11733.7</v>
      </c>
      <c r="E8646">
        <v>1.23E-2</v>
      </c>
      <c r="F8646">
        <v>6.54E-2</v>
      </c>
    </row>
    <row r="8647" spans="1:6" x14ac:dyDescent="0.3">
      <c r="A8647" t="s">
        <v>8682</v>
      </c>
      <c r="B8647" t="s">
        <v>88</v>
      </c>
      <c r="C8647">
        <v>195000</v>
      </c>
      <c r="D8647">
        <v>5102.8</v>
      </c>
      <c r="E8647">
        <v>3.15E-2</v>
      </c>
      <c r="F8647">
        <v>9.5100000000000004E-2</v>
      </c>
    </row>
    <row r="8648" spans="1:6" x14ac:dyDescent="0.3">
      <c r="A8648" t="s">
        <v>8683</v>
      </c>
      <c r="B8648" t="s">
        <v>26</v>
      </c>
      <c r="C8648">
        <v>260000</v>
      </c>
      <c r="D8648">
        <v>10193</v>
      </c>
      <c r="E8648">
        <v>1.9699999999999999E-2</v>
      </c>
      <c r="F8648">
        <v>0.1242</v>
      </c>
    </row>
    <row r="8649" spans="1:6" x14ac:dyDescent="0.3">
      <c r="A8649" t="s">
        <v>8684</v>
      </c>
      <c r="B8649" t="s">
        <v>53</v>
      </c>
      <c r="C8649">
        <v>423000</v>
      </c>
      <c r="D8649">
        <v>9253.4</v>
      </c>
      <c r="E8649">
        <v>5.16E-2</v>
      </c>
      <c r="F8649">
        <v>7.5899999999999995E-2</v>
      </c>
    </row>
    <row r="8650" spans="1:6" x14ac:dyDescent="0.3">
      <c r="A8650" t="s">
        <v>8685</v>
      </c>
      <c r="B8650" t="s">
        <v>88</v>
      </c>
      <c r="C8650">
        <v>236000</v>
      </c>
      <c r="D8650">
        <v>2769.5</v>
      </c>
      <c r="E8650">
        <v>1.7000000000000001E-2</v>
      </c>
      <c r="F8650">
        <v>9.3700000000000006E-2</v>
      </c>
    </row>
    <row r="8651" spans="1:6" x14ac:dyDescent="0.3">
      <c r="A8651" t="s">
        <v>8686</v>
      </c>
      <c r="B8651" t="s">
        <v>26</v>
      </c>
      <c r="C8651">
        <v>384000</v>
      </c>
      <c r="D8651">
        <v>56280.9</v>
      </c>
      <c r="E8651">
        <v>2E-3</v>
      </c>
      <c r="F8651">
        <v>6.54E-2</v>
      </c>
    </row>
    <row r="8652" spans="1:6" x14ac:dyDescent="0.3">
      <c r="A8652" t="s">
        <v>8687</v>
      </c>
      <c r="B8652" t="s">
        <v>71</v>
      </c>
      <c r="C8652">
        <v>270000</v>
      </c>
      <c r="D8652">
        <v>95910.7</v>
      </c>
      <c r="E8652">
        <v>1.7500000000000002E-2</v>
      </c>
      <c r="F8652">
        <v>4.6199999999999998E-2</v>
      </c>
    </row>
    <row r="8653" spans="1:6" x14ac:dyDescent="0.3">
      <c r="A8653" t="s">
        <v>8688</v>
      </c>
      <c r="B8653" t="s">
        <v>26</v>
      </c>
      <c r="C8653">
        <v>397000</v>
      </c>
      <c r="D8653">
        <v>39042.699999999997</v>
      </c>
      <c r="E8653">
        <v>8.0999999999999996E-3</v>
      </c>
      <c r="F8653">
        <v>6.54E-2</v>
      </c>
    </row>
    <row r="8654" spans="1:6" x14ac:dyDescent="0.3">
      <c r="A8654" t="s">
        <v>8689</v>
      </c>
      <c r="B8654" t="s">
        <v>26</v>
      </c>
      <c r="C8654">
        <v>199000</v>
      </c>
      <c r="D8654">
        <v>48193.4</v>
      </c>
      <c r="E8654">
        <v>6.3100000000000003E-2</v>
      </c>
      <c r="F8654">
        <v>8.4500000000000006E-2</v>
      </c>
    </row>
    <row r="8655" spans="1:6" x14ac:dyDescent="0.3">
      <c r="A8655" t="s">
        <v>8690</v>
      </c>
      <c r="B8655" t="s">
        <v>26</v>
      </c>
      <c r="C8655">
        <v>208000</v>
      </c>
      <c r="D8655">
        <v>11545.7</v>
      </c>
      <c r="E8655">
        <v>2.3300000000000001E-2</v>
      </c>
      <c r="F8655">
        <v>9.5100000000000004E-2</v>
      </c>
    </row>
    <row r="8656" spans="1:6" x14ac:dyDescent="0.3">
      <c r="A8656" t="s">
        <v>8691</v>
      </c>
      <c r="B8656" t="s">
        <v>21</v>
      </c>
      <c r="C8656">
        <v>202000</v>
      </c>
      <c r="D8656">
        <v>12327.2</v>
      </c>
      <c r="E8656">
        <v>8.6999999999999994E-3</v>
      </c>
      <c r="F8656">
        <v>0.10680000000000001</v>
      </c>
    </row>
    <row r="8657" spans="1:6" x14ac:dyDescent="0.3">
      <c r="A8657" t="s">
        <v>8692</v>
      </c>
      <c r="B8657" t="s">
        <v>92</v>
      </c>
      <c r="C8657">
        <v>280000</v>
      </c>
      <c r="D8657">
        <v>5218.3999999999996</v>
      </c>
      <c r="E8657">
        <v>2.6100000000000002E-2</v>
      </c>
      <c r="F8657">
        <v>9.3799999999999994E-2</v>
      </c>
    </row>
    <row r="8658" spans="1:6" x14ac:dyDescent="0.3">
      <c r="A8658" t="s">
        <v>8693</v>
      </c>
      <c r="B8658" t="s">
        <v>92</v>
      </c>
      <c r="C8658">
        <v>192000</v>
      </c>
      <c r="D8658">
        <v>319.89999999999998</v>
      </c>
      <c r="E8658">
        <v>5.45E-2</v>
      </c>
      <c r="F8658">
        <v>9.5100000000000004E-2</v>
      </c>
    </row>
    <row r="8659" spans="1:6" x14ac:dyDescent="0.3">
      <c r="A8659" t="s">
        <v>8694</v>
      </c>
      <c r="B8659" t="s">
        <v>74</v>
      </c>
      <c r="C8659">
        <v>299000</v>
      </c>
      <c r="D8659">
        <v>11045</v>
      </c>
      <c r="E8659">
        <v>7.46E-2</v>
      </c>
      <c r="F8659">
        <v>7.5899999999999995E-2</v>
      </c>
    </row>
    <row r="8660" spans="1:6" x14ac:dyDescent="0.3">
      <c r="A8660" t="s">
        <v>8695</v>
      </c>
      <c r="B8660" t="s">
        <v>53</v>
      </c>
      <c r="C8660">
        <v>203000</v>
      </c>
      <c r="D8660">
        <v>9036.7999999999993</v>
      </c>
      <c r="E8660">
        <v>6.8599999999999994E-2</v>
      </c>
      <c r="F8660">
        <v>7.5899999999999995E-2</v>
      </c>
    </row>
    <row r="8661" spans="1:6" x14ac:dyDescent="0.3">
      <c r="A8661" t="s">
        <v>8696</v>
      </c>
      <c r="B8661" t="s">
        <v>26</v>
      </c>
      <c r="C8661">
        <v>318000</v>
      </c>
      <c r="D8661">
        <v>163.5</v>
      </c>
      <c r="E8661">
        <v>1.52E-2</v>
      </c>
      <c r="F8661">
        <v>0.3861</v>
      </c>
    </row>
    <row r="8662" spans="1:6" x14ac:dyDescent="0.3">
      <c r="A8662" t="s">
        <v>8697</v>
      </c>
      <c r="B8662" t="s">
        <v>88</v>
      </c>
      <c r="C8662">
        <v>177000</v>
      </c>
      <c r="D8662">
        <v>2719.4</v>
      </c>
      <c r="E8662">
        <v>6.4399999999999999E-2</v>
      </c>
      <c r="F8662">
        <v>9.5100000000000004E-2</v>
      </c>
    </row>
    <row r="8663" spans="1:6" x14ac:dyDescent="0.3">
      <c r="A8663" t="s">
        <v>8698</v>
      </c>
      <c r="B8663" t="s">
        <v>50</v>
      </c>
      <c r="C8663">
        <v>239000</v>
      </c>
      <c r="D8663">
        <v>9174.4</v>
      </c>
      <c r="E8663">
        <v>2.52E-2</v>
      </c>
      <c r="F8663">
        <v>7.5899999999999995E-2</v>
      </c>
    </row>
    <row r="8664" spans="1:6" x14ac:dyDescent="0.3">
      <c r="A8664" t="s">
        <v>8699</v>
      </c>
      <c r="B8664" t="s">
        <v>81</v>
      </c>
      <c r="C8664">
        <v>219000</v>
      </c>
      <c r="D8664">
        <v>3350.1</v>
      </c>
      <c r="E8664">
        <v>2.1999999999999999E-2</v>
      </c>
      <c r="F8664">
        <v>5.1799999999999999E-2</v>
      </c>
    </row>
    <row r="8665" spans="1:6" x14ac:dyDescent="0.3">
      <c r="A8665" t="s">
        <v>8700</v>
      </c>
      <c r="B8665" t="s">
        <v>490</v>
      </c>
      <c r="C8665">
        <v>202000</v>
      </c>
      <c r="D8665">
        <v>3378.6</v>
      </c>
      <c r="E8665">
        <v>9.4000000000000004E-3</v>
      </c>
      <c r="F8665">
        <v>6.54E-2</v>
      </c>
    </row>
    <row r="8666" spans="1:6" x14ac:dyDescent="0.3">
      <c r="A8666" t="s">
        <v>8701</v>
      </c>
      <c r="B8666" t="s">
        <v>53</v>
      </c>
      <c r="C8666">
        <v>253000</v>
      </c>
      <c r="D8666">
        <v>10038.200000000001</v>
      </c>
      <c r="E8666">
        <v>1.18E-2</v>
      </c>
      <c r="F8666">
        <v>7.2599999999999998E-2</v>
      </c>
    </row>
    <row r="8667" spans="1:6" x14ac:dyDescent="0.3">
      <c r="A8667" t="s">
        <v>8702</v>
      </c>
      <c r="B8667" t="s">
        <v>81</v>
      </c>
      <c r="C8667">
        <v>325000</v>
      </c>
      <c r="D8667">
        <v>13831</v>
      </c>
      <c r="E8667">
        <v>2.86E-2</v>
      </c>
      <c r="F8667">
        <v>7.5899999999999995E-2</v>
      </c>
    </row>
    <row r="8668" spans="1:6" x14ac:dyDescent="0.3">
      <c r="A8668" t="s">
        <v>8703</v>
      </c>
      <c r="B8668" t="s">
        <v>50</v>
      </c>
      <c r="C8668">
        <v>460000</v>
      </c>
      <c r="D8668">
        <v>3837.8</v>
      </c>
      <c r="E8668">
        <v>1.9E-2</v>
      </c>
      <c r="F8668">
        <v>5.7599999999999998E-2</v>
      </c>
    </row>
    <row r="8669" spans="1:6" x14ac:dyDescent="0.3">
      <c r="A8669" t="s">
        <v>8704</v>
      </c>
      <c r="B8669" t="s">
        <v>26</v>
      </c>
      <c r="C8669">
        <v>217000</v>
      </c>
      <c r="D8669">
        <v>1922.2</v>
      </c>
      <c r="E8669">
        <v>1.77E-2</v>
      </c>
      <c r="F8669">
        <v>9.9599999999999994E-2</v>
      </c>
    </row>
    <row r="8670" spans="1:6" x14ac:dyDescent="0.3">
      <c r="A8670" t="s">
        <v>8705</v>
      </c>
      <c r="B8670" t="s">
        <v>214</v>
      </c>
      <c r="C8670">
        <v>193000</v>
      </c>
      <c r="D8670">
        <v>5575.3</v>
      </c>
      <c r="E8670">
        <v>2.6100000000000002E-2</v>
      </c>
      <c r="F8670">
        <v>9.5100000000000004E-2</v>
      </c>
    </row>
    <row r="8671" spans="1:6" x14ac:dyDescent="0.3">
      <c r="A8671" t="s">
        <v>8706</v>
      </c>
      <c r="B8671" t="s">
        <v>26</v>
      </c>
      <c r="C8671">
        <v>210000</v>
      </c>
      <c r="D8671">
        <v>458.1</v>
      </c>
      <c r="E8671">
        <v>2.75E-2</v>
      </c>
      <c r="F8671">
        <v>7.5899999999999995E-2</v>
      </c>
    </row>
    <row r="8672" spans="1:6" x14ac:dyDescent="0.3">
      <c r="A8672" t="s">
        <v>8707</v>
      </c>
      <c r="B8672" t="s">
        <v>26</v>
      </c>
      <c r="C8672">
        <v>237000</v>
      </c>
      <c r="D8672">
        <v>770.6</v>
      </c>
      <c r="E8672">
        <v>2.3699999999999999E-2</v>
      </c>
      <c r="F8672">
        <v>7.2499999999999995E-2</v>
      </c>
    </row>
    <row r="8673" spans="1:6" x14ac:dyDescent="0.3">
      <c r="A8673" t="s">
        <v>8708</v>
      </c>
      <c r="B8673" t="s">
        <v>26</v>
      </c>
      <c r="C8673">
        <v>195000</v>
      </c>
      <c r="D8673">
        <v>8235.9</v>
      </c>
      <c r="E8673">
        <v>2.3900000000000001E-2</v>
      </c>
      <c r="F8673">
        <v>4.0899999999999999E-2</v>
      </c>
    </row>
    <row r="8674" spans="1:6" x14ac:dyDescent="0.3">
      <c r="A8674" t="s">
        <v>8709</v>
      </c>
      <c r="B8674" t="s">
        <v>26</v>
      </c>
      <c r="C8674">
        <v>193000</v>
      </c>
      <c r="D8674">
        <v>5115.5</v>
      </c>
      <c r="E8674">
        <v>2.7E-2</v>
      </c>
      <c r="F8674">
        <v>5.1799999999999999E-2</v>
      </c>
    </row>
    <row r="8675" spans="1:6" x14ac:dyDescent="0.3">
      <c r="A8675" t="s">
        <v>8710</v>
      </c>
      <c r="B8675" t="s">
        <v>88</v>
      </c>
      <c r="C8675">
        <v>332000</v>
      </c>
      <c r="D8675">
        <v>46712.3</v>
      </c>
      <c r="E8675">
        <v>2.07E-2</v>
      </c>
      <c r="F8675">
        <v>8.5400000000000004E-2</v>
      </c>
    </row>
    <row r="8676" spans="1:6" x14ac:dyDescent="0.3">
      <c r="A8676" t="s">
        <v>8711</v>
      </c>
      <c r="B8676" t="s">
        <v>41</v>
      </c>
      <c r="C8676">
        <v>202000</v>
      </c>
      <c r="D8676">
        <v>581.70000000000005</v>
      </c>
      <c r="E8676">
        <v>7.7399999999999997E-2</v>
      </c>
      <c r="F8676">
        <v>0.15160000000000001</v>
      </c>
    </row>
    <row r="8677" spans="1:6" x14ac:dyDescent="0.3">
      <c r="A8677" t="s">
        <v>8712</v>
      </c>
      <c r="B8677" t="s">
        <v>287</v>
      </c>
      <c r="C8677">
        <v>313000</v>
      </c>
      <c r="D8677">
        <v>19042.2</v>
      </c>
      <c r="E8677">
        <v>1.1299999999999999E-2</v>
      </c>
      <c r="F8677">
        <v>7.2599999999999998E-2</v>
      </c>
    </row>
    <row r="8678" spans="1:6" x14ac:dyDescent="0.3">
      <c r="A8678" t="s">
        <v>8713</v>
      </c>
      <c r="B8678" t="s">
        <v>62</v>
      </c>
      <c r="C8678">
        <v>411000</v>
      </c>
      <c r="D8678">
        <v>1870.4</v>
      </c>
      <c r="E8678">
        <v>1.54E-2</v>
      </c>
      <c r="F8678">
        <v>4.6199999999999998E-2</v>
      </c>
    </row>
    <row r="8679" spans="1:6" x14ac:dyDescent="0.3">
      <c r="A8679" t="s">
        <v>8714</v>
      </c>
      <c r="B8679" t="s">
        <v>88</v>
      </c>
      <c r="C8679">
        <v>230000</v>
      </c>
      <c r="D8679">
        <v>4485.6000000000004</v>
      </c>
      <c r="E8679">
        <v>5.7099999999999998E-2</v>
      </c>
      <c r="F8679">
        <v>9.5100000000000004E-2</v>
      </c>
    </row>
    <row r="8680" spans="1:6" x14ac:dyDescent="0.3">
      <c r="A8680" t="s">
        <v>8715</v>
      </c>
      <c r="B8680" t="s">
        <v>26</v>
      </c>
      <c r="C8680">
        <v>208000</v>
      </c>
      <c r="D8680">
        <v>2709.3</v>
      </c>
      <c r="E8680">
        <v>2.7E-2</v>
      </c>
      <c r="F8680">
        <v>5.1799999999999999E-2</v>
      </c>
    </row>
    <row r="8681" spans="1:6" x14ac:dyDescent="0.3">
      <c r="A8681" t="s">
        <v>8716</v>
      </c>
      <c r="B8681" t="s">
        <v>88</v>
      </c>
      <c r="C8681">
        <v>204000</v>
      </c>
      <c r="D8681">
        <v>8930.5</v>
      </c>
      <c r="E8681">
        <v>1.67E-2</v>
      </c>
      <c r="F8681">
        <v>5.8900000000000001E-2</v>
      </c>
    </row>
    <row r="8682" spans="1:6" x14ac:dyDescent="0.3">
      <c r="A8682" t="s">
        <v>8717</v>
      </c>
      <c r="B8682" t="s">
        <v>214</v>
      </c>
      <c r="C8682">
        <v>203000</v>
      </c>
      <c r="D8682">
        <v>3251</v>
      </c>
      <c r="E8682">
        <v>4.1799999999999997E-2</v>
      </c>
      <c r="F8682">
        <v>9.5100000000000004E-2</v>
      </c>
    </row>
    <row r="8683" spans="1:6" x14ac:dyDescent="0.3">
      <c r="A8683" t="s">
        <v>8718</v>
      </c>
      <c r="B8683" t="s">
        <v>74</v>
      </c>
      <c r="C8683">
        <v>209000</v>
      </c>
      <c r="D8683">
        <v>711.8</v>
      </c>
      <c r="E8683">
        <v>4.0800000000000003E-2</v>
      </c>
      <c r="F8683">
        <v>9.3799999999999994E-2</v>
      </c>
    </row>
    <row r="8684" spans="1:6" x14ac:dyDescent="0.3">
      <c r="A8684" t="s">
        <v>8719</v>
      </c>
      <c r="B8684" t="s">
        <v>81</v>
      </c>
      <c r="C8684">
        <v>220000</v>
      </c>
      <c r="D8684">
        <v>284587.5</v>
      </c>
      <c r="E8684">
        <v>7.1999999999999998E-3</v>
      </c>
      <c r="F8684">
        <v>8.2199999999999995E-2</v>
      </c>
    </row>
    <row r="8685" spans="1:6" x14ac:dyDescent="0.3">
      <c r="A8685" t="s">
        <v>8720</v>
      </c>
      <c r="B8685" t="s">
        <v>50</v>
      </c>
      <c r="C8685">
        <v>193000</v>
      </c>
      <c r="D8685">
        <v>83.4</v>
      </c>
      <c r="E8685">
        <v>1.7999999999999999E-2</v>
      </c>
      <c r="F8685">
        <v>5.7599999999999998E-2</v>
      </c>
    </row>
    <row r="8686" spans="1:6" x14ac:dyDescent="0.3">
      <c r="A8686" t="s">
        <v>8721</v>
      </c>
      <c r="B8686" t="s">
        <v>71</v>
      </c>
      <c r="C8686">
        <v>250000</v>
      </c>
      <c r="D8686">
        <v>8361.2000000000007</v>
      </c>
      <c r="E8686">
        <v>2.1100000000000001E-2</v>
      </c>
      <c r="F8686">
        <v>7.5899999999999995E-2</v>
      </c>
    </row>
    <row r="8687" spans="1:6" x14ac:dyDescent="0.3">
      <c r="A8687" t="s">
        <v>8722</v>
      </c>
      <c r="B8687" t="s">
        <v>26</v>
      </c>
      <c r="C8687">
        <v>657000</v>
      </c>
      <c r="D8687">
        <v>461587.1</v>
      </c>
      <c r="E8687">
        <v>4.5400000000000003E-2</v>
      </c>
      <c r="F8687">
        <v>7.5899999999999995E-2</v>
      </c>
    </row>
    <row r="8688" spans="1:6" x14ac:dyDescent="0.3">
      <c r="A8688" t="s">
        <v>8723</v>
      </c>
      <c r="B8688" t="s">
        <v>26</v>
      </c>
      <c r="C8688">
        <v>234000</v>
      </c>
      <c r="D8688">
        <v>55963.199999999997</v>
      </c>
      <c r="E8688">
        <v>4.6699999999999998E-2</v>
      </c>
      <c r="F8688">
        <v>9.5100000000000004E-2</v>
      </c>
    </row>
    <row r="8689" spans="1:6" x14ac:dyDescent="0.3">
      <c r="A8689" t="s">
        <v>8724</v>
      </c>
      <c r="B8689" t="s">
        <v>71</v>
      </c>
      <c r="C8689">
        <v>191000</v>
      </c>
      <c r="D8689">
        <v>4668.1000000000004</v>
      </c>
      <c r="E8689">
        <v>5.4399999999999997E-2</v>
      </c>
      <c r="F8689">
        <v>9.5100000000000004E-2</v>
      </c>
    </row>
    <row r="8690" spans="1:6" x14ac:dyDescent="0.3">
      <c r="A8690" t="s">
        <v>8725</v>
      </c>
      <c r="B8690" t="s">
        <v>88</v>
      </c>
      <c r="C8690">
        <v>429000</v>
      </c>
      <c r="D8690">
        <v>12610.2</v>
      </c>
      <c r="E8690">
        <v>3.6799999999999999E-2</v>
      </c>
      <c r="F8690">
        <v>9.3799999999999994E-2</v>
      </c>
    </row>
    <row r="8691" spans="1:6" x14ac:dyDescent="0.3">
      <c r="A8691" t="s">
        <v>8726</v>
      </c>
      <c r="B8691" t="s">
        <v>71</v>
      </c>
      <c r="C8691">
        <v>195000</v>
      </c>
      <c r="D8691">
        <v>5432.8</v>
      </c>
      <c r="E8691">
        <v>5.3E-3</v>
      </c>
      <c r="F8691">
        <v>8.2199999999999995E-2</v>
      </c>
    </row>
    <row r="8692" spans="1:6" x14ac:dyDescent="0.3">
      <c r="A8692" t="s">
        <v>8727</v>
      </c>
      <c r="B8692" t="s">
        <v>26</v>
      </c>
      <c r="C8692">
        <v>670000</v>
      </c>
      <c r="D8692">
        <v>1874275.9</v>
      </c>
      <c r="E8692">
        <v>4.4900000000000002E-2</v>
      </c>
      <c r="F8692">
        <v>9.5100000000000004E-2</v>
      </c>
    </row>
    <row r="8693" spans="1:6" x14ac:dyDescent="0.3">
      <c r="A8693" t="s">
        <v>8728</v>
      </c>
      <c r="B8693" t="s">
        <v>74</v>
      </c>
      <c r="C8693">
        <v>422000</v>
      </c>
      <c r="D8693">
        <v>20170.2</v>
      </c>
      <c r="E8693">
        <v>2.9899999999999999E-2</v>
      </c>
      <c r="F8693">
        <v>7.5899999999999995E-2</v>
      </c>
    </row>
    <row r="8694" spans="1:6" x14ac:dyDescent="0.3">
      <c r="A8694" t="s">
        <v>8729</v>
      </c>
      <c r="B8694" t="s">
        <v>26</v>
      </c>
      <c r="C8694">
        <v>189000</v>
      </c>
      <c r="D8694">
        <v>7519.1</v>
      </c>
      <c r="E8694">
        <v>8.3000000000000001E-3</v>
      </c>
      <c r="F8694">
        <v>0.14710000000000001</v>
      </c>
    </row>
    <row r="8695" spans="1:6" x14ac:dyDescent="0.3">
      <c r="A8695" t="s">
        <v>8730</v>
      </c>
      <c r="B8695" t="s">
        <v>26</v>
      </c>
      <c r="C8695">
        <v>198000</v>
      </c>
      <c r="D8695">
        <v>23233.200000000001</v>
      </c>
      <c r="E8695">
        <v>4.7399999999999998E-2</v>
      </c>
      <c r="F8695">
        <v>9.5100000000000004E-2</v>
      </c>
    </row>
    <row r="8696" spans="1:6" x14ac:dyDescent="0.3">
      <c r="A8696" t="s">
        <v>8731</v>
      </c>
      <c r="B8696" t="s">
        <v>53</v>
      </c>
      <c r="C8696">
        <v>214000</v>
      </c>
      <c r="D8696">
        <v>810.1</v>
      </c>
      <c r="E8696">
        <v>1.2800000000000001E-2</v>
      </c>
      <c r="F8696">
        <v>8.1100000000000005E-2</v>
      </c>
    </row>
    <row r="8697" spans="1:6" x14ac:dyDescent="0.3">
      <c r="A8697" t="s">
        <v>8732</v>
      </c>
      <c r="B8697" t="s">
        <v>53</v>
      </c>
      <c r="C8697">
        <v>195000</v>
      </c>
      <c r="D8697">
        <v>51817.2</v>
      </c>
      <c r="E8697">
        <v>6.0199999999999997E-2</v>
      </c>
      <c r="F8697">
        <v>0.11700000000000001</v>
      </c>
    </row>
    <row r="8698" spans="1:6" x14ac:dyDescent="0.3">
      <c r="A8698" t="s">
        <v>8733</v>
      </c>
      <c r="B8698" t="s">
        <v>74</v>
      </c>
      <c r="C8698">
        <v>195000</v>
      </c>
      <c r="D8698">
        <v>6202.6</v>
      </c>
      <c r="E8698">
        <v>3.6600000000000001E-2</v>
      </c>
      <c r="F8698">
        <v>9.5100000000000004E-2</v>
      </c>
    </row>
    <row r="8699" spans="1:6" x14ac:dyDescent="0.3">
      <c r="A8699" t="s">
        <v>8734</v>
      </c>
      <c r="B8699" t="s">
        <v>32</v>
      </c>
      <c r="C8699">
        <v>262000</v>
      </c>
      <c r="D8699">
        <v>2785369.9</v>
      </c>
      <c r="E8699">
        <v>8.6999999999999994E-3</v>
      </c>
      <c r="F8699">
        <v>8.2199999999999995E-2</v>
      </c>
    </row>
    <row r="8700" spans="1:6" x14ac:dyDescent="0.3">
      <c r="A8700" t="s">
        <v>8735</v>
      </c>
      <c r="B8700" t="s">
        <v>74</v>
      </c>
      <c r="C8700">
        <v>228000</v>
      </c>
      <c r="D8700">
        <v>4169.3999999999996</v>
      </c>
      <c r="E8700">
        <v>3.7499999999999999E-2</v>
      </c>
      <c r="F8700">
        <v>9.5100000000000004E-2</v>
      </c>
    </row>
    <row r="8701" spans="1:6" x14ac:dyDescent="0.3">
      <c r="A8701" t="s">
        <v>8736</v>
      </c>
      <c r="B8701" t="s">
        <v>26</v>
      </c>
      <c r="C8701">
        <v>211000</v>
      </c>
      <c r="D8701">
        <v>1924.8</v>
      </c>
      <c r="E8701">
        <v>2.5999999999999999E-2</v>
      </c>
      <c r="F8701">
        <v>7.5899999999999995E-2</v>
      </c>
    </row>
    <row r="8702" spans="1:6" x14ac:dyDescent="0.3">
      <c r="A8702" t="s">
        <v>8737</v>
      </c>
      <c r="B8702" t="s">
        <v>74</v>
      </c>
      <c r="C8702">
        <v>549000</v>
      </c>
      <c r="D8702">
        <v>49455.9</v>
      </c>
      <c r="E8702">
        <v>5.5500000000000001E-2</v>
      </c>
      <c r="F8702">
        <v>7.5899999999999995E-2</v>
      </c>
    </row>
    <row r="8703" spans="1:6" x14ac:dyDescent="0.3">
      <c r="A8703" t="s">
        <v>8738</v>
      </c>
      <c r="B8703" t="s">
        <v>62</v>
      </c>
      <c r="C8703">
        <v>676000</v>
      </c>
      <c r="D8703">
        <v>292.7</v>
      </c>
      <c r="E8703">
        <v>8.0399999999999999E-2</v>
      </c>
      <c r="F8703">
        <v>9.98E-2</v>
      </c>
    </row>
    <row r="8704" spans="1:6" x14ac:dyDescent="0.3">
      <c r="A8704" t="s">
        <v>8739</v>
      </c>
      <c r="B8704" t="s">
        <v>490</v>
      </c>
      <c r="C8704">
        <v>245000</v>
      </c>
      <c r="D8704">
        <v>163</v>
      </c>
      <c r="E8704">
        <v>2.6599999999999999E-2</v>
      </c>
      <c r="F8704">
        <v>0.39279999999999998</v>
      </c>
    </row>
    <row r="8705" spans="1:6" x14ac:dyDescent="0.3">
      <c r="A8705" t="s">
        <v>8740</v>
      </c>
      <c r="B8705" t="s">
        <v>214</v>
      </c>
      <c r="C8705">
        <v>252000</v>
      </c>
      <c r="D8705">
        <v>120306.9</v>
      </c>
      <c r="E8705">
        <v>5.1200000000000002E-2</v>
      </c>
      <c r="F8705">
        <v>9.5100000000000004E-2</v>
      </c>
    </row>
    <row r="8706" spans="1:6" x14ac:dyDescent="0.3">
      <c r="A8706" t="s">
        <v>8741</v>
      </c>
      <c r="B8706" t="s">
        <v>41</v>
      </c>
      <c r="C8706">
        <v>208000</v>
      </c>
      <c r="D8706">
        <v>743.2</v>
      </c>
      <c r="E8706">
        <v>1.8599999999999998E-2</v>
      </c>
      <c r="F8706">
        <v>7.2599999999999998E-2</v>
      </c>
    </row>
    <row r="8707" spans="1:6" x14ac:dyDescent="0.3">
      <c r="A8707" t="s">
        <v>8742</v>
      </c>
      <c r="B8707" t="s">
        <v>26</v>
      </c>
      <c r="C8707">
        <v>187000</v>
      </c>
      <c r="D8707">
        <v>3553.3</v>
      </c>
      <c r="E8707">
        <v>4.8099999999999997E-2</v>
      </c>
      <c r="F8707">
        <v>9.5100000000000004E-2</v>
      </c>
    </row>
    <row r="8708" spans="1:6" x14ac:dyDescent="0.3">
      <c r="A8708" t="s">
        <v>8743</v>
      </c>
      <c r="B8708" t="s">
        <v>26</v>
      </c>
      <c r="C8708">
        <v>204000</v>
      </c>
      <c r="D8708">
        <v>10888.6</v>
      </c>
      <c r="E8708">
        <v>4.0099999999999997E-2</v>
      </c>
      <c r="F8708">
        <v>9.5100000000000004E-2</v>
      </c>
    </row>
    <row r="8709" spans="1:6" x14ac:dyDescent="0.3">
      <c r="A8709" t="s">
        <v>8744</v>
      </c>
      <c r="B8709" t="s">
        <v>26</v>
      </c>
      <c r="C8709">
        <v>218000</v>
      </c>
      <c r="F8709">
        <v>7.5899999999999995E-2</v>
      </c>
    </row>
    <row r="8710" spans="1:6" x14ac:dyDescent="0.3">
      <c r="A8710" t="s">
        <v>8745</v>
      </c>
      <c r="B8710" t="s">
        <v>62</v>
      </c>
      <c r="C8710">
        <v>225000</v>
      </c>
      <c r="D8710">
        <v>1084.4000000000001</v>
      </c>
      <c r="E8710">
        <v>7.9799999999999996E-2</v>
      </c>
      <c r="F8710">
        <v>7.5899999999999995E-2</v>
      </c>
    </row>
    <row r="8711" spans="1:6" x14ac:dyDescent="0.3">
      <c r="A8711" t="s">
        <v>8746</v>
      </c>
      <c r="B8711" t="s">
        <v>88</v>
      </c>
      <c r="C8711">
        <v>446000</v>
      </c>
      <c r="D8711">
        <v>658</v>
      </c>
      <c r="E8711">
        <v>5.7599999999999998E-2</v>
      </c>
      <c r="F8711">
        <v>5.1400000000000001E-2</v>
      </c>
    </row>
    <row r="8712" spans="1:6" x14ac:dyDescent="0.3">
      <c r="A8712" t="s">
        <v>8747</v>
      </c>
      <c r="B8712" t="s">
        <v>74</v>
      </c>
      <c r="C8712">
        <v>477000</v>
      </c>
      <c r="D8712">
        <v>12959.5</v>
      </c>
      <c r="E8712">
        <v>3.5900000000000001E-2</v>
      </c>
      <c r="F8712">
        <v>7.5899999999999995E-2</v>
      </c>
    </row>
    <row r="8713" spans="1:6" x14ac:dyDescent="0.3">
      <c r="A8713" t="s">
        <v>8748</v>
      </c>
      <c r="B8713" t="s">
        <v>88</v>
      </c>
      <c r="C8713">
        <v>183000</v>
      </c>
      <c r="D8713">
        <v>4557.7</v>
      </c>
      <c r="E8713">
        <v>1.8200000000000001E-2</v>
      </c>
      <c r="F8713">
        <v>0.1067</v>
      </c>
    </row>
    <row r="8714" spans="1:6" x14ac:dyDescent="0.3">
      <c r="A8714" t="s">
        <v>8749</v>
      </c>
      <c r="B8714" t="s">
        <v>88</v>
      </c>
      <c r="C8714">
        <v>237000</v>
      </c>
      <c r="D8714">
        <v>12519.2</v>
      </c>
      <c r="E8714">
        <v>4.6399999999999997E-2</v>
      </c>
      <c r="F8714">
        <v>0.11700000000000001</v>
      </c>
    </row>
    <row r="8715" spans="1:6" x14ac:dyDescent="0.3">
      <c r="A8715" t="s">
        <v>8750</v>
      </c>
      <c r="B8715" t="s">
        <v>41</v>
      </c>
      <c r="C8715">
        <v>257000</v>
      </c>
      <c r="D8715">
        <v>1291.8</v>
      </c>
      <c r="E8715">
        <v>9.11E-2</v>
      </c>
      <c r="F8715">
        <v>7.5899999999999995E-2</v>
      </c>
    </row>
    <row r="8716" spans="1:6" x14ac:dyDescent="0.3">
      <c r="A8716" t="s">
        <v>8751</v>
      </c>
      <c r="B8716" t="s">
        <v>53</v>
      </c>
      <c r="C8716">
        <v>186000</v>
      </c>
      <c r="D8716">
        <v>6.7</v>
      </c>
      <c r="E8716">
        <v>9.1000000000000004E-3</v>
      </c>
      <c r="F8716">
        <v>0.46139999999999998</v>
      </c>
    </row>
    <row r="8717" spans="1:6" x14ac:dyDescent="0.3">
      <c r="A8717" t="s">
        <v>8752</v>
      </c>
      <c r="B8717" t="s">
        <v>62</v>
      </c>
      <c r="C8717">
        <v>189000</v>
      </c>
      <c r="D8717">
        <v>35.299999999999997</v>
      </c>
      <c r="F8717">
        <v>0.11700000000000001</v>
      </c>
    </row>
    <row r="8718" spans="1:6" x14ac:dyDescent="0.3">
      <c r="A8718" t="s">
        <v>8753</v>
      </c>
      <c r="B8718" t="s">
        <v>88</v>
      </c>
      <c r="C8718">
        <v>193000</v>
      </c>
      <c r="D8718">
        <v>427.5</v>
      </c>
      <c r="E8718">
        <v>3.4700000000000002E-2</v>
      </c>
      <c r="F8718">
        <v>7.5899999999999995E-2</v>
      </c>
    </row>
    <row r="8719" spans="1:6" x14ac:dyDescent="0.3">
      <c r="A8719" t="s">
        <v>8754</v>
      </c>
      <c r="B8719" t="s">
        <v>24</v>
      </c>
      <c r="C8719">
        <v>262000</v>
      </c>
      <c r="D8719">
        <v>309761.3</v>
      </c>
      <c r="E8719">
        <v>2.29E-2</v>
      </c>
      <c r="F8719">
        <v>4.0899999999999999E-2</v>
      </c>
    </row>
    <row r="8720" spans="1:6" x14ac:dyDescent="0.3">
      <c r="A8720" t="s">
        <v>8755</v>
      </c>
      <c r="B8720" t="s">
        <v>41</v>
      </c>
      <c r="C8720">
        <v>191000</v>
      </c>
      <c r="D8720">
        <v>2538.9</v>
      </c>
      <c r="E8720">
        <v>4.7199999999999999E-2</v>
      </c>
      <c r="F8720">
        <v>0.11700000000000001</v>
      </c>
    </row>
    <row r="8721" spans="1:6" x14ac:dyDescent="0.3">
      <c r="A8721" t="s">
        <v>8756</v>
      </c>
      <c r="B8721" t="s">
        <v>53</v>
      </c>
      <c r="C8721">
        <v>256000</v>
      </c>
      <c r="D8721">
        <v>642</v>
      </c>
      <c r="F8721">
        <v>9.5100000000000004E-2</v>
      </c>
    </row>
    <row r="8722" spans="1:6" x14ac:dyDescent="0.3">
      <c r="A8722" t="s">
        <v>8757</v>
      </c>
      <c r="B8722" t="s">
        <v>74</v>
      </c>
      <c r="C8722">
        <v>188000</v>
      </c>
      <c r="D8722">
        <v>1097.5999999999999</v>
      </c>
      <c r="E8722">
        <v>2.6499999999999999E-2</v>
      </c>
      <c r="F8722">
        <v>9.5100000000000004E-2</v>
      </c>
    </row>
    <row r="8723" spans="1:6" x14ac:dyDescent="0.3">
      <c r="A8723" t="s">
        <v>8758</v>
      </c>
      <c r="B8723" t="s">
        <v>41</v>
      </c>
      <c r="C8723">
        <v>191000</v>
      </c>
      <c r="D8723">
        <v>4393.3999999999996</v>
      </c>
      <c r="E8723">
        <v>4.0399999999999998E-2</v>
      </c>
      <c r="F8723">
        <v>9.5100000000000004E-2</v>
      </c>
    </row>
    <row r="8724" spans="1:6" x14ac:dyDescent="0.3">
      <c r="A8724" t="s">
        <v>8759</v>
      </c>
      <c r="B8724" t="s">
        <v>88</v>
      </c>
      <c r="C8724">
        <v>206000</v>
      </c>
      <c r="D8724">
        <v>9214.9</v>
      </c>
      <c r="E8724">
        <v>3.2500000000000001E-2</v>
      </c>
      <c r="F8724">
        <v>7.5899999999999995E-2</v>
      </c>
    </row>
    <row r="8725" spans="1:6" x14ac:dyDescent="0.3">
      <c r="A8725" t="s">
        <v>8760</v>
      </c>
      <c r="B8725" t="s">
        <v>26</v>
      </c>
      <c r="C8725">
        <v>192000</v>
      </c>
      <c r="D8725">
        <v>17126.2</v>
      </c>
      <c r="E8725">
        <v>5.11E-2</v>
      </c>
      <c r="F8725">
        <v>9.5100000000000004E-2</v>
      </c>
    </row>
    <row r="8726" spans="1:6" x14ac:dyDescent="0.3">
      <c r="A8726" t="s">
        <v>8761</v>
      </c>
      <c r="B8726" t="s">
        <v>74</v>
      </c>
      <c r="C8726">
        <v>195000</v>
      </c>
      <c r="D8726">
        <v>934.7</v>
      </c>
      <c r="E8726">
        <v>1.32E-2</v>
      </c>
      <c r="F8726">
        <v>8.1100000000000005E-2</v>
      </c>
    </row>
    <row r="8727" spans="1:6" x14ac:dyDescent="0.3">
      <c r="A8727" t="s">
        <v>8762</v>
      </c>
      <c r="B8727" t="s">
        <v>88</v>
      </c>
      <c r="C8727">
        <v>299000</v>
      </c>
      <c r="D8727">
        <v>7157.7</v>
      </c>
      <c r="E8727">
        <v>8.4199999999999997E-2</v>
      </c>
      <c r="F8727">
        <v>9.3799999999999994E-2</v>
      </c>
    </row>
    <row r="8728" spans="1:6" x14ac:dyDescent="0.3">
      <c r="A8728" t="s">
        <v>8763</v>
      </c>
      <c r="B8728" t="s">
        <v>88</v>
      </c>
      <c r="C8728">
        <v>377000</v>
      </c>
      <c r="D8728">
        <v>6780</v>
      </c>
      <c r="E8728">
        <v>6.8599999999999994E-2</v>
      </c>
      <c r="F8728">
        <v>9.3799999999999994E-2</v>
      </c>
    </row>
    <row r="8729" spans="1:6" x14ac:dyDescent="0.3">
      <c r="A8729" t="s">
        <v>8764</v>
      </c>
      <c r="B8729" t="s">
        <v>26</v>
      </c>
      <c r="C8729">
        <v>201000</v>
      </c>
      <c r="D8729">
        <v>210647</v>
      </c>
      <c r="E8729">
        <v>3.0300000000000001E-2</v>
      </c>
      <c r="F8729">
        <v>5.1799999999999999E-2</v>
      </c>
    </row>
    <row r="8730" spans="1:6" x14ac:dyDescent="0.3">
      <c r="A8730" t="s">
        <v>8765</v>
      </c>
      <c r="B8730" t="s">
        <v>26</v>
      </c>
      <c r="C8730">
        <v>261000</v>
      </c>
      <c r="D8730">
        <v>53643</v>
      </c>
      <c r="E8730">
        <v>4.6100000000000002E-2</v>
      </c>
      <c r="F8730">
        <v>7.5899999999999995E-2</v>
      </c>
    </row>
    <row r="8731" spans="1:6" x14ac:dyDescent="0.3">
      <c r="A8731" t="s">
        <v>8766</v>
      </c>
      <c r="B8731" t="s">
        <v>50</v>
      </c>
      <c r="C8731">
        <v>523000</v>
      </c>
      <c r="D8731">
        <v>33978.1</v>
      </c>
      <c r="E8731">
        <v>2.6599999999999999E-2</v>
      </c>
      <c r="F8731">
        <v>7.5899999999999995E-2</v>
      </c>
    </row>
    <row r="8732" spans="1:6" x14ac:dyDescent="0.3">
      <c r="A8732" t="s">
        <v>8767</v>
      </c>
      <c r="B8732" t="s">
        <v>50</v>
      </c>
      <c r="C8732">
        <v>306000</v>
      </c>
      <c r="D8732">
        <v>63137.2</v>
      </c>
      <c r="E8732">
        <v>9.2999999999999992E-3</v>
      </c>
      <c r="F8732">
        <v>8.2199999999999995E-2</v>
      </c>
    </row>
    <row r="8733" spans="1:6" x14ac:dyDescent="0.3">
      <c r="A8733" t="s">
        <v>8768</v>
      </c>
      <c r="B8733" t="s">
        <v>74</v>
      </c>
      <c r="C8733">
        <v>199000</v>
      </c>
      <c r="D8733">
        <v>6000.9</v>
      </c>
      <c r="E8733">
        <v>5.3400000000000003E-2</v>
      </c>
      <c r="F8733">
        <v>9.5100000000000004E-2</v>
      </c>
    </row>
    <row r="8734" spans="1:6" x14ac:dyDescent="0.3">
      <c r="A8734" t="s">
        <v>8769</v>
      </c>
      <c r="B8734" t="s">
        <v>41</v>
      </c>
      <c r="C8734">
        <v>211000</v>
      </c>
      <c r="D8734">
        <v>1712.9</v>
      </c>
      <c r="E8734">
        <v>1.52E-2</v>
      </c>
      <c r="F8734">
        <v>7.2599999999999998E-2</v>
      </c>
    </row>
    <row r="8735" spans="1:6" x14ac:dyDescent="0.3">
      <c r="A8735" t="s">
        <v>8770</v>
      </c>
      <c r="B8735" t="s">
        <v>41</v>
      </c>
      <c r="C8735">
        <v>199000</v>
      </c>
      <c r="D8735">
        <v>121278.9</v>
      </c>
      <c r="E8735">
        <v>3.1300000000000001E-2</v>
      </c>
      <c r="F8735">
        <v>9.5100000000000004E-2</v>
      </c>
    </row>
    <row r="8736" spans="1:6" x14ac:dyDescent="0.3">
      <c r="A8736" t="s">
        <v>8771</v>
      </c>
      <c r="B8736" t="s">
        <v>214</v>
      </c>
      <c r="C8736">
        <v>275000</v>
      </c>
      <c r="D8736">
        <v>1037.5</v>
      </c>
      <c r="E8736">
        <v>2.9399999999999999E-2</v>
      </c>
      <c r="F8736">
        <v>7.5899999999999995E-2</v>
      </c>
    </row>
    <row r="8737" spans="1:6" x14ac:dyDescent="0.3">
      <c r="A8737" t="s">
        <v>8772</v>
      </c>
      <c r="B8737" t="s">
        <v>26</v>
      </c>
      <c r="C8737">
        <v>1680000</v>
      </c>
      <c r="D8737">
        <v>101470.2</v>
      </c>
      <c r="E8737">
        <v>0.02</v>
      </c>
      <c r="F8737">
        <v>8.5400000000000004E-2</v>
      </c>
    </row>
    <row r="8738" spans="1:6" x14ac:dyDescent="0.3">
      <c r="A8738" t="s">
        <v>8773</v>
      </c>
      <c r="B8738" t="s">
        <v>26</v>
      </c>
      <c r="C8738">
        <v>187000</v>
      </c>
      <c r="D8738">
        <v>972.8</v>
      </c>
      <c r="E8738">
        <v>5.6500000000000002E-2</v>
      </c>
      <c r="F8738">
        <v>9.5100000000000004E-2</v>
      </c>
    </row>
    <row r="8739" spans="1:6" x14ac:dyDescent="0.3">
      <c r="A8739" t="s">
        <v>8774</v>
      </c>
      <c r="B8739" t="s">
        <v>74</v>
      </c>
      <c r="C8739">
        <v>213000</v>
      </c>
      <c r="D8739">
        <v>3711.4</v>
      </c>
      <c r="E8739">
        <v>5.5599999999999997E-2</v>
      </c>
      <c r="F8739">
        <v>7.5899999999999995E-2</v>
      </c>
    </row>
    <row r="8740" spans="1:6" x14ac:dyDescent="0.3">
      <c r="A8740" t="s">
        <v>8775</v>
      </c>
      <c r="B8740" t="s">
        <v>26</v>
      </c>
      <c r="C8740">
        <v>248000</v>
      </c>
      <c r="D8740">
        <v>1054.0999999999999</v>
      </c>
      <c r="E8740">
        <v>2.3199999999999998E-2</v>
      </c>
      <c r="F8740">
        <v>7.5899999999999995E-2</v>
      </c>
    </row>
    <row r="8741" spans="1:6" x14ac:dyDescent="0.3">
      <c r="A8741" t="s">
        <v>8776</v>
      </c>
      <c r="B8741" t="s">
        <v>92</v>
      </c>
      <c r="C8741">
        <v>194000</v>
      </c>
      <c r="D8741">
        <v>2358.6999999999998</v>
      </c>
      <c r="F8741">
        <v>5.1799999999999999E-2</v>
      </c>
    </row>
    <row r="8742" spans="1:6" x14ac:dyDescent="0.3">
      <c r="A8742" t="s">
        <v>8777</v>
      </c>
      <c r="B8742" t="s">
        <v>41</v>
      </c>
      <c r="C8742">
        <v>303000</v>
      </c>
      <c r="D8742">
        <v>2490.6</v>
      </c>
      <c r="E8742">
        <v>4.2700000000000002E-2</v>
      </c>
      <c r="F8742">
        <v>5.4600000000000003E-2</v>
      </c>
    </row>
    <row r="8743" spans="1:6" x14ac:dyDescent="0.3">
      <c r="A8743" t="s">
        <v>8778</v>
      </c>
      <c r="B8743" t="s">
        <v>30</v>
      </c>
      <c r="C8743">
        <v>316000</v>
      </c>
      <c r="D8743">
        <v>2994000.9</v>
      </c>
      <c r="E8743">
        <v>1.37E-2</v>
      </c>
      <c r="F8743">
        <v>5.8500000000000003E-2</v>
      </c>
    </row>
    <row r="8744" spans="1:6" x14ac:dyDescent="0.3">
      <c r="A8744" t="s">
        <v>8779</v>
      </c>
      <c r="B8744" t="s">
        <v>24</v>
      </c>
      <c r="C8744">
        <v>191000</v>
      </c>
      <c r="D8744">
        <v>9616.7000000000007</v>
      </c>
      <c r="E8744">
        <v>3.6900000000000002E-2</v>
      </c>
      <c r="F8744">
        <v>9.5100000000000004E-2</v>
      </c>
    </row>
    <row r="8745" spans="1:6" x14ac:dyDescent="0.3">
      <c r="A8745" t="s">
        <v>8780</v>
      </c>
      <c r="B8745" t="s">
        <v>26</v>
      </c>
      <c r="C8745">
        <v>293000</v>
      </c>
      <c r="D8745">
        <v>10061.799999999999</v>
      </c>
      <c r="E8745">
        <v>0.08</v>
      </c>
      <c r="F8745">
        <v>7.5899999999999995E-2</v>
      </c>
    </row>
    <row r="8746" spans="1:6" x14ac:dyDescent="0.3">
      <c r="A8746" t="s">
        <v>8781</v>
      </c>
      <c r="B8746" t="s">
        <v>88</v>
      </c>
      <c r="C8746">
        <v>207000</v>
      </c>
      <c r="D8746">
        <v>119.5</v>
      </c>
      <c r="E8746">
        <v>3.4099999999999998E-2</v>
      </c>
      <c r="F8746">
        <v>0.30099999999999999</v>
      </c>
    </row>
    <row r="8747" spans="1:6" x14ac:dyDescent="0.3">
      <c r="A8747" t="s">
        <v>8782</v>
      </c>
      <c r="B8747" t="s">
        <v>287</v>
      </c>
      <c r="C8747">
        <v>237000</v>
      </c>
      <c r="D8747">
        <v>6097.4</v>
      </c>
      <c r="E8747">
        <v>2.01E-2</v>
      </c>
      <c r="F8747">
        <v>0.3301</v>
      </c>
    </row>
    <row r="8748" spans="1:6" x14ac:dyDescent="0.3">
      <c r="A8748" t="s">
        <v>8783</v>
      </c>
      <c r="B8748" t="s">
        <v>195</v>
      </c>
      <c r="C8748">
        <v>186000</v>
      </c>
      <c r="D8748">
        <v>45076.5</v>
      </c>
      <c r="E8748">
        <v>6.0400000000000002E-2</v>
      </c>
      <c r="F8748">
        <v>9.5100000000000004E-2</v>
      </c>
    </row>
    <row r="8749" spans="1:6" x14ac:dyDescent="0.3">
      <c r="A8749" t="s">
        <v>8784</v>
      </c>
      <c r="B8749" t="s">
        <v>214</v>
      </c>
      <c r="C8749">
        <v>213000</v>
      </c>
      <c r="D8749">
        <v>1228.4000000000001</v>
      </c>
      <c r="E8749">
        <v>1.4800000000000001E-2</v>
      </c>
      <c r="F8749">
        <v>4.6199999999999998E-2</v>
      </c>
    </row>
    <row r="8750" spans="1:6" x14ac:dyDescent="0.3">
      <c r="A8750" t="s">
        <v>8785</v>
      </c>
      <c r="B8750" t="s">
        <v>24</v>
      </c>
      <c r="C8750">
        <v>220000</v>
      </c>
      <c r="D8750">
        <v>3913.8</v>
      </c>
      <c r="E8750">
        <v>2.2700000000000001E-2</v>
      </c>
      <c r="F8750">
        <v>9.5100000000000004E-2</v>
      </c>
    </row>
    <row r="8751" spans="1:6" x14ac:dyDescent="0.3">
      <c r="A8751" t="s">
        <v>8786</v>
      </c>
      <c r="B8751" t="s">
        <v>88</v>
      </c>
      <c r="C8751">
        <v>222000</v>
      </c>
      <c r="D8751">
        <v>866</v>
      </c>
      <c r="E8751">
        <v>5.28E-2</v>
      </c>
      <c r="F8751">
        <v>9.5100000000000004E-2</v>
      </c>
    </row>
    <row r="8752" spans="1:6" x14ac:dyDescent="0.3">
      <c r="A8752" t="s">
        <v>8787</v>
      </c>
      <c r="B8752" t="s">
        <v>21</v>
      </c>
      <c r="C8752">
        <v>186000</v>
      </c>
      <c r="F8752">
        <v>7.5899999999999995E-2</v>
      </c>
    </row>
    <row r="8753" spans="1:6" x14ac:dyDescent="0.3">
      <c r="A8753" t="s">
        <v>8788</v>
      </c>
      <c r="B8753" t="s">
        <v>214</v>
      </c>
      <c r="C8753">
        <v>210000</v>
      </c>
      <c r="D8753">
        <v>222.9</v>
      </c>
      <c r="E8753">
        <v>2.07E-2</v>
      </c>
      <c r="F8753">
        <v>7.5899999999999995E-2</v>
      </c>
    </row>
    <row r="8754" spans="1:6" x14ac:dyDescent="0.3">
      <c r="A8754" t="s">
        <v>8789</v>
      </c>
      <c r="B8754" t="s">
        <v>92</v>
      </c>
      <c r="C8754">
        <v>243000</v>
      </c>
      <c r="D8754">
        <v>2897.8</v>
      </c>
      <c r="E8754">
        <v>4.1000000000000002E-2</v>
      </c>
      <c r="F8754">
        <v>7.5899999999999995E-2</v>
      </c>
    </row>
    <row r="8755" spans="1:6" x14ac:dyDescent="0.3">
      <c r="A8755" t="s">
        <v>8790</v>
      </c>
      <c r="B8755" t="s">
        <v>71</v>
      </c>
      <c r="C8755">
        <v>290000</v>
      </c>
      <c r="D8755">
        <v>31684.7</v>
      </c>
      <c r="E8755">
        <v>5.3499999999999999E-2</v>
      </c>
      <c r="F8755">
        <v>9.3799999999999994E-2</v>
      </c>
    </row>
    <row r="8756" spans="1:6" x14ac:dyDescent="0.3">
      <c r="A8756" t="s">
        <v>8791</v>
      </c>
      <c r="B8756" t="s">
        <v>26</v>
      </c>
      <c r="C8756">
        <v>252000</v>
      </c>
      <c r="D8756">
        <v>605.6</v>
      </c>
      <c r="E8756">
        <v>1.3299999999999999E-2</v>
      </c>
      <c r="F8756">
        <v>8.1100000000000005E-2</v>
      </c>
    </row>
    <row r="8757" spans="1:6" x14ac:dyDescent="0.3">
      <c r="A8757" t="s">
        <v>8792</v>
      </c>
      <c r="B8757" t="s">
        <v>92</v>
      </c>
      <c r="C8757">
        <v>203000</v>
      </c>
      <c r="D8757">
        <v>150.19999999999999</v>
      </c>
      <c r="E8757">
        <v>2.5700000000000001E-2</v>
      </c>
      <c r="F8757">
        <v>9.3799999999999994E-2</v>
      </c>
    </row>
    <row r="8758" spans="1:6" x14ac:dyDescent="0.3">
      <c r="A8758" t="s">
        <v>8793</v>
      </c>
      <c r="B8758" t="s">
        <v>88</v>
      </c>
      <c r="C8758">
        <v>503000</v>
      </c>
      <c r="D8758">
        <v>16198.7</v>
      </c>
      <c r="E8758">
        <v>2.2800000000000001E-2</v>
      </c>
      <c r="F8758">
        <v>9.3799999999999994E-2</v>
      </c>
    </row>
    <row r="8759" spans="1:6" x14ac:dyDescent="0.3">
      <c r="A8759" t="s">
        <v>8794</v>
      </c>
      <c r="B8759" t="s">
        <v>62</v>
      </c>
      <c r="C8759">
        <v>196000</v>
      </c>
      <c r="D8759">
        <v>1503.8</v>
      </c>
      <c r="E8759">
        <v>2.12E-2</v>
      </c>
      <c r="F8759">
        <v>7.5899999999999995E-2</v>
      </c>
    </row>
    <row r="8760" spans="1:6" x14ac:dyDescent="0.3">
      <c r="A8760" t="s">
        <v>8795</v>
      </c>
      <c r="B8760" t="s">
        <v>214</v>
      </c>
      <c r="C8760">
        <v>227000</v>
      </c>
      <c r="D8760">
        <v>16387.7</v>
      </c>
      <c r="F8760">
        <v>4.0899999999999999E-2</v>
      </c>
    </row>
    <row r="8761" spans="1:6" x14ac:dyDescent="0.3">
      <c r="A8761" t="s">
        <v>8796</v>
      </c>
      <c r="B8761" t="s">
        <v>62</v>
      </c>
      <c r="C8761">
        <v>207000</v>
      </c>
      <c r="D8761">
        <v>7784.3</v>
      </c>
      <c r="E8761">
        <v>3.2899999999999999E-2</v>
      </c>
      <c r="F8761">
        <v>9.5100000000000004E-2</v>
      </c>
    </row>
    <row r="8762" spans="1:6" x14ac:dyDescent="0.3">
      <c r="A8762" t="s">
        <v>8797</v>
      </c>
      <c r="B8762" t="s">
        <v>24</v>
      </c>
      <c r="C8762">
        <v>493000</v>
      </c>
      <c r="D8762">
        <v>13850.4</v>
      </c>
      <c r="E8762">
        <v>8.5000000000000006E-3</v>
      </c>
      <c r="F8762">
        <v>6.54E-2</v>
      </c>
    </row>
    <row r="8763" spans="1:6" x14ac:dyDescent="0.3">
      <c r="A8763" t="s">
        <v>8798</v>
      </c>
      <c r="B8763" t="s">
        <v>21</v>
      </c>
      <c r="C8763">
        <v>225000</v>
      </c>
      <c r="D8763">
        <v>759989.6</v>
      </c>
      <c r="E8763">
        <v>5.5199999999999999E-2</v>
      </c>
      <c r="F8763">
        <v>5.1799999999999999E-2</v>
      </c>
    </row>
    <row r="8764" spans="1:6" x14ac:dyDescent="0.3">
      <c r="A8764" t="s">
        <v>8799</v>
      </c>
      <c r="B8764" t="s">
        <v>92</v>
      </c>
      <c r="C8764">
        <v>196000</v>
      </c>
      <c r="D8764">
        <v>29495.1</v>
      </c>
      <c r="E8764">
        <v>1.7600000000000001E-2</v>
      </c>
      <c r="F8764">
        <v>0.1067</v>
      </c>
    </row>
    <row r="8765" spans="1:6" x14ac:dyDescent="0.3">
      <c r="A8765" t="s">
        <v>8800</v>
      </c>
      <c r="B8765" t="s">
        <v>26</v>
      </c>
      <c r="C8765">
        <v>313000</v>
      </c>
      <c r="D8765">
        <v>362.8</v>
      </c>
      <c r="E8765">
        <v>6.08E-2</v>
      </c>
      <c r="F8765">
        <v>0.1226</v>
      </c>
    </row>
    <row r="8766" spans="1:6" x14ac:dyDescent="0.3">
      <c r="A8766" t="s">
        <v>8801</v>
      </c>
      <c r="B8766" t="s">
        <v>74</v>
      </c>
      <c r="C8766">
        <v>761000</v>
      </c>
      <c r="D8766">
        <v>31291.599999999999</v>
      </c>
      <c r="E8766">
        <v>1.84E-2</v>
      </c>
      <c r="F8766">
        <v>4.6199999999999998E-2</v>
      </c>
    </row>
    <row r="8767" spans="1:6" x14ac:dyDescent="0.3">
      <c r="A8767" t="s">
        <v>8802</v>
      </c>
      <c r="B8767" t="s">
        <v>35</v>
      </c>
      <c r="C8767">
        <v>271000</v>
      </c>
      <c r="D8767">
        <v>8381.7000000000007</v>
      </c>
      <c r="E8767">
        <v>3.6700000000000003E-2</v>
      </c>
      <c r="F8767">
        <v>9.3799999999999994E-2</v>
      </c>
    </row>
    <row r="8768" spans="1:6" x14ac:dyDescent="0.3">
      <c r="A8768" t="s">
        <v>8803</v>
      </c>
      <c r="B8768" t="s">
        <v>35</v>
      </c>
      <c r="C8768">
        <v>187000</v>
      </c>
      <c r="D8768">
        <v>490</v>
      </c>
      <c r="E8768">
        <v>1.12E-2</v>
      </c>
      <c r="F8768">
        <v>6.54E-2</v>
      </c>
    </row>
    <row r="8769" spans="1:6" x14ac:dyDescent="0.3">
      <c r="A8769" t="s">
        <v>8804</v>
      </c>
      <c r="B8769" t="s">
        <v>71</v>
      </c>
      <c r="C8769">
        <v>202000</v>
      </c>
      <c r="D8769">
        <v>1996</v>
      </c>
      <c r="E8769">
        <v>3.0700000000000002E-2</v>
      </c>
      <c r="F8769">
        <v>9.5100000000000004E-2</v>
      </c>
    </row>
    <row r="8770" spans="1:6" x14ac:dyDescent="0.3">
      <c r="A8770" t="s">
        <v>8805</v>
      </c>
      <c r="B8770" t="s">
        <v>88</v>
      </c>
      <c r="C8770">
        <v>186000</v>
      </c>
      <c r="D8770">
        <v>19203.8</v>
      </c>
      <c r="E8770">
        <v>2.7799999999999998E-2</v>
      </c>
      <c r="F8770">
        <v>9.5100000000000004E-2</v>
      </c>
    </row>
    <row r="8771" spans="1:6" x14ac:dyDescent="0.3">
      <c r="A8771" t="s">
        <v>8806</v>
      </c>
      <c r="B8771" t="s">
        <v>35</v>
      </c>
      <c r="C8771">
        <v>188000</v>
      </c>
      <c r="D8771">
        <v>350.2</v>
      </c>
      <c r="E8771">
        <v>4.7600000000000003E-2</v>
      </c>
      <c r="F8771">
        <v>9.5100000000000004E-2</v>
      </c>
    </row>
    <row r="8772" spans="1:6" x14ac:dyDescent="0.3">
      <c r="A8772" t="s">
        <v>8807</v>
      </c>
      <c r="B8772" t="s">
        <v>41</v>
      </c>
      <c r="C8772">
        <v>532000</v>
      </c>
      <c r="D8772">
        <v>376.1</v>
      </c>
      <c r="E8772">
        <v>3.9800000000000002E-2</v>
      </c>
      <c r="F8772">
        <v>0.15160000000000001</v>
      </c>
    </row>
    <row r="8773" spans="1:6" x14ac:dyDescent="0.3">
      <c r="A8773" t="s">
        <v>8808</v>
      </c>
      <c r="B8773" t="s">
        <v>35</v>
      </c>
      <c r="C8773">
        <v>301000</v>
      </c>
      <c r="D8773">
        <v>7590.9</v>
      </c>
      <c r="E8773">
        <v>3.1800000000000002E-2</v>
      </c>
      <c r="F8773">
        <v>9.3799999999999994E-2</v>
      </c>
    </row>
    <row r="8774" spans="1:6" x14ac:dyDescent="0.3">
      <c r="A8774" t="s">
        <v>8809</v>
      </c>
      <c r="B8774" t="s">
        <v>214</v>
      </c>
      <c r="C8774">
        <v>241000</v>
      </c>
      <c r="D8774">
        <v>7143.6</v>
      </c>
      <c r="E8774">
        <v>3.2500000000000001E-2</v>
      </c>
      <c r="F8774">
        <v>7.5899999999999995E-2</v>
      </c>
    </row>
    <row r="8775" spans="1:6" x14ac:dyDescent="0.3">
      <c r="A8775" t="s">
        <v>8810</v>
      </c>
      <c r="B8775" t="s">
        <v>88</v>
      </c>
      <c r="C8775">
        <v>215000</v>
      </c>
      <c r="D8775">
        <v>2581.5</v>
      </c>
      <c r="E8775">
        <v>5.0099999999999999E-2</v>
      </c>
      <c r="F8775">
        <v>9.3799999999999994E-2</v>
      </c>
    </row>
    <row r="8776" spans="1:6" x14ac:dyDescent="0.3">
      <c r="A8776" t="s">
        <v>8811</v>
      </c>
      <c r="B8776" t="s">
        <v>26</v>
      </c>
      <c r="C8776">
        <v>188000</v>
      </c>
      <c r="D8776">
        <v>3392.6</v>
      </c>
      <c r="E8776">
        <v>2.2800000000000001E-2</v>
      </c>
      <c r="F8776">
        <v>9.5100000000000004E-2</v>
      </c>
    </row>
    <row r="8777" spans="1:6" x14ac:dyDescent="0.3">
      <c r="A8777" t="s">
        <v>8812</v>
      </c>
      <c r="B8777" t="s">
        <v>92</v>
      </c>
      <c r="C8777">
        <v>214000</v>
      </c>
      <c r="D8777">
        <v>125708.9</v>
      </c>
      <c r="E8777">
        <v>1.18E-2</v>
      </c>
      <c r="F8777">
        <v>5.8500000000000003E-2</v>
      </c>
    </row>
    <row r="8778" spans="1:6" x14ac:dyDescent="0.3">
      <c r="A8778" t="s">
        <v>8813</v>
      </c>
      <c r="B8778" t="s">
        <v>74</v>
      </c>
      <c r="C8778">
        <v>397000</v>
      </c>
      <c r="D8778">
        <v>33790.6</v>
      </c>
      <c r="E8778">
        <v>5.4100000000000002E-2</v>
      </c>
      <c r="F8778">
        <v>9.5100000000000004E-2</v>
      </c>
    </row>
    <row r="8779" spans="1:6" x14ac:dyDescent="0.3">
      <c r="A8779" t="s">
        <v>8814</v>
      </c>
      <c r="B8779" t="s">
        <v>26</v>
      </c>
      <c r="C8779">
        <v>194000</v>
      </c>
      <c r="D8779">
        <v>30134.799999999999</v>
      </c>
      <c r="E8779">
        <v>5.2699999999999997E-2</v>
      </c>
      <c r="F8779">
        <v>7.5899999999999995E-2</v>
      </c>
    </row>
    <row r="8780" spans="1:6" x14ac:dyDescent="0.3">
      <c r="A8780" t="s">
        <v>8815</v>
      </c>
      <c r="B8780" t="s">
        <v>214</v>
      </c>
      <c r="C8780">
        <v>270000</v>
      </c>
      <c r="D8780">
        <v>44957.7</v>
      </c>
      <c r="E8780">
        <v>9.8599999999999993E-2</v>
      </c>
      <c r="F8780">
        <v>7.5899999999999995E-2</v>
      </c>
    </row>
    <row r="8781" spans="1:6" x14ac:dyDescent="0.3">
      <c r="A8781" t="s">
        <v>8816</v>
      </c>
      <c r="B8781" t="s">
        <v>50</v>
      </c>
      <c r="C8781">
        <v>459000</v>
      </c>
      <c r="D8781">
        <v>93985.2</v>
      </c>
      <c r="E8781">
        <v>3.7100000000000001E-2</v>
      </c>
      <c r="F8781">
        <v>4.0899999999999999E-2</v>
      </c>
    </row>
    <row r="8782" spans="1:6" x14ac:dyDescent="0.3">
      <c r="A8782" t="s">
        <v>8817</v>
      </c>
      <c r="B8782" t="s">
        <v>195</v>
      </c>
      <c r="C8782">
        <v>248000</v>
      </c>
      <c r="D8782">
        <v>1898.3</v>
      </c>
      <c r="E8782">
        <v>7.8700000000000006E-2</v>
      </c>
      <c r="F8782">
        <v>7.5899999999999995E-2</v>
      </c>
    </row>
    <row r="8783" spans="1:6" x14ac:dyDescent="0.3">
      <c r="A8783" t="s">
        <v>8818</v>
      </c>
      <c r="B8783" t="s">
        <v>53</v>
      </c>
      <c r="C8783">
        <v>287000</v>
      </c>
      <c r="D8783">
        <v>91053.9</v>
      </c>
      <c r="E8783">
        <v>1.3599999999999999E-2</v>
      </c>
      <c r="F8783">
        <v>5.1999999999999998E-2</v>
      </c>
    </row>
    <row r="8784" spans="1:6" x14ac:dyDescent="0.3">
      <c r="A8784" t="s">
        <v>8819</v>
      </c>
      <c r="B8784" t="s">
        <v>26</v>
      </c>
      <c r="C8784">
        <v>215000</v>
      </c>
      <c r="D8784">
        <v>6418.7</v>
      </c>
      <c r="E8784">
        <v>2.1000000000000001E-2</v>
      </c>
      <c r="F8784">
        <v>8.5400000000000004E-2</v>
      </c>
    </row>
    <row r="8785" spans="1:6" x14ac:dyDescent="0.3">
      <c r="A8785" t="s">
        <v>8820</v>
      </c>
      <c r="B8785" t="s">
        <v>50</v>
      </c>
      <c r="C8785">
        <v>202000</v>
      </c>
      <c r="D8785">
        <v>6189.6</v>
      </c>
      <c r="E8785">
        <v>3.9899999999999998E-2</v>
      </c>
      <c r="F8785">
        <v>9.5100000000000004E-2</v>
      </c>
    </row>
    <row r="8786" spans="1:6" x14ac:dyDescent="0.3">
      <c r="A8786" t="s">
        <v>8821</v>
      </c>
      <c r="B8786" t="s">
        <v>35</v>
      </c>
      <c r="C8786">
        <v>233000</v>
      </c>
      <c r="D8786">
        <v>14529.7</v>
      </c>
      <c r="E8786">
        <v>3.6999999999999998E-2</v>
      </c>
      <c r="F8786">
        <v>7.5899999999999995E-2</v>
      </c>
    </row>
    <row r="8787" spans="1:6" x14ac:dyDescent="0.3">
      <c r="A8787" t="s">
        <v>8822</v>
      </c>
      <c r="B8787" t="s">
        <v>50</v>
      </c>
      <c r="C8787">
        <v>167000</v>
      </c>
      <c r="D8787">
        <v>2021.6</v>
      </c>
      <c r="E8787">
        <v>2.5499999999999998E-2</v>
      </c>
      <c r="F8787">
        <v>0.11700000000000001</v>
      </c>
    </row>
    <row r="8788" spans="1:6" x14ac:dyDescent="0.3">
      <c r="A8788" t="s">
        <v>8823</v>
      </c>
      <c r="B8788" t="s">
        <v>26</v>
      </c>
      <c r="C8788">
        <v>233000</v>
      </c>
      <c r="D8788">
        <v>243.8</v>
      </c>
      <c r="E8788">
        <v>5.57E-2</v>
      </c>
      <c r="F8788">
        <v>7.5899999999999995E-2</v>
      </c>
    </row>
    <row r="8789" spans="1:6" x14ac:dyDescent="0.3">
      <c r="A8789" t="s">
        <v>8824</v>
      </c>
      <c r="B8789" t="s">
        <v>50</v>
      </c>
      <c r="C8789">
        <v>195000</v>
      </c>
      <c r="D8789">
        <v>15997.6</v>
      </c>
      <c r="E8789">
        <v>5.4699999999999999E-2</v>
      </c>
      <c r="F8789">
        <v>5.1799999999999999E-2</v>
      </c>
    </row>
    <row r="8790" spans="1:6" x14ac:dyDescent="0.3">
      <c r="A8790" t="s">
        <v>8825</v>
      </c>
      <c r="B8790" t="s">
        <v>88</v>
      </c>
      <c r="C8790">
        <v>223000</v>
      </c>
      <c r="D8790">
        <v>7313.4</v>
      </c>
      <c r="E8790">
        <v>3.6600000000000001E-2</v>
      </c>
      <c r="F8790">
        <v>9.5100000000000004E-2</v>
      </c>
    </row>
    <row r="8791" spans="1:6" x14ac:dyDescent="0.3">
      <c r="A8791" t="s">
        <v>8826</v>
      </c>
      <c r="B8791" t="s">
        <v>24</v>
      </c>
      <c r="C8791">
        <v>204000</v>
      </c>
      <c r="D8791">
        <v>57.1</v>
      </c>
      <c r="E8791">
        <v>8.9999999999999993E-3</v>
      </c>
      <c r="F8791">
        <v>0.2059</v>
      </c>
    </row>
    <row r="8792" spans="1:6" x14ac:dyDescent="0.3">
      <c r="A8792" t="s">
        <v>8827</v>
      </c>
      <c r="B8792" t="s">
        <v>81</v>
      </c>
      <c r="C8792">
        <v>281000</v>
      </c>
      <c r="D8792">
        <v>59596.5</v>
      </c>
      <c r="E8792">
        <v>3.8399999999999997E-2</v>
      </c>
      <c r="F8792">
        <v>6.7199999999999996E-2</v>
      </c>
    </row>
    <row r="8793" spans="1:6" x14ac:dyDescent="0.3">
      <c r="A8793" t="s">
        <v>8828</v>
      </c>
      <c r="B8793" t="s">
        <v>26</v>
      </c>
      <c r="C8793">
        <v>207000</v>
      </c>
      <c r="D8793">
        <v>17676.099999999999</v>
      </c>
      <c r="E8793">
        <v>2.1499999999999998E-2</v>
      </c>
      <c r="F8793">
        <v>7.5899999999999995E-2</v>
      </c>
    </row>
    <row r="8794" spans="1:6" x14ac:dyDescent="0.3">
      <c r="A8794" t="s">
        <v>8829</v>
      </c>
      <c r="B8794" t="s">
        <v>88</v>
      </c>
      <c r="C8794">
        <v>193000</v>
      </c>
      <c r="D8794">
        <v>2002.5</v>
      </c>
      <c r="E8794">
        <v>3.5099999999999999E-2</v>
      </c>
      <c r="F8794">
        <v>0.11700000000000001</v>
      </c>
    </row>
    <row r="8795" spans="1:6" x14ac:dyDescent="0.3">
      <c r="A8795" t="s">
        <v>8830</v>
      </c>
      <c r="B8795" t="s">
        <v>26</v>
      </c>
      <c r="C8795">
        <v>186000</v>
      </c>
      <c r="D8795">
        <v>10783.8</v>
      </c>
      <c r="E8795">
        <v>5.1299999999999998E-2</v>
      </c>
      <c r="F8795">
        <v>9.5100000000000004E-2</v>
      </c>
    </row>
    <row r="8796" spans="1:6" x14ac:dyDescent="0.3">
      <c r="A8796" t="s">
        <v>8831</v>
      </c>
      <c r="B8796" t="s">
        <v>26</v>
      </c>
      <c r="C8796">
        <v>195000</v>
      </c>
      <c r="D8796">
        <v>3137.3</v>
      </c>
      <c r="E8796">
        <v>1.6400000000000001E-2</v>
      </c>
      <c r="F8796">
        <v>5.8900000000000001E-2</v>
      </c>
    </row>
    <row r="8797" spans="1:6" x14ac:dyDescent="0.3">
      <c r="A8797" t="s">
        <v>8832</v>
      </c>
      <c r="B8797" t="s">
        <v>26</v>
      </c>
      <c r="C8797">
        <v>225000</v>
      </c>
      <c r="D8797">
        <v>37677.199999999997</v>
      </c>
      <c r="E8797">
        <v>3.4099999999999998E-2</v>
      </c>
      <c r="F8797">
        <v>9.5100000000000004E-2</v>
      </c>
    </row>
    <row r="8798" spans="1:6" x14ac:dyDescent="0.3">
      <c r="A8798" t="s">
        <v>8833</v>
      </c>
      <c r="B8798" t="s">
        <v>41</v>
      </c>
      <c r="C8798">
        <v>272000</v>
      </c>
      <c r="D8798">
        <v>10183.5</v>
      </c>
      <c r="E8798">
        <v>2.6800000000000001E-2</v>
      </c>
      <c r="F8798">
        <v>7.5899999999999995E-2</v>
      </c>
    </row>
    <row r="8799" spans="1:6" x14ac:dyDescent="0.3">
      <c r="A8799" t="s">
        <v>8834</v>
      </c>
      <c r="B8799" t="s">
        <v>32</v>
      </c>
      <c r="C8799">
        <v>265000</v>
      </c>
      <c r="D8799">
        <v>2262.4</v>
      </c>
      <c r="E8799">
        <v>6.3600000000000004E-2</v>
      </c>
      <c r="F8799">
        <v>7.5899999999999995E-2</v>
      </c>
    </row>
    <row r="8800" spans="1:6" x14ac:dyDescent="0.3">
      <c r="A8800" t="s">
        <v>8835</v>
      </c>
      <c r="B8800" t="s">
        <v>74</v>
      </c>
      <c r="C8800">
        <v>383000</v>
      </c>
      <c r="D8800">
        <v>17165.3</v>
      </c>
      <c r="E8800">
        <v>3.6799999999999999E-2</v>
      </c>
      <c r="F8800">
        <v>7.5899999999999995E-2</v>
      </c>
    </row>
    <row r="8801" spans="1:6" x14ac:dyDescent="0.3">
      <c r="A8801" t="s">
        <v>8836</v>
      </c>
      <c r="B8801" t="s">
        <v>41</v>
      </c>
      <c r="C8801">
        <v>374000</v>
      </c>
      <c r="D8801">
        <v>1153.3</v>
      </c>
      <c r="E8801">
        <v>9.4999999999999998E-3</v>
      </c>
      <c r="F8801">
        <v>0.1013</v>
      </c>
    </row>
    <row r="8802" spans="1:6" x14ac:dyDescent="0.3">
      <c r="A8802" t="s">
        <v>8837</v>
      </c>
      <c r="B8802" t="s">
        <v>50</v>
      </c>
      <c r="C8802">
        <v>268000</v>
      </c>
      <c r="D8802">
        <v>9017.4</v>
      </c>
      <c r="E8802">
        <v>2.1899999999999999E-2</v>
      </c>
      <c r="F8802">
        <v>5.7599999999999998E-2</v>
      </c>
    </row>
    <row r="8803" spans="1:6" x14ac:dyDescent="0.3">
      <c r="A8803" t="s">
        <v>8838</v>
      </c>
      <c r="B8803" t="s">
        <v>24</v>
      </c>
      <c r="C8803">
        <v>202000</v>
      </c>
      <c r="D8803">
        <v>48124.2</v>
      </c>
      <c r="E8803">
        <v>2.24E-2</v>
      </c>
      <c r="F8803">
        <v>5.1799999999999999E-2</v>
      </c>
    </row>
    <row r="8804" spans="1:6" x14ac:dyDescent="0.3">
      <c r="A8804" t="s">
        <v>8839</v>
      </c>
      <c r="B8804" t="s">
        <v>26</v>
      </c>
      <c r="C8804">
        <v>187000</v>
      </c>
      <c r="D8804">
        <v>5365</v>
      </c>
      <c r="E8804">
        <v>2.7699999999999999E-2</v>
      </c>
      <c r="F8804">
        <v>5.1799999999999999E-2</v>
      </c>
    </row>
    <row r="8805" spans="1:6" x14ac:dyDescent="0.3">
      <c r="A8805" t="s">
        <v>8840</v>
      </c>
      <c r="B8805" t="s">
        <v>41</v>
      </c>
      <c r="C8805">
        <v>189000</v>
      </c>
      <c r="D8805">
        <v>861.7</v>
      </c>
      <c r="E8805">
        <v>1.24E-2</v>
      </c>
      <c r="F8805">
        <v>8.1100000000000005E-2</v>
      </c>
    </row>
    <row r="8806" spans="1:6" x14ac:dyDescent="0.3">
      <c r="A8806" t="s">
        <v>8841</v>
      </c>
      <c r="B8806" t="s">
        <v>26</v>
      </c>
      <c r="C8806">
        <v>186000</v>
      </c>
      <c r="D8806">
        <v>387051</v>
      </c>
      <c r="E8806">
        <v>1.4999999999999999E-2</v>
      </c>
      <c r="F8806">
        <v>7.3599999999999999E-2</v>
      </c>
    </row>
    <row r="8807" spans="1:6" x14ac:dyDescent="0.3">
      <c r="A8807" t="s">
        <v>8842</v>
      </c>
      <c r="B8807" t="s">
        <v>74</v>
      </c>
      <c r="C8807">
        <v>243000</v>
      </c>
      <c r="D8807">
        <v>4114.2</v>
      </c>
      <c r="E8807">
        <v>4.2000000000000003E-2</v>
      </c>
      <c r="F8807">
        <v>7.5899999999999995E-2</v>
      </c>
    </row>
    <row r="8808" spans="1:6" x14ac:dyDescent="0.3">
      <c r="A8808" t="s">
        <v>8843</v>
      </c>
      <c r="B8808" t="s">
        <v>26</v>
      </c>
      <c r="C8808">
        <v>237000</v>
      </c>
      <c r="D8808">
        <v>432</v>
      </c>
      <c r="E8808">
        <v>1.9599999999999999E-2</v>
      </c>
      <c r="F8808">
        <v>0.1013</v>
      </c>
    </row>
    <row r="8809" spans="1:6" x14ac:dyDescent="0.3">
      <c r="A8809" t="s">
        <v>8844</v>
      </c>
      <c r="B8809" t="s">
        <v>26</v>
      </c>
      <c r="C8809">
        <v>193000</v>
      </c>
      <c r="D8809">
        <v>11300</v>
      </c>
      <c r="E8809">
        <v>7.3599999999999999E-2</v>
      </c>
      <c r="F8809">
        <v>4.3200000000000002E-2</v>
      </c>
    </row>
    <row r="8810" spans="1:6" x14ac:dyDescent="0.3">
      <c r="A8810" t="s">
        <v>8845</v>
      </c>
      <c r="B8810" t="s">
        <v>88</v>
      </c>
      <c r="C8810">
        <v>179000</v>
      </c>
      <c r="D8810">
        <v>936.7</v>
      </c>
      <c r="E8810">
        <v>2.4400000000000002E-2</v>
      </c>
      <c r="F8810">
        <v>5.1799999999999999E-2</v>
      </c>
    </row>
    <row r="8811" spans="1:6" x14ac:dyDescent="0.3">
      <c r="A8811" t="s">
        <v>8846</v>
      </c>
      <c r="B8811" t="s">
        <v>88</v>
      </c>
      <c r="C8811">
        <v>206000</v>
      </c>
      <c r="D8811">
        <v>1444.3</v>
      </c>
      <c r="E8811">
        <v>0.14760000000000001</v>
      </c>
      <c r="F8811">
        <v>0.1226</v>
      </c>
    </row>
    <row r="8812" spans="1:6" x14ac:dyDescent="0.3">
      <c r="A8812" t="s">
        <v>8847</v>
      </c>
      <c r="B8812" t="s">
        <v>214</v>
      </c>
      <c r="C8812">
        <v>200000</v>
      </c>
      <c r="D8812">
        <v>904.3</v>
      </c>
      <c r="F8812">
        <v>9.5100000000000004E-2</v>
      </c>
    </row>
    <row r="8813" spans="1:6" x14ac:dyDescent="0.3">
      <c r="A8813" t="s">
        <v>8848</v>
      </c>
      <c r="B8813" t="s">
        <v>24</v>
      </c>
      <c r="C8813">
        <v>203000</v>
      </c>
      <c r="D8813">
        <v>768.2</v>
      </c>
      <c r="E8813">
        <v>4.7100000000000003E-2</v>
      </c>
      <c r="F8813">
        <v>9.5100000000000004E-2</v>
      </c>
    </row>
    <row r="8814" spans="1:6" x14ac:dyDescent="0.3">
      <c r="A8814" t="s">
        <v>8849</v>
      </c>
      <c r="B8814" t="s">
        <v>32</v>
      </c>
      <c r="C8814">
        <v>191000</v>
      </c>
      <c r="D8814">
        <v>1142.0999999999999</v>
      </c>
      <c r="E8814">
        <v>5.0000000000000001E-3</v>
      </c>
      <c r="F8814">
        <v>8.2199999999999995E-2</v>
      </c>
    </row>
    <row r="8815" spans="1:6" x14ac:dyDescent="0.3">
      <c r="A8815" t="s">
        <v>8850</v>
      </c>
      <c r="B8815" t="s">
        <v>53</v>
      </c>
      <c r="C8815">
        <v>289000</v>
      </c>
      <c r="D8815">
        <v>21492.9</v>
      </c>
      <c r="E8815">
        <v>5.0200000000000002E-2</v>
      </c>
      <c r="F8815">
        <v>5.0999999999999997E-2</v>
      </c>
    </row>
    <row r="8816" spans="1:6" x14ac:dyDescent="0.3">
      <c r="A8816" t="s">
        <v>8851</v>
      </c>
      <c r="B8816" t="s">
        <v>41</v>
      </c>
      <c r="C8816">
        <v>193000</v>
      </c>
      <c r="D8816">
        <v>218.7</v>
      </c>
      <c r="E8816">
        <v>4.3099999999999999E-2</v>
      </c>
      <c r="F8816">
        <v>5.7000000000000002E-2</v>
      </c>
    </row>
    <row r="8817" spans="1:6" x14ac:dyDescent="0.3">
      <c r="A8817" t="s">
        <v>8852</v>
      </c>
      <c r="B8817" t="s">
        <v>88</v>
      </c>
      <c r="C8817">
        <v>226000</v>
      </c>
      <c r="D8817">
        <v>1120</v>
      </c>
      <c r="E8817">
        <v>3.6600000000000001E-2</v>
      </c>
      <c r="F8817">
        <v>0.11700000000000001</v>
      </c>
    </row>
    <row r="8818" spans="1:6" x14ac:dyDescent="0.3">
      <c r="A8818" t="s">
        <v>8853</v>
      </c>
      <c r="B8818" t="s">
        <v>26</v>
      </c>
      <c r="C8818">
        <v>231000</v>
      </c>
      <c r="D8818">
        <v>3448.6</v>
      </c>
      <c r="E8818">
        <v>1.0999999999999999E-2</v>
      </c>
      <c r="F8818">
        <v>7.3599999999999999E-2</v>
      </c>
    </row>
    <row r="8819" spans="1:6" x14ac:dyDescent="0.3">
      <c r="A8819" t="s">
        <v>8854</v>
      </c>
      <c r="B8819" t="s">
        <v>26</v>
      </c>
      <c r="C8819">
        <v>201000</v>
      </c>
      <c r="D8819">
        <v>55167.9</v>
      </c>
      <c r="E8819">
        <v>3.2899999999999999E-2</v>
      </c>
      <c r="F8819">
        <v>7.5899999999999995E-2</v>
      </c>
    </row>
    <row r="8820" spans="1:6" x14ac:dyDescent="0.3">
      <c r="A8820" t="s">
        <v>8855</v>
      </c>
      <c r="B8820" t="s">
        <v>214</v>
      </c>
      <c r="C8820">
        <v>216000</v>
      </c>
      <c r="D8820">
        <v>4179.6000000000004</v>
      </c>
      <c r="E8820">
        <v>2.1999999999999999E-2</v>
      </c>
      <c r="F8820">
        <v>5.4600000000000003E-2</v>
      </c>
    </row>
    <row r="8821" spans="1:6" x14ac:dyDescent="0.3">
      <c r="A8821" t="s">
        <v>8856</v>
      </c>
      <c r="B8821" t="s">
        <v>74</v>
      </c>
      <c r="C8821">
        <v>257000</v>
      </c>
      <c r="D8821">
        <v>654.70000000000005</v>
      </c>
      <c r="E8821">
        <v>4.0800000000000003E-2</v>
      </c>
      <c r="F8821">
        <v>9.3799999999999994E-2</v>
      </c>
    </row>
    <row r="8822" spans="1:6" x14ac:dyDescent="0.3">
      <c r="A8822" t="s">
        <v>8857</v>
      </c>
      <c r="B8822" t="s">
        <v>26</v>
      </c>
      <c r="C8822">
        <v>201000</v>
      </c>
      <c r="D8822">
        <v>2300.9</v>
      </c>
      <c r="E8822">
        <v>1.9800000000000002E-2</v>
      </c>
      <c r="F8822">
        <v>0.1053</v>
      </c>
    </row>
    <row r="8823" spans="1:6" x14ac:dyDescent="0.3">
      <c r="A8823" t="s">
        <v>8858</v>
      </c>
      <c r="B8823" t="s">
        <v>81</v>
      </c>
      <c r="C8823">
        <v>288000</v>
      </c>
      <c r="D8823">
        <v>44874.9</v>
      </c>
      <c r="E8823">
        <v>7.3800000000000004E-2</v>
      </c>
      <c r="F8823">
        <v>9.5100000000000004E-2</v>
      </c>
    </row>
    <row r="8824" spans="1:6" x14ac:dyDescent="0.3">
      <c r="A8824" t="s">
        <v>8859</v>
      </c>
      <c r="B8824" t="s">
        <v>50</v>
      </c>
      <c r="C8824">
        <v>503000</v>
      </c>
      <c r="D8824">
        <v>129.80000000000001</v>
      </c>
      <c r="E8824">
        <v>1.89E-2</v>
      </c>
      <c r="F8824">
        <v>4.6199999999999998E-2</v>
      </c>
    </row>
    <row r="8825" spans="1:6" x14ac:dyDescent="0.3">
      <c r="A8825" t="s">
        <v>8860</v>
      </c>
      <c r="B8825" t="s">
        <v>92</v>
      </c>
      <c r="C8825">
        <v>199000</v>
      </c>
      <c r="D8825">
        <v>395.9</v>
      </c>
      <c r="E8825">
        <v>3.7199999999999997E-2</v>
      </c>
      <c r="F8825">
        <v>7.5899999999999995E-2</v>
      </c>
    </row>
    <row r="8826" spans="1:6" x14ac:dyDescent="0.3">
      <c r="A8826" t="s">
        <v>8861</v>
      </c>
      <c r="B8826" t="s">
        <v>214</v>
      </c>
      <c r="C8826">
        <v>201000</v>
      </c>
      <c r="D8826">
        <v>3047.8</v>
      </c>
      <c r="E8826">
        <v>1.9E-3</v>
      </c>
      <c r="F8826">
        <v>6.54E-2</v>
      </c>
    </row>
    <row r="8827" spans="1:6" x14ac:dyDescent="0.3">
      <c r="A8827" t="s">
        <v>8862</v>
      </c>
      <c r="B8827" t="s">
        <v>88</v>
      </c>
      <c r="C8827">
        <v>383000</v>
      </c>
      <c r="D8827">
        <v>451.7</v>
      </c>
      <c r="E8827">
        <v>4.02E-2</v>
      </c>
      <c r="F8827">
        <v>5.1700000000000003E-2</v>
      </c>
    </row>
    <row r="8828" spans="1:6" x14ac:dyDescent="0.3">
      <c r="A8828" t="s">
        <v>8863</v>
      </c>
      <c r="B8828" t="s">
        <v>26</v>
      </c>
      <c r="C8828">
        <v>213000</v>
      </c>
      <c r="D8828">
        <v>251415.9</v>
      </c>
      <c r="E8828">
        <v>5.3E-3</v>
      </c>
      <c r="F8828">
        <v>6.54E-2</v>
      </c>
    </row>
    <row r="8829" spans="1:6" x14ac:dyDescent="0.3">
      <c r="A8829" t="s">
        <v>8864</v>
      </c>
      <c r="B8829" t="s">
        <v>26</v>
      </c>
      <c r="C8829">
        <v>187000</v>
      </c>
      <c r="F8829">
        <v>7.5899999999999995E-2</v>
      </c>
    </row>
    <row r="8830" spans="1:6" x14ac:dyDescent="0.3">
      <c r="A8830" t="s">
        <v>8865</v>
      </c>
      <c r="B8830" t="s">
        <v>88</v>
      </c>
      <c r="C8830">
        <v>262000</v>
      </c>
      <c r="D8830">
        <v>880</v>
      </c>
      <c r="E8830">
        <v>3.44E-2</v>
      </c>
      <c r="F8830">
        <v>5.0999999999999997E-2</v>
      </c>
    </row>
    <row r="8831" spans="1:6" x14ac:dyDescent="0.3">
      <c r="A8831" t="s">
        <v>8866</v>
      </c>
      <c r="B8831" t="s">
        <v>26</v>
      </c>
      <c r="C8831">
        <v>270000</v>
      </c>
      <c r="D8831">
        <v>2475.6</v>
      </c>
      <c r="E8831">
        <v>1.8800000000000001E-2</v>
      </c>
      <c r="F8831">
        <v>4.8800000000000003E-2</v>
      </c>
    </row>
    <row r="8832" spans="1:6" x14ac:dyDescent="0.3">
      <c r="A8832" t="s">
        <v>8867</v>
      </c>
      <c r="B8832" t="s">
        <v>88</v>
      </c>
      <c r="C8832">
        <v>446000</v>
      </c>
      <c r="D8832">
        <v>154876.9</v>
      </c>
      <c r="E8832">
        <v>7.1000000000000004E-3</v>
      </c>
      <c r="F8832">
        <v>8.2199999999999995E-2</v>
      </c>
    </row>
    <row r="8833" spans="1:6" x14ac:dyDescent="0.3">
      <c r="A8833" t="s">
        <v>8868</v>
      </c>
      <c r="B8833" t="s">
        <v>50</v>
      </c>
      <c r="C8833">
        <v>216000</v>
      </c>
      <c r="D8833">
        <v>10840.9</v>
      </c>
      <c r="E8833">
        <v>3.5099999999999999E-2</v>
      </c>
      <c r="F8833">
        <v>7.5899999999999995E-2</v>
      </c>
    </row>
    <row r="8834" spans="1:6" x14ac:dyDescent="0.3">
      <c r="A8834" t="s">
        <v>8869</v>
      </c>
      <c r="B8834" t="s">
        <v>32</v>
      </c>
      <c r="C8834">
        <v>238000</v>
      </c>
      <c r="D8834">
        <v>9932.2000000000007</v>
      </c>
      <c r="E8834">
        <v>1.2500000000000001E-2</v>
      </c>
      <c r="F8834">
        <v>0.1067</v>
      </c>
    </row>
    <row r="8835" spans="1:6" x14ac:dyDescent="0.3">
      <c r="A8835" t="s">
        <v>8870</v>
      </c>
      <c r="B8835" t="s">
        <v>214</v>
      </c>
      <c r="C8835">
        <v>272000</v>
      </c>
      <c r="D8835">
        <v>880</v>
      </c>
      <c r="E8835">
        <v>3.7199999999999997E-2</v>
      </c>
      <c r="F8835">
        <v>9.3799999999999994E-2</v>
      </c>
    </row>
    <row r="8836" spans="1:6" x14ac:dyDescent="0.3">
      <c r="A8836" t="s">
        <v>8871</v>
      </c>
      <c r="B8836" t="s">
        <v>88</v>
      </c>
      <c r="C8836">
        <v>247000</v>
      </c>
      <c r="D8836">
        <v>2170.8000000000002</v>
      </c>
      <c r="E8836">
        <v>3.2599999999999997E-2</v>
      </c>
      <c r="F8836">
        <v>9.3799999999999994E-2</v>
      </c>
    </row>
    <row r="8837" spans="1:6" x14ac:dyDescent="0.3">
      <c r="A8837" t="s">
        <v>8872</v>
      </c>
      <c r="B8837" t="s">
        <v>88</v>
      </c>
      <c r="C8837">
        <v>176000</v>
      </c>
      <c r="D8837">
        <v>858.1</v>
      </c>
      <c r="E8837">
        <v>2.5399999999999999E-2</v>
      </c>
      <c r="F8837">
        <v>0.11700000000000001</v>
      </c>
    </row>
    <row r="8838" spans="1:6" x14ac:dyDescent="0.3">
      <c r="A8838" t="s">
        <v>8873</v>
      </c>
      <c r="B8838" t="s">
        <v>26</v>
      </c>
      <c r="C8838">
        <v>201000</v>
      </c>
      <c r="D8838">
        <v>169.6</v>
      </c>
      <c r="E8838">
        <v>2.5499999999999998E-2</v>
      </c>
      <c r="F8838">
        <v>5.1799999999999999E-2</v>
      </c>
    </row>
    <row r="8839" spans="1:6" x14ac:dyDescent="0.3">
      <c r="A8839" t="s">
        <v>8874</v>
      </c>
      <c r="B8839" t="s">
        <v>24</v>
      </c>
      <c r="C8839">
        <v>228000</v>
      </c>
      <c r="D8839">
        <v>7556.3</v>
      </c>
      <c r="E8839">
        <v>7.7999999999999996E-3</v>
      </c>
      <c r="F8839">
        <v>8.2199999999999995E-2</v>
      </c>
    </row>
    <row r="8840" spans="1:6" x14ac:dyDescent="0.3">
      <c r="A8840" t="s">
        <v>8875</v>
      </c>
      <c r="B8840" t="s">
        <v>71</v>
      </c>
      <c r="C8840">
        <v>244000</v>
      </c>
      <c r="D8840">
        <v>9217.7000000000007</v>
      </c>
      <c r="F8840">
        <v>4.0899999999999999E-2</v>
      </c>
    </row>
    <row r="8841" spans="1:6" x14ac:dyDescent="0.3">
      <c r="A8841" t="s">
        <v>8876</v>
      </c>
      <c r="B8841" t="s">
        <v>24</v>
      </c>
      <c r="C8841">
        <v>211000</v>
      </c>
      <c r="D8841">
        <v>463.8</v>
      </c>
      <c r="E8841">
        <v>4.2500000000000003E-2</v>
      </c>
      <c r="F8841">
        <v>7.5899999999999995E-2</v>
      </c>
    </row>
    <row r="8842" spans="1:6" x14ac:dyDescent="0.3">
      <c r="A8842" t="s">
        <v>8877</v>
      </c>
      <c r="B8842" t="s">
        <v>26</v>
      </c>
      <c r="C8842">
        <v>196000</v>
      </c>
      <c r="D8842">
        <v>11572.5</v>
      </c>
      <c r="E8842">
        <v>2.0500000000000001E-2</v>
      </c>
      <c r="F8842">
        <v>9.5100000000000004E-2</v>
      </c>
    </row>
    <row r="8843" spans="1:6" x14ac:dyDescent="0.3">
      <c r="A8843" t="s">
        <v>8878</v>
      </c>
      <c r="B8843" t="s">
        <v>26</v>
      </c>
      <c r="C8843">
        <v>210000</v>
      </c>
      <c r="D8843">
        <v>11240.9</v>
      </c>
      <c r="E8843">
        <v>7.3899999999999993E-2</v>
      </c>
      <c r="F8843">
        <v>7.5899999999999995E-2</v>
      </c>
    </row>
    <row r="8844" spans="1:6" x14ac:dyDescent="0.3">
      <c r="A8844" t="s">
        <v>8879</v>
      </c>
      <c r="B8844" t="s">
        <v>53</v>
      </c>
      <c r="C8844">
        <v>198000</v>
      </c>
      <c r="D8844">
        <v>6361.2</v>
      </c>
      <c r="E8844">
        <v>9.1000000000000004E-3</v>
      </c>
      <c r="F8844">
        <v>8.2199999999999995E-2</v>
      </c>
    </row>
    <row r="8845" spans="1:6" x14ac:dyDescent="0.3">
      <c r="A8845" t="s">
        <v>8880</v>
      </c>
      <c r="B8845" t="s">
        <v>62</v>
      </c>
      <c r="C8845">
        <v>183000</v>
      </c>
      <c r="D8845">
        <v>8084.8</v>
      </c>
      <c r="E8845">
        <v>2.1100000000000001E-2</v>
      </c>
      <c r="F8845">
        <v>5.8500000000000003E-2</v>
      </c>
    </row>
    <row r="8846" spans="1:6" x14ac:dyDescent="0.3">
      <c r="A8846" t="s">
        <v>8881</v>
      </c>
      <c r="B8846" t="s">
        <v>62</v>
      </c>
      <c r="C8846">
        <v>254000</v>
      </c>
      <c r="D8846">
        <v>3477.3</v>
      </c>
      <c r="E8846">
        <v>3.2599999999999997E-2</v>
      </c>
      <c r="F8846">
        <v>9.5100000000000004E-2</v>
      </c>
    </row>
    <row r="8847" spans="1:6" x14ac:dyDescent="0.3">
      <c r="A8847" t="s">
        <v>8882</v>
      </c>
      <c r="B8847" t="s">
        <v>74</v>
      </c>
      <c r="C8847">
        <v>250000</v>
      </c>
      <c r="D8847">
        <v>5876.4</v>
      </c>
      <c r="E8847">
        <v>2.3599999999999999E-2</v>
      </c>
      <c r="F8847">
        <v>9.3799999999999994E-2</v>
      </c>
    </row>
    <row r="8848" spans="1:6" x14ac:dyDescent="0.3">
      <c r="A8848" t="s">
        <v>8883</v>
      </c>
      <c r="B8848" t="s">
        <v>195</v>
      </c>
      <c r="C8848">
        <v>184000</v>
      </c>
      <c r="D8848">
        <v>3581.5</v>
      </c>
      <c r="F8848">
        <v>5.0999999999999997E-2</v>
      </c>
    </row>
    <row r="8849" spans="1:6" x14ac:dyDescent="0.3">
      <c r="A8849" t="s">
        <v>8884</v>
      </c>
      <c r="B8849" t="s">
        <v>26</v>
      </c>
      <c r="C8849">
        <v>213000</v>
      </c>
      <c r="D8849">
        <v>1133.8</v>
      </c>
      <c r="E8849">
        <v>1.4500000000000001E-2</v>
      </c>
      <c r="F8849">
        <v>7.2599999999999998E-2</v>
      </c>
    </row>
    <row r="8850" spans="1:6" x14ac:dyDescent="0.3">
      <c r="A8850" t="s">
        <v>8885</v>
      </c>
      <c r="B8850" t="s">
        <v>26</v>
      </c>
      <c r="C8850">
        <v>210000</v>
      </c>
      <c r="D8850">
        <v>8391.2000000000007</v>
      </c>
      <c r="E8850">
        <v>2.7300000000000001E-2</v>
      </c>
      <c r="F8850">
        <v>7.5899999999999995E-2</v>
      </c>
    </row>
    <row r="8851" spans="1:6" x14ac:dyDescent="0.3">
      <c r="A8851" t="s">
        <v>8886</v>
      </c>
      <c r="B8851" t="s">
        <v>88</v>
      </c>
      <c r="C8851">
        <v>220000</v>
      </c>
      <c r="D8851">
        <v>999.9</v>
      </c>
      <c r="E8851">
        <v>4.2999999999999997E-2</v>
      </c>
      <c r="F8851">
        <v>9.3799999999999994E-2</v>
      </c>
    </row>
    <row r="8852" spans="1:6" x14ac:dyDescent="0.3">
      <c r="A8852" t="s">
        <v>8887</v>
      </c>
      <c r="B8852" t="s">
        <v>26</v>
      </c>
      <c r="C8852">
        <v>197000</v>
      </c>
      <c r="D8852">
        <v>26067.1</v>
      </c>
      <c r="E8852">
        <v>4.2200000000000001E-2</v>
      </c>
      <c r="F8852">
        <v>9.5100000000000004E-2</v>
      </c>
    </row>
    <row r="8853" spans="1:6" x14ac:dyDescent="0.3">
      <c r="A8853" t="s">
        <v>8888</v>
      </c>
      <c r="B8853" t="s">
        <v>26</v>
      </c>
      <c r="C8853">
        <v>188000</v>
      </c>
      <c r="D8853">
        <v>15778.7</v>
      </c>
      <c r="E8853">
        <v>2.7E-2</v>
      </c>
      <c r="F8853">
        <v>9.5100000000000004E-2</v>
      </c>
    </row>
    <row r="8854" spans="1:6" x14ac:dyDescent="0.3">
      <c r="A8854" t="s">
        <v>8889</v>
      </c>
      <c r="B8854" t="s">
        <v>26</v>
      </c>
      <c r="C8854">
        <v>221000</v>
      </c>
      <c r="D8854">
        <v>13901.4</v>
      </c>
      <c r="E8854">
        <v>5.1700000000000003E-2</v>
      </c>
      <c r="F8854">
        <v>7.5899999999999995E-2</v>
      </c>
    </row>
    <row r="8855" spans="1:6" x14ac:dyDescent="0.3">
      <c r="A8855" t="s">
        <v>8890</v>
      </c>
      <c r="B8855" t="s">
        <v>32</v>
      </c>
      <c r="C8855">
        <v>232000</v>
      </c>
      <c r="D8855">
        <v>1490698.5</v>
      </c>
      <c r="E8855">
        <v>1.5299999999999999E-2</v>
      </c>
      <c r="F8855">
        <v>0.1027</v>
      </c>
    </row>
    <row r="8856" spans="1:6" x14ac:dyDescent="0.3">
      <c r="A8856" t="s">
        <v>8891</v>
      </c>
      <c r="B8856" t="s">
        <v>26</v>
      </c>
      <c r="C8856">
        <v>210000</v>
      </c>
      <c r="D8856">
        <v>6011.5</v>
      </c>
      <c r="E8856">
        <v>2.9499999999999998E-2</v>
      </c>
      <c r="F8856">
        <v>4.0899999999999999E-2</v>
      </c>
    </row>
    <row r="8857" spans="1:6" x14ac:dyDescent="0.3">
      <c r="A8857" t="s">
        <v>8892</v>
      </c>
      <c r="B8857" t="s">
        <v>92</v>
      </c>
      <c r="C8857">
        <v>206000</v>
      </c>
      <c r="D8857">
        <v>24678.5</v>
      </c>
      <c r="E8857">
        <v>6.4699999999999994E-2</v>
      </c>
      <c r="F8857">
        <v>6.7199999999999996E-2</v>
      </c>
    </row>
    <row r="8858" spans="1:6" x14ac:dyDescent="0.3">
      <c r="A8858" t="s">
        <v>8893</v>
      </c>
      <c r="B8858" t="s">
        <v>41</v>
      </c>
      <c r="C8858">
        <v>378000</v>
      </c>
      <c r="D8858">
        <v>3402.2</v>
      </c>
      <c r="E8858">
        <v>3.7199999999999997E-2</v>
      </c>
      <c r="F8858">
        <v>7.5899999999999995E-2</v>
      </c>
    </row>
    <row r="8859" spans="1:6" x14ac:dyDescent="0.3">
      <c r="A8859" t="s">
        <v>8894</v>
      </c>
      <c r="B8859" t="s">
        <v>214</v>
      </c>
      <c r="C8859">
        <v>191000</v>
      </c>
      <c r="D8859">
        <v>5157.8999999999996</v>
      </c>
      <c r="E8859">
        <v>4.8800000000000003E-2</v>
      </c>
      <c r="F8859">
        <v>9.5100000000000004E-2</v>
      </c>
    </row>
    <row r="8860" spans="1:6" x14ac:dyDescent="0.3">
      <c r="A8860" t="s">
        <v>8895</v>
      </c>
      <c r="B8860" t="s">
        <v>26</v>
      </c>
      <c r="C8860">
        <v>193000</v>
      </c>
      <c r="D8860">
        <v>14847.5</v>
      </c>
      <c r="E8860">
        <v>2.53E-2</v>
      </c>
      <c r="F8860">
        <v>9.5100000000000004E-2</v>
      </c>
    </row>
    <row r="8861" spans="1:6" x14ac:dyDescent="0.3">
      <c r="A8861" t="s">
        <v>8896</v>
      </c>
      <c r="B8861" t="s">
        <v>26</v>
      </c>
      <c r="C8861">
        <v>211000</v>
      </c>
      <c r="D8861">
        <v>2770.8</v>
      </c>
      <c r="E8861">
        <v>6.7999999999999996E-3</v>
      </c>
      <c r="F8861">
        <v>8.2199999999999995E-2</v>
      </c>
    </row>
    <row r="8862" spans="1:6" x14ac:dyDescent="0.3">
      <c r="A8862" t="s">
        <v>8897</v>
      </c>
      <c r="B8862" t="s">
        <v>26</v>
      </c>
      <c r="C8862">
        <v>200000</v>
      </c>
      <c r="D8862">
        <v>10414.1</v>
      </c>
      <c r="E8862">
        <v>3.44E-2</v>
      </c>
      <c r="F8862">
        <v>7.5899999999999995E-2</v>
      </c>
    </row>
    <row r="8863" spans="1:6" x14ac:dyDescent="0.3">
      <c r="A8863" t="s">
        <v>8898</v>
      </c>
      <c r="B8863" t="s">
        <v>26</v>
      </c>
      <c r="C8863">
        <v>198000</v>
      </c>
      <c r="D8863">
        <v>277914.5</v>
      </c>
      <c r="E8863">
        <v>4.8000000000000001E-2</v>
      </c>
      <c r="F8863">
        <v>9.5100000000000004E-2</v>
      </c>
    </row>
    <row r="8864" spans="1:6" x14ac:dyDescent="0.3">
      <c r="A8864" t="s">
        <v>8899</v>
      </c>
      <c r="B8864" t="s">
        <v>26</v>
      </c>
      <c r="C8864">
        <v>208000</v>
      </c>
      <c r="D8864">
        <v>11718.9</v>
      </c>
      <c r="E8864">
        <v>4.3299999999999998E-2</v>
      </c>
      <c r="F8864">
        <v>9.3799999999999994E-2</v>
      </c>
    </row>
    <row r="8865" spans="1:6" x14ac:dyDescent="0.3">
      <c r="A8865" t="s">
        <v>8900</v>
      </c>
      <c r="B8865" t="s">
        <v>26</v>
      </c>
      <c r="C8865">
        <v>222000</v>
      </c>
      <c r="D8865">
        <v>69.099999999999994</v>
      </c>
      <c r="E8865">
        <v>3.3799999999999997E-2</v>
      </c>
      <c r="F8865">
        <v>5.1799999999999999E-2</v>
      </c>
    </row>
    <row r="8866" spans="1:6" x14ac:dyDescent="0.3">
      <c r="A8866" t="s">
        <v>8901</v>
      </c>
      <c r="B8866" t="s">
        <v>26</v>
      </c>
      <c r="C8866">
        <v>261000</v>
      </c>
      <c r="D8866">
        <v>539374.30000000005</v>
      </c>
      <c r="E8866">
        <v>3.2300000000000002E-2</v>
      </c>
      <c r="F8866">
        <v>9.5100000000000004E-2</v>
      </c>
    </row>
    <row r="8867" spans="1:6" x14ac:dyDescent="0.3">
      <c r="A8867" t="s">
        <v>8902</v>
      </c>
      <c r="B8867" t="s">
        <v>26</v>
      </c>
      <c r="C8867">
        <v>398000</v>
      </c>
      <c r="D8867">
        <v>6427.3</v>
      </c>
      <c r="E8867">
        <v>2.5499999999999998E-2</v>
      </c>
      <c r="F8867">
        <v>4.0899999999999999E-2</v>
      </c>
    </row>
    <row r="8868" spans="1:6" x14ac:dyDescent="0.3">
      <c r="A8868" t="s">
        <v>8903</v>
      </c>
      <c r="B8868" t="s">
        <v>26</v>
      </c>
      <c r="C8868">
        <v>379000</v>
      </c>
      <c r="D8868">
        <v>13884.5</v>
      </c>
      <c r="E8868">
        <v>3.4799999999999998E-2</v>
      </c>
      <c r="F8868">
        <v>9.5100000000000004E-2</v>
      </c>
    </row>
    <row r="8869" spans="1:6" x14ac:dyDescent="0.3">
      <c r="A8869" t="s">
        <v>8904</v>
      </c>
      <c r="B8869" t="s">
        <v>195</v>
      </c>
      <c r="C8869">
        <v>191000</v>
      </c>
      <c r="D8869">
        <v>2386888.4</v>
      </c>
      <c r="E8869">
        <v>3.0000000000000001E-3</v>
      </c>
      <c r="F8869">
        <v>0.3805</v>
      </c>
    </row>
    <row r="8870" spans="1:6" x14ac:dyDescent="0.3">
      <c r="A8870" t="s">
        <v>8905</v>
      </c>
      <c r="B8870" t="s">
        <v>24</v>
      </c>
      <c r="C8870">
        <v>332000</v>
      </c>
      <c r="D8870">
        <v>1062.5</v>
      </c>
      <c r="E8870">
        <v>2.7099999999999999E-2</v>
      </c>
      <c r="F8870">
        <v>7.5899999999999995E-2</v>
      </c>
    </row>
    <row r="8871" spans="1:6" x14ac:dyDescent="0.3">
      <c r="A8871" t="s">
        <v>8906</v>
      </c>
      <c r="B8871" t="s">
        <v>26</v>
      </c>
      <c r="C8871">
        <v>360000</v>
      </c>
      <c r="D8871">
        <v>15222.4</v>
      </c>
      <c r="E8871">
        <v>3.09E-2</v>
      </c>
      <c r="F8871">
        <v>4.0899999999999999E-2</v>
      </c>
    </row>
    <row r="8872" spans="1:6" x14ac:dyDescent="0.3">
      <c r="A8872" t="s">
        <v>8907</v>
      </c>
      <c r="B8872" t="s">
        <v>26</v>
      </c>
      <c r="C8872">
        <v>191000</v>
      </c>
      <c r="D8872">
        <v>473.3</v>
      </c>
      <c r="E8872">
        <v>3.3399999999999999E-2</v>
      </c>
      <c r="F8872">
        <v>7.5899999999999995E-2</v>
      </c>
    </row>
    <row r="8873" spans="1:6" x14ac:dyDescent="0.3">
      <c r="A8873" t="s">
        <v>8908</v>
      </c>
      <c r="B8873" t="s">
        <v>214</v>
      </c>
      <c r="C8873">
        <v>184000</v>
      </c>
      <c r="D8873">
        <v>6013.5</v>
      </c>
      <c r="E8873">
        <v>3.3300000000000003E-2</v>
      </c>
      <c r="F8873">
        <v>5.1799999999999999E-2</v>
      </c>
    </row>
    <row r="8874" spans="1:6" x14ac:dyDescent="0.3">
      <c r="A8874" t="s">
        <v>8909</v>
      </c>
      <c r="B8874" t="s">
        <v>214</v>
      </c>
      <c r="C8874">
        <v>201000</v>
      </c>
      <c r="D8874">
        <v>8144.4</v>
      </c>
      <c r="E8874">
        <v>1.89E-2</v>
      </c>
      <c r="F8874">
        <v>0.1067</v>
      </c>
    </row>
    <row r="8875" spans="1:6" x14ac:dyDescent="0.3">
      <c r="A8875" t="s">
        <v>8910</v>
      </c>
      <c r="B8875" t="s">
        <v>26</v>
      </c>
      <c r="C8875">
        <v>207000</v>
      </c>
      <c r="D8875">
        <v>726.6</v>
      </c>
      <c r="E8875">
        <v>8.0999999999999996E-3</v>
      </c>
      <c r="F8875">
        <v>0.1953</v>
      </c>
    </row>
    <row r="8876" spans="1:6" x14ac:dyDescent="0.3">
      <c r="A8876" t="s">
        <v>8911</v>
      </c>
      <c r="B8876" t="s">
        <v>62</v>
      </c>
      <c r="C8876">
        <v>187000</v>
      </c>
      <c r="D8876">
        <v>1940.1</v>
      </c>
      <c r="E8876">
        <v>3.7600000000000001E-2</v>
      </c>
      <c r="F8876">
        <v>9.5100000000000004E-2</v>
      </c>
    </row>
    <row r="8877" spans="1:6" x14ac:dyDescent="0.3">
      <c r="A8877" t="s">
        <v>8912</v>
      </c>
      <c r="B8877" t="s">
        <v>71</v>
      </c>
      <c r="C8877">
        <v>257000</v>
      </c>
      <c r="D8877">
        <v>11621.2</v>
      </c>
      <c r="E8877">
        <v>2.7699999999999999E-2</v>
      </c>
      <c r="F8877">
        <v>4.0899999999999999E-2</v>
      </c>
    </row>
    <row r="8878" spans="1:6" x14ac:dyDescent="0.3">
      <c r="A8878" t="s">
        <v>8913</v>
      </c>
      <c r="B8878" t="s">
        <v>26</v>
      </c>
      <c r="C8878">
        <v>227000</v>
      </c>
      <c r="D8878">
        <v>28278.3</v>
      </c>
      <c r="E8878">
        <v>3.3300000000000003E-2</v>
      </c>
      <c r="F8878">
        <v>7.5899999999999995E-2</v>
      </c>
    </row>
    <row r="8879" spans="1:6" x14ac:dyDescent="0.3">
      <c r="A8879" t="s">
        <v>8914</v>
      </c>
      <c r="B8879" t="s">
        <v>26</v>
      </c>
      <c r="C8879">
        <v>229000</v>
      </c>
      <c r="D8879">
        <v>5257.7</v>
      </c>
      <c r="E8879">
        <v>2.6499999999999999E-2</v>
      </c>
      <c r="F8879">
        <v>7.5899999999999995E-2</v>
      </c>
    </row>
    <row r="8880" spans="1:6" x14ac:dyDescent="0.3">
      <c r="A8880" t="s">
        <v>8915</v>
      </c>
      <c r="B8880" t="s">
        <v>71</v>
      </c>
      <c r="C8880">
        <v>185000</v>
      </c>
      <c r="D8880">
        <v>4918.6000000000004</v>
      </c>
      <c r="E8880">
        <v>8.9999999999999993E-3</v>
      </c>
      <c r="F8880">
        <v>0.14710000000000001</v>
      </c>
    </row>
    <row r="8881" spans="1:6" x14ac:dyDescent="0.3">
      <c r="A8881" t="s">
        <v>8916</v>
      </c>
      <c r="B8881" t="s">
        <v>26</v>
      </c>
      <c r="C8881">
        <v>204000</v>
      </c>
      <c r="D8881">
        <v>6137.8</v>
      </c>
      <c r="E8881">
        <v>1.9099999999999999E-2</v>
      </c>
      <c r="F8881">
        <v>0.4405</v>
      </c>
    </row>
    <row r="8882" spans="1:6" x14ac:dyDescent="0.3">
      <c r="A8882" t="s">
        <v>8917</v>
      </c>
      <c r="B8882" t="s">
        <v>62</v>
      </c>
      <c r="C8882">
        <v>196000</v>
      </c>
      <c r="D8882">
        <v>916.7</v>
      </c>
      <c r="E8882">
        <v>0.01</v>
      </c>
      <c r="F8882">
        <v>0.14710000000000001</v>
      </c>
    </row>
    <row r="8883" spans="1:6" x14ac:dyDescent="0.3">
      <c r="A8883" t="s">
        <v>8918</v>
      </c>
      <c r="B8883" t="s">
        <v>21</v>
      </c>
      <c r="C8883">
        <v>205000</v>
      </c>
      <c r="D8883">
        <v>821.5</v>
      </c>
      <c r="E8883">
        <v>4.82E-2</v>
      </c>
      <c r="F8883">
        <v>5.1700000000000003E-2</v>
      </c>
    </row>
    <row r="8884" spans="1:6" x14ac:dyDescent="0.3">
      <c r="A8884" t="s">
        <v>8919</v>
      </c>
      <c r="B8884" t="s">
        <v>24</v>
      </c>
      <c r="C8884">
        <v>232000</v>
      </c>
      <c r="D8884">
        <v>143446.9</v>
      </c>
      <c r="E8884">
        <v>2.52E-2</v>
      </c>
      <c r="F8884">
        <v>5.1799999999999999E-2</v>
      </c>
    </row>
    <row r="8885" spans="1:6" x14ac:dyDescent="0.3">
      <c r="A8885" t="s">
        <v>8920</v>
      </c>
      <c r="B8885" t="s">
        <v>26</v>
      </c>
      <c r="C8885">
        <v>262000</v>
      </c>
      <c r="D8885">
        <v>155467.9</v>
      </c>
      <c r="E8885">
        <v>5.16E-2</v>
      </c>
      <c r="F8885">
        <v>6.7199999999999996E-2</v>
      </c>
    </row>
    <row r="8886" spans="1:6" x14ac:dyDescent="0.3">
      <c r="A8886" t="s">
        <v>8921</v>
      </c>
      <c r="B8886" t="s">
        <v>53</v>
      </c>
      <c r="C8886">
        <v>367000</v>
      </c>
      <c r="D8886">
        <v>20451.400000000001</v>
      </c>
      <c r="E8886">
        <v>1.7899999999999999E-2</v>
      </c>
      <c r="F8886">
        <v>9.3700000000000006E-2</v>
      </c>
    </row>
    <row r="8887" spans="1:6" x14ac:dyDescent="0.3">
      <c r="A8887" t="s">
        <v>8922</v>
      </c>
      <c r="B8887" t="s">
        <v>214</v>
      </c>
      <c r="C8887">
        <v>210000</v>
      </c>
      <c r="D8887">
        <v>5236.6000000000004</v>
      </c>
      <c r="E8887">
        <v>1.9099999999999999E-2</v>
      </c>
      <c r="F8887">
        <v>9.0899999999999995E-2</v>
      </c>
    </row>
    <row r="8888" spans="1:6" x14ac:dyDescent="0.3">
      <c r="A8888" t="s">
        <v>8923</v>
      </c>
      <c r="B8888" t="s">
        <v>88</v>
      </c>
      <c r="C8888">
        <v>224000</v>
      </c>
      <c r="D8888">
        <v>7453.9</v>
      </c>
      <c r="E8888">
        <v>1.5699999999999999E-2</v>
      </c>
      <c r="F8888">
        <v>0.1067</v>
      </c>
    </row>
    <row r="8889" spans="1:6" x14ac:dyDescent="0.3">
      <c r="A8889" t="s">
        <v>8924</v>
      </c>
      <c r="B8889" t="s">
        <v>81</v>
      </c>
      <c r="C8889">
        <v>342000</v>
      </c>
      <c r="D8889">
        <v>7990.9</v>
      </c>
      <c r="E8889">
        <v>3.39E-2</v>
      </c>
      <c r="F8889">
        <v>4.0899999999999999E-2</v>
      </c>
    </row>
    <row r="8890" spans="1:6" x14ac:dyDescent="0.3">
      <c r="A8890" t="s">
        <v>8925</v>
      </c>
      <c r="B8890" t="s">
        <v>26</v>
      </c>
      <c r="C8890">
        <v>187000</v>
      </c>
      <c r="D8890">
        <v>914.6</v>
      </c>
      <c r="E8890">
        <v>1.5299999999999999E-2</v>
      </c>
      <c r="F8890">
        <v>6.54E-2</v>
      </c>
    </row>
    <row r="8891" spans="1:6" x14ac:dyDescent="0.3">
      <c r="A8891" t="s">
        <v>8926</v>
      </c>
      <c r="B8891" t="s">
        <v>88</v>
      </c>
      <c r="C8891">
        <v>211000</v>
      </c>
      <c r="D8891">
        <v>295.5</v>
      </c>
      <c r="E8891">
        <v>2.0899999999999998E-2</v>
      </c>
      <c r="F8891">
        <v>0.11700000000000001</v>
      </c>
    </row>
    <row r="8892" spans="1:6" x14ac:dyDescent="0.3">
      <c r="A8892" t="s">
        <v>8927</v>
      </c>
      <c r="B8892" t="s">
        <v>88</v>
      </c>
      <c r="C8892">
        <v>251000</v>
      </c>
      <c r="D8892">
        <v>523.70000000000005</v>
      </c>
      <c r="E8892">
        <v>8.1500000000000003E-2</v>
      </c>
      <c r="F8892">
        <v>6.7199999999999996E-2</v>
      </c>
    </row>
    <row r="8893" spans="1:6" x14ac:dyDescent="0.3">
      <c r="A8893" t="s">
        <v>8928</v>
      </c>
      <c r="B8893" t="s">
        <v>62</v>
      </c>
      <c r="C8893">
        <v>179000</v>
      </c>
      <c r="D8893">
        <v>66153.100000000006</v>
      </c>
      <c r="E8893">
        <v>7.7200000000000005E-2</v>
      </c>
      <c r="F8893">
        <v>5.1799999999999999E-2</v>
      </c>
    </row>
    <row r="8894" spans="1:6" x14ac:dyDescent="0.3">
      <c r="A8894" t="s">
        <v>8929</v>
      </c>
      <c r="B8894" t="s">
        <v>26</v>
      </c>
      <c r="C8894">
        <v>191000</v>
      </c>
      <c r="D8894">
        <v>85023.7</v>
      </c>
      <c r="E8894">
        <v>1.6500000000000001E-2</v>
      </c>
      <c r="F8894">
        <v>4.6199999999999998E-2</v>
      </c>
    </row>
    <row r="8895" spans="1:6" x14ac:dyDescent="0.3">
      <c r="A8895" t="s">
        <v>8930</v>
      </c>
      <c r="B8895" t="s">
        <v>88</v>
      </c>
      <c r="C8895">
        <v>328000</v>
      </c>
      <c r="D8895">
        <v>20322.3</v>
      </c>
      <c r="E8895">
        <v>4.02E-2</v>
      </c>
      <c r="F8895">
        <v>7.5899999999999995E-2</v>
      </c>
    </row>
    <row r="8896" spans="1:6" x14ac:dyDescent="0.3">
      <c r="A8896" t="s">
        <v>8931</v>
      </c>
      <c r="B8896" t="s">
        <v>26</v>
      </c>
      <c r="C8896">
        <v>308000</v>
      </c>
      <c r="D8896">
        <v>5019.7</v>
      </c>
      <c r="F8896">
        <v>9.3799999999999994E-2</v>
      </c>
    </row>
    <row r="8897" spans="1:6" x14ac:dyDescent="0.3">
      <c r="A8897" t="s">
        <v>8932</v>
      </c>
      <c r="B8897" t="s">
        <v>26</v>
      </c>
      <c r="C8897">
        <v>271000</v>
      </c>
      <c r="D8897">
        <v>776338.8</v>
      </c>
      <c r="E8897">
        <v>1.01E-2</v>
      </c>
      <c r="F8897">
        <v>8.2199999999999995E-2</v>
      </c>
    </row>
    <row r="8898" spans="1:6" x14ac:dyDescent="0.3">
      <c r="A8898" t="s">
        <v>8933</v>
      </c>
      <c r="B8898" t="s">
        <v>26</v>
      </c>
      <c r="C8898">
        <v>190000</v>
      </c>
      <c r="D8898">
        <v>5160.7</v>
      </c>
      <c r="E8898">
        <v>3.49E-2</v>
      </c>
      <c r="F8898">
        <v>9.5100000000000004E-2</v>
      </c>
    </row>
    <row r="8899" spans="1:6" x14ac:dyDescent="0.3">
      <c r="A8899" t="s">
        <v>8934</v>
      </c>
      <c r="B8899" t="s">
        <v>26</v>
      </c>
      <c r="C8899">
        <v>217000</v>
      </c>
      <c r="D8899">
        <v>657.2</v>
      </c>
      <c r="E8899">
        <v>6.3E-3</v>
      </c>
      <c r="F8899">
        <v>6.54E-2</v>
      </c>
    </row>
    <row r="8900" spans="1:6" x14ac:dyDescent="0.3">
      <c r="A8900" t="s">
        <v>8935</v>
      </c>
      <c r="B8900" t="s">
        <v>53</v>
      </c>
      <c r="C8900">
        <v>176000</v>
      </c>
      <c r="D8900">
        <v>19531.5</v>
      </c>
      <c r="E8900">
        <v>5.5300000000000002E-2</v>
      </c>
      <c r="F8900">
        <v>5.1799999999999999E-2</v>
      </c>
    </row>
    <row r="8901" spans="1:6" x14ac:dyDescent="0.3">
      <c r="A8901" t="s">
        <v>8936</v>
      </c>
      <c r="B8901" t="s">
        <v>41</v>
      </c>
      <c r="C8901">
        <v>186000</v>
      </c>
      <c r="D8901">
        <v>691.2</v>
      </c>
      <c r="F8901">
        <v>6.4399999999999999E-2</v>
      </c>
    </row>
    <row r="8902" spans="1:6" x14ac:dyDescent="0.3">
      <c r="A8902" t="s">
        <v>8937</v>
      </c>
      <c r="B8902" t="s">
        <v>88</v>
      </c>
      <c r="C8902">
        <v>212000</v>
      </c>
      <c r="D8902">
        <v>6875.5</v>
      </c>
      <c r="E8902">
        <v>0.02</v>
      </c>
      <c r="F8902">
        <v>0.1067</v>
      </c>
    </row>
    <row r="8903" spans="1:6" x14ac:dyDescent="0.3">
      <c r="A8903" t="s">
        <v>8938</v>
      </c>
      <c r="B8903" t="s">
        <v>92</v>
      </c>
      <c r="C8903">
        <v>229000</v>
      </c>
      <c r="D8903">
        <v>25915.9</v>
      </c>
      <c r="E8903">
        <v>1.8E-3</v>
      </c>
      <c r="F8903">
        <v>6.54E-2</v>
      </c>
    </row>
    <row r="8904" spans="1:6" x14ac:dyDescent="0.3">
      <c r="A8904" t="s">
        <v>8939</v>
      </c>
      <c r="B8904" t="s">
        <v>26</v>
      </c>
      <c r="C8904">
        <v>230000</v>
      </c>
      <c r="D8904">
        <v>7645.7</v>
      </c>
      <c r="E8904">
        <v>5.0999999999999997E-2</v>
      </c>
      <c r="F8904">
        <v>7.5899999999999995E-2</v>
      </c>
    </row>
    <row r="8905" spans="1:6" x14ac:dyDescent="0.3">
      <c r="A8905" t="s">
        <v>8940</v>
      </c>
      <c r="B8905" t="s">
        <v>26</v>
      </c>
      <c r="C8905">
        <v>217000</v>
      </c>
      <c r="D8905">
        <v>3768.6</v>
      </c>
      <c r="E8905">
        <v>1.7399999999999999E-2</v>
      </c>
      <c r="F8905">
        <v>7.2599999999999998E-2</v>
      </c>
    </row>
    <row r="8906" spans="1:6" x14ac:dyDescent="0.3">
      <c r="A8906" t="s">
        <v>8941</v>
      </c>
      <c r="B8906" t="s">
        <v>88</v>
      </c>
      <c r="C8906">
        <v>200000</v>
      </c>
      <c r="D8906">
        <v>1763.5</v>
      </c>
      <c r="E8906">
        <v>3.4599999999999999E-2</v>
      </c>
      <c r="F8906">
        <v>9.3799999999999994E-2</v>
      </c>
    </row>
    <row r="8907" spans="1:6" x14ac:dyDescent="0.3">
      <c r="A8907" t="s">
        <v>8942</v>
      </c>
      <c r="B8907" t="s">
        <v>41</v>
      </c>
      <c r="C8907">
        <v>313000</v>
      </c>
      <c r="D8907">
        <v>6361.2</v>
      </c>
      <c r="E8907">
        <v>1.9E-2</v>
      </c>
      <c r="F8907">
        <v>0.12620000000000001</v>
      </c>
    </row>
    <row r="8908" spans="1:6" x14ac:dyDescent="0.3">
      <c r="A8908" t="s">
        <v>8943</v>
      </c>
      <c r="B8908" t="s">
        <v>53</v>
      </c>
      <c r="C8908">
        <v>179000</v>
      </c>
      <c r="D8908">
        <v>21633.1</v>
      </c>
      <c r="E8908">
        <v>0.10249999999999999</v>
      </c>
      <c r="F8908">
        <v>9.5100000000000004E-2</v>
      </c>
    </row>
    <row r="8909" spans="1:6" x14ac:dyDescent="0.3">
      <c r="A8909" t="s">
        <v>8944</v>
      </c>
      <c r="B8909" t="s">
        <v>71</v>
      </c>
      <c r="C8909">
        <v>191000</v>
      </c>
      <c r="D8909">
        <v>3990.2</v>
      </c>
      <c r="E8909">
        <v>1.7500000000000002E-2</v>
      </c>
      <c r="F8909">
        <v>0.1067</v>
      </c>
    </row>
    <row r="8910" spans="1:6" x14ac:dyDescent="0.3">
      <c r="A8910" t="s">
        <v>8945</v>
      </c>
      <c r="B8910" t="s">
        <v>28</v>
      </c>
      <c r="C8910">
        <v>348000</v>
      </c>
      <c r="D8910">
        <v>122663.8</v>
      </c>
      <c r="E8910">
        <v>5.1000000000000004E-3</v>
      </c>
      <c r="F8910">
        <v>8.2199999999999995E-2</v>
      </c>
    </row>
    <row r="8911" spans="1:6" x14ac:dyDescent="0.3">
      <c r="A8911" t="s">
        <v>8946</v>
      </c>
      <c r="B8911" t="s">
        <v>88</v>
      </c>
      <c r="C8911">
        <v>233000</v>
      </c>
      <c r="D8911">
        <v>243.4</v>
      </c>
      <c r="E8911">
        <v>1.12E-2</v>
      </c>
      <c r="F8911">
        <v>0.10059999999999999</v>
      </c>
    </row>
    <row r="8912" spans="1:6" x14ac:dyDescent="0.3">
      <c r="A8912" t="s">
        <v>8947</v>
      </c>
      <c r="B8912" t="s">
        <v>24</v>
      </c>
      <c r="C8912">
        <v>233000</v>
      </c>
      <c r="D8912">
        <v>1827.9</v>
      </c>
      <c r="E8912">
        <v>4.6800000000000001E-2</v>
      </c>
      <c r="F8912">
        <v>0.1241</v>
      </c>
    </row>
    <row r="8913" spans="1:6" x14ac:dyDescent="0.3">
      <c r="A8913" t="s">
        <v>8948</v>
      </c>
      <c r="B8913" t="s">
        <v>92</v>
      </c>
      <c r="C8913">
        <v>227000</v>
      </c>
      <c r="D8913">
        <v>12393</v>
      </c>
      <c r="E8913">
        <v>2.0199999999999999E-2</v>
      </c>
      <c r="F8913">
        <v>6.08E-2</v>
      </c>
    </row>
    <row r="8914" spans="1:6" x14ac:dyDescent="0.3">
      <c r="A8914" t="s">
        <v>8949</v>
      </c>
      <c r="B8914" t="s">
        <v>53</v>
      </c>
      <c r="C8914">
        <v>491000</v>
      </c>
      <c r="D8914">
        <v>32899.9</v>
      </c>
      <c r="E8914">
        <v>4.3400000000000001E-2</v>
      </c>
      <c r="F8914">
        <v>7.5899999999999995E-2</v>
      </c>
    </row>
    <row r="8915" spans="1:6" x14ac:dyDescent="0.3">
      <c r="A8915" t="s">
        <v>8950</v>
      </c>
      <c r="B8915" t="s">
        <v>21</v>
      </c>
      <c r="C8915">
        <v>367000</v>
      </c>
      <c r="D8915">
        <v>126186.2</v>
      </c>
      <c r="E8915">
        <v>2.12E-2</v>
      </c>
      <c r="F8915">
        <v>7.5899999999999995E-2</v>
      </c>
    </row>
    <row r="8916" spans="1:6" x14ac:dyDescent="0.3">
      <c r="A8916" t="s">
        <v>8951</v>
      </c>
      <c r="B8916" t="s">
        <v>88</v>
      </c>
      <c r="C8916">
        <v>223000</v>
      </c>
      <c r="D8916">
        <v>106</v>
      </c>
      <c r="E8916">
        <v>4.2299999999999997E-2</v>
      </c>
      <c r="F8916">
        <v>7.5899999999999995E-2</v>
      </c>
    </row>
    <row r="8917" spans="1:6" x14ac:dyDescent="0.3">
      <c r="A8917" t="s">
        <v>8952</v>
      </c>
      <c r="B8917" t="s">
        <v>32</v>
      </c>
      <c r="C8917">
        <v>274000</v>
      </c>
      <c r="D8917">
        <v>2038.5</v>
      </c>
      <c r="E8917">
        <v>2.76E-2</v>
      </c>
      <c r="F8917">
        <v>9.3799999999999994E-2</v>
      </c>
    </row>
    <row r="8918" spans="1:6" x14ac:dyDescent="0.3">
      <c r="A8918" t="s">
        <v>8953</v>
      </c>
      <c r="B8918" t="s">
        <v>88</v>
      </c>
      <c r="C8918">
        <v>193000</v>
      </c>
      <c r="D8918">
        <v>22273.1</v>
      </c>
      <c r="E8918">
        <v>4.2999999999999997E-2</v>
      </c>
      <c r="F8918">
        <v>9.5100000000000004E-2</v>
      </c>
    </row>
    <row r="8919" spans="1:6" x14ac:dyDescent="0.3">
      <c r="A8919" t="s">
        <v>8954</v>
      </c>
      <c r="B8919" t="s">
        <v>26</v>
      </c>
      <c r="C8919">
        <v>253000</v>
      </c>
      <c r="D8919">
        <v>4361.2</v>
      </c>
      <c r="E8919">
        <v>0.02</v>
      </c>
      <c r="F8919">
        <v>0.1053</v>
      </c>
    </row>
    <row r="8920" spans="1:6" x14ac:dyDescent="0.3">
      <c r="A8920" t="s">
        <v>8955</v>
      </c>
      <c r="B8920" t="s">
        <v>32</v>
      </c>
      <c r="C8920">
        <v>339000</v>
      </c>
      <c r="D8920">
        <v>3826411.8</v>
      </c>
      <c r="E8920">
        <v>2.1899999999999999E-2</v>
      </c>
      <c r="F8920">
        <v>5.1799999999999999E-2</v>
      </c>
    </row>
    <row r="8921" spans="1:6" x14ac:dyDescent="0.3">
      <c r="A8921" t="s">
        <v>8956</v>
      </c>
      <c r="B8921" t="s">
        <v>62</v>
      </c>
      <c r="C8921">
        <v>300000</v>
      </c>
      <c r="D8921">
        <v>4122.5</v>
      </c>
      <c r="F8921">
        <v>9.3799999999999994E-2</v>
      </c>
    </row>
    <row r="8922" spans="1:6" x14ac:dyDescent="0.3">
      <c r="A8922" t="s">
        <v>8957</v>
      </c>
      <c r="B8922" t="s">
        <v>26</v>
      </c>
      <c r="C8922">
        <v>186000</v>
      </c>
      <c r="D8922">
        <v>2217.1</v>
      </c>
      <c r="E8922">
        <v>3.3500000000000002E-2</v>
      </c>
      <c r="F8922">
        <v>9.5100000000000004E-2</v>
      </c>
    </row>
    <row r="8923" spans="1:6" x14ac:dyDescent="0.3">
      <c r="A8923" t="s">
        <v>8958</v>
      </c>
      <c r="B8923" t="s">
        <v>26</v>
      </c>
      <c r="C8923">
        <v>226000</v>
      </c>
      <c r="D8923">
        <v>1787.7</v>
      </c>
      <c r="E8923">
        <v>1.95E-2</v>
      </c>
      <c r="F8923">
        <v>8.5400000000000004E-2</v>
      </c>
    </row>
    <row r="8924" spans="1:6" x14ac:dyDescent="0.3">
      <c r="A8924" t="s">
        <v>8959</v>
      </c>
      <c r="B8924" t="s">
        <v>26</v>
      </c>
      <c r="C8924">
        <v>293000</v>
      </c>
      <c r="D8924">
        <v>23073.200000000001</v>
      </c>
      <c r="E8924">
        <v>4.9500000000000002E-2</v>
      </c>
      <c r="F8924">
        <v>9.5100000000000004E-2</v>
      </c>
    </row>
    <row r="8925" spans="1:6" x14ac:dyDescent="0.3">
      <c r="A8925" t="s">
        <v>8960</v>
      </c>
      <c r="B8925" t="s">
        <v>88</v>
      </c>
      <c r="C8925">
        <v>279000</v>
      </c>
      <c r="D8925">
        <v>1686.1</v>
      </c>
      <c r="E8925">
        <v>3.1E-2</v>
      </c>
      <c r="F8925">
        <v>7.5899999999999995E-2</v>
      </c>
    </row>
    <row r="8926" spans="1:6" x14ac:dyDescent="0.3">
      <c r="A8926" t="s">
        <v>8961</v>
      </c>
      <c r="B8926" t="s">
        <v>92</v>
      </c>
      <c r="C8926">
        <v>195000</v>
      </c>
      <c r="D8926">
        <v>420.8</v>
      </c>
      <c r="E8926">
        <v>1.3899999999999999E-2</v>
      </c>
      <c r="F8926">
        <v>0.18859999999999999</v>
      </c>
    </row>
    <row r="8927" spans="1:6" x14ac:dyDescent="0.3">
      <c r="A8927" t="s">
        <v>8962</v>
      </c>
      <c r="B8927" t="s">
        <v>26</v>
      </c>
      <c r="C8927">
        <v>180000</v>
      </c>
      <c r="D8927">
        <v>10725.5</v>
      </c>
      <c r="E8927">
        <v>2.01E-2</v>
      </c>
      <c r="F8927">
        <v>0.13900000000000001</v>
      </c>
    </row>
    <row r="8928" spans="1:6" x14ac:dyDescent="0.3">
      <c r="A8928" t="s">
        <v>8963</v>
      </c>
      <c r="B8928" t="s">
        <v>50</v>
      </c>
      <c r="C8928">
        <v>224000</v>
      </c>
      <c r="D8928">
        <v>689.6</v>
      </c>
      <c r="E8928">
        <v>8.6999999999999994E-3</v>
      </c>
      <c r="F8928">
        <v>8.2199999999999995E-2</v>
      </c>
    </row>
    <row r="8929" spans="1:6" x14ac:dyDescent="0.3">
      <c r="A8929" t="s">
        <v>8964</v>
      </c>
      <c r="B8929" t="s">
        <v>21</v>
      </c>
      <c r="C8929">
        <v>282000</v>
      </c>
      <c r="D8929">
        <v>14043.6</v>
      </c>
      <c r="E8929">
        <v>1.38E-2</v>
      </c>
      <c r="F8929">
        <v>8.14E-2</v>
      </c>
    </row>
    <row r="8930" spans="1:6" x14ac:dyDescent="0.3">
      <c r="A8930" t="s">
        <v>8965</v>
      </c>
      <c r="B8930" t="s">
        <v>26</v>
      </c>
      <c r="C8930">
        <v>186000</v>
      </c>
      <c r="D8930">
        <v>412670.2</v>
      </c>
      <c r="E8930">
        <v>9.3100000000000002E-2</v>
      </c>
      <c r="F8930">
        <v>5.4600000000000003E-2</v>
      </c>
    </row>
    <row r="8931" spans="1:6" x14ac:dyDescent="0.3">
      <c r="A8931" t="s">
        <v>8966</v>
      </c>
      <c r="B8931" t="s">
        <v>74</v>
      </c>
      <c r="C8931">
        <v>248000</v>
      </c>
      <c r="D8931">
        <v>1168.4000000000001</v>
      </c>
      <c r="E8931">
        <v>5.45E-2</v>
      </c>
      <c r="F8931">
        <v>9.3799999999999994E-2</v>
      </c>
    </row>
    <row r="8932" spans="1:6" x14ac:dyDescent="0.3">
      <c r="A8932" t="s">
        <v>8967</v>
      </c>
      <c r="B8932" t="s">
        <v>41</v>
      </c>
      <c r="C8932">
        <v>392000</v>
      </c>
      <c r="D8932">
        <v>45313</v>
      </c>
      <c r="E8932">
        <v>5.0599999999999999E-2</v>
      </c>
      <c r="F8932">
        <v>7.5899999999999995E-2</v>
      </c>
    </row>
    <row r="8933" spans="1:6" x14ac:dyDescent="0.3">
      <c r="A8933" t="s">
        <v>8968</v>
      </c>
      <c r="B8933" t="s">
        <v>26</v>
      </c>
      <c r="C8933">
        <v>180000</v>
      </c>
      <c r="D8933">
        <v>4089.4</v>
      </c>
      <c r="E8933">
        <v>6.3E-2</v>
      </c>
      <c r="F8933">
        <v>9.5100000000000004E-2</v>
      </c>
    </row>
    <row r="8934" spans="1:6" x14ac:dyDescent="0.3">
      <c r="A8934" t="s">
        <v>8969</v>
      </c>
      <c r="B8934" t="s">
        <v>287</v>
      </c>
      <c r="C8934">
        <v>314000</v>
      </c>
      <c r="D8934">
        <v>424254.3</v>
      </c>
      <c r="F8934">
        <v>9.5100000000000004E-2</v>
      </c>
    </row>
    <row r="8935" spans="1:6" x14ac:dyDescent="0.3">
      <c r="A8935" t="s">
        <v>8970</v>
      </c>
      <c r="B8935" t="s">
        <v>81</v>
      </c>
      <c r="C8935">
        <v>186000</v>
      </c>
      <c r="D8935">
        <v>14038.5</v>
      </c>
      <c r="E8935">
        <v>5.7099999999999998E-2</v>
      </c>
      <c r="F8935">
        <v>9.5100000000000004E-2</v>
      </c>
    </row>
    <row r="8936" spans="1:6" x14ac:dyDescent="0.3">
      <c r="A8936" t="s">
        <v>8971</v>
      </c>
      <c r="B8936" t="s">
        <v>195</v>
      </c>
      <c r="C8936">
        <v>231000</v>
      </c>
      <c r="D8936">
        <v>406.3</v>
      </c>
      <c r="E8936">
        <v>3.1199999999999999E-2</v>
      </c>
      <c r="F8936">
        <v>0.1168</v>
      </c>
    </row>
    <row r="8937" spans="1:6" x14ac:dyDescent="0.3">
      <c r="A8937" t="s">
        <v>8972</v>
      </c>
      <c r="B8937" t="s">
        <v>62</v>
      </c>
      <c r="C8937">
        <v>191000</v>
      </c>
      <c r="D8937">
        <v>27158</v>
      </c>
      <c r="E8937">
        <v>3.7999999999999999E-2</v>
      </c>
      <c r="F8937">
        <v>5.1799999999999999E-2</v>
      </c>
    </row>
    <row r="8938" spans="1:6" x14ac:dyDescent="0.3">
      <c r="A8938" t="s">
        <v>8973</v>
      </c>
      <c r="B8938" t="s">
        <v>26</v>
      </c>
      <c r="C8938">
        <v>196000</v>
      </c>
      <c r="D8938">
        <v>12344.1</v>
      </c>
      <c r="E8938">
        <v>4.7300000000000002E-2</v>
      </c>
      <c r="F8938">
        <v>8.4500000000000006E-2</v>
      </c>
    </row>
    <row r="8939" spans="1:6" x14ac:dyDescent="0.3">
      <c r="A8939" t="s">
        <v>8974</v>
      </c>
      <c r="B8939" t="s">
        <v>41</v>
      </c>
      <c r="C8939">
        <v>387000</v>
      </c>
      <c r="D8939">
        <v>641.6</v>
      </c>
      <c r="E8939">
        <v>1.1900000000000001E-2</v>
      </c>
      <c r="F8939">
        <v>0.22670000000000001</v>
      </c>
    </row>
    <row r="8940" spans="1:6" x14ac:dyDescent="0.3">
      <c r="A8940" t="s">
        <v>8975</v>
      </c>
      <c r="B8940" t="s">
        <v>24</v>
      </c>
      <c r="C8940">
        <v>250000</v>
      </c>
      <c r="D8940">
        <v>427.3</v>
      </c>
      <c r="E8940">
        <v>1.5299999999999999E-2</v>
      </c>
      <c r="F8940">
        <v>6.1600000000000002E-2</v>
      </c>
    </row>
    <row r="8941" spans="1:6" x14ac:dyDescent="0.3">
      <c r="A8941" t="s">
        <v>8976</v>
      </c>
      <c r="B8941" t="s">
        <v>214</v>
      </c>
      <c r="C8941">
        <v>254000</v>
      </c>
      <c r="D8941">
        <v>1537.7</v>
      </c>
      <c r="E8941">
        <v>6.0900000000000003E-2</v>
      </c>
      <c r="F8941">
        <v>7.5899999999999995E-2</v>
      </c>
    </row>
    <row r="8942" spans="1:6" x14ac:dyDescent="0.3">
      <c r="A8942" t="s">
        <v>8977</v>
      </c>
      <c r="B8942" t="s">
        <v>50</v>
      </c>
      <c r="C8942">
        <v>198000</v>
      </c>
      <c r="D8942">
        <v>2742.7</v>
      </c>
      <c r="E8942">
        <v>3.85E-2</v>
      </c>
      <c r="F8942">
        <v>0.1226</v>
      </c>
    </row>
    <row r="8943" spans="1:6" x14ac:dyDescent="0.3">
      <c r="A8943" t="s">
        <v>8978</v>
      </c>
      <c r="B8943" t="s">
        <v>62</v>
      </c>
      <c r="C8943">
        <v>863000</v>
      </c>
      <c r="D8943">
        <v>1123.7</v>
      </c>
      <c r="F8943">
        <v>9.3799999999999994E-2</v>
      </c>
    </row>
    <row r="8944" spans="1:6" x14ac:dyDescent="0.3">
      <c r="A8944" t="s">
        <v>8979</v>
      </c>
      <c r="B8944" t="s">
        <v>50</v>
      </c>
      <c r="C8944">
        <v>348000</v>
      </c>
      <c r="D8944">
        <v>1637</v>
      </c>
      <c r="E8944">
        <v>6.4999999999999997E-3</v>
      </c>
      <c r="F8944">
        <v>8.1100000000000005E-2</v>
      </c>
    </row>
    <row r="8945" spans="1:6" x14ac:dyDescent="0.3">
      <c r="A8945" t="s">
        <v>8980</v>
      </c>
      <c r="B8945" t="s">
        <v>26</v>
      </c>
      <c r="C8945">
        <v>196000</v>
      </c>
      <c r="D8945">
        <v>8169.7</v>
      </c>
      <c r="E8945">
        <v>2.1399999999999999E-2</v>
      </c>
      <c r="F8945">
        <v>4.0899999999999999E-2</v>
      </c>
    </row>
    <row r="8946" spans="1:6" x14ac:dyDescent="0.3">
      <c r="A8946" t="s">
        <v>8981</v>
      </c>
      <c r="B8946" t="s">
        <v>81</v>
      </c>
      <c r="C8946">
        <v>233000</v>
      </c>
      <c r="D8946">
        <v>18907.5</v>
      </c>
      <c r="E8946">
        <v>5.8999999999999997E-2</v>
      </c>
      <c r="F8946">
        <v>7.5899999999999995E-2</v>
      </c>
    </row>
    <row r="8947" spans="1:6" x14ac:dyDescent="0.3">
      <c r="A8947" t="s">
        <v>8982</v>
      </c>
      <c r="B8947" t="s">
        <v>26</v>
      </c>
      <c r="C8947">
        <v>220000</v>
      </c>
      <c r="D8947">
        <v>41091.1</v>
      </c>
      <c r="E8947">
        <v>2.9600000000000001E-2</v>
      </c>
      <c r="F8947">
        <v>9.5100000000000004E-2</v>
      </c>
    </row>
    <row r="8948" spans="1:6" x14ac:dyDescent="0.3">
      <c r="A8948" t="s">
        <v>8983</v>
      </c>
      <c r="B8948" t="s">
        <v>88</v>
      </c>
      <c r="C8948">
        <v>280000</v>
      </c>
      <c r="D8948">
        <v>1160</v>
      </c>
      <c r="E8948">
        <v>8.7099999999999997E-2</v>
      </c>
      <c r="F8948">
        <v>7.5899999999999995E-2</v>
      </c>
    </row>
    <row r="8949" spans="1:6" x14ac:dyDescent="0.3">
      <c r="A8949" t="s">
        <v>8984</v>
      </c>
      <c r="B8949" t="s">
        <v>21</v>
      </c>
      <c r="C8949">
        <v>191000</v>
      </c>
      <c r="D8949">
        <v>5244.6</v>
      </c>
      <c r="E8949">
        <v>2.8199999999999999E-2</v>
      </c>
      <c r="F8949">
        <v>9.5100000000000004E-2</v>
      </c>
    </row>
    <row r="8950" spans="1:6" x14ac:dyDescent="0.3">
      <c r="A8950" t="s">
        <v>8985</v>
      </c>
      <c r="B8950" t="s">
        <v>24</v>
      </c>
      <c r="C8950">
        <v>244000</v>
      </c>
      <c r="D8950">
        <v>19672</v>
      </c>
      <c r="E8950">
        <v>5.3800000000000001E-2</v>
      </c>
      <c r="F8950">
        <v>7.5899999999999995E-2</v>
      </c>
    </row>
    <row r="8951" spans="1:6" x14ac:dyDescent="0.3">
      <c r="A8951" t="s">
        <v>8986</v>
      </c>
      <c r="B8951" t="s">
        <v>53</v>
      </c>
      <c r="C8951">
        <v>398000</v>
      </c>
      <c r="D8951">
        <v>44767.5</v>
      </c>
      <c r="E8951">
        <v>1.12E-2</v>
      </c>
      <c r="F8951">
        <v>5.8400000000000001E-2</v>
      </c>
    </row>
    <row r="8952" spans="1:6" x14ac:dyDescent="0.3">
      <c r="A8952" t="s">
        <v>8987</v>
      </c>
      <c r="B8952" t="s">
        <v>53</v>
      </c>
      <c r="C8952">
        <v>179000</v>
      </c>
      <c r="D8952">
        <v>7693.7</v>
      </c>
      <c r="E8952">
        <v>5.3499999999999999E-2</v>
      </c>
      <c r="F8952">
        <v>9.5100000000000004E-2</v>
      </c>
    </row>
    <row r="8953" spans="1:6" x14ac:dyDescent="0.3">
      <c r="A8953" t="s">
        <v>8988</v>
      </c>
      <c r="B8953" t="s">
        <v>24</v>
      </c>
      <c r="C8953">
        <v>213000</v>
      </c>
      <c r="D8953">
        <v>10709.1</v>
      </c>
      <c r="E8953">
        <v>3.1E-2</v>
      </c>
      <c r="F8953">
        <v>7.5899999999999995E-2</v>
      </c>
    </row>
    <row r="8954" spans="1:6" x14ac:dyDescent="0.3">
      <c r="A8954" t="s">
        <v>8989</v>
      </c>
      <c r="B8954" t="s">
        <v>26</v>
      </c>
      <c r="C8954">
        <v>205000</v>
      </c>
      <c r="D8954">
        <v>2431.6</v>
      </c>
      <c r="E8954">
        <v>2.3099999999999999E-2</v>
      </c>
      <c r="F8954">
        <v>0.2064</v>
      </c>
    </row>
    <row r="8955" spans="1:6" x14ac:dyDescent="0.3">
      <c r="A8955" t="s">
        <v>8990</v>
      </c>
      <c r="B8955" t="s">
        <v>21</v>
      </c>
      <c r="C8955">
        <v>187000</v>
      </c>
      <c r="D8955">
        <v>2927.3</v>
      </c>
      <c r="E8955">
        <v>1.0800000000000001E-2</v>
      </c>
      <c r="F8955">
        <v>7.3599999999999999E-2</v>
      </c>
    </row>
    <row r="8956" spans="1:6" x14ac:dyDescent="0.3">
      <c r="A8956" t="s">
        <v>8991</v>
      </c>
      <c r="B8956" t="s">
        <v>24</v>
      </c>
      <c r="C8956">
        <v>398000</v>
      </c>
      <c r="D8956">
        <v>70907.8</v>
      </c>
      <c r="E8956">
        <v>3.6600000000000001E-2</v>
      </c>
      <c r="F8956">
        <v>8.4500000000000006E-2</v>
      </c>
    </row>
    <row r="8957" spans="1:6" x14ac:dyDescent="0.3">
      <c r="A8957" t="s">
        <v>8992</v>
      </c>
      <c r="B8957" t="s">
        <v>88</v>
      </c>
      <c r="C8957">
        <v>194000</v>
      </c>
      <c r="D8957">
        <v>354.1</v>
      </c>
      <c r="E8957">
        <v>3.3399999999999999E-2</v>
      </c>
      <c r="F8957">
        <v>5.0999999999999997E-2</v>
      </c>
    </row>
    <row r="8958" spans="1:6" x14ac:dyDescent="0.3">
      <c r="A8958" t="s">
        <v>8993</v>
      </c>
      <c r="B8958" t="s">
        <v>26</v>
      </c>
      <c r="C8958">
        <v>274000</v>
      </c>
      <c r="D8958">
        <v>3445.5</v>
      </c>
      <c r="E8958">
        <v>4.9099999999999998E-2</v>
      </c>
      <c r="F8958">
        <v>7.5899999999999995E-2</v>
      </c>
    </row>
    <row r="8959" spans="1:6" x14ac:dyDescent="0.3">
      <c r="A8959" t="s">
        <v>8994</v>
      </c>
      <c r="B8959" t="s">
        <v>26</v>
      </c>
      <c r="C8959">
        <v>224000</v>
      </c>
      <c r="D8959">
        <v>15365.3</v>
      </c>
      <c r="E8959">
        <v>2.4500000000000001E-2</v>
      </c>
      <c r="F8959">
        <v>5.8500000000000003E-2</v>
      </c>
    </row>
    <row r="8960" spans="1:6" x14ac:dyDescent="0.3">
      <c r="A8960" t="s">
        <v>8995</v>
      </c>
      <c r="B8960" t="s">
        <v>74</v>
      </c>
      <c r="C8960">
        <v>567000</v>
      </c>
      <c r="D8960">
        <v>3349.8</v>
      </c>
      <c r="E8960">
        <v>4.6399999999999997E-2</v>
      </c>
      <c r="F8960">
        <v>7.5899999999999995E-2</v>
      </c>
    </row>
    <row r="8961" spans="1:6" x14ac:dyDescent="0.3">
      <c r="A8961" t="s">
        <v>8996</v>
      </c>
      <c r="B8961" t="s">
        <v>53</v>
      </c>
      <c r="C8961">
        <v>183000</v>
      </c>
      <c r="D8961">
        <v>479.1</v>
      </c>
      <c r="E8961">
        <v>1.0999999999999999E-2</v>
      </c>
      <c r="F8961">
        <v>8.2199999999999995E-2</v>
      </c>
    </row>
    <row r="8962" spans="1:6" x14ac:dyDescent="0.3">
      <c r="A8962" t="s">
        <v>8997</v>
      </c>
      <c r="B8962" t="s">
        <v>74</v>
      </c>
      <c r="C8962">
        <v>872000</v>
      </c>
      <c r="D8962">
        <v>32373.3</v>
      </c>
      <c r="E8962">
        <v>5.4699999999999999E-2</v>
      </c>
      <c r="F8962">
        <v>7.5899999999999995E-2</v>
      </c>
    </row>
    <row r="8963" spans="1:6" x14ac:dyDescent="0.3">
      <c r="A8963" t="s">
        <v>8998</v>
      </c>
      <c r="B8963" t="s">
        <v>71</v>
      </c>
      <c r="C8963">
        <v>304000</v>
      </c>
      <c r="D8963">
        <v>79109.7</v>
      </c>
      <c r="E8963">
        <v>5.6000000000000001E-2</v>
      </c>
      <c r="F8963">
        <v>7.5899999999999995E-2</v>
      </c>
    </row>
    <row r="8964" spans="1:6" x14ac:dyDescent="0.3">
      <c r="A8964" t="s">
        <v>8999</v>
      </c>
      <c r="B8964" t="s">
        <v>50</v>
      </c>
      <c r="C8964">
        <v>265000</v>
      </c>
      <c r="D8964">
        <v>51440.6</v>
      </c>
      <c r="E8964">
        <v>4.1000000000000002E-2</v>
      </c>
      <c r="F8964">
        <v>7.5899999999999995E-2</v>
      </c>
    </row>
    <row r="8965" spans="1:6" x14ac:dyDescent="0.3">
      <c r="A8965" t="s">
        <v>9000</v>
      </c>
      <c r="B8965" t="s">
        <v>74</v>
      </c>
      <c r="C8965">
        <v>217000</v>
      </c>
      <c r="D8965">
        <v>1939.5</v>
      </c>
      <c r="E8965">
        <v>1.9099999999999999E-2</v>
      </c>
      <c r="F8965">
        <v>8.5400000000000004E-2</v>
      </c>
    </row>
    <row r="8966" spans="1:6" x14ac:dyDescent="0.3">
      <c r="A8966" t="s">
        <v>9001</v>
      </c>
      <c r="B8966" t="s">
        <v>26</v>
      </c>
      <c r="C8966">
        <v>200000</v>
      </c>
      <c r="D8966">
        <v>223159.9</v>
      </c>
      <c r="E8966">
        <v>2.3699999999999999E-2</v>
      </c>
      <c r="F8966">
        <v>7.5899999999999995E-2</v>
      </c>
    </row>
    <row r="8967" spans="1:6" x14ac:dyDescent="0.3">
      <c r="A8967" t="s">
        <v>9002</v>
      </c>
      <c r="B8967" t="s">
        <v>88</v>
      </c>
      <c r="C8967">
        <v>318000</v>
      </c>
      <c r="D8967">
        <v>36820.199999999997</v>
      </c>
      <c r="E8967">
        <v>1.9699999999999999E-2</v>
      </c>
      <c r="F8967">
        <v>0.1053</v>
      </c>
    </row>
    <row r="8968" spans="1:6" x14ac:dyDescent="0.3">
      <c r="A8968" t="s">
        <v>9003</v>
      </c>
      <c r="B8968" t="s">
        <v>92</v>
      </c>
      <c r="C8968">
        <v>296000</v>
      </c>
      <c r="D8968">
        <v>51424.3</v>
      </c>
      <c r="E8968">
        <v>6.8999999999999999E-3</v>
      </c>
      <c r="F8968">
        <v>8.2199999999999995E-2</v>
      </c>
    </row>
    <row r="8969" spans="1:6" x14ac:dyDescent="0.3">
      <c r="A8969" t="s">
        <v>9004</v>
      </c>
      <c r="B8969" t="s">
        <v>26</v>
      </c>
      <c r="C8969">
        <v>181000</v>
      </c>
      <c r="D8969">
        <v>1314.9</v>
      </c>
      <c r="E8969">
        <v>2.3599999999999999E-2</v>
      </c>
      <c r="F8969">
        <v>0.13719999999999999</v>
      </c>
    </row>
    <row r="8970" spans="1:6" x14ac:dyDescent="0.3">
      <c r="A8970" t="s">
        <v>9005</v>
      </c>
      <c r="B8970" t="s">
        <v>53</v>
      </c>
      <c r="C8970">
        <v>863000</v>
      </c>
      <c r="D8970">
        <v>257258.4</v>
      </c>
      <c r="E8970">
        <v>5.8299999999999998E-2</v>
      </c>
      <c r="F8970">
        <v>7.5899999999999995E-2</v>
      </c>
    </row>
    <row r="8971" spans="1:6" x14ac:dyDescent="0.3">
      <c r="A8971" t="s">
        <v>9006</v>
      </c>
      <c r="B8971" t="s">
        <v>26</v>
      </c>
      <c r="C8971">
        <v>193000</v>
      </c>
      <c r="D8971">
        <v>1601</v>
      </c>
      <c r="E8971">
        <v>3.4200000000000001E-2</v>
      </c>
      <c r="F8971">
        <v>9.5100000000000004E-2</v>
      </c>
    </row>
    <row r="8972" spans="1:6" x14ac:dyDescent="0.3">
      <c r="A8972" t="s">
        <v>9007</v>
      </c>
      <c r="B8972" t="s">
        <v>30</v>
      </c>
      <c r="C8972">
        <v>354000</v>
      </c>
      <c r="D8972">
        <v>24395</v>
      </c>
      <c r="E8972">
        <v>3.8100000000000002E-2</v>
      </c>
      <c r="F8972">
        <v>7.5899999999999995E-2</v>
      </c>
    </row>
    <row r="8973" spans="1:6" x14ac:dyDescent="0.3">
      <c r="A8973" t="s">
        <v>9008</v>
      </c>
      <c r="B8973" t="s">
        <v>88</v>
      </c>
      <c r="C8973">
        <v>196000</v>
      </c>
      <c r="D8973">
        <v>8553</v>
      </c>
      <c r="F8973">
        <v>7.5899999999999995E-2</v>
      </c>
    </row>
    <row r="8974" spans="1:6" x14ac:dyDescent="0.3">
      <c r="A8974" t="s">
        <v>9009</v>
      </c>
      <c r="B8974" t="s">
        <v>21</v>
      </c>
      <c r="C8974">
        <v>384000</v>
      </c>
      <c r="D8974">
        <v>46016.7</v>
      </c>
      <c r="E8974">
        <v>3.39E-2</v>
      </c>
      <c r="F8974">
        <v>8.3299999999999999E-2</v>
      </c>
    </row>
    <row r="8975" spans="1:6" x14ac:dyDescent="0.3">
      <c r="A8975" t="s">
        <v>9010</v>
      </c>
      <c r="B8975" t="s">
        <v>214</v>
      </c>
      <c r="C8975">
        <v>448000</v>
      </c>
      <c r="D8975">
        <v>119667.6</v>
      </c>
      <c r="E8975">
        <v>2.07E-2</v>
      </c>
      <c r="F8975">
        <v>7.5899999999999995E-2</v>
      </c>
    </row>
    <row r="8976" spans="1:6" x14ac:dyDescent="0.3">
      <c r="A8976" t="s">
        <v>9011</v>
      </c>
      <c r="B8976" t="s">
        <v>214</v>
      </c>
      <c r="C8976">
        <v>316000</v>
      </c>
      <c r="D8976">
        <v>85823.6</v>
      </c>
      <c r="E8976">
        <v>1.43E-2</v>
      </c>
      <c r="F8976">
        <v>9.4899999999999998E-2</v>
      </c>
    </row>
    <row r="8977" spans="1:6" x14ac:dyDescent="0.3">
      <c r="A8977" t="s">
        <v>9012</v>
      </c>
      <c r="B8977" t="s">
        <v>24</v>
      </c>
      <c r="C8977">
        <v>177000</v>
      </c>
      <c r="D8977">
        <v>13345705</v>
      </c>
      <c r="E8977">
        <v>8.6E-3</v>
      </c>
      <c r="F8977">
        <v>8.2199999999999995E-2</v>
      </c>
    </row>
    <row r="8978" spans="1:6" x14ac:dyDescent="0.3">
      <c r="A8978" t="s">
        <v>9013</v>
      </c>
      <c r="B8978" t="s">
        <v>50</v>
      </c>
      <c r="C8978">
        <v>212000</v>
      </c>
      <c r="D8978">
        <v>1146251.3999999999</v>
      </c>
      <c r="E8978">
        <v>7.4099999999999999E-2</v>
      </c>
      <c r="F8978">
        <v>5.1799999999999999E-2</v>
      </c>
    </row>
    <row r="8979" spans="1:6" x14ac:dyDescent="0.3">
      <c r="A8979" t="s">
        <v>9014</v>
      </c>
      <c r="B8979" t="s">
        <v>24</v>
      </c>
      <c r="C8979">
        <v>295000</v>
      </c>
      <c r="D8979">
        <v>2777.8</v>
      </c>
      <c r="E8979">
        <v>6.6699999999999995E-2</v>
      </c>
      <c r="F8979">
        <v>9.3799999999999994E-2</v>
      </c>
    </row>
    <row r="8980" spans="1:6" x14ac:dyDescent="0.3">
      <c r="A8980" t="s">
        <v>9015</v>
      </c>
      <c r="B8980" t="s">
        <v>81</v>
      </c>
      <c r="C8980">
        <v>194000</v>
      </c>
      <c r="D8980">
        <v>7499.5</v>
      </c>
      <c r="E8980">
        <v>1.9199999999999998E-2</v>
      </c>
      <c r="F8980">
        <v>4.6199999999999998E-2</v>
      </c>
    </row>
    <row r="8981" spans="1:6" x14ac:dyDescent="0.3">
      <c r="A8981" t="s">
        <v>9016</v>
      </c>
      <c r="B8981" t="s">
        <v>88</v>
      </c>
      <c r="C8981">
        <v>196000</v>
      </c>
      <c r="D8981">
        <v>1361.3</v>
      </c>
      <c r="E8981">
        <v>3.3000000000000002E-2</v>
      </c>
      <c r="F8981">
        <v>0.17100000000000001</v>
      </c>
    </row>
    <row r="8982" spans="1:6" x14ac:dyDescent="0.3">
      <c r="A8982" t="s">
        <v>9017</v>
      </c>
      <c r="B8982" t="s">
        <v>41</v>
      </c>
      <c r="C8982">
        <v>215000</v>
      </c>
      <c r="D8982">
        <v>2258.6</v>
      </c>
      <c r="E8982">
        <v>4.5900000000000003E-2</v>
      </c>
      <c r="F8982">
        <v>5.0999999999999997E-2</v>
      </c>
    </row>
    <row r="8983" spans="1:6" x14ac:dyDescent="0.3">
      <c r="A8983" t="s">
        <v>9018</v>
      </c>
      <c r="B8983" t="s">
        <v>26</v>
      </c>
      <c r="C8983">
        <v>261000</v>
      </c>
      <c r="D8983">
        <v>21666.400000000001</v>
      </c>
      <c r="E8983">
        <v>1.52E-2</v>
      </c>
      <c r="F8983">
        <v>4.6199999999999998E-2</v>
      </c>
    </row>
    <row r="8984" spans="1:6" x14ac:dyDescent="0.3">
      <c r="A8984" t="s">
        <v>9019</v>
      </c>
      <c r="B8984" t="s">
        <v>41</v>
      </c>
      <c r="C8984">
        <v>256000</v>
      </c>
      <c r="D8984">
        <v>12323.6</v>
      </c>
      <c r="E8984">
        <v>7.17E-2</v>
      </c>
      <c r="F8984">
        <v>7.5899999999999995E-2</v>
      </c>
    </row>
    <row r="8985" spans="1:6" x14ac:dyDescent="0.3">
      <c r="A8985" t="s">
        <v>9020</v>
      </c>
      <c r="B8985" t="s">
        <v>92</v>
      </c>
      <c r="C8985">
        <v>191000</v>
      </c>
      <c r="D8985">
        <v>232617.1</v>
      </c>
      <c r="E8985">
        <v>2.2100000000000002E-2</v>
      </c>
      <c r="F8985">
        <v>9.5100000000000004E-2</v>
      </c>
    </row>
    <row r="8986" spans="1:6" x14ac:dyDescent="0.3">
      <c r="A8986" t="s">
        <v>9021</v>
      </c>
      <c r="B8986" t="s">
        <v>74</v>
      </c>
      <c r="C8986">
        <v>237000</v>
      </c>
      <c r="D8986">
        <v>1403</v>
      </c>
      <c r="E8986">
        <v>4.0500000000000001E-2</v>
      </c>
      <c r="F8986">
        <v>7.5899999999999995E-2</v>
      </c>
    </row>
    <row r="8987" spans="1:6" x14ac:dyDescent="0.3">
      <c r="A8987" t="s">
        <v>9022</v>
      </c>
      <c r="B8987" t="s">
        <v>71</v>
      </c>
      <c r="C8987">
        <v>231000</v>
      </c>
      <c r="D8987">
        <v>4252.7</v>
      </c>
      <c r="E8987">
        <v>2.8199999999999999E-2</v>
      </c>
      <c r="F8987">
        <v>9.3799999999999994E-2</v>
      </c>
    </row>
    <row r="8988" spans="1:6" x14ac:dyDescent="0.3">
      <c r="A8988" t="s">
        <v>9023</v>
      </c>
      <c r="B8988" t="s">
        <v>74</v>
      </c>
      <c r="C8988">
        <v>531000</v>
      </c>
      <c r="D8988">
        <v>6082.7</v>
      </c>
      <c r="E8988">
        <v>3.3000000000000002E-2</v>
      </c>
      <c r="F8988">
        <v>9.3799999999999994E-2</v>
      </c>
    </row>
    <row r="8989" spans="1:6" x14ac:dyDescent="0.3">
      <c r="A8989" t="s">
        <v>9024</v>
      </c>
      <c r="B8989" t="s">
        <v>50</v>
      </c>
      <c r="C8989">
        <v>242000</v>
      </c>
      <c r="D8989">
        <v>6021.1</v>
      </c>
      <c r="E8989">
        <v>4.3700000000000003E-2</v>
      </c>
      <c r="F8989">
        <v>7.5899999999999995E-2</v>
      </c>
    </row>
    <row r="8990" spans="1:6" x14ac:dyDescent="0.3">
      <c r="A8990" t="s">
        <v>9025</v>
      </c>
      <c r="B8990" t="s">
        <v>21</v>
      </c>
      <c r="C8990">
        <v>179000</v>
      </c>
      <c r="D8990">
        <v>1983.9</v>
      </c>
      <c r="E8990">
        <v>1.3899999999999999E-2</v>
      </c>
      <c r="F8990">
        <v>0.1067</v>
      </c>
    </row>
    <row r="8991" spans="1:6" x14ac:dyDescent="0.3">
      <c r="A8991" t="s">
        <v>9026</v>
      </c>
      <c r="B8991" t="s">
        <v>26</v>
      </c>
      <c r="C8991">
        <v>313000</v>
      </c>
      <c r="D8991">
        <v>331711.40000000002</v>
      </c>
      <c r="E8991">
        <v>3.3700000000000001E-2</v>
      </c>
      <c r="F8991">
        <v>7.5899999999999995E-2</v>
      </c>
    </row>
    <row r="8992" spans="1:6" x14ac:dyDescent="0.3">
      <c r="A8992" t="s">
        <v>9027</v>
      </c>
      <c r="B8992" t="s">
        <v>88</v>
      </c>
      <c r="C8992">
        <v>252000</v>
      </c>
      <c r="D8992">
        <v>10374.5</v>
      </c>
      <c r="E8992">
        <v>7.1999999999999998E-3</v>
      </c>
      <c r="F8992">
        <v>8.2199999999999995E-2</v>
      </c>
    </row>
    <row r="8993" spans="1:6" x14ac:dyDescent="0.3">
      <c r="A8993" t="s">
        <v>9028</v>
      </c>
      <c r="B8993" t="s">
        <v>74</v>
      </c>
      <c r="C8993">
        <v>185000</v>
      </c>
      <c r="D8993">
        <v>16912.900000000001</v>
      </c>
      <c r="F8993">
        <v>7.5899999999999995E-2</v>
      </c>
    </row>
    <row r="8994" spans="1:6" x14ac:dyDescent="0.3">
      <c r="A8994" t="s">
        <v>9029</v>
      </c>
      <c r="B8994" t="s">
        <v>214</v>
      </c>
      <c r="C8994">
        <v>203000</v>
      </c>
      <c r="D8994">
        <v>33332.5</v>
      </c>
      <c r="E8994">
        <v>1.8700000000000001E-2</v>
      </c>
      <c r="F8994">
        <v>0.1067</v>
      </c>
    </row>
    <row r="8995" spans="1:6" x14ac:dyDescent="0.3">
      <c r="A8995" t="s">
        <v>9030</v>
      </c>
      <c r="B8995" t="s">
        <v>41</v>
      </c>
      <c r="C8995">
        <v>198000</v>
      </c>
      <c r="D8995">
        <v>1183.0999999999999</v>
      </c>
      <c r="E8995">
        <v>2.4799999999999999E-2</v>
      </c>
      <c r="F8995">
        <v>9.5100000000000004E-2</v>
      </c>
    </row>
    <row r="8996" spans="1:6" x14ac:dyDescent="0.3">
      <c r="A8996" t="s">
        <v>9031</v>
      </c>
      <c r="B8996" t="s">
        <v>30</v>
      </c>
      <c r="C8996">
        <v>266000</v>
      </c>
      <c r="D8996">
        <v>611.70000000000005</v>
      </c>
      <c r="E8996">
        <v>3.6200000000000003E-2</v>
      </c>
      <c r="F8996">
        <v>9.5100000000000004E-2</v>
      </c>
    </row>
    <row r="8997" spans="1:6" x14ac:dyDescent="0.3">
      <c r="A8997" t="s">
        <v>9032</v>
      </c>
      <c r="B8997" t="s">
        <v>26</v>
      </c>
      <c r="C8997">
        <v>195000</v>
      </c>
      <c r="D8997">
        <v>766.2</v>
      </c>
      <c r="E8997">
        <v>1.43E-2</v>
      </c>
      <c r="F8997">
        <v>4.6199999999999998E-2</v>
      </c>
    </row>
    <row r="8998" spans="1:6" x14ac:dyDescent="0.3">
      <c r="A8998" t="s">
        <v>9033</v>
      </c>
      <c r="B8998" t="s">
        <v>24</v>
      </c>
      <c r="C8998">
        <v>218000</v>
      </c>
      <c r="D8998">
        <v>737</v>
      </c>
      <c r="F8998">
        <v>9.3799999999999994E-2</v>
      </c>
    </row>
    <row r="8999" spans="1:6" x14ac:dyDescent="0.3">
      <c r="A8999" t="s">
        <v>9034</v>
      </c>
      <c r="B8999" t="s">
        <v>81</v>
      </c>
      <c r="C8999">
        <v>180000</v>
      </c>
      <c r="D8999">
        <v>6432.6</v>
      </c>
      <c r="E8999">
        <v>3.9699999999999999E-2</v>
      </c>
      <c r="F8999">
        <v>9.5100000000000004E-2</v>
      </c>
    </row>
    <row r="9000" spans="1:6" x14ac:dyDescent="0.3">
      <c r="A9000" t="s">
        <v>9035</v>
      </c>
      <c r="B9000" t="s">
        <v>26</v>
      </c>
      <c r="C9000">
        <v>1330000</v>
      </c>
      <c r="D9000">
        <v>27612123.300000001</v>
      </c>
      <c r="E9000">
        <v>1.6799999999999999E-2</v>
      </c>
      <c r="F9000">
        <v>5.8500000000000003E-2</v>
      </c>
    </row>
    <row r="9001" spans="1:6" x14ac:dyDescent="0.3">
      <c r="A9001" t="s">
        <v>9036</v>
      </c>
      <c r="B9001" t="s">
        <v>30</v>
      </c>
      <c r="C9001">
        <v>179000</v>
      </c>
      <c r="D9001">
        <v>753.2</v>
      </c>
      <c r="E9001">
        <v>1.26E-2</v>
      </c>
      <c r="F9001">
        <v>0.1067</v>
      </c>
    </row>
    <row r="9002" spans="1:6" x14ac:dyDescent="0.3">
      <c r="A9002" t="s">
        <v>9037</v>
      </c>
      <c r="B9002" t="s">
        <v>195</v>
      </c>
      <c r="C9002">
        <v>208000</v>
      </c>
      <c r="D9002">
        <v>7763.2</v>
      </c>
      <c r="E9002">
        <v>3.3099999999999997E-2</v>
      </c>
      <c r="F9002">
        <v>7.5899999999999995E-2</v>
      </c>
    </row>
    <row r="9003" spans="1:6" x14ac:dyDescent="0.3">
      <c r="A9003" t="s">
        <v>9038</v>
      </c>
      <c r="B9003" t="s">
        <v>32</v>
      </c>
      <c r="C9003">
        <v>244000</v>
      </c>
      <c r="D9003">
        <v>9173.6</v>
      </c>
      <c r="E9003">
        <v>1.14E-2</v>
      </c>
      <c r="F9003">
        <v>5.8400000000000001E-2</v>
      </c>
    </row>
    <row r="9004" spans="1:6" x14ac:dyDescent="0.3">
      <c r="A9004" t="s">
        <v>9039</v>
      </c>
      <c r="B9004" t="s">
        <v>30</v>
      </c>
      <c r="C9004">
        <v>286000</v>
      </c>
      <c r="D9004">
        <v>8077.7</v>
      </c>
      <c r="E9004">
        <v>2.1600000000000001E-2</v>
      </c>
      <c r="F9004">
        <v>9.5100000000000004E-2</v>
      </c>
    </row>
    <row r="9005" spans="1:6" x14ac:dyDescent="0.3">
      <c r="A9005" t="s">
        <v>9040</v>
      </c>
      <c r="B9005" t="s">
        <v>88</v>
      </c>
      <c r="C9005">
        <v>220000</v>
      </c>
      <c r="D9005">
        <v>3049.4</v>
      </c>
      <c r="E9005">
        <v>9.1000000000000004E-3</v>
      </c>
      <c r="F9005">
        <v>0.10150000000000001</v>
      </c>
    </row>
    <row r="9006" spans="1:6" x14ac:dyDescent="0.3">
      <c r="A9006" t="s">
        <v>9041</v>
      </c>
      <c r="B9006" t="s">
        <v>71</v>
      </c>
      <c r="C9006">
        <v>320000</v>
      </c>
      <c r="D9006">
        <v>18613.599999999999</v>
      </c>
      <c r="E9006">
        <v>3.8399999999999997E-2</v>
      </c>
      <c r="F9006">
        <v>7.5899999999999995E-2</v>
      </c>
    </row>
    <row r="9007" spans="1:6" x14ac:dyDescent="0.3">
      <c r="A9007" t="s">
        <v>9042</v>
      </c>
      <c r="B9007" t="s">
        <v>32</v>
      </c>
      <c r="C9007">
        <v>321000</v>
      </c>
      <c r="D9007">
        <v>727720.3</v>
      </c>
      <c r="E9007">
        <v>1.7500000000000002E-2</v>
      </c>
      <c r="F9007">
        <v>0.1953</v>
      </c>
    </row>
    <row r="9008" spans="1:6" x14ac:dyDescent="0.3">
      <c r="A9008" t="s">
        <v>9043</v>
      </c>
      <c r="B9008" t="s">
        <v>92</v>
      </c>
      <c r="C9008">
        <v>178000</v>
      </c>
      <c r="D9008">
        <v>171.3</v>
      </c>
      <c r="E9008">
        <v>1.24E-2</v>
      </c>
      <c r="F9008">
        <v>5.8500000000000003E-2</v>
      </c>
    </row>
    <row r="9009" spans="1:6" x14ac:dyDescent="0.3">
      <c r="A9009" t="s">
        <v>9044</v>
      </c>
      <c r="B9009" t="s">
        <v>24</v>
      </c>
      <c r="C9009">
        <v>227000</v>
      </c>
      <c r="D9009">
        <v>1480.4</v>
      </c>
      <c r="E9009">
        <v>1.9099999999999999E-2</v>
      </c>
      <c r="F9009">
        <v>0.59619999999999995</v>
      </c>
    </row>
    <row r="9010" spans="1:6" x14ac:dyDescent="0.3">
      <c r="A9010" t="s">
        <v>9045</v>
      </c>
      <c r="B9010" t="s">
        <v>81</v>
      </c>
      <c r="C9010">
        <v>197000</v>
      </c>
      <c r="D9010">
        <v>375.4</v>
      </c>
      <c r="E9010">
        <v>1.4999999999999999E-2</v>
      </c>
      <c r="F9010">
        <v>4.6199999999999998E-2</v>
      </c>
    </row>
    <row r="9011" spans="1:6" x14ac:dyDescent="0.3">
      <c r="A9011" t="s">
        <v>9046</v>
      </c>
      <c r="B9011" t="s">
        <v>26</v>
      </c>
      <c r="C9011">
        <v>285000</v>
      </c>
      <c r="D9011">
        <v>29163.4</v>
      </c>
      <c r="F9011">
        <v>4.0899999999999999E-2</v>
      </c>
    </row>
    <row r="9012" spans="1:6" x14ac:dyDescent="0.3">
      <c r="A9012" t="s">
        <v>9047</v>
      </c>
      <c r="B9012" t="s">
        <v>62</v>
      </c>
      <c r="C9012">
        <v>303000</v>
      </c>
      <c r="D9012">
        <v>66333.600000000006</v>
      </c>
      <c r="E9012">
        <v>6.3200000000000006E-2</v>
      </c>
      <c r="F9012">
        <v>4.0899999999999999E-2</v>
      </c>
    </row>
    <row r="9013" spans="1:6" x14ac:dyDescent="0.3">
      <c r="A9013" t="s">
        <v>9048</v>
      </c>
      <c r="B9013" t="s">
        <v>26</v>
      </c>
      <c r="C9013">
        <v>178000</v>
      </c>
      <c r="D9013">
        <v>124316.3</v>
      </c>
      <c r="E9013">
        <v>3.3799999999999997E-2</v>
      </c>
      <c r="F9013">
        <v>9.5100000000000004E-2</v>
      </c>
    </row>
    <row r="9014" spans="1:6" x14ac:dyDescent="0.3">
      <c r="A9014" t="s">
        <v>9049</v>
      </c>
      <c r="B9014" t="s">
        <v>88</v>
      </c>
      <c r="C9014">
        <v>193000</v>
      </c>
      <c r="D9014">
        <v>104.2</v>
      </c>
      <c r="E9014">
        <v>3.27E-2</v>
      </c>
      <c r="F9014">
        <v>9.3799999999999994E-2</v>
      </c>
    </row>
    <row r="9015" spans="1:6" x14ac:dyDescent="0.3">
      <c r="A9015" t="s">
        <v>9050</v>
      </c>
      <c r="B9015" t="s">
        <v>71</v>
      </c>
      <c r="C9015">
        <v>203000</v>
      </c>
      <c r="D9015">
        <v>221.7</v>
      </c>
      <c r="E9015">
        <v>2.4E-2</v>
      </c>
      <c r="F9015">
        <v>0.1226</v>
      </c>
    </row>
    <row r="9016" spans="1:6" x14ac:dyDescent="0.3">
      <c r="A9016" t="s">
        <v>9051</v>
      </c>
      <c r="B9016" t="s">
        <v>88</v>
      </c>
      <c r="C9016">
        <v>187000</v>
      </c>
      <c r="D9016">
        <v>493.4</v>
      </c>
      <c r="E9016">
        <v>2.7799999999999998E-2</v>
      </c>
      <c r="F9016">
        <v>7.5899999999999995E-2</v>
      </c>
    </row>
    <row r="9017" spans="1:6" x14ac:dyDescent="0.3">
      <c r="A9017" t="s">
        <v>9052</v>
      </c>
      <c r="B9017" t="s">
        <v>26</v>
      </c>
      <c r="C9017">
        <v>194000</v>
      </c>
      <c r="D9017">
        <v>716.8</v>
      </c>
      <c r="E9017">
        <v>2.9000000000000001E-2</v>
      </c>
      <c r="F9017">
        <v>7.5899999999999995E-2</v>
      </c>
    </row>
    <row r="9018" spans="1:6" x14ac:dyDescent="0.3">
      <c r="A9018" t="s">
        <v>9053</v>
      </c>
      <c r="B9018" t="s">
        <v>53</v>
      </c>
      <c r="C9018">
        <v>201000</v>
      </c>
      <c r="D9018">
        <v>130772.9</v>
      </c>
      <c r="E9018">
        <v>3.5999999999999997E-2</v>
      </c>
      <c r="F9018">
        <v>9.5100000000000004E-2</v>
      </c>
    </row>
    <row r="9019" spans="1:6" x14ac:dyDescent="0.3">
      <c r="A9019" t="s">
        <v>9054</v>
      </c>
      <c r="B9019" t="s">
        <v>21</v>
      </c>
      <c r="C9019">
        <v>253000</v>
      </c>
      <c r="D9019">
        <v>5583.2</v>
      </c>
      <c r="E9019">
        <v>6.9599999999999995E-2</v>
      </c>
      <c r="F9019">
        <v>9.3799999999999994E-2</v>
      </c>
    </row>
    <row r="9020" spans="1:6" x14ac:dyDescent="0.3">
      <c r="A9020" t="s">
        <v>9055</v>
      </c>
      <c r="B9020" t="s">
        <v>26</v>
      </c>
      <c r="C9020">
        <v>228000</v>
      </c>
      <c r="D9020">
        <v>61426.3</v>
      </c>
      <c r="E9020">
        <v>2.3199999999999998E-2</v>
      </c>
      <c r="F9020">
        <v>4.0899999999999999E-2</v>
      </c>
    </row>
    <row r="9021" spans="1:6" x14ac:dyDescent="0.3">
      <c r="A9021" t="s">
        <v>9056</v>
      </c>
      <c r="B9021" t="s">
        <v>53</v>
      </c>
      <c r="C9021">
        <v>203000</v>
      </c>
      <c r="D9021">
        <v>11572.3</v>
      </c>
      <c r="E9021">
        <v>2.06E-2</v>
      </c>
      <c r="F9021">
        <v>0.13250000000000001</v>
      </c>
    </row>
    <row r="9022" spans="1:6" x14ac:dyDescent="0.3">
      <c r="A9022" t="s">
        <v>9057</v>
      </c>
      <c r="B9022" t="s">
        <v>21</v>
      </c>
      <c r="C9022">
        <v>261000</v>
      </c>
      <c r="D9022">
        <v>70679.7</v>
      </c>
      <c r="E9022">
        <v>9.5000000000000001E-2</v>
      </c>
      <c r="F9022">
        <v>7.5899999999999995E-2</v>
      </c>
    </row>
    <row r="9023" spans="1:6" x14ac:dyDescent="0.3">
      <c r="A9023" t="s">
        <v>9058</v>
      </c>
      <c r="B9023" t="s">
        <v>26</v>
      </c>
      <c r="C9023">
        <v>187000</v>
      </c>
      <c r="D9023">
        <v>9371.1</v>
      </c>
      <c r="E9023">
        <v>2.1899999999999999E-2</v>
      </c>
      <c r="F9023">
        <v>9.5100000000000004E-2</v>
      </c>
    </row>
    <row r="9024" spans="1:6" x14ac:dyDescent="0.3">
      <c r="A9024" t="s">
        <v>9059</v>
      </c>
      <c r="B9024" t="s">
        <v>195</v>
      </c>
      <c r="C9024">
        <v>197000</v>
      </c>
      <c r="D9024">
        <v>37707.1</v>
      </c>
      <c r="E9024">
        <v>1.9400000000000001E-2</v>
      </c>
      <c r="F9024">
        <v>9.5100000000000004E-2</v>
      </c>
    </row>
    <row r="9025" spans="1:6" x14ac:dyDescent="0.3">
      <c r="A9025" t="s">
        <v>9060</v>
      </c>
      <c r="B9025" t="s">
        <v>26</v>
      </c>
      <c r="C9025">
        <v>218000</v>
      </c>
      <c r="D9025">
        <v>119879.7</v>
      </c>
      <c r="E9025">
        <v>2.0500000000000001E-2</v>
      </c>
      <c r="F9025">
        <v>5.4600000000000003E-2</v>
      </c>
    </row>
    <row r="9026" spans="1:6" x14ac:dyDescent="0.3">
      <c r="A9026" t="s">
        <v>9061</v>
      </c>
      <c r="B9026" t="s">
        <v>92</v>
      </c>
      <c r="C9026">
        <v>182000</v>
      </c>
      <c r="D9026">
        <v>11704</v>
      </c>
      <c r="E9026">
        <v>2.6700000000000002E-2</v>
      </c>
      <c r="F9026">
        <v>9.5100000000000004E-2</v>
      </c>
    </row>
    <row r="9027" spans="1:6" x14ac:dyDescent="0.3">
      <c r="A9027" t="s">
        <v>9062</v>
      </c>
      <c r="B9027" t="s">
        <v>26</v>
      </c>
      <c r="C9027">
        <v>306000</v>
      </c>
      <c r="D9027">
        <v>158.9</v>
      </c>
      <c r="E9027">
        <v>2.7300000000000001E-2</v>
      </c>
      <c r="F9027">
        <v>7.5899999999999995E-2</v>
      </c>
    </row>
    <row r="9028" spans="1:6" x14ac:dyDescent="0.3">
      <c r="A9028" t="s">
        <v>9063</v>
      </c>
      <c r="B9028" t="s">
        <v>26</v>
      </c>
      <c r="C9028">
        <v>206000</v>
      </c>
      <c r="D9028">
        <v>15296.6</v>
      </c>
      <c r="E9028">
        <v>2.9899999999999999E-2</v>
      </c>
      <c r="F9028">
        <v>7.5899999999999995E-2</v>
      </c>
    </row>
    <row r="9029" spans="1:6" x14ac:dyDescent="0.3">
      <c r="A9029" t="s">
        <v>9064</v>
      </c>
      <c r="B9029" t="s">
        <v>74</v>
      </c>
      <c r="C9029">
        <v>202000</v>
      </c>
      <c r="D9029">
        <v>927.3</v>
      </c>
      <c r="E9029">
        <v>5.1499999999999997E-2</v>
      </c>
      <c r="F9029">
        <v>7.5899999999999995E-2</v>
      </c>
    </row>
    <row r="9030" spans="1:6" x14ac:dyDescent="0.3">
      <c r="A9030" t="s">
        <v>9065</v>
      </c>
      <c r="B9030" t="s">
        <v>26</v>
      </c>
      <c r="C9030">
        <v>208000</v>
      </c>
      <c r="D9030">
        <v>14414.4</v>
      </c>
      <c r="E9030">
        <v>4.9200000000000001E-2</v>
      </c>
      <c r="F9030">
        <v>8.3299999999999999E-2</v>
      </c>
    </row>
    <row r="9031" spans="1:6" x14ac:dyDescent="0.3">
      <c r="A9031" t="s">
        <v>9066</v>
      </c>
      <c r="B9031" t="s">
        <v>88</v>
      </c>
      <c r="C9031">
        <v>198000</v>
      </c>
      <c r="D9031">
        <v>1956.1</v>
      </c>
      <c r="E9031">
        <v>9.1999999999999998E-2</v>
      </c>
      <c r="F9031">
        <v>7.5899999999999995E-2</v>
      </c>
    </row>
    <row r="9032" spans="1:6" x14ac:dyDescent="0.3">
      <c r="A9032" t="s">
        <v>9067</v>
      </c>
      <c r="B9032" t="s">
        <v>92</v>
      </c>
      <c r="C9032">
        <v>175000</v>
      </c>
      <c r="D9032">
        <v>336.6</v>
      </c>
      <c r="E9032">
        <v>5.1999999999999998E-3</v>
      </c>
      <c r="F9032">
        <v>8.2199999999999995E-2</v>
      </c>
    </row>
    <row r="9033" spans="1:6" x14ac:dyDescent="0.3">
      <c r="A9033" t="s">
        <v>9068</v>
      </c>
      <c r="B9033" t="s">
        <v>195</v>
      </c>
      <c r="C9033">
        <v>190000</v>
      </c>
      <c r="D9033">
        <v>2546.6999999999998</v>
      </c>
      <c r="E9033">
        <v>1.09E-2</v>
      </c>
      <c r="F9033">
        <v>0.10580000000000001</v>
      </c>
    </row>
    <row r="9034" spans="1:6" x14ac:dyDescent="0.3">
      <c r="A9034" t="s">
        <v>9069</v>
      </c>
      <c r="B9034" t="s">
        <v>81</v>
      </c>
      <c r="C9034">
        <v>485000</v>
      </c>
      <c r="D9034">
        <v>319673.7</v>
      </c>
      <c r="E9034">
        <v>4.07E-2</v>
      </c>
      <c r="F9034">
        <v>7.5899999999999995E-2</v>
      </c>
    </row>
    <row r="9035" spans="1:6" x14ac:dyDescent="0.3">
      <c r="A9035" t="s">
        <v>9070</v>
      </c>
      <c r="B9035" t="s">
        <v>26</v>
      </c>
      <c r="C9035">
        <v>284000</v>
      </c>
      <c r="D9035">
        <v>2727.9</v>
      </c>
      <c r="E9035">
        <v>2.0500000000000001E-2</v>
      </c>
      <c r="F9035">
        <v>0.2064</v>
      </c>
    </row>
    <row r="9036" spans="1:6" x14ac:dyDescent="0.3">
      <c r="A9036" t="s">
        <v>9071</v>
      </c>
      <c r="B9036" t="s">
        <v>32</v>
      </c>
      <c r="C9036">
        <v>201000</v>
      </c>
      <c r="D9036">
        <v>24380.6</v>
      </c>
      <c r="E9036">
        <v>1.47E-2</v>
      </c>
      <c r="F9036">
        <v>5.8500000000000003E-2</v>
      </c>
    </row>
    <row r="9037" spans="1:6" x14ac:dyDescent="0.3">
      <c r="A9037" t="s">
        <v>9072</v>
      </c>
      <c r="B9037" t="s">
        <v>24</v>
      </c>
      <c r="C9037">
        <v>179000</v>
      </c>
      <c r="D9037">
        <v>511.9</v>
      </c>
      <c r="E9037">
        <v>5.5300000000000002E-2</v>
      </c>
      <c r="F9037">
        <v>9.5100000000000004E-2</v>
      </c>
    </row>
    <row r="9038" spans="1:6" x14ac:dyDescent="0.3">
      <c r="A9038" t="s">
        <v>9073</v>
      </c>
      <c r="B9038" t="s">
        <v>26</v>
      </c>
      <c r="C9038">
        <v>190000</v>
      </c>
      <c r="D9038">
        <v>742.9</v>
      </c>
      <c r="E9038">
        <v>4.7E-2</v>
      </c>
      <c r="F9038">
        <v>7.5899999999999995E-2</v>
      </c>
    </row>
    <row r="9039" spans="1:6" x14ac:dyDescent="0.3">
      <c r="A9039" t="s">
        <v>9074</v>
      </c>
      <c r="B9039" t="s">
        <v>53</v>
      </c>
      <c r="C9039">
        <v>1140000</v>
      </c>
      <c r="D9039">
        <v>73488.2</v>
      </c>
      <c r="F9039">
        <v>4.0899999999999999E-2</v>
      </c>
    </row>
    <row r="9040" spans="1:6" x14ac:dyDescent="0.3">
      <c r="A9040" t="s">
        <v>9075</v>
      </c>
      <c r="B9040" t="s">
        <v>195</v>
      </c>
      <c r="C9040">
        <v>179000</v>
      </c>
      <c r="D9040">
        <v>4981.6000000000004</v>
      </c>
      <c r="E9040">
        <v>3.2000000000000001E-2</v>
      </c>
      <c r="F9040">
        <v>5.1799999999999999E-2</v>
      </c>
    </row>
    <row r="9041" spans="1:6" x14ac:dyDescent="0.3">
      <c r="A9041" t="s">
        <v>9076</v>
      </c>
      <c r="B9041" t="s">
        <v>88</v>
      </c>
      <c r="C9041">
        <v>221000</v>
      </c>
      <c r="D9041">
        <v>5012.3999999999996</v>
      </c>
      <c r="E9041">
        <v>3.49E-2</v>
      </c>
      <c r="F9041">
        <v>9.3799999999999994E-2</v>
      </c>
    </row>
    <row r="9042" spans="1:6" x14ac:dyDescent="0.3">
      <c r="A9042" t="s">
        <v>9077</v>
      </c>
      <c r="B9042" t="s">
        <v>26</v>
      </c>
      <c r="C9042">
        <v>215000</v>
      </c>
      <c r="D9042">
        <v>34080.800000000003</v>
      </c>
      <c r="E9042">
        <v>3.2800000000000003E-2</v>
      </c>
      <c r="F9042">
        <v>6.7199999999999996E-2</v>
      </c>
    </row>
    <row r="9043" spans="1:6" x14ac:dyDescent="0.3">
      <c r="A9043" t="s">
        <v>9078</v>
      </c>
      <c r="B9043" t="s">
        <v>53</v>
      </c>
      <c r="C9043">
        <v>213000</v>
      </c>
      <c r="D9043">
        <v>1602.7</v>
      </c>
      <c r="E9043">
        <v>0.14269999999999999</v>
      </c>
      <c r="F9043">
        <v>5.0999999999999997E-2</v>
      </c>
    </row>
    <row r="9044" spans="1:6" x14ac:dyDescent="0.3">
      <c r="A9044" t="s">
        <v>9079</v>
      </c>
      <c r="B9044" t="s">
        <v>88</v>
      </c>
      <c r="C9044">
        <v>235000</v>
      </c>
      <c r="D9044">
        <v>6292.1</v>
      </c>
      <c r="E9044">
        <v>1.83E-2</v>
      </c>
      <c r="F9044">
        <v>0.13100000000000001</v>
      </c>
    </row>
    <row r="9045" spans="1:6" x14ac:dyDescent="0.3">
      <c r="A9045" t="s">
        <v>9080</v>
      </c>
      <c r="B9045" t="s">
        <v>214</v>
      </c>
      <c r="C9045">
        <v>196000</v>
      </c>
      <c r="D9045">
        <v>1150</v>
      </c>
      <c r="E9045">
        <v>4.6300000000000001E-2</v>
      </c>
      <c r="F9045">
        <v>9.5100000000000004E-2</v>
      </c>
    </row>
    <row r="9046" spans="1:6" x14ac:dyDescent="0.3">
      <c r="A9046" t="s">
        <v>9081</v>
      </c>
      <c r="B9046" t="s">
        <v>214</v>
      </c>
      <c r="C9046">
        <v>356000</v>
      </c>
      <c r="D9046">
        <v>7618.7</v>
      </c>
      <c r="E9046">
        <v>6.2700000000000006E-2</v>
      </c>
      <c r="F9046">
        <v>7.5899999999999995E-2</v>
      </c>
    </row>
    <row r="9047" spans="1:6" x14ac:dyDescent="0.3">
      <c r="A9047" t="s">
        <v>9082</v>
      </c>
      <c r="B9047" t="s">
        <v>74</v>
      </c>
      <c r="C9047">
        <v>203000</v>
      </c>
      <c r="D9047">
        <v>4333.8999999999996</v>
      </c>
      <c r="E9047">
        <v>4.4200000000000003E-2</v>
      </c>
      <c r="F9047">
        <v>9.5100000000000004E-2</v>
      </c>
    </row>
    <row r="9048" spans="1:6" x14ac:dyDescent="0.3">
      <c r="A9048" t="s">
        <v>9083</v>
      </c>
      <c r="B9048" t="s">
        <v>62</v>
      </c>
      <c r="C9048">
        <v>378000</v>
      </c>
      <c r="D9048">
        <v>13413.2</v>
      </c>
      <c r="E9048">
        <v>1.2500000000000001E-2</v>
      </c>
      <c r="F9048">
        <v>0.13270000000000001</v>
      </c>
    </row>
    <row r="9049" spans="1:6" x14ac:dyDescent="0.3">
      <c r="A9049" t="s">
        <v>9084</v>
      </c>
      <c r="B9049" t="s">
        <v>30</v>
      </c>
      <c r="C9049">
        <v>221000</v>
      </c>
      <c r="D9049">
        <v>1818.5</v>
      </c>
      <c r="F9049">
        <v>7.5899999999999995E-2</v>
      </c>
    </row>
    <row r="9050" spans="1:6" x14ac:dyDescent="0.3">
      <c r="A9050" t="s">
        <v>9085</v>
      </c>
      <c r="B9050" t="s">
        <v>24</v>
      </c>
      <c r="C9050">
        <v>179000</v>
      </c>
      <c r="D9050">
        <v>230.9</v>
      </c>
      <c r="E9050">
        <v>5.7999999999999996E-3</v>
      </c>
      <c r="F9050">
        <v>0.17100000000000001</v>
      </c>
    </row>
    <row r="9051" spans="1:6" x14ac:dyDescent="0.3">
      <c r="A9051" t="s">
        <v>9086</v>
      </c>
      <c r="B9051" t="s">
        <v>81</v>
      </c>
      <c r="C9051">
        <v>201000</v>
      </c>
      <c r="D9051">
        <v>2259.5</v>
      </c>
      <c r="E9051">
        <v>6.8999999999999999E-3</v>
      </c>
      <c r="F9051">
        <v>0.16950000000000001</v>
      </c>
    </row>
    <row r="9052" spans="1:6" x14ac:dyDescent="0.3">
      <c r="A9052" t="s">
        <v>9087</v>
      </c>
      <c r="B9052" t="s">
        <v>62</v>
      </c>
      <c r="C9052">
        <v>172000</v>
      </c>
      <c r="D9052">
        <v>2736</v>
      </c>
      <c r="E9052">
        <v>2.2100000000000002E-2</v>
      </c>
      <c r="F9052">
        <v>4.6199999999999998E-2</v>
      </c>
    </row>
    <row r="9053" spans="1:6" x14ac:dyDescent="0.3">
      <c r="A9053" t="s">
        <v>9088</v>
      </c>
      <c r="B9053" t="s">
        <v>92</v>
      </c>
      <c r="C9053">
        <v>247000</v>
      </c>
      <c r="D9053">
        <v>14823.2</v>
      </c>
      <c r="E9053">
        <v>2.98E-2</v>
      </c>
      <c r="F9053">
        <v>4.0899999999999999E-2</v>
      </c>
    </row>
    <row r="9054" spans="1:6" x14ac:dyDescent="0.3">
      <c r="A9054" t="s">
        <v>9089</v>
      </c>
      <c r="B9054" t="s">
        <v>88</v>
      </c>
      <c r="C9054">
        <v>174000</v>
      </c>
      <c r="D9054">
        <v>582.5</v>
      </c>
      <c r="E9054">
        <v>2.5999999999999999E-2</v>
      </c>
      <c r="F9054">
        <v>0.11700000000000001</v>
      </c>
    </row>
    <row r="9055" spans="1:6" x14ac:dyDescent="0.3">
      <c r="A9055" t="s">
        <v>9090</v>
      </c>
      <c r="B9055" t="s">
        <v>88</v>
      </c>
      <c r="C9055">
        <v>267000</v>
      </c>
      <c r="D9055">
        <v>1377.8</v>
      </c>
      <c r="E9055">
        <v>2.75E-2</v>
      </c>
      <c r="F9055">
        <v>7.5899999999999995E-2</v>
      </c>
    </row>
    <row r="9056" spans="1:6" x14ac:dyDescent="0.3">
      <c r="A9056" t="s">
        <v>9091</v>
      </c>
      <c r="B9056" t="s">
        <v>26</v>
      </c>
      <c r="C9056">
        <v>200000</v>
      </c>
      <c r="D9056">
        <v>36733.1</v>
      </c>
      <c r="E9056">
        <v>0.03</v>
      </c>
      <c r="F9056">
        <v>9.5100000000000004E-2</v>
      </c>
    </row>
    <row r="9057" spans="1:6" x14ac:dyDescent="0.3">
      <c r="A9057" t="s">
        <v>9092</v>
      </c>
      <c r="B9057" t="s">
        <v>50</v>
      </c>
      <c r="C9057">
        <v>162000</v>
      </c>
      <c r="F9057">
        <v>7.5899999999999995E-2</v>
      </c>
    </row>
    <row r="9058" spans="1:6" x14ac:dyDescent="0.3">
      <c r="A9058" t="s">
        <v>9093</v>
      </c>
      <c r="B9058" t="s">
        <v>214</v>
      </c>
      <c r="C9058">
        <v>204000</v>
      </c>
      <c r="D9058">
        <v>3212.7</v>
      </c>
      <c r="E9058">
        <v>1.67E-2</v>
      </c>
      <c r="F9058">
        <v>8.5400000000000004E-2</v>
      </c>
    </row>
    <row r="9059" spans="1:6" x14ac:dyDescent="0.3">
      <c r="A9059" t="s">
        <v>9094</v>
      </c>
      <c r="B9059" t="s">
        <v>88</v>
      </c>
      <c r="C9059">
        <v>712000</v>
      </c>
      <c r="D9059">
        <v>8065.1</v>
      </c>
      <c r="E9059">
        <v>4.6199999999999998E-2</v>
      </c>
      <c r="F9059">
        <v>9.3799999999999994E-2</v>
      </c>
    </row>
    <row r="9060" spans="1:6" x14ac:dyDescent="0.3">
      <c r="A9060" t="s">
        <v>9095</v>
      </c>
      <c r="B9060" t="s">
        <v>53</v>
      </c>
      <c r="C9060">
        <v>186000</v>
      </c>
      <c r="D9060">
        <v>32493.3</v>
      </c>
      <c r="E9060">
        <v>1.6500000000000001E-2</v>
      </c>
      <c r="F9060">
        <v>5.8500000000000003E-2</v>
      </c>
    </row>
    <row r="9061" spans="1:6" x14ac:dyDescent="0.3">
      <c r="A9061" t="s">
        <v>9096</v>
      </c>
      <c r="B9061" t="s">
        <v>88</v>
      </c>
      <c r="C9061">
        <v>306000</v>
      </c>
      <c r="D9061">
        <v>237.7</v>
      </c>
      <c r="E9061">
        <v>5.96E-2</v>
      </c>
      <c r="F9061">
        <v>9.3799999999999994E-2</v>
      </c>
    </row>
    <row r="9062" spans="1:6" x14ac:dyDescent="0.3">
      <c r="A9062" t="s">
        <v>9097</v>
      </c>
      <c r="B9062" t="s">
        <v>26</v>
      </c>
      <c r="C9062">
        <v>177000</v>
      </c>
      <c r="D9062">
        <v>11560</v>
      </c>
      <c r="E9062">
        <v>5.5500000000000001E-2</v>
      </c>
      <c r="F9062">
        <v>9.5100000000000004E-2</v>
      </c>
    </row>
    <row r="9063" spans="1:6" x14ac:dyDescent="0.3">
      <c r="A9063" t="s">
        <v>9098</v>
      </c>
      <c r="B9063" t="s">
        <v>24</v>
      </c>
      <c r="C9063">
        <v>246000</v>
      </c>
      <c r="D9063">
        <v>2697.3</v>
      </c>
      <c r="E9063">
        <v>1.2800000000000001E-2</v>
      </c>
      <c r="F9063">
        <v>9.0300000000000005E-2</v>
      </c>
    </row>
    <row r="9064" spans="1:6" x14ac:dyDescent="0.3">
      <c r="A9064" t="s">
        <v>9099</v>
      </c>
      <c r="B9064" t="s">
        <v>53</v>
      </c>
      <c r="C9064">
        <v>177000</v>
      </c>
      <c r="D9064">
        <v>1699.9</v>
      </c>
      <c r="E9064">
        <v>0.13780000000000001</v>
      </c>
      <c r="F9064">
        <v>0.11700000000000001</v>
      </c>
    </row>
    <row r="9065" spans="1:6" x14ac:dyDescent="0.3">
      <c r="A9065" t="s">
        <v>9100</v>
      </c>
      <c r="B9065" t="s">
        <v>26</v>
      </c>
      <c r="C9065">
        <v>198000</v>
      </c>
      <c r="D9065">
        <v>2392.1</v>
      </c>
      <c r="E9065">
        <v>3.4099999999999998E-2</v>
      </c>
      <c r="F9065">
        <v>4.0899999999999999E-2</v>
      </c>
    </row>
    <row r="9066" spans="1:6" x14ac:dyDescent="0.3">
      <c r="A9066" t="s">
        <v>9101</v>
      </c>
      <c r="B9066" t="s">
        <v>26</v>
      </c>
      <c r="C9066">
        <v>178000</v>
      </c>
      <c r="D9066">
        <v>1166.8</v>
      </c>
      <c r="F9066">
        <v>5.1799999999999999E-2</v>
      </c>
    </row>
    <row r="9067" spans="1:6" x14ac:dyDescent="0.3">
      <c r="A9067" t="s">
        <v>9102</v>
      </c>
      <c r="B9067" t="s">
        <v>26</v>
      </c>
      <c r="C9067">
        <v>180000</v>
      </c>
      <c r="D9067">
        <v>12174</v>
      </c>
      <c r="E9067">
        <v>1.47E-2</v>
      </c>
      <c r="F9067">
        <v>0.1067</v>
      </c>
    </row>
    <row r="9068" spans="1:6" x14ac:dyDescent="0.3">
      <c r="A9068" t="s">
        <v>9103</v>
      </c>
      <c r="B9068" t="s">
        <v>88</v>
      </c>
      <c r="C9068">
        <v>201000</v>
      </c>
      <c r="D9068">
        <v>2452.8000000000002</v>
      </c>
      <c r="E9068">
        <v>5.2699999999999997E-2</v>
      </c>
      <c r="F9068">
        <v>9.3799999999999994E-2</v>
      </c>
    </row>
    <row r="9069" spans="1:6" x14ac:dyDescent="0.3">
      <c r="A9069" t="s">
        <v>9104</v>
      </c>
      <c r="B9069" t="s">
        <v>41</v>
      </c>
      <c r="C9069">
        <v>153000</v>
      </c>
      <c r="D9069">
        <v>2585.9</v>
      </c>
      <c r="E9069">
        <v>8.9999999999999993E-3</v>
      </c>
      <c r="F9069">
        <v>0.1452</v>
      </c>
    </row>
    <row r="9070" spans="1:6" x14ac:dyDescent="0.3">
      <c r="A9070" t="s">
        <v>9105</v>
      </c>
      <c r="B9070" t="s">
        <v>26</v>
      </c>
      <c r="C9070">
        <v>205000</v>
      </c>
      <c r="D9070">
        <v>2496.1999999999998</v>
      </c>
      <c r="E9070">
        <v>1.1599999999999999E-2</v>
      </c>
      <c r="F9070">
        <v>8.1100000000000005E-2</v>
      </c>
    </row>
    <row r="9071" spans="1:6" x14ac:dyDescent="0.3">
      <c r="A9071" t="s">
        <v>9106</v>
      </c>
      <c r="B9071" t="s">
        <v>26</v>
      </c>
      <c r="C9071">
        <v>194000</v>
      </c>
      <c r="F9071">
        <v>7.5899999999999995E-2</v>
      </c>
    </row>
    <row r="9072" spans="1:6" x14ac:dyDescent="0.3">
      <c r="A9072" t="s">
        <v>9107</v>
      </c>
      <c r="B9072" t="s">
        <v>62</v>
      </c>
      <c r="C9072">
        <v>181000</v>
      </c>
      <c r="D9072">
        <v>3919.4</v>
      </c>
      <c r="E9072">
        <v>0.03</v>
      </c>
      <c r="F9072">
        <v>9.5100000000000004E-2</v>
      </c>
    </row>
    <row r="9073" spans="1:6" x14ac:dyDescent="0.3">
      <c r="A9073" t="s">
        <v>9108</v>
      </c>
      <c r="B9073" t="s">
        <v>26</v>
      </c>
      <c r="C9073">
        <v>381000</v>
      </c>
      <c r="D9073">
        <v>505581.2</v>
      </c>
      <c r="E9073">
        <v>2.01E-2</v>
      </c>
      <c r="F9073">
        <v>4.6199999999999998E-2</v>
      </c>
    </row>
    <row r="9074" spans="1:6" x14ac:dyDescent="0.3">
      <c r="A9074" t="s">
        <v>9109</v>
      </c>
      <c r="B9074" t="s">
        <v>24</v>
      </c>
      <c r="C9074">
        <v>193000</v>
      </c>
      <c r="D9074">
        <v>9653.9</v>
      </c>
      <c r="E9074">
        <v>6.6E-3</v>
      </c>
      <c r="F9074">
        <v>8.2199999999999995E-2</v>
      </c>
    </row>
    <row r="9075" spans="1:6" x14ac:dyDescent="0.3">
      <c r="A9075" t="s">
        <v>9110</v>
      </c>
      <c r="B9075" t="s">
        <v>74</v>
      </c>
      <c r="C9075">
        <v>171000</v>
      </c>
      <c r="D9075">
        <v>585</v>
      </c>
      <c r="E9075">
        <v>9.3799999999999994E-2</v>
      </c>
      <c r="F9075">
        <v>0.11700000000000001</v>
      </c>
    </row>
    <row r="9076" spans="1:6" x14ac:dyDescent="0.3">
      <c r="A9076" t="s">
        <v>9111</v>
      </c>
      <c r="B9076" t="s">
        <v>81</v>
      </c>
      <c r="C9076">
        <v>173000</v>
      </c>
      <c r="D9076">
        <v>4815.5</v>
      </c>
      <c r="E9076">
        <v>5.7500000000000002E-2</v>
      </c>
      <c r="F9076">
        <v>9.5100000000000004E-2</v>
      </c>
    </row>
    <row r="9077" spans="1:6" x14ac:dyDescent="0.3">
      <c r="A9077" t="s">
        <v>9112</v>
      </c>
      <c r="B9077" t="s">
        <v>74</v>
      </c>
      <c r="C9077">
        <v>312000</v>
      </c>
      <c r="D9077">
        <v>6685.4</v>
      </c>
      <c r="E9077">
        <v>4.3200000000000002E-2</v>
      </c>
      <c r="F9077">
        <v>7.5899999999999995E-2</v>
      </c>
    </row>
    <row r="9078" spans="1:6" x14ac:dyDescent="0.3">
      <c r="A9078" t="s">
        <v>9113</v>
      </c>
      <c r="B9078" t="s">
        <v>30</v>
      </c>
      <c r="C9078">
        <v>177000</v>
      </c>
      <c r="D9078">
        <v>221068.6</v>
      </c>
      <c r="E9078">
        <v>3.5400000000000001E-2</v>
      </c>
      <c r="F9078">
        <v>9.5100000000000004E-2</v>
      </c>
    </row>
    <row r="9079" spans="1:6" x14ac:dyDescent="0.3">
      <c r="A9079" t="s">
        <v>9114</v>
      </c>
      <c r="B9079" t="s">
        <v>32</v>
      </c>
      <c r="C9079">
        <v>197000</v>
      </c>
      <c r="D9079">
        <v>147.80000000000001</v>
      </c>
      <c r="E9079">
        <v>8.6999999999999994E-3</v>
      </c>
      <c r="F9079">
        <v>0.25580000000000003</v>
      </c>
    </row>
    <row r="9080" spans="1:6" x14ac:dyDescent="0.3">
      <c r="A9080" t="s">
        <v>9115</v>
      </c>
      <c r="B9080" t="s">
        <v>74</v>
      </c>
      <c r="C9080">
        <v>213000</v>
      </c>
      <c r="D9080">
        <v>190.5</v>
      </c>
      <c r="E9080">
        <v>3.8699999999999998E-2</v>
      </c>
      <c r="F9080">
        <v>9.3799999999999994E-2</v>
      </c>
    </row>
    <row r="9081" spans="1:6" x14ac:dyDescent="0.3">
      <c r="A9081" t="s">
        <v>9116</v>
      </c>
      <c r="B9081" t="s">
        <v>92</v>
      </c>
      <c r="C9081">
        <v>208000</v>
      </c>
      <c r="D9081">
        <v>5007.6000000000004</v>
      </c>
      <c r="F9081">
        <v>7.5899999999999995E-2</v>
      </c>
    </row>
    <row r="9082" spans="1:6" x14ac:dyDescent="0.3">
      <c r="A9082" t="s">
        <v>9117</v>
      </c>
      <c r="B9082" t="s">
        <v>88</v>
      </c>
      <c r="C9082">
        <v>283000</v>
      </c>
      <c r="D9082">
        <v>2289</v>
      </c>
      <c r="E9082">
        <v>4.2500000000000003E-2</v>
      </c>
      <c r="F9082">
        <v>7.5899999999999995E-2</v>
      </c>
    </row>
    <row r="9083" spans="1:6" x14ac:dyDescent="0.3">
      <c r="A9083" t="s">
        <v>9118</v>
      </c>
      <c r="B9083" t="s">
        <v>71</v>
      </c>
      <c r="C9083">
        <v>163000</v>
      </c>
      <c r="D9083">
        <v>3196.4</v>
      </c>
      <c r="E9083">
        <v>1.18E-2</v>
      </c>
      <c r="F9083">
        <v>0.1067</v>
      </c>
    </row>
    <row r="9084" spans="1:6" x14ac:dyDescent="0.3">
      <c r="A9084" t="s">
        <v>9119</v>
      </c>
      <c r="B9084" t="s">
        <v>28</v>
      </c>
      <c r="C9084">
        <v>190000</v>
      </c>
      <c r="D9084">
        <v>4181.6000000000004</v>
      </c>
      <c r="E9084">
        <v>4.8999999999999998E-3</v>
      </c>
      <c r="F9084">
        <v>8.1100000000000005E-2</v>
      </c>
    </row>
    <row r="9085" spans="1:6" x14ac:dyDescent="0.3">
      <c r="A9085" t="s">
        <v>9120</v>
      </c>
      <c r="B9085" t="s">
        <v>26</v>
      </c>
      <c r="C9085">
        <v>295000</v>
      </c>
      <c r="D9085">
        <v>18476.400000000001</v>
      </c>
      <c r="E9085">
        <v>6.1800000000000001E-2</v>
      </c>
      <c r="F9085">
        <v>9.5100000000000004E-2</v>
      </c>
    </row>
    <row r="9086" spans="1:6" x14ac:dyDescent="0.3">
      <c r="A9086" t="s">
        <v>9121</v>
      </c>
      <c r="B9086" t="s">
        <v>214</v>
      </c>
      <c r="C9086">
        <v>183000</v>
      </c>
      <c r="D9086">
        <v>3285</v>
      </c>
      <c r="E9086">
        <v>3.6299999999999999E-2</v>
      </c>
      <c r="F9086">
        <v>7.5899999999999995E-2</v>
      </c>
    </row>
    <row r="9087" spans="1:6" x14ac:dyDescent="0.3">
      <c r="A9087" t="s">
        <v>9122</v>
      </c>
      <c r="B9087" t="s">
        <v>26</v>
      </c>
      <c r="C9087">
        <v>173000</v>
      </c>
      <c r="D9087">
        <v>1085.0999999999999</v>
      </c>
      <c r="E9087">
        <v>2.3400000000000001E-2</v>
      </c>
      <c r="F9087">
        <v>9.5100000000000004E-2</v>
      </c>
    </row>
    <row r="9088" spans="1:6" x14ac:dyDescent="0.3">
      <c r="A9088" t="s">
        <v>9123</v>
      </c>
      <c r="B9088" t="s">
        <v>41</v>
      </c>
      <c r="C9088">
        <v>177000</v>
      </c>
      <c r="D9088">
        <v>474.5</v>
      </c>
      <c r="E9088">
        <v>1.8599999999999998E-2</v>
      </c>
      <c r="F9088">
        <v>0.11700000000000001</v>
      </c>
    </row>
    <row r="9089" spans="1:6" x14ac:dyDescent="0.3">
      <c r="A9089" t="s">
        <v>9124</v>
      </c>
      <c r="B9089" t="s">
        <v>26</v>
      </c>
      <c r="C9089">
        <v>483000</v>
      </c>
      <c r="D9089">
        <v>255699.4</v>
      </c>
      <c r="E9089">
        <v>4.4900000000000002E-2</v>
      </c>
      <c r="F9089">
        <v>7.5899999999999995E-2</v>
      </c>
    </row>
    <row r="9090" spans="1:6" x14ac:dyDescent="0.3">
      <c r="A9090" t="s">
        <v>9125</v>
      </c>
      <c r="B9090" t="s">
        <v>62</v>
      </c>
      <c r="C9090">
        <v>173000</v>
      </c>
      <c r="D9090">
        <v>1681.7</v>
      </c>
      <c r="E9090">
        <v>3.1600000000000003E-2</v>
      </c>
      <c r="F9090">
        <v>9.5100000000000004E-2</v>
      </c>
    </row>
    <row r="9091" spans="1:6" x14ac:dyDescent="0.3">
      <c r="A9091" t="s">
        <v>9126</v>
      </c>
      <c r="B9091" t="s">
        <v>71</v>
      </c>
      <c r="C9091">
        <v>227000</v>
      </c>
      <c r="D9091">
        <v>3895.4</v>
      </c>
      <c r="E9091">
        <v>1.2800000000000001E-2</v>
      </c>
      <c r="F9091">
        <v>6.54E-2</v>
      </c>
    </row>
    <row r="9092" spans="1:6" x14ac:dyDescent="0.3">
      <c r="A9092" t="s">
        <v>9127</v>
      </c>
      <c r="B9092" t="s">
        <v>287</v>
      </c>
      <c r="C9092">
        <v>267000</v>
      </c>
      <c r="D9092">
        <v>732.3</v>
      </c>
      <c r="E9092">
        <v>2.8299999999999999E-2</v>
      </c>
      <c r="F9092">
        <v>5.1700000000000003E-2</v>
      </c>
    </row>
    <row r="9093" spans="1:6" x14ac:dyDescent="0.3">
      <c r="A9093" t="s">
        <v>9128</v>
      </c>
      <c r="B9093" t="s">
        <v>88</v>
      </c>
      <c r="C9093">
        <v>177000</v>
      </c>
      <c r="D9093">
        <v>933.7</v>
      </c>
      <c r="E9093">
        <v>3.39E-2</v>
      </c>
      <c r="F9093">
        <v>7.5899999999999995E-2</v>
      </c>
    </row>
    <row r="9094" spans="1:6" x14ac:dyDescent="0.3">
      <c r="A9094" t="s">
        <v>9129</v>
      </c>
      <c r="B9094" t="s">
        <v>26</v>
      </c>
      <c r="C9094">
        <v>169000</v>
      </c>
      <c r="D9094">
        <v>852.7</v>
      </c>
      <c r="E9094">
        <v>1.7899999999999999E-2</v>
      </c>
      <c r="F9094">
        <v>0.22939999999999999</v>
      </c>
    </row>
    <row r="9095" spans="1:6" x14ac:dyDescent="0.3">
      <c r="A9095" t="s">
        <v>9130</v>
      </c>
      <c r="B9095" t="s">
        <v>41</v>
      </c>
      <c r="C9095">
        <v>176000</v>
      </c>
      <c r="D9095">
        <v>3130.8</v>
      </c>
      <c r="E9095">
        <v>1.35E-2</v>
      </c>
      <c r="F9095">
        <v>6.5699999999999995E-2</v>
      </c>
    </row>
    <row r="9096" spans="1:6" x14ac:dyDescent="0.3">
      <c r="A9096" t="s">
        <v>9131</v>
      </c>
      <c r="B9096" t="s">
        <v>74</v>
      </c>
      <c r="C9096">
        <v>290000</v>
      </c>
      <c r="D9096">
        <v>1922.1</v>
      </c>
      <c r="F9096">
        <v>4.0899999999999999E-2</v>
      </c>
    </row>
    <row r="9097" spans="1:6" x14ac:dyDescent="0.3">
      <c r="A9097" t="s">
        <v>9132</v>
      </c>
      <c r="B9097" t="s">
        <v>24</v>
      </c>
      <c r="C9097">
        <v>260000</v>
      </c>
      <c r="D9097">
        <v>34598.1</v>
      </c>
      <c r="E9097">
        <v>1.7500000000000002E-2</v>
      </c>
      <c r="F9097">
        <v>0.1053</v>
      </c>
    </row>
    <row r="9098" spans="1:6" x14ac:dyDescent="0.3">
      <c r="A9098" t="s">
        <v>9133</v>
      </c>
      <c r="B9098" t="s">
        <v>214</v>
      </c>
      <c r="C9098">
        <v>210000</v>
      </c>
      <c r="D9098">
        <v>511.8</v>
      </c>
      <c r="E9098">
        <v>4.7399999999999998E-2</v>
      </c>
      <c r="F9098">
        <v>7.5899999999999995E-2</v>
      </c>
    </row>
    <row r="9099" spans="1:6" x14ac:dyDescent="0.3">
      <c r="A9099" t="s">
        <v>9134</v>
      </c>
      <c r="B9099" t="s">
        <v>195</v>
      </c>
      <c r="C9099">
        <v>401000</v>
      </c>
      <c r="D9099">
        <v>530.4</v>
      </c>
      <c r="E9099">
        <v>3.9899999999999998E-2</v>
      </c>
      <c r="F9099">
        <v>9.5100000000000004E-2</v>
      </c>
    </row>
    <row r="9100" spans="1:6" x14ac:dyDescent="0.3">
      <c r="A9100" t="s">
        <v>9135</v>
      </c>
      <c r="B9100" t="s">
        <v>26</v>
      </c>
      <c r="C9100">
        <v>462000</v>
      </c>
      <c r="D9100">
        <v>211555.7</v>
      </c>
      <c r="E9100">
        <v>5.3999999999999999E-2</v>
      </c>
      <c r="F9100">
        <v>7.5899999999999995E-2</v>
      </c>
    </row>
    <row r="9101" spans="1:6" x14ac:dyDescent="0.3">
      <c r="A9101" t="s">
        <v>9136</v>
      </c>
      <c r="B9101" t="s">
        <v>81</v>
      </c>
      <c r="C9101">
        <v>184000</v>
      </c>
      <c r="D9101">
        <v>13802</v>
      </c>
      <c r="E9101">
        <v>1.95E-2</v>
      </c>
      <c r="F9101">
        <v>5.8500000000000003E-2</v>
      </c>
    </row>
    <row r="9102" spans="1:6" x14ac:dyDescent="0.3">
      <c r="A9102" t="s">
        <v>9137</v>
      </c>
      <c r="B9102" t="s">
        <v>92</v>
      </c>
      <c r="C9102">
        <v>251000</v>
      </c>
      <c r="D9102">
        <v>67694.600000000006</v>
      </c>
      <c r="F9102">
        <v>5.1799999999999999E-2</v>
      </c>
    </row>
    <row r="9103" spans="1:6" x14ac:dyDescent="0.3">
      <c r="A9103" t="s">
        <v>9138</v>
      </c>
      <c r="B9103" t="s">
        <v>24</v>
      </c>
      <c r="C9103">
        <v>199000</v>
      </c>
      <c r="D9103">
        <v>35139.9</v>
      </c>
      <c r="E9103">
        <v>1.47E-2</v>
      </c>
      <c r="F9103">
        <v>0.1053</v>
      </c>
    </row>
    <row r="9104" spans="1:6" x14ac:dyDescent="0.3">
      <c r="A9104" t="s">
        <v>9139</v>
      </c>
      <c r="B9104" t="s">
        <v>62</v>
      </c>
      <c r="C9104">
        <v>370000</v>
      </c>
      <c r="D9104">
        <v>6424.3</v>
      </c>
      <c r="E9104">
        <v>1.7600000000000001E-2</v>
      </c>
      <c r="F9104">
        <v>5.8500000000000003E-2</v>
      </c>
    </row>
    <row r="9105" spans="1:6" x14ac:dyDescent="0.3">
      <c r="A9105" t="s">
        <v>9140</v>
      </c>
      <c r="B9105" t="s">
        <v>214</v>
      </c>
      <c r="C9105">
        <v>219000</v>
      </c>
      <c r="D9105">
        <v>1034.9000000000001</v>
      </c>
      <c r="E9105">
        <v>8.0999999999999996E-3</v>
      </c>
      <c r="F9105">
        <v>0.10580000000000001</v>
      </c>
    </row>
    <row r="9106" spans="1:6" x14ac:dyDescent="0.3">
      <c r="A9106" t="s">
        <v>9141</v>
      </c>
      <c r="B9106" t="s">
        <v>26</v>
      </c>
      <c r="C9106">
        <v>235000</v>
      </c>
      <c r="D9106">
        <v>21857.200000000001</v>
      </c>
      <c r="F9106">
        <v>7.5899999999999995E-2</v>
      </c>
    </row>
    <row r="9107" spans="1:6" x14ac:dyDescent="0.3">
      <c r="A9107" t="s">
        <v>9142</v>
      </c>
      <c r="B9107" t="s">
        <v>81</v>
      </c>
      <c r="C9107">
        <v>306000</v>
      </c>
      <c r="D9107">
        <v>3069.2</v>
      </c>
      <c r="E9107">
        <v>3.7199999999999997E-2</v>
      </c>
      <c r="F9107">
        <v>7.5899999999999995E-2</v>
      </c>
    </row>
    <row r="9108" spans="1:6" x14ac:dyDescent="0.3">
      <c r="A9108" t="s">
        <v>9143</v>
      </c>
      <c r="B9108" t="s">
        <v>26</v>
      </c>
      <c r="C9108">
        <v>218000</v>
      </c>
      <c r="D9108">
        <v>5175.5</v>
      </c>
      <c r="E9108">
        <v>2.2499999999999999E-2</v>
      </c>
      <c r="F9108">
        <v>7.5899999999999995E-2</v>
      </c>
    </row>
    <row r="9109" spans="1:6" x14ac:dyDescent="0.3">
      <c r="A9109" t="s">
        <v>9144</v>
      </c>
      <c r="B9109" t="s">
        <v>92</v>
      </c>
      <c r="C9109">
        <v>344000</v>
      </c>
      <c r="D9109">
        <v>309875.8</v>
      </c>
      <c r="E9109">
        <v>1.2500000000000001E-2</v>
      </c>
      <c r="F9109">
        <v>4.6199999999999998E-2</v>
      </c>
    </row>
    <row r="9110" spans="1:6" x14ac:dyDescent="0.3">
      <c r="A9110" t="s">
        <v>9145</v>
      </c>
      <c r="B9110" t="s">
        <v>62</v>
      </c>
      <c r="C9110">
        <v>492000</v>
      </c>
      <c r="D9110">
        <v>11238.4</v>
      </c>
      <c r="E9110">
        <v>2.3199999999999998E-2</v>
      </c>
      <c r="F9110">
        <v>0.38319999999999999</v>
      </c>
    </row>
    <row r="9111" spans="1:6" x14ac:dyDescent="0.3">
      <c r="A9111" t="s">
        <v>9146</v>
      </c>
      <c r="B9111" t="s">
        <v>81</v>
      </c>
      <c r="C9111">
        <v>303000</v>
      </c>
      <c r="D9111">
        <v>31620.400000000001</v>
      </c>
      <c r="E9111">
        <v>3.5799999999999998E-2</v>
      </c>
      <c r="F9111">
        <v>4.0899999999999999E-2</v>
      </c>
    </row>
    <row r="9112" spans="1:6" x14ac:dyDescent="0.3">
      <c r="A9112" t="s">
        <v>9147</v>
      </c>
      <c r="B9112" t="s">
        <v>24</v>
      </c>
      <c r="C9112">
        <v>206000</v>
      </c>
      <c r="D9112">
        <v>736.9</v>
      </c>
      <c r="E9112">
        <v>3.8899999999999997E-2</v>
      </c>
      <c r="F9112">
        <v>5.0999999999999997E-2</v>
      </c>
    </row>
    <row r="9113" spans="1:6" x14ac:dyDescent="0.3">
      <c r="A9113" t="s">
        <v>9148</v>
      </c>
      <c r="B9113" t="s">
        <v>41</v>
      </c>
      <c r="C9113">
        <v>379000</v>
      </c>
      <c r="D9113">
        <v>274.5</v>
      </c>
      <c r="E9113">
        <v>1.9599999999999999E-2</v>
      </c>
      <c r="F9113">
        <v>0.2059</v>
      </c>
    </row>
    <row r="9114" spans="1:6" x14ac:dyDescent="0.3">
      <c r="A9114" t="s">
        <v>9149</v>
      </c>
      <c r="B9114" t="s">
        <v>26</v>
      </c>
      <c r="C9114">
        <v>268000</v>
      </c>
      <c r="D9114">
        <v>1175.2</v>
      </c>
      <c r="E9114">
        <v>4.02E-2</v>
      </c>
      <c r="F9114">
        <v>9.3799999999999994E-2</v>
      </c>
    </row>
    <row r="9115" spans="1:6" x14ac:dyDescent="0.3">
      <c r="A9115" t="s">
        <v>9150</v>
      </c>
      <c r="B9115" t="s">
        <v>74</v>
      </c>
      <c r="C9115">
        <v>220000</v>
      </c>
      <c r="D9115">
        <v>2099.6999999999998</v>
      </c>
      <c r="E9115">
        <v>4.1799999999999997E-2</v>
      </c>
      <c r="F9115">
        <v>9.3799999999999994E-2</v>
      </c>
    </row>
    <row r="9116" spans="1:6" x14ac:dyDescent="0.3">
      <c r="A9116" t="s">
        <v>9151</v>
      </c>
      <c r="B9116" t="s">
        <v>26</v>
      </c>
      <c r="C9116">
        <v>292000</v>
      </c>
      <c r="D9116">
        <v>921.8</v>
      </c>
      <c r="E9116">
        <v>1.7500000000000002E-2</v>
      </c>
      <c r="F9116">
        <v>5.7599999999999998E-2</v>
      </c>
    </row>
    <row r="9117" spans="1:6" x14ac:dyDescent="0.3">
      <c r="A9117" t="s">
        <v>9152</v>
      </c>
      <c r="B9117" t="s">
        <v>490</v>
      </c>
      <c r="C9117">
        <v>176000</v>
      </c>
      <c r="D9117">
        <v>230.7</v>
      </c>
      <c r="E9117">
        <v>2.6100000000000002E-2</v>
      </c>
      <c r="F9117">
        <v>4.0899999999999999E-2</v>
      </c>
    </row>
    <row r="9118" spans="1:6" x14ac:dyDescent="0.3">
      <c r="A9118" t="s">
        <v>9153</v>
      </c>
      <c r="B9118" t="s">
        <v>74</v>
      </c>
      <c r="C9118">
        <v>436000</v>
      </c>
      <c r="D9118">
        <v>1770.2</v>
      </c>
      <c r="E9118">
        <v>2.4199999999999999E-2</v>
      </c>
      <c r="F9118">
        <v>8.5400000000000004E-2</v>
      </c>
    </row>
    <row r="9119" spans="1:6" x14ac:dyDescent="0.3">
      <c r="A9119" t="s">
        <v>9154</v>
      </c>
      <c r="B9119" t="s">
        <v>62</v>
      </c>
      <c r="C9119">
        <v>201000</v>
      </c>
      <c r="D9119">
        <v>7157.9</v>
      </c>
      <c r="E9119">
        <v>2.3099999999999999E-2</v>
      </c>
      <c r="F9119">
        <v>7.5899999999999995E-2</v>
      </c>
    </row>
    <row r="9120" spans="1:6" x14ac:dyDescent="0.3">
      <c r="A9120" t="s">
        <v>9155</v>
      </c>
      <c r="B9120" t="s">
        <v>24</v>
      </c>
      <c r="C9120">
        <v>259000</v>
      </c>
      <c r="D9120">
        <v>13227.7</v>
      </c>
      <c r="E9120">
        <v>3.0999999999999999E-3</v>
      </c>
      <c r="F9120">
        <v>7.2999999999999995E-2</v>
      </c>
    </row>
    <row r="9121" spans="1:6" x14ac:dyDescent="0.3">
      <c r="A9121" t="s">
        <v>9156</v>
      </c>
      <c r="B9121" t="s">
        <v>26</v>
      </c>
      <c r="C9121">
        <v>178000</v>
      </c>
      <c r="D9121">
        <v>483.4</v>
      </c>
      <c r="E9121">
        <v>1.01E-2</v>
      </c>
      <c r="F9121">
        <v>0.13100000000000001</v>
      </c>
    </row>
    <row r="9122" spans="1:6" x14ac:dyDescent="0.3">
      <c r="A9122" t="s">
        <v>9157</v>
      </c>
      <c r="B9122" t="s">
        <v>41</v>
      </c>
      <c r="C9122">
        <v>209000</v>
      </c>
      <c r="D9122">
        <v>806422.6</v>
      </c>
      <c r="E9122">
        <v>2.0899999999999998E-2</v>
      </c>
      <c r="F9122">
        <v>0.2089</v>
      </c>
    </row>
    <row r="9123" spans="1:6" x14ac:dyDescent="0.3">
      <c r="A9123" t="s">
        <v>9158</v>
      </c>
      <c r="B9123" t="s">
        <v>24</v>
      </c>
      <c r="C9123">
        <v>373000</v>
      </c>
      <c r="D9123">
        <v>38735.300000000003</v>
      </c>
      <c r="E9123">
        <v>3.3399999999999999E-2</v>
      </c>
      <c r="F9123">
        <v>6.7199999999999996E-2</v>
      </c>
    </row>
    <row r="9124" spans="1:6" x14ac:dyDescent="0.3">
      <c r="A9124" t="s">
        <v>9159</v>
      </c>
      <c r="B9124" t="s">
        <v>26</v>
      </c>
      <c r="C9124">
        <v>176000</v>
      </c>
      <c r="D9124">
        <v>32716</v>
      </c>
      <c r="E9124">
        <v>3.5799999999999998E-2</v>
      </c>
      <c r="F9124">
        <v>9.5100000000000004E-2</v>
      </c>
    </row>
    <row r="9125" spans="1:6" x14ac:dyDescent="0.3">
      <c r="A9125" t="s">
        <v>9160</v>
      </c>
      <c r="B9125" t="s">
        <v>24</v>
      </c>
      <c r="C9125">
        <v>181000</v>
      </c>
      <c r="D9125">
        <v>51441.8</v>
      </c>
      <c r="E9125">
        <v>4.4699999999999997E-2</v>
      </c>
      <c r="F9125">
        <v>9.5100000000000004E-2</v>
      </c>
    </row>
    <row r="9126" spans="1:6" x14ac:dyDescent="0.3">
      <c r="A9126" t="s">
        <v>9161</v>
      </c>
      <c r="B9126" t="s">
        <v>53</v>
      </c>
      <c r="C9126">
        <v>173000</v>
      </c>
      <c r="D9126">
        <v>24962.3</v>
      </c>
      <c r="E9126">
        <v>7.4999999999999997E-2</v>
      </c>
      <c r="F9126">
        <v>9.5100000000000004E-2</v>
      </c>
    </row>
    <row r="9127" spans="1:6" x14ac:dyDescent="0.3">
      <c r="A9127" t="s">
        <v>9162</v>
      </c>
      <c r="B9127" t="s">
        <v>74</v>
      </c>
      <c r="C9127">
        <v>240000</v>
      </c>
      <c r="D9127">
        <v>750.5</v>
      </c>
      <c r="E9127">
        <v>2.1899999999999999E-2</v>
      </c>
      <c r="F9127">
        <v>7.5700000000000003E-2</v>
      </c>
    </row>
    <row r="9128" spans="1:6" x14ac:dyDescent="0.3">
      <c r="A9128" t="s">
        <v>9163</v>
      </c>
      <c r="B9128" t="s">
        <v>81</v>
      </c>
      <c r="C9128">
        <v>173000</v>
      </c>
      <c r="D9128">
        <v>5118.7</v>
      </c>
      <c r="E9128">
        <v>9.7999999999999997E-3</v>
      </c>
      <c r="F9128">
        <v>0.14710000000000001</v>
      </c>
    </row>
    <row r="9129" spans="1:6" x14ac:dyDescent="0.3">
      <c r="A9129" t="s">
        <v>9164</v>
      </c>
      <c r="B9129" t="s">
        <v>74</v>
      </c>
      <c r="C9129">
        <v>168000</v>
      </c>
      <c r="D9129">
        <v>852</v>
      </c>
      <c r="E9129">
        <v>5.6300000000000003E-2</v>
      </c>
      <c r="F9129">
        <v>9.5100000000000004E-2</v>
      </c>
    </row>
    <row r="9130" spans="1:6" x14ac:dyDescent="0.3">
      <c r="A9130" t="s">
        <v>9165</v>
      </c>
      <c r="B9130" t="s">
        <v>41</v>
      </c>
      <c r="C9130">
        <v>173000</v>
      </c>
      <c r="D9130">
        <v>85.8</v>
      </c>
      <c r="E9130">
        <v>4.4000000000000003E-3</v>
      </c>
      <c r="F9130">
        <v>0.41699999999999998</v>
      </c>
    </row>
    <row r="9131" spans="1:6" x14ac:dyDescent="0.3">
      <c r="A9131" t="s">
        <v>9166</v>
      </c>
      <c r="B9131" t="s">
        <v>26</v>
      </c>
      <c r="C9131">
        <v>179000</v>
      </c>
      <c r="D9131">
        <v>23645</v>
      </c>
      <c r="E9131">
        <v>2.53E-2</v>
      </c>
      <c r="F9131">
        <v>9.5100000000000004E-2</v>
      </c>
    </row>
    <row r="9132" spans="1:6" x14ac:dyDescent="0.3">
      <c r="A9132" t="s">
        <v>9167</v>
      </c>
      <c r="B9132" t="s">
        <v>53</v>
      </c>
      <c r="C9132">
        <v>181000</v>
      </c>
      <c r="D9132">
        <v>5194.1000000000004</v>
      </c>
      <c r="E9132">
        <v>5.57E-2</v>
      </c>
      <c r="F9132">
        <v>7.5899999999999995E-2</v>
      </c>
    </row>
    <row r="9133" spans="1:6" x14ac:dyDescent="0.3">
      <c r="A9133" t="s">
        <v>9168</v>
      </c>
      <c r="B9133" t="s">
        <v>71</v>
      </c>
      <c r="C9133">
        <v>172000</v>
      </c>
      <c r="D9133">
        <v>831.2</v>
      </c>
      <c r="E9133">
        <v>2.0799999999999999E-2</v>
      </c>
      <c r="F9133">
        <v>0.1067</v>
      </c>
    </row>
    <row r="9134" spans="1:6" x14ac:dyDescent="0.3">
      <c r="A9134" t="s">
        <v>9169</v>
      </c>
      <c r="B9134" t="s">
        <v>287</v>
      </c>
      <c r="C9134">
        <v>176000</v>
      </c>
      <c r="D9134">
        <v>1023.6</v>
      </c>
      <c r="E9134">
        <v>1.29E-2</v>
      </c>
      <c r="F9134">
        <v>7.3599999999999999E-2</v>
      </c>
    </row>
    <row r="9135" spans="1:6" x14ac:dyDescent="0.3">
      <c r="A9135" t="s">
        <v>9170</v>
      </c>
      <c r="B9135" t="s">
        <v>26</v>
      </c>
      <c r="C9135">
        <v>286000</v>
      </c>
      <c r="D9135">
        <v>6223.8</v>
      </c>
      <c r="E9135">
        <v>2.1399999999999999E-2</v>
      </c>
      <c r="F9135">
        <v>8.5400000000000004E-2</v>
      </c>
    </row>
    <row r="9136" spans="1:6" x14ac:dyDescent="0.3">
      <c r="A9136" t="s">
        <v>9171</v>
      </c>
      <c r="B9136" t="s">
        <v>62</v>
      </c>
      <c r="C9136">
        <v>242000</v>
      </c>
      <c r="D9136">
        <v>21931</v>
      </c>
      <c r="E9136">
        <v>5.0500000000000003E-2</v>
      </c>
      <c r="F9136">
        <v>6.7199999999999996E-2</v>
      </c>
    </row>
    <row r="9137" spans="1:6" x14ac:dyDescent="0.3">
      <c r="A9137" t="s">
        <v>9172</v>
      </c>
      <c r="B9137" t="s">
        <v>62</v>
      </c>
      <c r="C9137">
        <v>179000</v>
      </c>
      <c r="D9137">
        <v>2937.2</v>
      </c>
      <c r="E9137">
        <v>2.6700000000000002E-2</v>
      </c>
      <c r="F9137">
        <v>9.5100000000000004E-2</v>
      </c>
    </row>
    <row r="9138" spans="1:6" x14ac:dyDescent="0.3">
      <c r="A9138" t="s">
        <v>9173</v>
      </c>
      <c r="B9138" t="s">
        <v>71</v>
      </c>
      <c r="C9138">
        <v>182000</v>
      </c>
      <c r="D9138">
        <v>6401.1</v>
      </c>
      <c r="E9138">
        <v>1.9199999999999998E-2</v>
      </c>
      <c r="F9138">
        <v>8.5400000000000004E-2</v>
      </c>
    </row>
    <row r="9139" spans="1:6" x14ac:dyDescent="0.3">
      <c r="A9139" t="s">
        <v>9174</v>
      </c>
      <c r="B9139" t="s">
        <v>26</v>
      </c>
      <c r="C9139">
        <v>272000</v>
      </c>
      <c r="D9139">
        <v>106744.3</v>
      </c>
      <c r="E9139">
        <v>1.9300000000000001E-2</v>
      </c>
      <c r="F9139">
        <v>0.1067</v>
      </c>
    </row>
    <row r="9140" spans="1:6" x14ac:dyDescent="0.3">
      <c r="A9140" t="s">
        <v>9175</v>
      </c>
      <c r="B9140" t="s">
        <v>30</v>
      </c>
      <c r="C9140">
        <v>652000</v>
      </c>
      <c r="D9140">
        <v>1464197.3</v>
      </c>
      <c r="E9140">
        <v>1.11E-2</v>
      </c>
      <c r="F9140">
        <v>7.3599999999999999E-2</v>
      </c>
    </row>
    <row r="9141" spans="1:6" x14ac:dyDescent="0.3">
      <c r="A9141" t="s">
        <v>9176</v>
      </c>
      <c r="B9141" t="s">
        <v>214</v>
      </c>
      <c r="C9141">
        <v>185000</v>
      </c>
      <c r="D9141">
        <v>2619.1</v>
      </c>
      <c r="E9141">
        <v>9.0999999999999998E-2</v>
      </c>
      <c r="F9141">
        <v>0.62919999999999998</v>
      </c>
    </row>
    <row r="9142" spans="1:6" x14ac:dyDescent="0.3">
      <c r="A9142" t="s">
        <v>9177</v>
      </c>
      <c r="B9142" t="s">
        <v>24</v>
      </c>
      <c r="C9142">
        <v>207000</v>
      </c>
      <c r="D9142">
        <v>781.5</v>
      </c>
      <c r="E9142">
        <v>3.1699999999999999E-2</v>
      </c>
      <c r="F9142">
        <v>9.98E-2</v>
      </c>
    </row>
    <row r="9143" spans="1:6" x14ac:dyDescent="0.3">
      <c r="A9143" t="s">
        <v>9178</v>
      </c>
      <c r="B9143" t="s">
        <v>32</v>
      </c>
      <c r="C9143">
        <v>176000</v>
      </c>
      <c r="D9143">
        <v>759905.8</v>
      </c>
      <c r="E9143">
        <v>1.49E-2</v>
      </c>
      <c r="F9143">
        <v>5.8500000000000003E-2</v>
      </c>
    </row>
    <row r="9144" spans="1:6" x14ac:dyDescent="0.3">
      <c r="A9144" t="s">
        <v>9179</v>
      </c>
      <c r="B9144" t="s">
        <v>26</v>
      </c>
      <c r="C9144">
        <v>225000</v>
      </c>
      <c r="D9144">
        <v>21181</v>
      </c>
      <c r="E9144">
        <v>2.2700000000000001E-2</v>
      </c>
      <c r="F9144">
        <v>0.13869999999999999</v>
      </c>
    </row>
    <row r="9145" spans="1:6" x14ac:dyDescent="0.3">
      <c r="A9145" t="s">
        <v>9180</v>
      </c>
      <c r="B9145" t="s">
        <v>88</v>
      </c>
      <c r="C9145">
        <v>251000</v>
      </c>
      <c r="D9145">
        <v>18300.900000000001</v>
      </c>
      <c r="E9145">
        <v>2.69E-2</v>
      </c>
      <c r="F9145">
        <v>5.1799999999999999E-2</v>
      </c>
    </row>
    <row r="9146" spans="1:6" x14ac:dyDescent="0.3">
      <c r="A9146" t="s">
        <v>9181</v>
      </c>
      <c r="B9146" t="s">
        <v>53</v>
      </c>
      <c r="C9146">
        <v>241000</v>
      </c>
      <c r="D9146">
        <v>173622.1</v>
      </c>
      <c r="E9146">
        <v>4.3900000000000002E-2</v>
      </c>
      <c r="F9146">
        <v>5.1799999999999999E-2</v>
      </c>
    </row>
    <row r="9147" spans="1:6" x14ac:dyDescent="0.3">
      <c r="A9147" t="s">
        <v>9182</v>
      </c>
      <c r="B9147" t="s">
        <v>88</v>
      </c>
      <c r="C9147">
        <v>184000</v>
      </c>
      <c r="D9147">
        <v>269</v>
      </c>
      <c r="E9147">
        <v>0.1086</v>
      </c>
      <c r="F9147">
        <v>0.50609999999999999</v>
      </c>
    </row>
    <row r="9148" spans="1:6" x14ac:dyDescent="0.3">
      <c r="A9148" t="s">
        <v>9183</v>
      </c>
      <c r="B9148" t="s">
        <v>92</v>
      </c>
      <c r="C9148">
        <v>279000</v>
      </c>
      <c r="D9148">
        <v>8232.2999999999993</v>
      </c>
      <c r="E9148">
        <v>3.2000000000000001E-2</v>
      </c>
      <c r="F9148">
        <v>5.0999999999999997E-2</v>
      </c>
    </row>
    <row r="9149" spans="1:6" x14ac:dyDescent="0.3">
      <c r="A9149" t="s">
        <v>9184</v>
      </c>
      <c r="B9149" t="s">
        <v>50</v>
      </c>
      <c r="C9149">
        <v>190000</v>
      </c>
      <c r="D9149">
        <v>2058.9</v>
      </c>
      <c r="E9149">
        <v>2.5600000000000001E-2</v>
      </c>
      <c r="F9149">
        <v>9.5100000000000004E-2</v>
      </c>
    </row>
    <row r="9150" spans="1:6" x14ac:dyDescent="0.3">
      <c r="A9150" t="s">
        <v>9185</v>
      </c>
      <c r="B9150" t="s">
        <v>88</v>
      </c>
      <c r="C9150">
        <v>269000</v>
      </c>
      <c r="D9150">
        <v>2583.6999999999998</v>
      </c>
      <c r="E9150">
        <v>3.2099999999999997E-2</v>
      </c>
      <c r="F9150">
        <v>9.5100000000000004E-2</v>
      </c>
    </row>
    <row r="9151" spans="1:6" x14ac:dyDescent="0.3">
      <c r="A9151" t="s">
        <v>9186</v>
      </c>
      <c r="B9151" t="s">
        <v>26</v>
      </c>
      <c r="C9151">
        <v>193000</v>
      </c>
      <c r="D9151">
        <v>42782.400000000001</v>
      </c>
      <c r="E9151">
        <v>9.4999999999999998E-3</v>
      </c>
      <c r="F9151">
        <v>8.2199999999999995E-2</v>
      </c>
    </row>
    <row r="9152" spans="1:6" x14ac:dyDescent="0.3">
      <c r="A9152" t="s">
        <v>9187</v>
      </c>
      <c r="B9152" t="s">
        <v>24</v>
      </c>
      <c r="C9152">
        <v>250000</v>
      </c>
      <c r="D9152">
        <v>3624.8</v>
      </c>
      <c r="E9152">
        <v>1.7100000000000001E-2</v>
      </c>
      <c r="F9152">
        <v>0.13100000000000001</v>
      </c>
    </row>
    <row r="9153" spans="1:6" x14ac:dyDescent="0.3">
      <c r="A9153" t="s">
        <v>9188</v>
      </c>
      <c r="B9153" t="s">
        <v>41</v>
      </c>
      <c r="C9153">
        <v>275000</v>
      </c>
      <c r="D9153">
        <v>1746.7</v>
      </c>
      <c r="E9153">
        <v>2.9399999999999999E-2</v>
      </c>
      <c r="F9153">
        <v>7.5899999999999995E-2</v>
      </c>
    </row>
    <row r="9154" spans="1:6" x14ac:dyDescent="0.3">
      <c r="A9154" t="s">
        <v>9189</v>
      </c>
      <c r="B9154" t="s">
        <v>24</v>
      </c>
      <c r="C9154">
        <v>239000</v>
      </c>
      <c r="D9154">
        <v>87308.7</v>
      </c>
      <c r="F9154">
        <v>7.5899999999999995E-2</v>
      </c>
    </row>
    <row r="9155" spans="1:6" x14ac:dyDescent="0.3">
      <c r="A9155" t="s">
        <v>9190</v>
      </c>
      <c r="B9155" t="s">
        <v>26</v>
      </c>
      <c r="C9155">
        <v>327000</v>
      </c>
      <c r="D9155">
        <v>263</v>
      </c>
      <c r="E9155">
        <v>3.8800000000000001E-2</v>
      </c>
      <c r="F9155">
        <v>9.98E-2</v>
      </c>
    </row>
    <row r="9156" spans="1:6" x14ac:dyDescent="0.3">
      <c r="A9156" t="s">
        <v>9191</v>
      </c>
      <c r="B9156" t="s">
        <v>26</v>
      </c>
      <c r="C9156">
        <v>220000</v>
      </c>
      <c r="D9156">
        <v>1367</v>
      </c>
      <c r="E9156">
        <v>1.41E-2</v>
      </c>
      <c r="F9156">
        <v>9.5000000000000001E-2</v>
      </c>
    </row>
    <row r="9157" spans="1:6" x14ac:dyDescent="0.3">
      <c r="A9157" t="s">
        <v>9192</v>
      </c>
      <c r="B9157" t="s">
        <v>26</v>
      </c>
      <c r="C9157">
        <v>261000</v>
      </c>
      <c r="D9157">
        <v>373131.5</v>
      </c>
      <c r="E9157">
        <v>2.3900000000000001E-2</v>
      </c>
      <c r="F9157">
        <v>7.5899999999999995E-2</v>
      </c>
    </row>
    <row r="9158" spans="1:6" x14ac:dyDescent="0.3">
      <c r="A9158" t="s">
        <v>9193</v>
      </c>
      <c r="B9158" t="s">
        <v>74</v>
      </c>
      <c r="C9158">
        <v>291000</v>
      </c>
      <c r="D9158">
        <v>42783.8</v>
      </c>
      <c r="E9158">
        <v>4.3099999999999999E-2</v>
      </c>
      <c r="F9158">
        <v>7.5899999999999995E-2</v>
      </c>
    </row>
    <row r="9159" spans="1:6" x14ac:dyDescent="0.3">
      <c r="A9159" t="s">
        <v>9194</v>
      </c>
      <c r="B9159" t="s">
        <v>88</v>
      </c>
      <c r="C9159">
        <v>173000</v>
      </c>
      <c r="D9159">
        <v>2042.4</v>
      </c>
      <c r="E9159">
        <v>2.7300000000000001E-2</v>
      </c>
      <c r="F9159">
        <v>6.7900000000000002E-2</v>
      </c>
    </row>
    <row r="9160" spans="1:6" x14ac:dyDescent="0.3">
      <c r="A9160" t="s">
        <v>9195</v>
      </c>
      <c r="B9160" t="s">
        <v>26</v>
      </c>
      <c r="C9160">
        <v>213000</v>
      </c>
      <c r="D9160">
        <v>9904.6</v>
      </c>
      <c r="E9160">
        <v>1.83E-2</v>
      </c>
      <c r="F9160">
        <v>5.8500000000000003E-2</v>
      </c>
    </row>
    <row r="9161" spans="1:6" x14ac:dyDescent="0.3">
      <c r="A9161" t="s">
        <v>9196</v>
      </c>
      <c r="B9161" t="s">
        <v>88</v>
      </c>
      <c r="C9161">
        <v>170000</v>
      </c>
      <c r="D9161">
        <v>253.6</v>
      </c>
      <c r="F9161">
        <v>5.1799999999999999E-2</v>
      </c>
    </row>
    <row r="9162" spans="1:6" x14ac:dyDescent="0.3">
      <c r="A9162" t="s">
        <v>9197</v>
      </c>
      <c r="B9162" t="s">
        <v>74</v>
      </c>
      <c r="C9162">
        <v>187000</v>
      </c>
      <c r="D9162">
        <v>1312.1</v>
      </c>
      <c r="E9162">
        <v>2.9600000000000001E-2</v>
      </c>
      <c r="F9162">
        <v>9.3799999999999994E-2</v>
      </c>
    </row>
    <row r="9163" spans="1:6" x14ac:dyDescent="0.3">
      <c r="A9163" t="s">
        <v>9198</v>
      </c>
      <c r="B9163" t="s">
        <v>92</v>
      </c>
      <c r="C9163">
        <v>2690000</v>
      </c>
      <c r="D9163">
        <v>73868.2</v>
      </c>
      <c r="E9163">
        <v>2.0199999999999999E-2</v>
      </c>
      <c r="F9163">
        <v>5.0999999999999997E-2</v>
      </c>
    </row>
    <row r="9164" spans="1:6" x14ac:dyDescent="0.3">
      <c r="A9164" t="s">
        <v>9199</v>
      </c>
      <c r="B9164" t="s">
        <v>88</v>
      </c>
      <c r="C9164">
        <v>193000</v>
      </c>
      <c r="D9164">
        <v>2620.8000000000002</v>
      </c>
      <c r="E9164">
        <v>3.85E-2</v>
      </c>
      <c r="F9164">
        <v>9.3799999999999994E-2</v>
      </c>
    </row>
    <row r="9165" spans="1:6" x14ac:dyDescent="0.3">
      <c r="A9165" t="s">
        <v>9200</v>
      </c>
      <c r="B9165" t="s">
        <v>74</v>
      </c>
      <c r="C9165">
        <v>170000</v>
      </c>
      <c r="D9165">
        <v>917.8</v>
      </c>
      <c r="E9165">
        <v>2.0899999999999998E-2</v>
      </c>
      <c r="F9165">
        <v>0.1066</v>
      </c>
    </row>
    <row r="9166" spans="1:6" x14ac:dyDescent="0.3">
      <c r="A9166" t="s">
        <v>9201</v>
      </c>
      <c r="B9166" t="s">
        <v>26</v>
      </c>
      <c r="C9166">
        <v>174000</v>
      </c>
      <c r="D9166">
        <v>12151.7</v>
      </c>
      <c r="E9166">
        <v>3.0200000000000001E-2</v>
      </c>
      <c r="F9166">
        <v>5.1799999999999999E-2</v>
      </c>
    </row>
    <row r="9167" spans="1:6" x14ac:dyDescent="0.3">
      <c r="A9167" t="s">
        <v>9202</v>
      </c>
      <c r="B9167" t="s">
        <v>490</v>
      </c>
      <c r="C9167">
        <v>191000</v>
      </c>
      <c r="D9167">
        <v>468.5</v>
      </c>
      <c r="E9167">
        <v>5.1400000000000001E-2</v>
      </c>
      <c r="F9167">
        <v>9.98E-2</v>
      </c>
    </row>
    <row r="9168" spans="1:6" x14ac:dyDescent="0.3">
      <c r="A9168" t="s">
        <v>9203</v>
      </c>
      <c r="B9168" t="s">
        <v>26</v>
      </c>
      <c r="C9168">
        <v>172000</v>
      </c>
      <c r="D9168">
        <v>476.7</v>
      </c>
      <c r="E9168">
        <v>3.2000000000000001E-2</v>
      </c>
      <c r="F9168">
        <v>5.1799999999999999E-2</v>
      </c>
    </row>
    <row r="9169" spans="1:6" x14ac:dyDescent="0.3">
      <c r="A9169" t="s">
        <v>9204</v>
      </c>
      <c r="B9169" t="s">
        <v>81</v>
      </c>
      <c r="C9169">
        <v>214000</v>
      </c>
      <c r="D9169">
        <v>21953.3</v>
      </c>
      <c r="E9169">
        <v>2.1899999999999999E-2</v>
      </c>
      <c r="F9169">
        <v>9.5100000000000004E-2</v>
      </c>
    </row>
    <row r="9170" spans="1:6" x14ac:dyDescent="0.3">
      <c r="A9170" t="s">
        <v>9205</v>
      </c>
      <c r="B9170" t="s">
        <v>81</v>
      </c>
      <c r="C9170">
        <v>249000</v>
      </c>
      <c r="D9170">
        <v>4491.8</v>
      </c>
      <c r="E9170">
        <v>3.5999999999999997E-2</v>
      </c>
      <c r="F9170">
        <v>9.3799999999999994E-2</v>
      </c>
    </row>
    <row r="9171" spans="1:6" x14ac:dyDescent="0.3">
      <c r="A9171" t="s">
        <v>9206</v>
      </c>
      <c r="B9171" t="s">
        <v>26</v>
      </c>
      <c r="C9171">
        <v>208000</v>
      </c>
      <c r="D9171">
        <v>1202.9000000000001</v>
      </c>
      <c r="E9171">
        <v>4.7800000000000002E-2</v>
      </c>
      <c r="F9171">
        <v>7.5899999999999995E-2</v>
      </c>
    </row>
    <row r="9172" spans="1:6" x14ac:dyDescent="0.3">
      <c r="A9172" t="s">
        <v>9207</v>
      </c>
      <c r="B9172" t="s">
        <v>26</v>
      </c>
      <c r="C9172">
        <v>204000</v>
      </c>
      <c r="D9172">
        <v>1665.3</v>
      </c>
      <c r="F9172">
        <v>7.5899999999999995E-2</v>
      </c>
    </row>
    <row r="9173" spans="1:6" x14ac:dyDescent="0.3">
      <c r="A9173" t="s">
        <v>9208</v>
      </c>
      <c r="B9173" t="s">
        <v>53</v>
      </c>
      <c r="C9173">
        <v>260000</v>
      </c>
      <c r="D9173">
        <v>3342.2</v>
      </c>
      <c r="E9173">
        <v>0.1148</v>
      </c>
      <c r="F9173">
        <v>9.3799999999999994E-2</v>
      </c>
    </row>
    <row r="9174" spans="1:6" x14ac:dyDescent="0.3">
      <c r="A9174" t="s">
        <v>9209</v>
      </c>
      <c r="B9174" t="s">
        <v>71</v>
      </c>
      <c r="C9174">
        <v>189000</v>
      </c>
      <c r="D9174">
        <v>13869.9</v>
      </c>
      <c r="E9174">
        <v>3.8300000000000001E-2</v>
      </c>
      <c r="F9174">
        <v>9.3799999999999994E-2</v>
      </c>
    </row>
    <row r="9175" spans="1:6" x14ac:dyDescent="0.3">
      <c r="A9175" t="s">
        <v>9210</v>
      </c>
      <c r="B9175" t="s">
        <v>41</v>
      </c>
      <c r="C9175">
        <v>171000</v>
      </c>
      <c r="D9175">
        <v>1241.0999999999999</v>
      </c>
      <c r="E9175">
        <v>1.9699999999999999E-2</v>
      </c>
      <c r="F9175">
        <v>7.2599999999999998E-2</v>
      </c>
    </row>
    <row r="9176" spans="1:6" x14ac:dyDescent="0.3">
      <c r="A9176" t="s">
        <v>9211</v>
      </c>
      <c r="B9176" t="s">
        <v>24</v>
      </c>
      <c r="C9176">
        <v>221000</v>
      </c>
      <c r="D9176">
        <v>1508.4</v>
      </c>
      <c r="E9176">
        <v>8.0000000000000004E-4</v>
      </c>
      <c r="F9176">
        <v>0.16800000000000001</v>
      </c>
    </row>
    <row r="9177" spans="1:6" x14ac:dyDescent="0.3">
      <c r="A9177" t="s">
        <v>9212</v>
      </c>
      <c r="B9177" t="s">
        <v>26</v>
      </c>
      <c r="C9177">
        <v>172000</v>
      </c>
      <c r="D9177">
        <v>3549.1</v>
      </c>
      <c r="E9177">
        <v>1.8599999999999998E-2</v>
      </c>
      <c r="F9177">
        <v>5.8500000000000003E-2</v>
      </c>
    </row>
    <row r="9178" spans="1:6" x14ac:dyDescent="0.3">
      <c r="A9178" t="s">
        <v>9213</v>
      </c>
      <c r="B9178" t="s">
        <v>53</v>
      </c>
      <c r="C9178">
        <v>188000</v>
      </c>
      <c r="D9178">
        <v>12093.7</v>
      </c>
      <c r="E9178">
        <v>8.2100000000000006E-2</v>
      </c>
      <c r="F9178">
        <v>9.3799999999999994E-2</v>
      </c>
    </row>
    <row r="9179" spans="1:6" x14ac:dyDescent="0.3">
      <c r="A9179" t="s">
        <v>9214</v>
      </c>
      <c r="B9179" t="s">
        <v>26</v>
      </c>
      <c r="C9179">
        <v>220000</v>
      </c>
      <c r="D9179">
        <v>13174.7</v>
      </c>
      <c r="E9179">
        <v>6.0000000000000001E-3</v>
      </c>
      <c r="F9179">
        <v>0.10150000000000001</v>
      </c>
    </row>
    <row r="9180" spans="1:6" x14ac:dyDescent="0.3">
      <c r="A9180" t="s">
        <v>9215</v>
      </c>
      <c r="B9180" t="s">
        <v>50</v>
      </c>
      <c r="C9180">
        <v>277000</v>
      </c>
      <c r="D9180">
        <v>62688.1</v>
      </c>
      <c r="E9180">
        <v>3.2800000000000003E-2</v>
      </c>
      <c r="F9180">
        <v>9.3799999999999994E-2</v>
      </c>
    </row>
    <row r="9181" spans="1:6" x14ac:dyDescent="0.3">
      <c r="A9181" t="s">
        <v>9216</v>
      </c>
      <c r="B9181" t="s">
        <v>53</v>
      </c>
      <c r="C9181">
        <v>880000</v>
      </c>
      <c r="D9181">
        <v>432</v>
      </c>
      <c r="E9181">
        <v>2.1499999999999998E-2</v>
      </c>
      <c r="F9181">
        <v>0.1053</v>
      </c>
    </row>
    <row r="9182" spans="1:6" x14ac:dyDescent="0.3">
      <c r="A9182" t="s">
        <v>9217</v>
      </c>
      <c r="B9182" t="s">
        <v>24</v>
      </c>
      <c r="C9182">
        <v>177000</v>
      </c>
      <c r="D9182">
        <v>1851.9</v>
      </c>
      <c r="E9182">
        <v>1.7999999999999999E-2</v>
      </c>
      <c r="F9182">
        <v>5.8500000000000003E-2</v>
      </c>
    </row>
    <row r="9183" spans="1:6" x14ac:dyDescent="0.3">
      <c r="A9183" t="s">
        <v>9218</v>
      </c>
      <c r="B9183" t="s">
        <v>74</v>
      </c>
      <c r="C9183">
        <v>3180000</v>
      </c>
      <c r="D9183">
        <v>340166.2</v>
      </c>
      <c r="F9183">
        <v>4.0899999999999999E-2</v>
      </c>
    </row>
    <row r="9184" spans="1:6" x14ac:dyDescent="0.3">
      <c r="A9184" t="s">
        <v>9219</v>
      </c>
      <c r="B9184" t="s">
        <v>88</v>
      </c>
      <c r="C9184">
        <v>170000</v>
      </c>
      <c r="D9184">
        <v>667.1</v>
      </c>
      <c r="E9184">
        <v>7.4999999999999997E-3</v>
      </c>
      <c r="F9184">
        <v>0.10150000000000001</v>
      </c>
    </row>
    <row r="9185" spans="1:6" x14ac:dyDescent="0.3">
      <c r="A9185" t="s">
        <v>9220</v>
      </c>
      <c r="B9185" t="s">
        <v>490</v>
      </c>
      <c r="C9185">
        <v>235000</v>
      </c>
      <c r="D9185">
        <v>1208.0999999999999</v>
      </c>
      <c r="E9185">
        <v>1.8700000000000001E-2</v>
      </c>
      <c r="F9185">
        <v>5.7599999999999998E-2</v>
      </c>
    </row>
    <row r="9186" spans="1:6" x14ac:dyDescent="0.3">
      <c r="A9186" t="s">
        <v>9221</v>
      </c>
      <c r="B9186" t="s">
        <v>32</v>
      </c>
      <c r="C9186">
        <v>212000</v>
      </c>
      <c r="D9186">
        <v>544.6</v>
      </c>
      <c r="E9186">
        <v>3.6999999999999998E-2</v>
      </c>
      <c r="F9186">
        <v>7.5899999999999995E-2</v>
      </c>
    </row>
    <row r="9187" spans="1:6" x14ac:dyDescent="0.3">
      <c r="A9187" t="s">
        <v>9222</v>
      </c>
      <c r="B9187" t="s">
        <v>92</v>
      </c>
      <c r="C9187">
        <v>182000</v>
      </c>
      <c r="D9187">
        <v>17064.7</v>
      </c>
      <c r="E9187">
        <v>2.8799999999999999E-2</v>
      </c>
      <c r="F9187">
        <v>9.5100000000000004E-2</v>
      </c>
    </row>
    <row r="9188" spans="1:6" x14ac:dyDescent="0.3">
      <c r="A9188" t="s">
        <v>9223</v>
      </c>
      <c r="B9188" t="s">
        <v>214</v>
      </c>
      <c r="C9188">
        <v>206000</v>
      </c>
      <c r="D9188">
        <v>1460</v>
      </c>
      <c r="E9188">
        <v>4.0300000000000002E-2</v>
      </c>
      <c r="F9188">
        <v>0.2545</v>
      </c>
    </row>
    <row r="9189" spans="1:6" x14ac:dyDescent="0.3">
      <c r="A9189" t="s">
        <v>9224</v>
      </c>
      <c r="B9189" t="s">
        <v>26</v>
      </c>
      <c r="C9189">
        <v>170000</v>
      </c>
      <c r="F9189">
        <v>7.5899999999999995E-2</v>
      </c>
    </row>
    <row r="9190" spans="1:6" x14ac:dyDescent="0.3">
      <c r="A9190" t="s">
        <v>9225</v>
      </c>
      <c r="B9190" t="s">
        <v>41</v>
      </c>
      <c r="C9190">
        <v>212000</v>
      </c>
      <c r="D9190">
        <v>2777.7</v>
      </c>
      <c r="E9190">
        <v>4.3200000000000002E-2</v>
      </c>
      <c r="F9190">
        <v>5.0999999999999997E-2</v>
      </c>
    </row>
    <row r="9191" spans="1:6" x14ac:dyDescent="0.3">
      <c r="A9191" t="s">
        <v>9226</v>
      </c>
      <c r="B9191" t="s">
        <v>53</v>
      </c>
      <c r="C9191">
        <v>192000</v>
      </c>
      <c r="D9191">
        <v>956.9</v>
      </c>
      <c r="F9191">
        <v>6.7199999999999996E-2</v>
      </c>
    </row>
    <row r="9192" spans="1:6" x14ac:dyDescent="0.3">
      <c r="A9192" t="s">
        <v>9227</v>
      </c>
      <c r="B9192" t="s">
        <v>74</v>
      </c>
      <c r="C9192">
        <v>218000</v>
      </c>
      <c r="D9192">
        <v>2291.9</v>
      </c>
      <c r="E9192">
        <v>3.3700000000000001E-2</v>
      </c>
      <c r="F9192">
        <v>9.3799999999999994E-2</v>
      </c>
    </row>
    <row r="9193" spans="1:6" x14ac:dyDescent="0.3">
      <c r="A9193" t="s">
        <v>9228</v>
      </c>
      <c r="B9193" t="s">
        <v>88</v>
      </c>
      <c r="C9193">
        <v>259000</v>
      </c>
      <c r="D9193">
        <v>55293.3</v>
      </c>
      <c r="E9193">
        <v>4.7600000000000003E-2</v>
      </c>
      <c r="F9193">
        <v>7.5899999999999995E-2</v>
      </c>
    </row>
    <row r="9194" spans="1:6" x14ac:dyDescent="0.3">
      <c r="A9194" t="s">
        <v>9229</v>
      </c>
      <c r="B9194" t="s">
        <v>24</v>
      </c>
      <c r="C9194">
        <v>219000</v>
      </c>
      <c r="D9194">
        <v>1504.7</v>
      </c>
      <c r="E9194">
        <v>7.51E-2</v>
      </c>
      <c r="F9194">
        <v>9.98E-2</v>
      </c>
    </row>
    <row r="9195" spans="1:6" x14ac:dyDescent="0.3">
      <c r="A9195" t="s">
        <v>9230</v>
      </c>
      <c r="B9195" t="s">
        <v>26</v>
      </c>
      <c r="C9195">
        <v>192000</v>
      </c>
      <c r="D9195">
        <v>357655.8</v>
      </c>
      <c r="E9195">
        <v>1.4500000000000001E-2</v>
      </c>
      <c r="F9195">
        <v>4.6199999999999998E-2</v>
      </c>
    </row>
    <row r="9196" spans="1:6" x14ac:dyDescent="0.3">
      <c r="A9196" t="s">
        <v>9231</v>
      </c>
      <c r="B9196" t="s">
        <v>287</v>
      </c>
      <c r="C9196">
        <v>171000</v>
      </c>
      <c r="D9196">
        <v>1903.5</v>
      </c>
      <c r="E9196">
        <v>4.8999999999999998E-3</v>
      </c>
      <c r="F9196">
        <v>6.54E-2</v>
      </c>
    </row>
    <row r="9197" spans="1:6" x14ac:dyDescent="0.3">
      <c r="A9197" t="s">
        <v>9232</v>
      </c>
      <c r="B9197" t="s">
        <v>71</v>
      </c>
      <c r="C9197">
        <v>180000</v>
      </c>
      <c r="D9197">
        <v>510.8</v>
      </c>
      <c r="E9197">
        <v>1.6E-2</v>
      </c>
      <c r="F9197">
        <v>7.2599999999999998E-2</v>
      </c>
    </row>
    <row r="9198" spans="1:6" x14ac:dyDescent="0.3">
      <c r="A9198" t="s">
        <v>9233</v>
      </c>
      <c r="B9198" t="s">
        <v>88</v>
      </c>
      <c r="C9198">
        <v>169000</v>
      </c>
      <c r="F9198">
        <v>7.5899999999999995E-2</v>
      </c>
    </row>
    <row r="9199" spans="1:6" x14ac:dyDescent="0.3">
      <c r="A9199" t="s">
        <v>9234</v>
      </c>
      <c r="B9199" t="s">
        <v>26</v>
      </c>
      <c r="C9199">
        <v>170000</v>
      </c>
      <c r="D9199">
        <v>67090.7</v>
      </c>
      <c r="E9199">
        <v>1.6899999999999998E-2</v>
      </c>
      <c r="F9199">
        <v>0.1067</v>
      </c>
    </row>
    <row r="9200" spans="1:6" x14ac:dyDescent="0.3">
      <c r="A9200" t="s">
        <v>9235</v>
      </c>
      <c r="B9200" t="s">
        <v>26</v>
      </c>
      <c r="C9200">
        <v>185000</v>
      </c>
      <c r="D9200">
        <v>6178</v>
      </c>
      <c r="E9200">
        <v>6.5600000000000006E-2</v>
      </c>
      <c r="F9200">
        <v>4.1200000000000001E-2</v>
      </c>
    </row>
    <row r="9201" spans="1:6" x14ac:dyDescent="0.3">
      <c r="A9201" t="s">
        <v>9236</v>
      </c>
      <c r="B9201" t="s">
        <v>32</v>
      </c>
      <c r="C9201">
        <v>208000</v>
      </c>
      <c r="D9201">
        <v>523.4</v>
      </c>
      <c r="E9201">
        <v>9.4000000000000004E-3</v>
      </c>
      <c r="F9201">
        <v>0.13150000000000001</v>
      </c>
    </row>
    <row r="9202" spans="1:6" x14ac:dyDescent="0.3">
      <c r="A9202" t="s">
        <v>9237</v>
      </c>
      <c r="B9202" t="s">
        <v>71</v>
      </c>
      <c r="C9202">
        <v>174000</v>
      </c>
      <c r="D9202">
        <v>20339.900000000001</v>
      </c>
      <c r="E9202">
        <v>2.7799999999999998E-2</v>
      </c>
      <c r="F9202">
        <v>0.17100000000000001</v>
      </c>
    </row>
    <row r="9203" spans="1:6" x14ac:dyDescent="0.3">
      <c r="A9203" t="s">
        <v>9238</v>
      </c>
      <c r="B9203" t="s">
        <v>88</v>
      </c>
      <c r="C9203">
        <v>410000</v>
      </c>
      <c r="D9203">
        <v>101336.9</v>
      </c>
      <c r="E9203">
        <v>2.4799999999999999E-2</v>
      </c>
      <c r="F9203">
        <v>9.5100000000000004E-2</v>
      </c>
    </row>
    <row r="9204" spans="1:6" x14ac:dyDescent="0.3">
      <c r="A9204" t="s">
        <v>9239</v>
      </c>
      <c r="B9204" t="s">
        <v>71</v>
      </c>
      <c r="C9204">
        <v>202000</v>
      </c>
      <c r="D9204">
        <v>967.1</v>
      </c>
      <c r="E9204">
        <v>3.3300000000000003E-2</v>
      </c>
      <c r="F9204">
        <v>9.3799999999999994E-2</v>
      </c>
    </row>
    <row r="9205" spans="1:6" x14ac:dyDescent="0.3">
      <c r="A9205" t="s">
        <v>9240</v>
      </c>
      <c r="B9205" t="s">
        <v>26</v>
      </c>
      <c r="C9205">
        <v>212000</v>
      </c>
      <c r="D9205">
        <v>36900.800000000003</v>
      </c>
      <c r="E9205">
        <v>2.98E-2</v>
      </c>
      <c r="F9205">
        <v>9.5100000000000004E-2</v>
      </c>
    </row>
    <row r="9206" spans="1:6" x14ac:dyDescent="0.3">
      <c r="A9206" t="s">
        <v>9241</v>
      </c>
      <c r="B9206" t="s">
        <v>26</v>
      </c>
      <c r="C9206">
        <v>330000</v>
      </c>
      <c r="D9206">
        <v>8528.1</v>
      </c>
      <c r="E9206">
        <v>6.4000000000000003E-3</v>
      </c>
      <c r="F9206">
        <v>8.2199999999999995E-2</v>
      </c>
    </row>
    <row r="9207" spans="1:6" x14ac:dyDescent="0.3">
      <c r="A9207" t="s">
        <v>9242</v>
      </c>
      <c r="B9207" t="s">
        <v>41</v>
      </c>
      <c r="C9207">
        <v>202000</v>
      </c>
      <c r="D9207">
        <v>356.9</v>
      </c>
      <c r="E9207">
        <v>2.9399999999999999E-2</v>
      </c>
      <c r="F9207">
        <v>7.3499999999999996E-2</v>
      </c>
    </row>
    <row r="9208" spans="1:6" x14ac:dyDescent="0.3">
      <c r="A9208" t="s">
        <v>9243</v>
      </c>
      <c r="B9208" t="s">
        <v>50</v>
      </c>
      <c r="C9208">
        <v>204000</v>
      </c>
      <c r="D9208">
        <v>177.1</v>
      </c>
      <c r="E9208">
        <v>6.1699999999999998E-2</v>
      </c>
      <c r="F9208">
        <v>7.5899999999999995E-2</v>
      </c>
    </row>
    <row r="9209" spans="1:6" x14ac:dyDescent="0.3">
      <c r="A9209" t="s">
        <v>9244</v>
      </c>
      <c r="B9209" t="s">
        <v>53</v>
      </c>
      <c r="C9209">
        <v>303000</v>
      </c>
      <c r="D9209">
        <v>54557.2</v>
      </c>
      <c r="E9209">
        <v>2.7699999999999999E-2</v>
      </c>
      <c r="F9209">
        <v>9.5100000000000004E-2</v>
      </c>
    </row>
    <row r="9210" spans="1:6" x14ac:dyDescent="0.3">
      <c r="A9210" t="s">
        <v>9245</v>
      </c>
      <c r="B9210" t="s">
        <v>32</v>
      </c>
      <c r="C9210">
        <v>230000</v>
      </c>
      <c r="D9210">
        <v>167354</v>
      </c>
      <c r="E9210">
        <v>2.3699999999999999E-2</v>
      </c>
      <c r="F9210">
        <v>4.6199999999999998E-2</v>
      </c>
    </row>
    <row r="9211" spans="1:6" x14ac:dyDescent="0.3">
      <c r="A9211" t="s">
        <v>9246</v>
      </c>
      <c r="B9211" t="s">
        <v>26</v>
      </c>
      <c r="C9211">
        <v>458000</v>
      </c>
      <c r="D9211">
        <v>1455443.2</v>
      </c>
      <c r="E9211">
        <v>6.7000000000000002E-3</v>
      </c>
      <c r="F9211">
        <v>8.2199999999999995E-2</v>
      </c>
    </row>
    <row r="9212" spans="1:6" x14ac:dyDescent="0.3">
      <c r="A9212" t="s">
        <v>9247</v>
      </c>
      <c r="B9212" t="s">
        <v>26</v>
      </c>
      <c r="C9212">
        <v>166000</v>
      </c>
      <c r="D9212">
        <v>374.5</v>
      </c>
      <c r="F9212">
        <v>9.5100000000000004E-2</v>
      </c>
    </row>
    <row r="9213" spans="1:6" x14ac:dyDescent="0.3">
      <c r="A9213" t="s">
        <v>9248</v>
      </c>
      <c r="B9213" t="s">
        <v>214</v>
      </c>
      <c r="C9213">
        <v>191000</v>
      </c>
      <c r="D9213">
        <v>4041.5</v>
      </c>
      <c r="E9213">
        <v>3.7400000000000003E-2</v>
      </c>
      <c r="F9213">
        <v>7.5899999999999995E-2</v>
      </c>
    </row>
    <row r="9214" spans="1:6" x14ac:dyDescent="0.3">
      <c r="A9214" t="s">
        <v>9249</v>
      </c>
      <c r="B9214" t="s">
        <v>26</v>
      </c>
      <c r="C9214">
        <v>447000</v>
      </c>
      <c r="D9214">
        <v>244109.2</v>
      </c>
      <c r="E9214">
        <v>4.6600000000000003E-2</v>
      </c>
      <c r="F9214">
        <v>4.3200000000000002E-2</v>
      </c>
    </row>
    <row r="9215" spans="1:6" x14ac:dyDescent="0.3">
      <c r="A9215" t="s">
        <v>9250</v>
      </c>
      <c r="B9215" t="s">
        <v>195</v>
      </c>
      <c r="C9215">
        <v>206000</v>
      </c>
      <c r="D9215">
        <v>5428</v>
      </c>
      <c r="E9215">
        <v>1.32E-2</v>
      </c>
      <c r="F9215">
        <v>4.6199999999999998E-2</v>
      </c>
    </row>
    <row r="9216" spans="1:6" x14ac:dyDescent="0.3">
      <c r="A9216" t="s">
        <v>9251</v>
      </c>
      <c r="B9216" t="s">
        <v>26</v>
      </c>
      <c r="C9216">
        <v>703000</v>
      </c>
      <c r="D9216">
        <v>70845.8</v>
      </c>
      <c r="E9216">
        <v>5.7500000000000002E-2</v>
      </c>
      <c r="F9216">
        <v>7.5899999999999995E-2</v>
      </c>
    </row>
    <row r="9217" spans="1:6" x14ac:dyDescent="0.3">
      <c r="A9217" t="s">
        <v>9252</v>
      </c>
      <c r="B9217" t="s">
        <v>26</v>
      </c>
      <c r="C9217">
        <v>292000</v>
      </c>
      <c r="D9217">
        <v>29366.7</v>
      </c>
      <c r="E9217">
        <v>4.1000000000000002E-2</v>
      </c>
      <c r="F9217">
        <v>7.5899999999999995E-2</v>
      </c>
    </row>
    <row r="9218" spans="1:6" x14ac:dyDescent="0.3">
      <c r="A9218" t="s">
        <v>9253</v>
      </c>
      <c r="B9218" t="s">
        <v>26</v>
      </c>
      <c r="C9218">
        <v>164000</v>
      </c>
      <c r="D9218">
        <v>11613.5</v>
      </c>
      <c r="E9218">
        <v>3.6400000000000002E-2</v>
      </c>
      <c r="F9218">
        <v>9.5100000000000004E-2</v>
      </c>
    </row>
    <row r="9219" spans="1:6" x14ac:dyDescent="0.3">
      <c r="A9219" t="s">
        <v>9254</v>
      </c>
      <c r="B9219" t="s">
        <v>214</v>
      </c>
      <c r="C9219">
        <v>179000</v>
      </c>
      <c r="D9219">
        <v>87937.600000000006</v>
      </c>
      <c r="E9219">
        <v>1.89E-2</v>
      </c>
      <c r="F9219">
        <v>5.8500000000000003E-2</v>
      </c>
    </row>
    <row r="9220" spans="1:6" x14ac:dyDescent="0.3">
      <c r="A9220" t="s">
        <v>9255</v>
      </c>
      <c r="B9220" t="s">
        <v>53</v>
      </c>
      <c r="C9220">
        <v>169000</v>
      </c>
      <c r="D9220">
        <v>1351</v>
      </c>
      <c r="E9220">
        <v>7.9699999999999993E-2</v>
      </c>
      <c r="F9220">
        <v>9.3799999999999994E-2</v>
      </c>
    </row>
    <row r="9221" spans="1:6" x14ac:dyDescent="0.3">
      <c r="A9221" t="s">
        <v>9256</v>
      </c>
      <c r="B9221" t="s">
        <v>71</v>
      </c>
      <c r="C9221">
        <v>168000</v>
      </c>
      <c r="D9221">
        <v>1018.6</v>
      </c>
      <c r="E9221">
        <v>3.7199999999999997E-2</v>
      </c>
      <c r="F9221">
        <v>9.5100000000000004E-2</v>
      </c>
    </row>
    <row r="9222" spans="1:6" x14ac:dyDescent="0.3">
      <c r="A9222" t="s">
        <v>9257</v>
      </c>
      <c r="B9222" t="s">
        <v>26</v>
      </c>
      <c r="C9222">
        <v>171000</v>
      </c>
      <c r="D9222">
        <v>704.6</v>
      </c>
      <c r="E9222">
        <v>4.82E-2</v>
      </c>
      <c r="F9222">
        <v>0.14399999999999999</v>
      </c>
    </row>
    <row r="9223" spans="1:6" x14ac:dyDescent="0.3">
      <c r="A9223" t="s">
        <v>9258</v>
      </c>
      <c r="B9223" t="s">
        <v>26</v>
      </c>
      <c r="C9223">
        <v>173000</v>
      </c>
      <c r="D9223">
        <v>408178.1</v>
      </c>
      <c r="E9223">
        <v>2.63E-2</v>
      </c>
      <c r="F9223">
        <v>5.1799999999999999E-2</v>
      </c>
    </row>
    <row r="9224" spans="1:6" x14ac:dyDescent="0.3">
      <c r="A9224" t="s">
        <v>9259</v>
      </c>
      <c r="B9224" t="s">
        <v>26</v>
      </c>
      <c r="C9224">
        <v>203000</v>
      </c>
      <c r="D9224">
        <v>10948.4</v>
      </c>
      <c r="E9224">
        <v>7.7999999999999996E-3</v>
      </c>
      <c r="F9224">
        <v>8.1100000000000005E-2</v>
      </c>
    </row>
    <row r="9225" spans="1:6" x14ac:dyDescent="0.3">
      <c r="A9225" t="s">
        <v>9260</v>
      </c>
      <c r="B9225" t="s">
        <v>24</v>
      </c>
      <c r="C9225">
        <v>335000</v>
      </c>
      <c r="D9225">
        <v>51843</v>
      </c>
      <c r="E9225">
        <v>3.8100000000000002E-2</v>
      </c>
      <c r="F9225">
        <v>7.5899999999999995E-2</v>
      </c>
    </row>
    <row r="9226" spans="1:6" x14ac:dyDescent="0.3">
      <c r="A9226" t="s">
        <v>9261</v>
      </c>
      <c r="B9226" t="s">
        <v>88</v>
      </c>
      <c r="C9226">
        <v>230000</v>
      </c>
      <c r="D9226">
        <v>9610.4</v>
      </c>
      <c r="E9226">
        <v>2.92E-2</v>
      </c>
      <c r="F9226">
        <v>9.5100000000000004E-2</v>
      </c>
    </row>
    <row r="9227" spans="1:6" x14ac:dyDescent="0.3">
      <c r="A9227" t="s">
        <v>9262</v>
      </c>
      <c r="B9227" t="s">
        <v>26</v>
      </c>
      <c r="C9227">
        <v>432000</v>
      </c>
      <c r="D9227">
        <v>2535</v>
      </c>
      <c r="E9227">
        <v>1.03E-2</v>
      </c>
      <c r="F9227">
        <v>6.54E-2</v>
      </c>
    </row>
    <row r="9228" spans="1:6" x14ac:dyDescent="0.3">
      <c r="A9228" t="s">
        <v>9263</v>
      </c>
      <c r="B9228" t="s">
        <v>92</v>
      </c>
      <c r="C9228">
        <v>173000</v>
      </c>
      <c r="D9228">
        <v>965.6</v>
      </c>
      <c r="E9228">
        <v>1.8200000000000001E-2</v>
      </c>
      <c r="F9228">
        <v>0.15939999999999999</v>
      </c>
    </row>
    <row r="9229" spans="1:6" x14ac:dyDescent="0.3">
      <c r="A9229" t="s">
        <v>9264</v>
      </c>
      <c r="B9229" t="s">
        <v>26</v>
      </c>
      <c r="C9229">
        <v>175000</v>
      </c>
      <c r="D9229">
        <v>22</v>
      </c>
      <c r="F9229">
        <v>9.3799999999999994E-2</v>
      </c>
    </row>
    <row r="9230" spans="1:6" x14ac:dyDescent="0.3">
      <c r="A9230" t="s">
        <v>9265</v>
      </c>
      <c r="B9230" t="s">
        <v>88</v>
      </c>
      <c r="C9230">
        <v>167000</v>
      </c>
      <c r="D9230">
        <v>392.6</v>
      </c>
      <c r="E9230">
        <v>4.2900000000000001E-2</v>
      </c>
      <c r="F9230">
        <v>0.1535</v>
      </c>
    </row>
    <row r="9231" spans="1:6" x14ac:dyDescent="0.3">
      <c r="A9231" t="s">
        <v>9266</v>
      </c>
      <c r="B9231" t="s">
        <v>214</v>
      </c>
      <c r="C9231">
        <v>803000</v>
      </c>
      <c r="D9231">
        <v>49934.5</v>
      </c>
      <c r="E9231">
        <v>4.8500000000000001E-2</v>
      </c>
      <c r="F9231">
        <v>9.3799999999999994E-2</v>
      </c>
    </row>
    <row r="9232" spans="1:6" x14ac:dyDescent="0.3">
      <c r="A9232" t="s">
        <v>9267</v>
      </c>
      <c r="B9232" t="s">
        <v>26</v>
      </c>
      <c r="C9232">
        <v>189000</v>
      </c>
      <c r="D9232">
        <v>731.2</v>
      </c>
      <c r="E9232">
        <v>1.7399999999999999E-2</v>
      </c>
      <c r="F9232">
        <v>0.1176</v>
      </c>
    </row>
    <row r="9233" spans="1:6" x14ac:dyDescent="0.3">
      <c r="A9233" t="s">
        <v>9268</v>
      </c>
      <c r="B9233" t="s">
        <v>26</v>
      </c>
      <c r="C9233">
        <v>226000</v>
      </c>
      <c r="D9233">
        <v>601495</v>
      </c>
      <c r="E9233">
        <v>2.9100000000000001E-2</v>
      </c>
      <c r="F9233">
        <v>4.0899999999999999E-2</v>
      </c>
    </row>
    <row r="9234" spans="1:6" x14ac:dyDescent="0.3">
      <c r="A9234" t="s">
        <v>9269</v>
      </c>
      <c r="B9234" t="s">
        <v>195</v>
      </c>
      <c r="C9234">
        <v>177000</v>
      </c>
      <c r="D9234">
        <v>3760.9</v>
      </c>
      <c r="E9234">
        <v>1.03E-2</v>
      </c>
      <c r="F9234">
        <v>0.13150000000000001</v>
      </c>
    </row>
    <row r="9235" spans="1:6" x14ac:dyDescent="0.3">
      <c r="A9235" t="s">
        <v>9270</v>
      </c>
      <c r="B9235" t="s">
        <v>30</v>
      </c>
      <c r="C9235">
        <v>202000</v>
      </c>
      <c r="D9235">
        <v>23417.4</v>
      </c>
      <c r="E9235">
        <v>2.2200000000000001E-2</v>
      </c>
      <c r="F9235">
        <v>4.0899999999999999E-2</v>
      </c>
    </row>
    <row r="9236" spans="1:6" x14ac:dyDescent="0.3">
      <c r="A9236" t="s">
        <v>9271</v>
      </c>
      <c r="B9236" t="s">
        <v>287</v>
      </c>
      <c r="C9236">
        <v>187000</v>
      </c>
      <c r="D9236">
        <v>170.3</v>
      </c>
      <c r="E9236">
        <v>0.1699</v>
      </c>
      <c r="F9236">
        <v>7.5899999999999995E-2</v>
      </c>
    </row>
    <row r="9237" spans="1:6" x14ac:dyDescent="0.3">
      <c r="A9237" t="s">
        <v>9272</v>
      </c>
      <c r="B9237" t="s">
        <v>41</v>
      </c>
      <c r="C9237">
        <v>2340000</v>
      </c>
      <c r="D9237">
        <v>5666.9</v>
      </c>
      <c r="E9237">
        <v>1.7999999999999999E-2</v>
      </c>
      <c r="F9237">
        <v>0.1053</v>
      </c>
    </row>
    <row r="9238" spans="1:6" x14ac:dyDescent="0.3">
      <c r="A9238" t="s">
        <v>9273</v>
      </c>
      <c r="B9238" t="s">
        <v>41</v>
      </c>
      <c r="C9238">
        <v>308000</v>
      </c>
      <c r="D9238">
        <v>3462.7</v>
      </c>
      <c r="E9238">
        <v>1.9699999999999999E-2</v>
      </c>
      <c r="F9238">
        <v>8.5400000000000004E-2</v>
      </c>
    </row>
    <row r="9239" spans="1:6" x14ac:dyDescent="0.3">
      <c r="A9239" t="s">
        <v>9274</v>
      </c>
      <c r="B9239" t="s">
        <v>26</v>
      </c>
      <c r="C9239">
        <v>180000</v>
      </c>
      <c r="D9239">
        <v>105329.4</v>
      </c>
      <c r="E9239">
        <v>4.8500000000000001E-2</v>
      </c>
      <c r="F9239">
        <v>5.1799999999999999E-2</v>
      </c>
    </row>
    <row r="9240" spans="1:6" x14ac:dyDescent="0.3">
      <c r="A9240" t="s">
        <v>9275</v>
      </c>
      <c r="B9240" t="s">
        <v>24</v>
      </c>
      <c r="C9240">
        <v>167000</v>
      </c>
      <c r="D9240">
        <v>158.69999999999999</v>
      </c>
      <c r="E9240">
        <v>2.3800000000000002E-2</v>
      </c>
      <c r="F9240">
        <v>0.1241</v>
      </c>
    </row>
    <row r="9241" spans="1:6" x14ac:dyDescent="0.3">
      <c r="A9241" t="s">
        <v>9276</v>
      </c>
      <c r="B9241" t="s">
        <v>26</v>
      </c>
      <c r="C9241">
        <v>206000</v>
      </c>
      <c r="D9241">
        <v>1157.3</v>
      </c>
      <c r="E9241">
        <v>1.5299999999999999E-2</v>
      </c>
      <c r="F9241">
        <v>9.5600000000000004E-2</v>
      </c>
    </row>
    <row r="9242" spans="1:6" x14ac:dyDescent="0.3">
      <c r="A9242" t="s">
        <v>9277</v>
      </c>
      <c r="B9242" t="s">
        <v>74</v>
      </c>
      <c r="C9242">
        <v>209000</v>
      </c>
      <c r="D9242">
        <v>868.9</v>
      </c>
      <c r="E9242">
        <v>3.9800000000000002E-2</v>
      </c>
      <c r="F9242">
        <v>7.5899999999999995E-2</v>
      </c>
    </row>
    <row r="9243" spans="1:6" x14ac:dyDescent="0.3">
      <c r="A9243" t="s">
        <v>9278</v>
      </c>
      <c r="B9243" t="s">
        <v>62</v>
      </c>
      <c r="C9243">
        <v>223000</v>
      </c>
      <c r="D9243">
        <v>55455.8</v>
      </c>
      <c r="E9243">
        <v>6.0999999999999999E-2</v>
      </c>
      <c r="F9243">
        <v>7.5899999999999995E-2</v>
      </c>
    </row>
    <row r="9244" spans="1:6" x14ac:dyDescent="0.3">
      <c r="A9244" t="s">
        <v>9279</v>
      </c>
      <c r="B9244" t="s">
        <v>53</v>
      </c>
      <c r="C9244">
        <v>166000</v>
      </c>
      <c r="D9244">
        <v>11792.5</v>
      </c>
      <c r="F9244">
        <v>6.4399999999999999E-2</v>
      </c>
    </row>
    <row r="9245" spans="1:6" x14ac:dyDescent="0.3">
      <c r="A9245" t="s">
        <v>9280</v>
      </c>
      <c r="B9245" t="s">
        <v>214</v>
      </c>
      <c r="C9245">
        <v>281000</v>
      </c>
      <c r="D9245">
        <v>1902.2</v>
      </c>
      <c r="E9245">
        <v>9.2999999999999992E-3</v>
      </c>
      <c r="F9245">
        <v>0.1298</v>
      </c>
    </row>
    <row r="9246" spans="1:6" x14ac:dyDescent="0.3">
      <c r="A9246" t="s">
        <v>9281</v>
      </c>
      <c r="B9246" t="s">
        <v>24</v>
      </c>
      <c r="C9246">
        <v>178000</v>
      </c>
      <c r="D9246">
        <v>2533.1</v>
      </c>
      <c r="E9246">
        <v>1.5299999999999999E-2</v>
      </c>
      <c r="F9246">
        <v>5.8500000000000003E-2</v>
      </c>
    </row>
    <row r="9247" spans="1:6" x14ac:dyDescent="0.3">
      <c r="A9247" t="s">
        <v>9282</v>
      </c>
      <c r="B9247" t="s">
        <v>62</v>
      </c>
      <c r="C9247">
        <v>219000</v>
      </c>
      <c r="D9247">
        <v>4306.7</v>
      </c>
      <c r="E9247">
        <v>8.0999999999999996E-3</v>
      </c>
      <c r="F9247">
        <v>6.54E-2</v>
      </c>
    </row>
    <row r="9248" spans="1:6" x14ac:dyDescent="0.3">
      <c r="A9248" t="s">
        <v>9283</v>
      </c>
      <c r="B9248" t="s">
        <v>88</v>
      </c>
      <c r="C9248">
        <v>204000</v>
      </c>
      <c r="D9248">
        <v>2648.7</v>
      </c>
      <c r="E9248">
        <v>2.47E-2</v>
      </c>
      <c r="F9248">
        <v>5.1799999999999999E-2</v>
      </c>
    </row>
    <row r="9249" spans="1:6" x14ac:dyDescent="0.3">
      <c r="A9249" t="s">
        <v>9284</v>
      </c>
      <c r="B9249" t="s">
        <v>26</v>
      </c>
      <c r="C9249">
        <v>281000</v>
      </c>
      <c r="D9249">
        <v>87160.2</v>
      </c>
      <c r="E9249">
        <v>1.6500000000000001E-2</v>
      </c>
      <c r="F9249">
        <v>0.1067</v>
      </c>
    </row>
    <row r="9250" spans="1:6" x14ac:dyDescent="0.3">
      <c r="A9250" t="s">
        <v>9285</v>
      </c>
      <c r="B9250" t="s">
        <v>41</v>
      </c>
      <c r="C9250">
        <v>298000</v>
      </c>
      <c r="D9250">
        <v>3521.5</v>
      </c>
      <c r="E9250">
        <v>1.55E-2</v>
      </c>
      <c r="F9250">
        <v>0.12620000000000001</v>
      </c>
    </row>
    <row r="9251" spans="1:6" x14ac:dyDescent="0.3">
      <c r="A9251" t="s">
        <v>9286</v>
      </c>
      <c r="B9251" t="s">
        <v>71</v>
      </c>
      <c r="C9251">
        <v>257000</v>
      </c>
      <c r="D9251">
        <v>6719</v>
      </c>
      <c r="E9251">
        <v>3.4000000000000002E-2</v>
      </c>
      <c r="F9251">
        <v>7.5899999999999995E-2</v>
      </c>
    </row>
    <row r="9252" spans="1:6" x14ac:dyDescent="0.3">
      <c r="A9252" t="s">
        <v>9287</v>
      </c>
      <c r="B9252" t="s">
        <v>92</v>
      </c>
      <c r="C9252">
        <v>168000</v>
      </c>
      <c r="D9252">
        <v>1435.1</v>
      </c>
      <c r="E9252">
        <v>2.3599999999999999E-2</v>
      </c>
      <c r="F9252">
        <v>8.5400000000000004E-2</v>
      </c>
    </row>
    <row r="9253" spans="1:6" x14ac:dyDescent="0.3">
      <c r="A9253" t="s">
        <v>9288</v>
      </c>
      <c r="B9253" t="s">
        <v>88</v>
      </c>
      <c r="C9253">
        <v>170000</v>
      </c>
      <c r="D9253">
        <v>442.2</v>
      </c>
      <c r="E9253">
        <v>2.3300000000000001E-2</v>
      </c>
      <c r="F9253">
        <v>4.6199999999999998E-2</v>
      </c>
    </row>
    <row r="9254" spans="1:6" x14ac:dyDescent="0.3">
      <c r="A9254" t="s">
        <v>9289</v>
      </c>
      <c r="B9254" t="s">
        <v>26</v>
      </c>
      <c r="C9254">
        <v>172000</v>
      </c>
      <c r="D9254">
        <v>2660.2</v>
      </c>
      <c r="E9254">
        <v>1.4500000000000001E-2</v>
      </c>
      <c r="F9254">
        <v>5.8500000000000003E-2</v>
      </c>
    </row>
    <row r="9255" spans="1:6" x14ac:dyDescent="0.3">
      <c r="A9255" t="s">
        <v>9290</v>
      </c>
      <c r="B9255" t="s">
        <v>214</v>
      </c>
      <c r="C9255">
        <v>179000</v>
      </c>
      <c r="D9255">
        <v>8661.2000000000007</v>
      </c>
      <c r="E9255">
        <v>4.0399999999999998E-2</v>
      </c>
      <c r="F9255">
        <v>9.5100000000000004E-2</v>
      </c>
    </row>
    <row r="9256" spans="1:6" x14ac:dyDescent="0.3">
      <c r="A9256" t="s">
        <v>9291</v>
      </c>
      <c r="B9256" t="s">
        <v>26</v>
      </c>
      <c r="C9256">
        <v>290000</v>
      </c>
      <c r="D9256">
        <v>27815.9</v>
      </c>
      <c r="E9256">
        <v>8.2100000000000006E-2</v>
      </c>
      <c r="F9256">
        <v>7.5899999999999995E-2</v>
      </c>
    </row>
    <row r="9257" spans="1:6" x14ac:dyDescent="0.3">
      <c r="A9257" t="s">
        <v>9292</v>
      </c>
      <c r="B9257" t="s">
        <v>88</v>
      </c>
      <c r="C9257">
        <v>196000</v>
      </c>
      <c r="D9257">
        <v>1582.7</v>
      </c>
      <c r="E9257">
        <v>4.1000000000000003E-3</v>
      </c>
      <c r="F9257">
        <v>8.1100000000000005E-2</v>
      </c>
    </row>
    <row r="9258" spans="1:6" x14ac:dyDescent="0.3">
      <c r="A9258" t="s">
        <v>9293</v>
      </c>
      <c r="B9258" t="s">
        <v>50</v>
      </c>
      <c r="C9258">
        <v>194000</v>
      </c>
      <c r="D9258">
        <v>22969.200000000001</v>
      </c>
      <c r="E9258">
        <v>3.7600000000000001E-2</v>
      </c>
      <c r="F9258">
        <v>9.5100000000000004E-2</v>
      </c>
    </row>
    <row r="9259" spans="1:6" x14ac:dyDescent="0.3">
      <c r="A9259" t="s">
        <v>9294</v>
      </c>
      <c r="B9259" t="s">
        <v>24</v>
      </c>
      <c r="C9259">
        <v>305000</v>
      </c>
      <c r="D9259">
        <v>18562.7</v>
      </c>
      <c r="E9259">
        <v>1.2699999999999999E-2</v>
      </c>
      <c r="F9259">
        <v>7.2599999999999998E-2</v>
      </c>
    </row>
    <row r="9260" spans="1:6" x14ac:dyDescent="0.3">
      <c r="A9260" t="s">
        <v>9295</v>
      </c>
      <c r="B9260" t="s">
        <v>490</v>
      </c>
      <c r="C9260">
        <v>220000</v>
      </c>
      <c r="D9260">
        <v>920.4</v>
      </c>
      <c r="E9260">
        <v>3.7199999999999997E-2</v>
      </c>
      <c r="F9260">
        <v>9.3799999999999994E-2</v>
      </c>
    </row>
    <row r="9261" spans="1:6" x14ac:dyDescent="0.3">
      <c r="A9261" t="s">
        <v>9296</v>
      </c>
      <c r="B9261" t="s">
        <v>41</v>
      </c>
      <c r="C9261">
        <v>656000</v>
      </c>
      <c r="D9261">
        <v>33793.699999999997</v>
      </c>
      <c r="E9261">
        <v>0.1004</v>
      </c>
      <c r="F9261">
        <v>9.3799999999999994E-2</v>
      </c>
    </row>
    <row r="9262" spans="1:6" x14ac:dyDescent="0.3">
      <c r="A9262" t="s">
        <v>9297</v>
      </c>
      <c r="B9262" t="s">
        <v>214</v>
      </c>
      <c r="C9262">
        <v>228000</v>
      </c>
      <c r="D9262">
        <v>1529.2</v>
      </c>
      <c r="E9262">
        <v>1.3100000000000001E-2</v>
      </c>
      <c r="F9262">
        <v>0.1067</v>
      </c>
    </row>
    <row r="9263" spans="1:6" x14ac:dyDescent="0.3">
      <c r="A9263" t="s">
        <v>9298</v>
      </c>
      <c r="B9263" t="s">
        <v>50</v>
      </c>
      <c r="C9263">
        <v>221000</v>
      </c>
      <c r="D9263">
        <v>32326.3</v>
      </c>
      <c r="E9263">
        <v>3.9699999999999999E-2</v>
      </c>
      <c r="F9263">
        <v>9.5100000000000004E-2</v>
      </c>
    </row>
    <row r="9264" spans="1:6" x14ac:dyDescent="0.3">
      <c r="A9264" t="s">
        <v>9299</v>
      </c>
      <c r="B9264" t="s">
        <v>88</v>
      </c>
      <c r="C9264">
        <v>170000</v>
      </c>
      <c r="D9264">
        <v>131.30000000000001</v>
      </c>
      <c r="E9264">
        <v>2.9600000000000001E-2</v>
      </c>
      <c r="F9264">
        <v>6.7900000000000002E-2</v>
      </c>
    </row>
    <row r="9265" spans="1:6" x14ac:dyDescent="0.3">
      <c r="A9265" t="s">
        <v>9300</v>
      </c>
      <c r="B9265" t="s">
        <v>214</v>
      </c>
      <c r="C9265">
        <v>171000</v>
      </c>
      <c r="D9265">
        <v>324.89999999999998</v>
      </c>
      <c r="E9265">
        <v>1.9E-2</v>
      </c>
      <c r="F9265">
        <v>5.8500000000000003E-2</v>
      </c>
    </row>
    <row r="9266" spans="1:6" x14ac:dyDescent="0.3">
      <c r="A9266" t="s">
        <v>9301</v>
      </c>
      <c r="B9266" t="s">
        <v>26</v>
      </c>
      <c r="C9266">
        <v>187000</v>
      </c>
      <c r="D9266">
        <v>43363</v>
      </c>
      <c r="E9266">
        <v>2.1000000000000001E-2</v>
      </c>
      <c r="F9266">
        <v>0.11700000000000001</v>
      </c>
    </row>
    <row r="9267" spans="1:6" x14ac:dyDescent="0.3">
      <c r="A9267" t="s">
        <v>9302</v>
      </c>
      <c r="B9267" t="s">
        <v>26</v>
      </c>
      <c r="C9267">
        <v>207000</v>
      </c>
      <c r="D9267">
        <v>3014.7</v>
      </c>
      <c r="E9267">
        <v>5.62E-2</v>
      </c>
      <c r="F9267">
        <v>0.4803</v>
      </c>
    </row>
    <row r="9268" spans="1:6" x14ac:dyDescent="0.3">
      <c r="A9268" t="s">
        <v>9303</v>
      </c>
      <c r="B9268" t="s">
        <v>88</v>
      </c>
      <c r="C9268">
        <v>226000</v>
      </c>
      <c r="D9268">
        <v>1748.4</v>
      </c>
      <c r="E9268">
        <v>3.2000000000000002E-3</v>
      </c>
      <c r="F9268">
        <v>8.1100000000000005E-2</v>
      </c>
    </row>
    <row r="9269" spans="1:6" x14ac:dyDescent="0.3">
      <c r="A9269" t="s">
        <v>9304</v>
      </c>
      <c r="B9269" t="s">
        <v>88</v>
      </c>
      <c r="C9269">
        <v>225000</v>
      </c>
      <c r="D9269">
        <v>92027.8</v>
      </c>
      <c r="E9269">
        <v>2.0299999999999999E-2</v>
      </c>
      <c r="F9269">
        <v>0.1067</v>
      </c>
    </row>
    <row r="9270" spans="1:6" x14ac:dyDescent="0.3">
      <c r="A9270" t="s">
        <v>9305</v>
      </c>
      <c r="B9270" t="s">
        <v>24</v>
      </c>
      <c r="C9270">
        <v>205000</v>
      </c>
      <c r="D9270">
        <v>4095.9</v>
      </c>
      <c r="E9270">
        <v>1.7100000000000001E-2</v>
      </c>
      <c r="F9270">
        <v>5.7599999999999998E-2</v>
      </c>
    </row>
    <row r="9271" spans="1:6" x14ac:dyDescent="0.3">
      <c r="A9271" t="s">
        <v>9306</v>
      </c>
      <c r="B9271" t="s">
        <v>88</v>
      </c>
      <c r="C9271">
        <v>167000</v>
      </c>
      <c r="D9271">
        <v>2811.1</v>
      </c>
      <c r="E9271">
        <v>2.41E-2</v>
      </c>
      <c r="F9271">
        <v>9.5100000000000004E-2</v>
      </c>
    </row>
    <row r="9272" spans="1:6" x14ac:dyDescent="0.3">
      <c r="A9272" t="s">
        <v>9307</v>
      </c>
      <c r="B9272" t="s">
        <v>88</v>
      </c>
      <c r="C9272">
        <v>175000</v>
      </c>
      <c r="D9272">
        <v>1238.7</v>
      </c>
      <c r="E9272">
        <v>2.0899999999999998E-2</v>
      </c>
      <c r="F9272">
        <v>8.5400000000000004E-2</v>
      </c>
    </row>
    <row r="9273" spans="1:6" x14ac:dyDescent="0.3">
      <c r="A9273" t="s">
        <v>9308</v>
      </c>
      <c r="B9273" t="s">
        <v>26</v>
      </c>
      <c r="C9273">
        <v>206000</v>
      </c>
      <c r="D9273">
        <v>6627.4</v>
      </c>
      <c r="E9273">
        <v>4.5400000000000003E-2</v>
      </c>
      <c r="F9273">
        <v>7.5899999999999995E-2</v>
      </c>
    </row>
    <row r="9274" spans="1:6" x14ac:dyDescent="0.3">
      <c r="A9274" t="s">
        <v>9309</v>
      </c>
      <c r="B9274" t="s">
        <v>26</v>
      </c>
      <c r="C9274">
        <v>166000</v>
      </c>
      <c r="D9274">
        <v>7427.7</v>
      </c>
      <c r="E9274">
        <v>2.52E-2</v>
      </c>
      <c r="F9274">
        <v>9.5100000000000004E-2</v>
      </c>
    </row>
    <row r="9275" spans="1:6" x14ac:dyDescent="0.3">
      <c r="A9275" t="s">
        <v>9310</v>
      </c>
      <c r="B9275" t="s">
        <v>26</v>
      </c>
      <c r="C9275">
        <v>283000</v>
      </c>
      <c r="D9275">
        <v>190126.2</v>
      </c>
      <c r="E9275">
        <v>2.7799999999999998E-2</v>
      </c>
      <c r="F9275">
        <v>9.5100000000000004E-2</v>
      </c>
    </row>
    <row r="9276" spans="1:6" x14ac:dyDescent="0.3">
      <c r="A9276" t="s">
        <v>9311</v>
      </c>
      <c r="B9276" t="s">
        <v>71</v>
      </c>
      <c r="C9276">
        <v>244000</v>
      </c>
      <c r="D9276">
        <v>206890.9</v>
      </c>
      <c r="E9276">
        <v>2.7699999999999999E-2</v>
      </c>
      <c r="F9276">
        <v>4.0899999999999999E-2</v>
      </c>
    </row>
    <row r="9277" spans="1:6" x14ac:dyDescent="0.3">
      <c r="A9277" t="s">
        <v>9312</v>
      </c>
      <c r="B9277" t="s">
        <v>26</v>
      </c>
      <c r="C9277">
        <v>208000</v>
      </c>
      <c r="D9277">
        <v>5815.4</v>
      </c>
      <c r="E9277">
        <v>8.7300000000000003E-2</v>
      </c>
      <c r="F9277">
        <v>9.3799999999999994E-2</v>
      </c>
    </row>
    <row r="9278" spans="1:6" x14ac:dyDescent="0.3">
      <c r="A9278" t="s">
        <v>9313</v>
      </c>
      <c r="B9278" t="s">
        <v>30</v>
      </c>
      <c r="C9278">
        <v>693000</v>
      </c>
      <c r="D9278">
        <v>11795137.6</v>
      </c>
      <c r="E9278">
        <v>1.5E-3</v>
      </c>
      <c r="F9278">
        <v>8.2199999999999995E-2</v>
      </c>
    </row>
    <row r="9279" spans="1:6" x14ac:dyDescent="0.3">
      <c r="A9279" t="s">
        <v>9314</v>
      </c>
      <c r="B9279" t="s">
        <v>195</v>
      </c>
      <c r="C9279">
        <v>166000</v>
      </c>
      <c r="D9279">
        <v>17802.400000000001</v>
      </c>
      <c r="E9279">
        <v>2.4E-2</v>
      </c>
      <c r="F9279">
        <v>8.4500000000000006E-2</v>
      </c>
    </row>
    <row r="9280" spans="1:6" x14ac:dyDescent="0.3">
      <c r="A9280" t="s">
        <v>9315</v>
      </c>
      <c r="B9280" t="s">
        <v>30</v>
      </c>
      <c r="C9280">
        <v>172000</v>
      </c>
      <c r="D9280">
        <v>340.8</v>
      </c>
      <c r="E9280">
        <v>3.0000000000000001E-3</v>
      </c>
      <c r="F9280">
        <v>0.28149999999999997</v>
      </c>
    </row>
    <row r="9281" spans="1:6" x14ac:dyDescent="0.3">
      <c r="A9281" t="s">
        <v>9316</v>
      </c>
      <c r="B9281" t="s">
        <v>26</v>
      </c>
      <c r="C9281">
        <v>170000</v>
      </c>
      <c r="D9281">
        <v>695.5</v>
      </c>
      <c r="E9281">
        <v>6.2199999999999998E-2</v>
      </c>
      <c r="F9281">
        <v>9.5100000000000004E-2</v>
      </c>
    </row>
    <row r="9282" spans="1:6" x14ac:dyDescent="0.3">
      <c r="A9282" t="s">
        <v>9317</v>
      </c>
      <c r="B9282" t="s">
        <v>88</v>
      </c>
      <c r="C9282">
        <v>167000</v>
      </c>
      <c r="D9282">
        <v>111.5</v>
      </c>
      <c r="E9282">
        <v>1.7000000000000001E-2</v>
      </c>
      <c r="F9282">
        <v>0.13900000000000001</v>
      </c>
    </row>
    <row r="9283" spans="1:6" x14ac:dyDescent="0.3">
      <c r="A9283" t="s">
        <v>9318</v>
      </c>
      <c r="B9283" t="s">
        <v>81</v>
      </c>
      <c r="C9283">
        <v>310000</v>
      </c>
      <c r="D9283">
        <v>4109.8999999999996</v>
      </c>
      <c r="E9283">
        <v>3.3500000000000002E-2</v>
      </c>
      <c r="F9283">
        <v>7.5899999999999995E-2</v>
      </c>
    </row>
    <row r="9284" spans="1:6" x14ac:dyDescent="0.3">
      <c r="A9284" t="s">
        <v>9319</v>
      </c>
      <c r="B9284" t="s">
        <v>26</v>
      </c>
      <c r="C9284">
        <v>243000</v>
      </c>
      <c r="D9284">
        <v>11106.2</v>
      </c>
      <c r="E9284">
        <v>2.0799999999999999E-2</v>
      </c>
      <c r="F9284">
        <v>9.5100000000000004E-2</v>
      </c>
    </row>
    <row r="9285" spans="1:6" x14ac:dyDescent="0.3">
      <c r="A9285" t="s">
        <v>9320</v>
      </c>
      <c r="B9285" t="s">
        <v>41</v>
      </c>
      <c r="C9285">
        <v>318000</v>
      </c>
      <c r="D9285">
        <v>19897.3</v>
      </c>
      <c r="F9285">
        <v>9.5100000000000004E-2</v>
      </c>
    </row>
    <row r="9286" spans="1:6" x14ac:dyDescent="0.3">
      <c r="A9286" t="s">
        <v>9321</v>
      </c>
      <c r="B9286" t="s">
        <v>214</v>
      </c>
      <c r="C9286">
        <v>176000</v>
      </c>
      <c r="D9286">
        <v>1576.8</v>
      </c>
      <c r="E9286">
        <v>3.4099999999999998E-2</v>
      </c>
      <c r="F9286">
        <v>7.5899999999999995E-2</v>
      </c>
    </row>
    <row r="9287" spans="1:6" x14ac:dyDescent="0.3">
      <c r="A9287" t="s">
        <v>9322</v>
      </c>
      <c r="B9287" t="s">
        <v>26</v>
      </c>
      <c r="C9287">
        <v>188000</v>
      </c>
      <c r="D9287">
        <v>1837.7</v>
      </c>
      <c r="E9287">
        <v>6.4000000000000003E-3</v>
      </c>
      <c r="F9287">
        <v>8.2199999999999995E-2</v>
      </c>
    </row>
    <row r="9288" spans="1:6" x14ac:dyDescent="0.3">
      <c r="A9288" t="s">
        <v>9323</v>
      </c>
      <c r="B9288" t="s">
        <v>88</v>
      </c>
      <c r="C9288">
        <v>168000</v>
      </c>
      <c r="D9288">
        <v>2104.9</v>
      </c>
      <c r="F9288">
        <v>7.5899999999999995E-2</v>
      </c>
    </row>
    <row r="9289" spans="1:6" x14ac:dyDescent="0.3">
      <c r="A9289" t="s">
        <v>9324</v>
      </c>
      <c r="B9289" t="s">
        <v>53</v>
      </c>
      <c r="C9289">
        <v>214000</v>
      </c>
      <c r="D9289">
        <v>1511.5</v>
      </c>
      <c r="E9289">
        <v>5.7799999999999997E-2</v>
      </c>
      <c r="F9289">
        <v>7.5899999999999995E-2</v>
      </c>
    </row>
    <row r="9290" spans="1:6" x14ac:dyDescent="0.3">
      <c r="A9290" t="s">
        <v>9325</v>
      </c>
      <c r="B9290" t="s">
        <v>88</v>
      </c>
      <c r="C9290">
        <v>320000</v>
      </c>
      <c r="D9290">
        <v>19479.3</v>
      </c>
      <c r="E9290">
        <v>2.4299999999999999E-2</v>
      </c>
      <c r="F9290">
        <v>7.5899999999999995E-2</v>
      </c>
    </row>
    <row r="9291" spans="1:6" x14ac:dyDescent="0.3">
      <c r="A9291" t="s">
        <v>9326</v>
      </c>
      <c r="B9291" t="s">
        <v>50</v>
      </c>
      <c r="C9291">
        <v>227000</v>
      </c>
      <c r="D9291">
        <v>39274.800000000003</v>
      </c>
      <c r="E9291">
        <v>2.9700000000000001E-2</v>
      </c>
      <c r="F9291">
        <v>4.0899999999999999E-2</v>
      </c>
    </row>
    <row r="9292" spans="1:6" x14ac:dyDescent="0.3">
      <c r="A9292" t="s">
        <v>9327</v>
      </c>
      <c r="B9292" t="s">
        <v>62</v>
      </c>
      <c r="C9292">
        <v>167000</v>
      </c>
      <c r="D9292">
        <v>9762.4</v>
      </c>
      <c r="E9292">
        <v>2.2800000000000001E-2</v>
      </c>
      <c r="F9292">
        <v>9.5100000000000004E-2</v>
      </c>
    </row>
    <row r="9293" spans="1:6" x14ac:dyDescent="0.3">
      <c r="A9293" t="s">
        <v>9328</v>
      </c>
      <c r="B9293" t="s">
        <v>490</v>
      </c>
      <c r="C9293">
        <v>184000</v>
      </c>
      <c r="D9293">
        <v>1198</v>
      </c>
      <c r="E9293">
        <v>7.1999999999999998E-3</v>
      </c>
      <c r="F9293">
        <v>6.54E-2</v>
      </c>
    </row>
    <row r="9294" spans="1:6" x14ac:dyDescent="0.3">
      <c r="A9294" t="s">
        <v>9329</v>
      </c>
      <c r="B9294" t="s">
        <v>28</v>
      </c>
      <c r="C9294">
        <v>173000</v>
      </c>
      <c r="D9294">
        <v>466.6</v>
      </c>
      <c r="E9294">
        <v>3.0700000000000002E-2</v>
      </c>
      <c r="F9294">
        <v>9.5100000000000004E-2</v>
      </c>
    </row>
    <row r="9295" spans="1:6" x14ac:dyDescent="0.3">
      <c r="A9295" t="s">
        <v>9330</v>
      </c>
      <c r="B9295" t="s">
        <v>88</v>
      </c>
      <c r="C9295">
        <v>181000</v>
      </c>
      <c r="D9295">
        <v>98493.1</v>
      </c>
      <c r="E9295">
        <v>3.8800000000000001E-2</v>
      </c>
      <c r="F9295">
        <v>9.5100000000000004E-2</v>
      </c>
    </row>
    <row r="9296" spans="1:6" x14ac:dyDescent="0.3">
      <c r="A9296" t="s">
        <v>9331</v>
      </c>
      <c r="B9296" t="s">
        <v>26</v>
      </c>
      <c r="C9296">
        <v>169000</v>
      </c>
      <c r="D9296">
        <v>704.3</v>
      </c>
      <c r="E9296">
        <v>1.11E-2</v>
      </c>
      <c r="F9296">
        <v>8.2199999999999995E-2</v>
      </c>
    </row>
    <row r="9297" spans="1:6" x14ac:dyDescent="0.3">
      <c r="A9297" t="s">
        <v>9332</v>
      </c>
      <c r="B9297" t="s">
        <v>287</v>
      </c>
      <c r="C9297">
        <v>171000</v>
      </c>
      <c r="D9297">
        <v>1736.6</v>
      </c>
      <c r="E9297">
        <v>1.44E-2</v>
      </c>
      <c r="F9297">
        <v>8.5400000000000004E-2</v>
      </c>
    </row>
    <row r="9298" spans="1:6" x14ac:dyDescent="0.3">
      <c r="A9298" t="s">
        <v>9333</v>
      </c>
      <c r="B9298" t="s">
        <v>71</v>
      </c>
      <c r="C9298">
        <v>229000</v>
      </c>
      <c r="D9298">
        <v>6966.7</v>
      </c>
      <c r="E9298">
        <v>3.39E-2</v>
      </c>
      <c r="F9298">
        <v>7.5899999999999995E-2</v>
      </c>
    </row>
    <row r="9299" spans="1:6" x14ac:dyDescent="0.3">
      <c r="A9299" t="s">
        <v>9334</v>
      </c>
      <c r="B9299" t="s">
        <v>92</v>
      </c>
      <c r="C9299">
        <v>173000</v>
      </c>
      <c r="D9299">
        <v>1365.7</v>
      </c>
      <c r="E9299">
        <v>1.7299999999999999E-2</v>
      </c>
      <c r="F9299">
        <v>7.5700000000000003E-2</v>
      </c>
    </row>
    <row r="9300" spans="1:6" x14ac:dyDescent="0.3">
      <c r="A9300" t="s">
        <v>9335</v>
      </c>
      <c r="B9300" t="s">
        <v>26</v>
      </c>
      <c r="C9300">
        <v>174000</v>
      </c>
      <c r="D9300">
        <v>14078.2</v>
      </c>
      <c r="E9300">
        <v>1.67E-2</v>
      </c>
      <c r="F9300">
        <v>8.5400000000000004E-2</v>
      </c>
    </row>
    <row r="9301" spans="1:6" x14ac:dyDescent="0.3">
      <c r="A9301" t="s">
        <v>9336</v>
      </c>
      <c r="B9301" t="s">
        <v>41</v>
      </c>
      <c r="C9301">
        <v>7060000</v>
      </c>
      <c r="D9301">
        <v>647319.4</v>
      </c>
      <c r="E9301">
        <v>7.4999999999999997E-3</v>
      </c>
      <c r="F9301">
        <v>8.1100000000000005E-2</v>
      </c>
    </row>
    <row r="9302" spans="1:6" x14ac:dyDescent="0.3">
      <c r="A9302" t="s">
        <v>9337</v>
      </c>
      <c r="B9302" t="s">
        <v>88</v>
      </c>
      <c r="C9302">
        <v>201000</v>
      </c>
      <c r="D9302">
        <v>4098.8</v>
      </c>
      <c r="E9302">
        <v>2.3599999999999999E-2</v>
      </c>
      <c r="F9302">
        <v>7.5899999999999995E-2</v>
      </c>
    </row>
    <row r="9303" spans="1:6" x14ac:dyDescent="0.3">
      <c r="A9303" t="s">
        <v>9338</v>
      </c>
      <c r="B9303" t="s">
        <v>62</v>
      </c>
      <c r="C9303">
        <v>412000</v>
      </c>
      <c r="D9303">
        <v>12829.4</v>
      </c>
      <c r="E9303">
        <v>3.3799999999999997E-2</v>
      </c>
      <c r="F9303">
        <v>7.5899999999999995E-2</v>
      </c>
    </row>
    <row r="9304" spans="1:6" x14ac:dyDescent="0.3">
      <c r="A9304" t="s">
        <v>9339</v>
      </c>
      <c r="B9304" t="s">
        <v>26</v>
      </c>
      <c r="C9304">
        <v>165000</v>
      </c>
      <c r="D9304">
        <v>15248.9</v>
      </c>
      <c r="E9304">
        <v>5.62E-2</v>
      </c>
      <c r="F9304">
        <v>9.5100000000000004E-2</v>
      </c>
    </row>
    <row r="9305" spans="1:6" x14ac:dyDescent="0.3">
      <c r="A9305" t="s">
        <v>9340</v>
      </c>
      <c r="B9305" t="s">
        <v>71</v>
      </c>
      <c r="C9305">
        <v>162000</v>
      </c>
      <c r="D9305">
        <v>409.8</v>
      </c>
      <c r="E9305">
        <v>2.2800000000000001E-2</v>
      </c>
      <c r="F9305">
        <v>0.33910000000000001</v>
      </c>
    </row>
    <row r="9306" spans="1:6" x14ac:dyDescent="0.3">
      <c r="A9306" t="s">
        <v>9341</v>
      </c>
      <c r="B9306" t="s">
        <v>81</v>
      </c>
      <c r="C9306">
        <v>179000</v>
      </c>
      <c r="D9306">
        <v>1089.0999999999999</v>
      </c>
      <c r="E9306">
        <v>1.35E-2</v>
      </c>
      <c r="F9306">
        <v>4.6199999999999998E-2</v>
      </c>
    </row>
    <row r="9307" spans="1:6" x14ac:dyDescent="0.3">
      <c r="A9307" t="s">
        <v>9342</v>
      </c>
      <c r="B9307" t="s">
        <v>88</v>
      </c>
      <c r="C9307">
        <v>192000</v>
      </c>
      <c r="D9307">
        <v>3900.3</v>
      </c>
      <c r="E9307">
        <v>1.1900000000000001E-2</v>
      </c>
      <c r="F9307">
        <v>5.8500000000000003E-2</v>
      </c>
    </row>
    <row r="9308" spans="1:6" x14ac:dyDescent="0.3">
      <c r="A9308" t="s">
        <v>9343</v>
      </c>
      <c r="B9308" t="s">
        <v>50</v>
      </c>
      <c r="C9308">
        <v>517000</v>
      </c>
      <c r="D9308">
        <v>1435919.7</v>
      </c>
      <c r="E9308">
        <v>2.41E-2</v>
      </c>
      <c r="F9308">
        <v>5.1799999999999999E-2</v>
      </c>
    </row>
    <row r="9309" spans="1:6" x14ac:dyDescent="0.3">
      <c r="A9309" t="s">
        <v>9344</v>
      </c>
      <c r="B9309" t="s">
        <v>195</v>
      </c>
      <c r="C9309">
        <v>226000</v>
      </c>
      <c r="D9309">
        <v>1643.4</v>
      </c>
      <c r="E9309">
        <v>2.3400000000000001E-2</v>
      </c>
      <c r="F9309">
        <v>0.3301</v>
      </c>
    </row>
    <row r="9310" spans="1:6" x14ac:dyDescent="0.3">
      <c r="A9310" t="s">
        <v>9345</v>
      </c>
      <c r="B9310" t="s">
        <v>26</v>
      </c>
      <c r="C9310">
        <v>200000</v>
      </c>
      <c r="D9310">
        <v>42336</v>
      </c>
      <c r="F9310">
        <v>5.1799999999999999E-2</v>
      </c>
    </row>
    <row r="9311" spans="1:6" x14ac:dyDescent="0.3">
      <c r="A9311" t="s">
        <v>9346</v>
      </c>
      <c r="B9311" t="s">
        <v>24</v>
      </c>
      <c r="C9311">
        <v>195000</v>
      </c>
      <c r="D9311">
        <v>279</v>
      </c>
      <c r="E9311">
        <v>1.8499999999999999E-2</v>
      </c>
      <c r="F9311">
        <v>0.1053</v>
      </c>
    </row>
    <row r="9312" spans="1:6" x14ac:dyDescent="0.3">
      <c r="A9312" t="s">
        <v>9347</v>
      </c>
      <c r="B9312" t="s">
        <v>195</v>
      </c>
      <c r="C9312">
        <v>169000</v>
      </c>
      <c r="D9312">
        <v>5063.3</v>
      </c>
      <c r="E9312">
        <v>3.27E-2</v>
      </c>
      <c r="F9312">
        <v>9.5100000000000004E-2</v>
      </c>
    </row>
    <row r="9313" spans="1:6" x14ac:dyDescent="0.3">
      <c r="A9313" t="s">
        <v>9348</v>
      </c>
      <c r="B9313" t="s">
        <v>26</v>
      </c>
      <c r="C9313">
        <v>175000</v>
      </c>
      <c r="D9313">
        <v>2512.8000000000002</v>
      </c>
      <c r="E9313">
        <v>1.9E-2</v>
      </c>
      <c r="F9313">
        <v>0.1053</v>
      </c>
    </row>
    <row r="9314" spans="1:6" x14ac:dyDescent="0.3">
      <c r="A9314" t="s">
        <v>9349</v>
      </c>
      <c r="B9314" t="s">
        <v>26</v>
      </c>
      <c r="C9314">
        <v>185000</v>
      </c>
      <c r="D9314">
        <v>6233.4</v>
      </c>
      <c r="E9314">
        <v>1.6500000000000001E-2</v>
      </c>
      <c r="F9314">
        <v>5.8500000000000003E-2</v>
      </c>
    </row>
    <row r="9315" spans="1:6" x14ac:dyDescent="0.3">
      <c r="A9315" t="s">
        <v>9350</v>
      </c>
      <c r="B9315" t="s">
        <v>214</v>
      </c>
      <c r="C9315">
        <v>180000</v>
      </c>
      <c r="D9315">
        <v>1603.6</v>
      </c>
      <c r="E9315">
        <v>4.6399999999999997E-2</v>
      </c>
      <c r="F9315">
        <v>7.5899999999999995E-2</v>
      </c>
    </row>
    <row r="9316" spans="1:6" x14ac:dyDescent="0.3">
      <c r="A9316" t="s">
        <v>9351</v>
      </c>
      <c r="B9316" t="s">
        <v>26</v>
      </c>
      <c r="C9316">
        <v>183000</v>
      </c>
      <c r="D9316">
        <v>13249.9</v>
      </c>
      <c r="E9316">
        <v>8.6999999999999994E-3</v>
      </c>
      <c r="F9316">
        <v>0.1027</v>
      </c>
    </row>
    <row r="9317" spans="1:6" x14ac:dyDescent="0.3">
      <c r="A9317" t="s">
        <v>9352</v>
      </c>
      <c r="B9317" t="s">
        <v>287</v>
      </c>
      <c r="C9317">
        <v>391000</v>
      </c>
      <c r="D9317">
        <v>241666.1</v>
      </c>
      <c r="E9317">
        <v>2.2499999999999999E-2</v>
      </c>
      <c r="F9317">
        <v>4.0899999999999999E-2</v>
      </c>
    </row>
    <row r="9318" spans="1:6" x14ac:dyDescent="0.3">
      <c r="A9318" t="s">
        <v>9353</v>
      </c>
      <c r="B9318" t="s">
        <v>26</v>
      </c>
      <c r="C9318">
        <v>215000</v>
      </c>
      <c r="D9318">
        <v>61033.3</v>
      </c>
      <c r="E9318">
        <v>6.5699999999999995E-2</v>
      </c>
      <c r="F9318">
        <v>0.1241</v>
      </c>
    </row>
    <row r="9319" spans="1:6" x14ac:dyDescent="0.3">
      <c r="A9319" t="s">
        <v>9354</v>
      </c>
      <c r="B9319" t="s">
        <v>50</v>
      </c>
      <c r="C9319">
        <v>171000</v>
      </c>
      <c r="D9319">
        <v>106.8</v>
      </c>
      <c r="E9319">
        <v>6.6400000000000001E-2</v>
      </c>
      <c r="F9319">
        <v>5.1799999999999999E-2</v>
      </c>
    </row>
    <row r="9320" spans="1:6" x14ac:dyDescent="0.3">
      <c r="A9320" t="s">
        <v>9355</v>
      </c>
      <c r="B9320" t="s">
        <v>490</v>
      </c>
      <c r="C9320">
        <v>212000</v>
      </c>
      <c r="D9320">
        <v>4520.5</v>
      </c>
      <c r="E9320">
        <v>4.1399999999999999E-2</v>
      </c>
      <c r="F9320">
        <v>7.5899999999999995E-2</v>
      </c>
    </row>
    <row r="9321" spans="1:6" x14ac:dyDescent="0.3">
      <c r="A9321" t="s">
        <v>9356</v>
      </c>
      <c r="B9321" t="s">
        <v>41</v>
      </c>
      <c r="C9321">
        <v>172000</v>
      </c>
      <c r="D9321">
        <v>1449.7</v>
      </c>
      <c r="E9321">
        <v>1.2699999999999999E-2</v>
      </c>
      <c r="F9321">
        <v>8.1100000000000005E-2</v>
      </c>
    </row>
    <row r="9322" spans="1:6" x14ac:dyDescent="0.3">
      <c r="A9322" t="s">
        <v>9357</v>
      </c>
      <c r="B9322" t="s">
        <v>88</v>
      </c>
      <c r="C9322">
        <v>189000</v>
      </c>
      <c r="D9322">
        <v>305.5</v>
      </c>
      <c r="E9322">
        <v>3.7699999999999997E-2</v>
      </c>
      <c r="F9322">
        <v>7.5899999999999995E-2</v>
      </c>
    </row>
    <row r="9323" spans="1:6" x14ac:dyDescent="0.3">
      <c r="A9323" t="s">
        <v>9358</v>
      </c>
      <c r="B9323" t="s">
        <v>88</v>
      </c>
      <c r="C9323">
        <v>184000</v>
      </c>
      <c r="D9323">
        <v>2557.3000000000002</v>
      </c>
      <c r="E9323">
        <v>2.3E-2</v>
      </c>
      <c r="F9323">
        <v>0.1053</v>
      </c>
    </row>
    <row r="9324" spans="1:6" x14ac:dyDescent="0.3">
      <c r="A9324" t="s">
        <v>9359</v>
      </c>
      <c r="B9324" t="s">
        <v>71</v>
      </c>
      <c r="C9324">
        <v>164000</v>
      </c>
      <c r="D9324">
        <v>9466.2000000000007</v>
      </c>
      <c r="E9324">
        <v>2.0400000000000001E-2</v>
      </c>
      <c r="F9324">
        <v>0.13100000000000001</v>
      </c>
    </row>
    <row r="9325" spans="1:6" x14ac:dyDescent="0.3">
      <c r="A9325" t="s">
        <v>9360</v>
      </c>
      <c r="B9325" t="s">
        <v>41</v>
      </c>
      <c r="C9325">
        <v>237000</v>
      </c>
      <c r="D9325">
        <v>4867.5</v>
      </c>
      <c r="E9325">
        <v>9.4999999999999998E-3</v>
      </c>
      <c r="F9325">
        <v>8.2199999999999995E-2</v>
      </c>
    </row>
    <row r="9326" spans="1:6" x14ac:dyDescent="0.3">
      <c r="A9326" t="s">
        <v>9361</v>
      </c>
      <c r="B9326" t="s">
        <v>26</v>
      </c>
      <c r="C9326">
        <v>170000</v>
      </c>
      <c r="D9326">
        <v>651.5</v>
      </c>
      <c r="E9326">
        <v>3.5999999999999997E-2</v>
      </c>
      <c r="F9326">
        <v>9.5100000000000004E-2</v>
      </c>
    </row>
    <row r="9327" spans="1:6" x14ac:dyDescent="0.3">
      <c r="A9327" t="s">
        <v>9362</v>
      </c>
      <c r="B9327" t="s">
        <v>88</v>
      </c>
      <c r="C9327">
        <v>236000</v>
      </c>
      <c r="D9327">
        <v>6139.4</v>
      </c>
      <c r="E9327">
        <v>4.4600000000000001E-2</v>
      </c>
      <c r="F9327">
        <v>7.5899999999999995E-2</v>
      </c>
    </row>
    <row r="9328" spans="1:6" x14ac:dyDescent="0.3">
      <c r="A9328" t="s">
        <v>9363</v>
      </c>
      <c r="B9328" t="s">
        <v>81</v>
      </c>
      <c r="C9328">
        <v>268000</v>
      </c>
      <c r="D9328">
        <v>4114.3</v>
      </c>
      <c r="E9328">
        <v>1.83E-2</v>
      </c>
      <c r="F9328">
        <v>8.5400000000000004E-2</v>
      </c>
    </row>
    <row r="9329" spans="1:6" x14ac:dyDescent="0.3">
      <c r="A9329" t="s">
        <v>9364</v>
      </c>
      <c r="B9329" t="s">
        <v>214</v>
      </c>
      <c r="C9329">
        <v>195000</v>
      </c>
      <c r="D9329">
        <v>1451</v>
      </c>
      <c r="E9329">
        <v>1.0999999999999999E-2</v>
      </c>
      <c r="F9329">
        <v>6.54E-2</v>
      </c>
    </row>
    <row r="9330" spans="1:6" x14ac:dyDescent="0.3">
      <c r="A9330" t="s">
        <v>9365</v>
      </c>
      <c r="B9330" t="s">
        <v>92</v>
      </c>
      <c r="C9330">
        <v>201000</v>
      </c>
      <c r="D9330">
        <v>4656.2</v>
      </c>
      <c r="E9330">
        <v>2.6800000000000001E-2</v>
      </c>
      <c r="F9330">
        <v>5.3800000000000001E-2</v>
      </c>
    </row>
    <row r="9331" spans="1:6" x14ac:dyDescent="0.3">
      <c r="A9331" t="s">
        <v>9366</v>
      </c>
      <c r="B9331" t="s">
        <v>81</v>
      </c>
      <c r="C9331">
        <v>190000</v>
      </c>
      <c r="D9331">
        <v>809.7</v>
      </c>
      <c r="E9331">
        <v>0.03</v>
      </c>
      <c r="F9331">
        <v>0.13869999999999999</v>
      </c>
    </row>
    <row r="9332" spans="1:6" x14ac:dyDescent="0.3">
      <c r="A9332" t="s">
        <v>9367</v>
      </c>
      <c r="B9332" t="s">
        <v>26</v>
      </c>
      <c r="C9332">
        <v>233000</v>
      </c>
      <c r="D9332">
        <v>59696.2</v>
      </c>
      <c r="E9332">
        <v>2.3599999999999999E-2</v>
      </c>
      <c r="F9332">
        <v>7.5899999999999995E-2</v>
      </c>
    </row>
    <row r="9333" spans="1:6" x14ac:dyDescent="0.3">
      <c r="A9333" t="s">
        <v>9368</v>
      </c>
      <c r="B9333" t="s">
        <v>88</v>
      </c>
      <c r="C9333">
        <v>168000</v>
      </c>
      <c r="D9333">
        <v>1746.8</v>
      </c>
      <c r="E9333">
        <v>7.3200000000000001E-2</v>
      </c>
      <c r="F9333">
        <v>9.5100000000000004E-2</v>
      </c>
    </row>
    <row r="9334" spans="1:6" x14ac:dyDescent="0.3">
      <c r="A9334" t="s">
        <v>9369</v>
      </c>
      <c r="B9334" t="s">
        <v>74</v>
      </c>
      <c r="C9334">
        <v>212000</v>
      </c>
      <c r="D9334">
        <v>1852.8</v>
      </c>
      <c r="E9334">
        <v>3.5900000000000001E-2</v>
      </c>
      <c r="F9334">
        <v>7.5899999999999995E-2</v>
      </c>
    </row>
    <row r="9335" spans="1:6" x14ac:dyDescent="0.3">
      <c r="A9335" t="s">
        <v>9370</v>
      </c>
      <c r="B9335" t="s">
        <v>490</v>
      </c>
      <c r="C9335">
        <v>275000</v>
      </c>
      <c r="D9335">
        <v>12116.8</v>
      </c>
      <c r="E9335">
        <v>2.0799999999999999E-2</v>
      </c>
      <c r="F9335">
        <v>4.0899999999999999E-2</v>
      </c>
    </row>
    <row r="9336" spans="1:6" x14ac:dyDescent="0.3">
      <c r="A9336" t="s">
        <v>9371</v>
      </c>
      <c r="B9336" t="s">
        <v>88</v>
      </c>
      <c r="C9336">
        <v>178000</v>
      </c>
      <c r="D9336">
        <v>2968.3</v>
      </c>
      <c r="E9336">
        <v>2.0799999999999999E-2</v>
      </c>
      <c r="F9336">
        <v>0.13869999999999999</v>
      </c>
    </row>
    <row r="9337" spans="1:6" x14ac:dyDescent="0.3">
      <c r="A9337" t="s">
        <v>9372</v>
      </c>
      <c r="B9337" t="s">
        <v>53</v>
      </c>
      <c r="C9337">
        <v>159000</v>
      </c>
      <c r="D9337">
        <v>5311</v>
      </c>
      <c r="E9337">
        <v>5.8299999999999998E-2</v>
      </c>
      <c r="F9337">
        <v>9.5100000000000004E-2</v>
      </c>
    </row>
    <row r="9338" spans="1:6" x14ac:dyDescent="0.3">
      <c r="A9338" t="s">
        <v>9373</v>
      </c>
      <c r="B9338" t="s">
        <v>287</v>
      </c>
      <c r="C9338">
        <v>186000</v>
      </c>
      <c r="D9338">
        <v>1997.9</v>
      </c>
      <c r="E9338">
        <v>8.6E-3</v>
      </c>
      <c r="F9338">
        <v>6.54E-2</v>
      </c>
    </row>
    <row r="9339" spans="1:6" x14ac:dyDescent="0.3">
      <c r="A9339" t="s">
        <v>9374</v>
      </c>
      <c r="B9339" t="s">
        <v>88</v>
      </c>
      <c r="C9339">
        <v>185000</v>
      </c>
      <c r="D9339">
        <v>731.6</v>
      </c>
      <c r="E9339">
        <v>9.06E-2</v>
      </c>
      <c r="F9339">
        <v>0.15160000000000001</v>
      </c>
    </row>
    <row r="9340" spans="1:6" x14ac:dyDescent="0.3">
      <c r="A9340" t="s">
        <v>9375</v>
      </c>
      <c r="B9340" t="s">
        <v>88</v>
      </c>
      <c r="C9340">
        <v>308000</v>
      </c>
      <c r="D9340">
        <v>3730.5</v>
      </c>
      <c r="E9340">
        <v>3.7999999999999999E-2</v>
      </c>
      <c r="F9340">
        <v>9.3799999999999994E-2</v>
      </c>
    </row>
    <row r="9341" spans="1:6" x14ac:dyDescent="0.3">
      <c r="A9341" t="s">
        <v>9376</v>
      </c>
      <c r="B9341" t="s">
        <v>26</v>
      </c>
      <c r="C9341">
        <v>162000</v>
      </c>
      <c r="D9341">
        <v>50701.9</v>
      </c>
      <c r="E9341">
        <v>4.1599999999999998E-2</v>
      </c>
      <c r="F9341">
        <v>7.5899999999999995E-2</v>
      </c>
    </row>
    <row r="9342" spans="1:6" x14ac:dyDescent="0.3">
      <c r="A9342" t="s">
        <v>9377</v>
      </c>
      <c r="B9342" t="s">
        <v>88</v>
      </c>
      <c r="C9342">
        <v>174000</v>
      </c>
      <c r="D9342">
        <v>71.7</v>
      </c>
      <c r="E9342">
        <v>2.4199999999999999E-2</v>
      </c>
      <c r="F9342">
        <v>5.0999999999999997E-2</v>
      </c>
    </row>
    <row r="9343" spans="1:6" x14ac:dyDescent="0.3">
      <c r="A9343" t="s">
        <v>9378</v>
      </c>
      <c r="B9343" t="s">
        <v>81</v>
      </c>
      <c r="C9343">
        <v>263000</v>
      </c>
      <c r="D9343">
        <v>8134.4</v>
      </c>
      <c r="E9343">
        <v>1.52E-2</v>
      </c>
      <c r="F9343">
        <v>5.8500000000000003E-2</v>
      </c>
    </row>
    <row r="9344" spans="1:6" x14ac:dyDescent="0.3">
      <c r="A9344" t="s">
        <v>9379</v>
      </c>
      <c r="B9344" t="s">
        <v>74</v>
      </c>
      <c r="C9344">
        <v>220000</v>
      </c>
      <c r="D9344">
        <v>1378410.8</v>
      </c>
      <c r="E9344">
        <v>8.9999999999999993E-3</v>
      </c>
      <c r="F9344">
        <v>0.1452</v>
      </c>
    </row>
    <row r="9345" spans="1:6" x14ac:dyDescent="0.3">
      <c r="A9345" t="s">
        <v>9380</v>
      </c>
      <c r="B9345" t="s">
        <v>88</v>
      </c>
      <c r="C9345">
        <v>354000</v>
      </c>
      <c r="D9345">
        <v>286</v>
      </c>
      <c r="E9345">
        <v>9.1200000000000003E-2</v>
      </c>
      <c r="F9345">
        <v>9.3799999999999994E-2</v>
      </c>
    </row>
    <row r="9346" spans="1:6" x14ac:dyDescent="0.3">
      <c r="A9346" t="s">
        <v>9381</v>
      </c>
      <c r="B9346" t="s">
        <v>41</v>
      </c>
      <c r="C9346">
        <v>618000</v>
      </c>
      <c r="D9346">
        <v>413.7</v>
      </c>
      <c r="E9346">
        <v>1.1299999999999999E-2</v>
      </c>
      <c r="F9346">
        <v>8.1100000000000005E-2</v>
      </c>
    </row>
    <row r="9347" spans="1:6" x14ac:dyDescent="0.3">
      <c r="A9347" t="s">
        <v>9382</v>
      </c>
      <c r="B9347" t="s">
        <v>88</v>
      </c>
      <c r="C9347">
        <v>515000</v>
      </c>
      <c r="D9347">
        <v>14945.1</v>
      </c>
      <c r="E9347">
        <v>3.44E-2</v>
      </c>
      <c r="F9347">
        <v>9.3799999999999994E-2</v>
      </c>
    </row>
    <row r="9348" spans="1:6" x14ac:dyDescent="0.3">
      <c r="A9348" t="s">
        <v>9383</v>
      </c>
      <c r="B9348" t="s">
        <v>30</v>
      </c>
      <c r="C9348">
        <v>170000</v>
      </c>
      <c r="D9348">
        <v>25557.1</v>
      </c>
      <c r="E9348">
        <v>5.0200000000000002E-2</v>
      </c>
      <c r="F9348">
        <v>9.5100000000000004E-2</v>
      </c>
    </row>
    <row r="9349" spans="1:6" x14ac:dyDescent="0.3">
      <c r="A9349" t="s">
        <v>9384</v>
      </c>
      <c r="B9349" t="s">
        <v>24</v>
      </c>
      <c r="C9349">
        <v>246000</v>
      </c>
      <c r="D9349">
        <v>2619.6</v>
      </c>
      <c r="F9349">
        <v>9.3799999999999994E-2</v>
      </c>
    </row>
    <row r="9350" spans="1:6" x14ac:dyDescent="0.3">
      <c r="A9350" t="s">
        <v>9385</v>
      </c>
      <c r="B9350" t="s">
        <v>88</v>
      </c>
      <c r="C9350">
        <v>535000</v>
      </c>
      <c r="D9350">
        <v>3472.8</v>
      </c>
      <c r="E9350">
        <v>6.7100000000000007E-2</v>
      </c>
      <c r="F9350">
        <v>9.3799999999999994E-2</v>
      </c>
    </row>
    <row r="9351" spans="1:6" x14ac:dyDescent="0.3">
      <c r="A9351" t="s">
        <v>9386</v>
      </c>
      <c r="B9351" t="s">
        <v>53</v>
      </c>
      <c r="C9351">
        <v>207000</v>
      </c>
      <c r="D9351">
        <v>452.1</v>
      </c>
      <c r="F9351">
        <v>4.0899999999999999E-2</v>
      </c>
    </row>
    <row r="9352" spans="1:6" x14ac:dyDescent="0.3">
      <c r="A9352" t="s">
        <v>9387</v>
      </c>
      <c r="B9352" t="s">
        <v>88</v>
      </c>
      <c r="C9352">
        <v>187000</v>
      </c>
      <c r="D9352">
        <v>720.8</v>
      </c>
      <c r="E9352">
        <v>4.6300000000000001E-2</v>
      </c>
      <c r="F9352">
        <v>7.5899999999999995E-2</v>
      </c>
    </row>
    <row r="9353" spans="1:6" x14ac:dyDescent="0.3">
      <c r="A9353" t="s">
        <v>9388</v>
      </c>
      <c r="B9353" t="s">
        <v>88</v>
      </c>
      <c r="C9353">
        <v>244000</v>
      </c>
      <c r="D9353">
        <v>223.9</v>
      </c>
      <c r="E9353">
        <v>3.3500000000000002E-2</v>
      </c>
      <c r="F9353">
        <v>0.1226</v>
      </c>
    </row>
    <row r="9354" spans="1:6" x14ac:dyDescent="0.3">
      <c r="A9354" t="s">
        <v>9389</v>
      </c>
      <c r="B9354" t="s">
        <v>35</v>
      </c>
      <c r="C9354">
        <v>164000</v>
      </c>
      <c r="D9354">
        <v>3671.8</v>
      </c>
      <c r="F9354">
        <v>5.1799999999999999E-2</v>
      </c>
    </row>
    <row r="9355" spans="1:6" x14ac:dyDescent="0.3">
      <c r="A9355" t="s">
        <v>9390</v>
      </c>
      <c r="B9355" t="s">
        <v>26</v>
      </c>
      <c r="C9355">
        <v>228000</v>
      </c>
      <c r="D9355">
        <v>4158.8999999999996</v>
      </c>
      <c r="E9355">
        <v>7.1000000000000004E-3</v>
      </c>
      <c r="F9355">
        <v>8.2199999999999995E-2</v>
      </c>
    </row>
    <row r="9356" spans="1:6" x14ac:dyDescent="0.3">
      <c r="A9356" t="s">
        <v>9391</v>
      </c>
      <c r="B9356" t="s">
        <v>53</v>
      </c>
      <c r="C9356">
        <v>182000</v>
      </c>
      <c r="D9356">
        <v>8833.2000000000007</v>
      </c>
      <c r="E9356">
        <v>3.04E-2</v>
      </c>
      <c r="F9356">
        <v>9.5100000000000004E-2</v>
      </c>
    </row>
    <row r="9357" spans="1:6" x14ac:dyDescent="0.3">
      <c r="A9357" t="s">
        <v>9392</v>
      </c>
      <c r="B9357" t="s">
        <v>53</v>
      </c>
      <c r="C9357">
        <v>890000</v>
      </c>
      <c r="D9357">
        <v>27691.3</v>
      </c>
      <c r="E9357">
        <v>3.3999999999999998E-3</v>
      </c>
      <c r="F9357">
        <v>8.1100000000000005E-2</v>
      </c>
    </row>
    <row r="9358" spans="1:6" x14ac:dyDescent="0.3">
      <c r="A9358" t="s">
        <v>9393</v>
      </c>
      <c r="B9358" t="s">
        <v>71</v>
      </c>
      <c r="C9358">
        <v>180000</v>
      </c>
      <c r="D9358">
        <v>499.9</v>
      </c>
      <c r="E9358">
        <v>3.5299999999999998E-2</v>
      </c>
      <c r="F9358">
        <v>9.3799999999999994E-2</v>
      </c>
    </row>
    <row r="9359" spans="1:6" x14ac:dyDescent="0.3">
      <c r="A9359" t="s">
        <v>9394</v>
      </c>
      <c r="B9359" t="s">
        <v>24</v>
      </c>
      <c r="C9359">
        <v>231000</v>
      </c>
      <c r="D9359">
        <v>1338</v>
      </c>
      <c r="F9359">
        <v>9.3799999999999994E-2</v>
      </c>
    </row>
    <row r="9360" spans="1:6" x14ac:dyDescent="0.3">
      <c r="A9360" t="s">
        <v>9395</v>
      </c>
      <c r="B9360" t="s">
        <v>88</v>
      </c>
      <c r="C9360">
        <v>160000</v>
      </c>
      <c r="D9360">
        <v>881.4</v>
      </c>
      <c r="E9360">
        <v>2.3800000000000002E-2</v>
      </c>
      <c r="F9360">
        <v>9.5100000000000004E-2</v>
      </c>
    </row>
    <row r="9361" spans="1:6" x14ac:dyDescent="0.3">
      <c r="A9361" t="s">
        <v>9396</v>
      </c>
      <c r="B9361" t="s">
        <v>24</v>
      </c>
      <c r="C9361">
        <v>323000</v>
      </c>
      <c r="D9361">
        <v>318135.40000000002</v>
      </c>
      <c r="E9361">
        <v>1.6299999999999999E-2</v>
      </c>
      <c r="F9361">
        <v>0.1067</v>
      </c>
    </row>
    <row r="9362" spans="1:6" x14ac:dyDescent="0.3">
      <c r="A9362" t="s">
        <v>9397</v>
      </c>
      <c r="B9362" t="s">
        <v>28</v>
      </c>
      <c r="C9362">
        <v>167000</v>
      </c>
      <c r="D9362">
        <v>412</v>
      </c>
      <c r="E9362">
        <v>5.7999999999999996E-3</v>
      </c>
      <c r="F9362">
        <v>8.2199999999999995E-2</v>
      </c>
    </row>
    <row r="9363" spans="1:6" x14ac:dyDescent="0.3">
      <c r="A9363" t="s">
        <v>9398</v>
      </c>
      <c r="B9363" t="s">
        <v>26</v>
      </c>
      <c r="C9363">
        <v>174000</v>
      </c>
      <c r="D9363">
        <v>4136.8</v>
      </c>
      <c r="E9363">
        <v>3.2099999999999997E-2</v>
      </c>
      <c r="F9363">
        <v>5.1799999999999999E-2</v>
      </c>
    </row>
    <row r="9364" spans="1:6" x14ac:dyDescent="0.3">
      <c r="A9364" t="s">
        <v>9399</v>
      </c>
      <c r="B9364" t="s">
        <v>92</v>
      </c>
      <c r="C9364">
        <v>174000</v>
      </c>
      <c r="D9364">
        <v>764</v>
      </c>
      <c r="E9364">
        <v>1.03E-2</v>
      </c>
      <c r="F9364">
        <v>0.18659999999999999</v>
      </c>
    </row>
    <row r="9365" spans="1:6" x14ac:dyDescent="0.3">
      <c r="A9365" t="s">
        <v>9400</v>
      </c>
      <c r="B9365" t="s">
        <v>74</v>
      </c>
      <c r="C9365">
        <v>182000</v>
      </c>
      <c r="D9365">
        <v>11850.2</v>
      </c>
      <c r="E9365">
        <v>9.9699999999999997E-2</v>
      </c>
      <c r="F9365">
        <v>7.5899999999999995E-2</v>
      </c>
    </row>
    <row r="9366" spans="1:6" x14ac:dyDescent="0.3">
      <c r="A9366" t="s">
        <v>9401</v>
      </c>
      <c r="B9366" t="s">
        <v>62</v>
      </c>
      <c r="C9366">
        <v>193000</v>
      </c>
      <c r="D9366">
        <v>1489.7</v>
      </c>
      <c r="F9366">
        <v>9.5100000000000004E-2</v>
      </c>
    </row>
    <row r="9367" spans="1:6" x14ac:dyDescent="0.3">
      <c r="A9367" t="s">
        <v>9402</v>
      </c>
      <c r="B9367" t="s">
        <v>214</v>
      </c>
      <c r="C9367">
        <v>183000</v>
      </c>
      <c r="D9367">
        <v>111.2</v>
      </c>
      <c r="E9367">
        <v>6.2700000000000006E-2</v>
      </c>
      <c r="F9367">
        <v>9.5100000000000004E-2</v>
      </c>
    </row>
    <row r="9368" spans="1:6" x14ac:dyDescent="0.3">
      <c r="A9368" t="s">
        <v>9403</v>
      </c>
      <c r="B9368" t="s">
        <v>81</v>
      </c>
      <c r="C9368">
        <v>209000</v>
      </c>
      <c r="D9368">
        <v>5337</v>
      </c>
      <c r="E9368">
        <v>2.41E-2</v>
      </c>
      <c r="F9368">
        <v>5.0999999999999997E-2</v>
      </c>
    </row>
    <row r="9369" spans="1:6" x14ac:dyDescent="0.3">
      <c r="A9369" t="s">
        <v>9404</v>
      </c>
      <c r="B9369" t="s">
        <v>81</v>
      </c>
      <c r="C9369">
        <v>323000</v>
      </c>
      <c r="D9369">
        <v>6982.3</v>
      </c>
      <c r="E9369">
        <v>2.6700000000000002E-2</v>
      </c>
      <c r="F9369">
        <v>0.1053</v>
      </c>
    </row>
    <row r="9370" spans="1:6" x14ac:dyDescent="0.3">
      <c r="A9370" t="s">
        <v>9405</v>
      </c>
      <c r="B9370" t="s">
        <v>88</v>
      </c>
      <c r="C9370">
        <v>176000</v>
      </c>
      <c r="D9370">
        <v>1969.8</v>
      </c>
      <c r="E9370">
        <v>5.8400000000000001E-2</v>
      </c>
      <c r="F9370">
        <v>9.3799999999999994E-2</v>
      </c>
    </row>
    <row r="9371" spans="1:6" x14ac:dyDescent="0.3">
      <c r="A9371" t="s">
        <v>9406</v>
      </c>
      <c r="B9371" t="s">
        <v>26</v>
      </c>
      <c r="C9371">
        <v>215000</v>
      </c>
      <c r="D9371">
        <v>658.3</v>
      </c>
      <c r="E9371">
        <v>2.6200000000000001E-2</v>
      </c>
      <c r="F9371">
        <v>4.0899999999999999E-2</v>
      </c>
    </row>
    <row r="9372" spans="1:6" x14ac:dyDescent="0.3">
      <c r="A9372" t="s">
        <v>9407</v>
      </c>
      <c r="B9372" t="s">
        <v>62</v>
      </c>
      <c r="C9372">
        <v>329000</v>
      </c>
      <c r="D9372">
        <v>244066.8</v>
      </c>
      <c r="E9372">
        <v>3.9800000000000002E-2</v>
      </c>
      <c r="F9372">
        <v>7.5899999999999995E-2</v>
      </c>
    </row>
    <row r="9373" spans="1:6" x14ac:dyDescent="0.3">
      <c r="A9373" t="s">
        <v>9408</v>
      </c>
      <c r="B9373" t="s">
        <v>88</v>
      </c>
      <c r="C9373">
        <v>186000</v>
      </c>
      <c r="D9373">
        <v>13183.2</v>
      </c>
      <c r="E9373">
        <v>3.1699999999999999E-2</v>
      </c>
      <c r="F9373">
        <v>9.5100000000000004E-2</v>
      </c>
    </row>
    <row r="9374" spans="1:6" x14ac:dyDescent="0.3">
      <c r="A9374" t="s">
        <v>9409</v>
      </c>
      <c r="B9374" t="s">
        <v>92</v>
      </c>
      <c r="C9374">
        <v>317000</v>
      </c>
      <c r="D9374">
        <v>1891.8</v>
      </c>
      <c r="E9374">
        <v>2.64E-2</v>
      </c>
      <c r="F9374">
        <v>5.0999999999999997E-2</v>
      </c>
    </row>
    <row r="9375" spans="1:6" x14ac:dyDescent="0.3">
      <c r="A9375" t="s">
        <v>9410</v>
      </c>
      <c r="B9375" t="s">
        <v>26</v>
      </c>
      <c r="C9375">
        <v>174000</v>
      </c>
      <c r="D9375">
        <v>5236.3</v>
      </c>
      <c r="E9375">
        <v>6.7000000000000004E-2</v>
      </c>
      <c r="F9375">
        <v>9.5100000000000004E-2</v>
      </c>
    </row>
    <row r="9376" spans="1:6" x14ac:dyDescent="0.3">
      <c r="A9376" t="s">
        <v>9411</v>
      </c>
      <c r="B9376" t="s">
        <v>74</v>
      </c>
      <c r="C9376">
        <v>621000</v>
      </c>
      <c r="D9376">
        <v>99752.9</v>
      </c>
      <c r="E9376">
        <v>4.5600000000000002E-2</v>
      </c>
      <c r="F9376">
        <v>9.5100000000000004E-2</v>
      </c>
    </row>
    <row r="9377" spans="1:6" x14ac:dyDescent="0.3">
      <c r="A9377" t="s">
        <v>9412</v>
      </c>
      <c r="B9377" t="s">
        <v>88</v>
      </c>
      <c r="C9377">
        <v>243000</v>
      </c>
      <c r="D9377">
        <v>114.6</v>
      </c>
      <c r="E9377">
        <v>3.3000000000000002E-2</v>
      </c>
      <c r="F9377">
        <v>9.3799999999999994E-2</v>
      </c>
    </row>
    <row r="9378" spans="1:6" x14ac:dyDescent="0.3">
      <c r="A9378" t="s">
        <v>9413</v>
      </c>
      <c r="B9378" t="s">
        <v>88</v>
      </c>
      <c r="C9378">
        <v>184000</v>
      </c>
      <c r="D9378">
        <v>11559.3</v>
      </c>
      <c r="E9378">
        <v>3.9E-2</v>
      </c>
      <c r="F9378">
        <v>7.5899999999999995E-2</v>
      </c>
    </row>
    <row r="9379" spans="1:6" x14ac:dyDescent="0.3">
      <c r="A9379" t="s">
        <v>9414</v>
      </c>
      <c r="B9379" t="s">
        <v>62</v>
      </c>
      <c r="C9379">
        <v>207000</v>
      </c>
      <c r="D9379">
        <v>4082.3</v>
      </c>
      <c r="E9379">
        <v>2.35E-2</v>
      </c>
      <c r="F9379">
        <v>7.5899999999999995E-2</v>
      </c>
    </row>
    <row r="9380" spans="1:6" x14ac:dyDescent="0.3">
      <c r="A9380" t="s">
        <v>9415</v>
      </c>
      <c r="B9380" t="s">
        <v>92</v>
      </c>
      <c r="C9380">
        <v>166000</v>
      </c>
      <c r="D9380">
        <v>1222.7</v>
      </c>
      <c r="E9380">
        <v>1.66E-2</v>
      </c>
      <c r="F9380">
        <v>5.8500000000000003E-2</v>
      </c>
    </row>
    <row r="9381" spans="1:6" x14ac:dyDescent="0.3">
      <c r="A9381" t="s">
        <v>9416</v>
      </c>
      <c r="B9381" t="s">
        <v>24</v>
      </c>
      <c r="C9381">
        <v>243000</v>
      </c>
      <c r="D9381">
        <v>16103.3</v>
      </c>
      <c r="E9381">
        <v>1.44E-2</v>
      </c>
      <c r="F9381">
        <v>0.13270000000000001</v>
      </c>
    </row>
    <row r="9382" spans="1:6" x14ac:dyDescent="0.3">
      <c r="A9382" t="s">
        <v>9417</v>
      </c>
      <c r="B9382" t="s">
        <v>88</v>
      </c>
      <c r="C9382">
        <v>224000</v>
      </c>
      <c r="D9382">
        <v>6324.5</v>
      </c>
      <c r="E9382">
        <v>5.11E-2</v>
      </c>
      <c r="F9382">
        <v>7.5899999999999995E-2</v>
      </c>
    </row>
    <row r="9383" spans="1:6" x14ac:dyDescent="0.3">
      <c r="A9383" t="s">
        <v>9418</v>
      </c>
      <c r="B9383" t="s">
        <v>88</v>
      </c>
      <c r="C9383">
        <v>187000</v>
      </c>
      <c r="D9383">
        <v>1724.2</v>
      </c>
      <c r="E9383">
        <v>2.81E-2</v>
      </c>
      <c r="F9383">
        <v>5.0999999999999997E-2</v>
      </c>
    </row>
    <row r="9384" spans="1:6" x14ac:dyDescent="0.3">
      <c r="A9384" t="s">
        <v>9419</v>
      </c>
      <c r="B9384" t="s">
        <v>26</v>
      </c>
      <c r="C9384">
        <v>181000</v>
      </c>
      <c r="D9384">
        <v>75394.899999999994</v>
      </c>
      <c r="E9384">
        <v>2.98E-2</v>
      </c>
      <c r="F9384">
        <v>9.5100000000000004E-2</v>
      </c>
    </row>
    <row r="9385" spans="1:6" x14ac:dyDescent="0.3">
      <c r="A9385" t="s">
        <v>9420</v>
      </c>
      <c r="B9385" t="s">
        <v>88</v>
      </c>
      <c r="C9385">
        <v>216000</v>
      </c>
      <c r="D9385">
        <v>2752.5</v>
      </c>
      <c r="F9385">
        <v>9.5100000000000004E-2</v>
      </c>
    </row>
    <row r="9386" spans="1:6" x14ac:dyDescent="0.3">
      <c r="A9386" t="s">
        <v>9421</v>
      </c>
      <c r="B9386" t="s">
        <v>214</v>
      </c>
      <c r="C9386">
        <v>190000</v>
      </c>
      <c r="D9386">
        <v>2034.6</v>
      </c>
      <c r="E9386">
        <v>1.4200000000000001E-2</v>
      </c>
      <c r="F9386">
        <v>7.3599999999999999E-2</v>
      </c>
    </row>
    <row r="9387" spans="1:6" x14ac:dyDescent="0.3">
      <c r="A9387" t="s">
        <v>9422</v>
      </c>
      <c r="B9387" t="s">
        <v>26</v>
      </c>
      <c r="C9387">
        <v>181000</v>
      </c>
      <c r="D9387">
        <v>2750.5</v>
      </c>
      <c r="E9387">
        <v>5.7999999999999996E-3</v>
      </c>
      <c r="F9387">
        <v>8.2199999999999995E-2</v>
      </c>
    </row>
    <row r="9388" spans="1:6" x14ac:dyDescent="0.3">
      <c r="A9388" t="s">
        <v>9423</v>
      </c>
      <c r="B9388" t="s">
        <v>81</v>
      </c>
      <c r="C9388">
        <v>207000</v>
      </c>
      <c r="D9388">
        <v>4876.7</v>
      </c>
      <c r="E9388">
        <v>2.3599999999999999E-2</v>
      </c>
      <c r="F9388">
        <v>8.5400000000000004E-2</v>
      </c>
    </row>
    <row r="9389" spans="1:6" x14ac:dyDescent="0.3">
      <c r="A9389" t="s">
        <v>9424</v>
      </c>
      <c r="B9389" t="s">
        <v>74</v>
      </c>
      <c r="C9389">
        <v>198000</v>
      </c>
      <c r="D9389">
        <v>1731.4</v>
      </c>
      <c r="E9389">
        <v>7.2499999999999995E-2</v>
      </c>
      <c r="F9389">
        <v>7.5899999999999995E-2</v>
      </c>
    </row>
    <row r="9390" spans="1:6" x14ac:dyDescent="0.3">
      <c r="A9390" t="s">
        <v>9425</v>
      </c>
      <c r="B9390" t="s">
        <v>62</v>
      </c>
      <c r="C9390">
        <v>170000</v>
      </c>
      <c r="D9390">
        <v>25167.599999999999</v>
      </c>
      <c r="E9390">
        <v>2.0400000000000001E-2</v>
      </c>
      <c r="F9390">
        <v>5.8500000000000003E-2</v>
      </c>
    </row>
    <row r="9391" spans="1:6" x14ac:dyDescent="0.3">
      <c r="A9391" t="s">
        <v>9426</v>
      </c>
      <c r="B9391" t="s">
        <v>32</v>
      </c>
      <c r="C9391">
        <v>197000</v>
      </c>
      <c r="D9391">
        <v>23751.7</v>
      </c>
      <c r="E9391">
        <v>0.01</v>
      </c>
      <c r="F9391">
        <v>0.22939999999999999</v>
      </c>
    </row>
    <row r="9392" spans="1:6" x14ac:dyDescent="0.3">
      <c r="A9392" t="s">
        <v>9427</v>
      </c>
      <c r="B9392" t="s">
        <v>81</v>
      </c>
      <c r="C9392">
        <v>339000</v>
      </c>
      <c r="D9392">
        <v>4481.8</v>
      </c>
      <c r="E9392">
        <v>4.0300000000000002E-2</v>
      </c>
      <c r="F9392">
        <v>7.5899999999999995E-2</v>
      </c>
    </row>
    <row r="9393" spans="1:6" x14ac:dyDescent="0.3">
      <c r="A9393" t="s">
        <v>9428</v>
      </c>
      <c r="B9393" t="s">
        <v>26</v>
      </c>
      <c r="C9393">
        <v>167000</v>
      </c>
      <c r="D9393">
        <v>8227.7000000000007</v>
      </c>
      <c r="E9393">
        <v>1.9400000000000001E-2</v>
      </c>
      <c r="F9393">
        <v>5.8500000000000003E-2</v>
      </c>
    </row>
    <row r="9394" spans="1:6" x14ac:dyDescent="0.3">
      <c r="A9394" t="s">
        <v>9429</v>
      </c>
      <c r="B9394" t="s">
        <v>88</v>
      </c>
      <c r="C9394">
        <v>170000</v>
      </c>
      <c r="D9394">
        <v>123083.8</v>
      </c>
      <c r="E9394">
        <v>1.01E-2</v>
      </c>
      <c r="F9394">
        <v>0.13270000000000001</v>
      </c>
    </row>
    <row r="9395" spans="1:6" x14ac:dyDescent="0.3">
      <c r="A9395" t="s">
        <v>9430</v>
      </c>
      <c r="B9395" t="s">
        <v>92</v>
      </c>
      <c r="C9395">
        <v>189000</v>
      </c>
      <c r="D9395">
        <v>20310.2</v>
      </c>
      <c r="E9395">
        <v>2.8400000000000002E-2</v>
      </c>
      <c r="F9395">
        <v>9.5100000000000004E-2</v>
      </c>
    </row>
    <row r="9396" spans="1:6" x14ac:dyDescent="0.3">
      <c r="A9396" t="s">
        <v>9431</v>
      </c>
      <c r="B9396" t="s">
        <v>74</v>
      </c>
      <c r="C9396">
        <v>210000</v>
      </c>
      <c r="D9396">
        <v>4017.2</v>
      </c>
      <c r="E9396">
        <v>1.06E-2</v>
      </c>
      <c r="F9396">
        <v>0.13089999999999999</v>
      </c>
    </row>
    <row r="9397" spans="1:6" x14ac:dyDescent="0.3">
      <c r="A9397" t="s">
        <v>9432</v>
      </c>
      <c r="B9397" t="s">
        <v>26</v>
      </c>
      <c r="C9397">
        <v>179000</v>
      </c>
      <c r="D9397">
        <v>1766</v>
      </c>
      <c r="E9397">
        <v>2.5000000000000001E-3</v>
      </c>
      <c r="F9397">
        <v>8.1100000000000005E-2</v>
      </c>
    </row>
    <row r="9398" spans="1:6" x14ac:dyDescent="0.3">
      <c r="A9398" t="s">
        <v>9433</v>
      </c>
      <c r="B9398" t="s">
        <v>41</v>
      </c>
      <c r="C9398">
        <v>240000</v>
      </c>
      <c r="D9398">
        <v>17784.400000000001</v>
      </c>
      <c r="F9398">
        <v>4.0899999999999999E-2</v>
      </c>
    </row>
    <row r="9399" spans="1:6" x14ac:dyDescent="0.3">
      <c r="A9399" t="s">
        <v>9434</v>
      </c>
      <c r="B9399" t="s">
        <v>26</v>
      </c>
      <c r="C9399">
        <v>158000</v>
      </c>
      <c r="D9399">
        <v>67997.100000000006</v>
      </c>
      <c r="E9399">
        <v>4.1099999999999998E-2</v>
      </c>
      <c r="F9399">
        <v>0.12429999999999999</v>
      </c>
    </row>
    <row r="9400" spans="1:6" x14ac:dyDescent="0.3">
      <c r="A9400" t="s">
        <v>9435</v>
      </c>
      <c r="B9400" t="s">
        <v>26</v>
      </c>
      <c r="C9400">
        <v>189000</v>
      </c>
      <c r="D9400">
        <v>11075.9</v>
      </c>
      <c r="E9400">
        <v>3.8699999999999998E-2</v>
      </c>
      <c r="F9400">
        <v>7.5899999999999995E-2</v>
      </c>
    </row>
    <row r="9401" spans="1:6" x14ac:dyDescent="0.3">
      <c r="A9401" t="s">
        <v>9436</v>
      </c>
      <c r="B9401" t="s">
        <v>88</v>
      </c>
      <c r="C9401">
        <v>221000</v>
      </c>
      <c r="D9401">
        <v>3704.5</v>
      </c>
      <c r="E9401">
        <v>5.62E-2</v>
      </c>
      <c r="F9401">
        <v>9.3799999999999994E-2</v>
      </c>
    </row>
    <row r="9402" spans="1:6" x14ac:dyDescent="0.3">
      <c r="A9402" t="s">
        <v>9437</v>
      </c>
      <c r="B9402" t="s">
        <v>26</v>
      </c>
      <c r="C9402">
        <v>488000</v>
      </c>
      <c r="D9402">
        <v>7772.9</v>
      </c>
      <c r="E9402">
        <v>3.0300000000000001E-2</v>
      </c>
      <c r="F9402">
        <v>7.5899999999999995E-2</v>
      </c>
    </row>
    <row r="9403" spans="1:6" x14ac:dyDescent="0.3">
      <c r="A9403" t="s">
        <v>9438</v>
      </c>
      <c r="B9403" t="s">
        <v>88</v>
      </c>
      <c r="C9403">
        <v>214000</v>
      </c>
      <c r="D9403">
        <v>983.3</v>
      </c>
      <c r="E9403">
        <v>5.3999999999999999E-2</v>
      </c>
      <c r="F9403">
        <v>7.5899999999999995E-2</v>
      </c>
    </row>
    <row r="9404" spans="1:6" x14ac:dyDescent="0.3">
      <c r="A9404" t="s">
        <v>9439</v>
      </c>
      <c r="B9404" t="s">
        <v>26</v>
      </c>
      <c r="C9404">
        <v>162000</v>
      </c>
      <c r="D9404">
        <v>455.2</v>
      </c>
      <c r="E9404">
        <v>5.5199999999999999E-2</v>
      </c>
      <c r="F9404">
        <v>9.5100000000000004E-2</v>
      </c>
    </row>
    <row r="9405" spans="1:6" x14ac:dyDescent="0.3">
      <c r="A9405" t="s">
        <v>9440</v>
      </c>
      <c r="B9405" t="s">
        <v>26</v>
      </c>
      <c r="C9405">
        <v>229000</v>
      </c>
      <c r="D9405">
        <v>94812.2</v>
      </c>
      <c r="E9405">
        <v>2.7900000000000001E-2</v>
      </c>
      <c r="F9405">
        <v>9.5100000000000004E-2</v>
      </c>
    </row>
    <row r="9406" spans="1:6" x14ac:dyDescent="0.3">
      <c r="A9406" t="s">
        <v>9441</v>
      </c>
      <c r="B9406" t="s">
        <v>50</v>
      </c>
      <c r="C9406">
        <v>159000</v>
      </c>
      <c r="D9406">
        <v>22206.7</v>
      </c>
      <c r="E9406">
        <v>6.2899999999999998E-2</v>
      </c>
      <c r="F9406">
        <v>9.5100000000000004E-2</v>
      </c>
    </row>
    <row r="9407" spans="1:6" x14ac:dyDescent="0.3">
      <c r="A9407" t="s">
        <v>9442</v>
      </c>
      <c r="B9407" t="s">
        <v>214</v>
      </c>
      <c r="C9407">
        <v>224000</v>
      </c>
      <c r="D9407">
        <v>2366.9</v>
      </c>
      <c r="E9407">
        <v>5.3900000000000003E-2</v>
      </c>
      <c r="F9407">
        <v>7.5899999999999995E-2</v>
      </c>
    </row>
    <row r="9408" spans="1:6" x14ac:dyDescent="0.3">
      <c r="A9408" t="s">
        <v>9443</v>
      </c>
      <c r="B9408" t="s">
        <v>92</v>
      </c>
      <c r="C9408">
        <v>185000</v>
      </c>
      <c r="D9408">
        <v>1497</v>
      </c>
      <c r="E9408">
        <v>1.55E-2</v>
      </c>
      <c r="F9408">
        <v>4.6199999999999998E-2</v>
      </c>
    </row>
    <row r="9409" spans="1:6" x14ac:dyDescent="0.3">
      <c r="A9409" t="s">
        <v>9444</v>
      </c>
      <c r="B9409" t="s">
        <v>53</v>
      </c>
      <c r="C9409">
        <v>174000</v>
      </c>
      <c r="D9409">
        <v>218.1</v>
      </c>
      <c r="E9409">
        <v>6.4999999999999997E-3</v>
      </c>
      <c r="F9409">
        <v>8.2199999999999995E-2</v>
      </c>
    </row>
    <row r="9410" spans="1:6" x14ac:dyDescent="0.3">
      <c r="A9410" t="s">
        <v>9445</v>
      </c>
      <c r="B9410" t="s">
        <v>26</v>
      </c>
      <c r="C9410">
        <v>305000</v>
      </c>
      <c r="D9410">
        <v>12395.6</v>
      </c>
      <c r="E9410">
        <v>1.1900000000000001E-2</v>
      </c>
      <c r="F9410">
        <v>8.1100000000000005E-2</v>
      </c>
    </row>
    <row r="9411" spans="1:6" x14ac:dyDescent="0.3">
      <c r="A9411" t="s">
        <v>9446</v>
      </c>
      <c r="B9411" t="s">
        <v>26</v>
      </c>
      <c r="C9411">
        <v>250000</v>
      </c>
      <c r="D9411">
        <v>7869.2</v>
      </c>
      <c r="E9411">
        <v>8.2000000000000007E-3</v>
      </c>
      <c r="F9411">
        <v>6.54E-2</v>
      </c>
    </row>
    <row r="9412" spans="1:6" x14ac:dyDescent="0.3">
      <c r="A9412" t="s">
        <v>9447</v>
      </c>
      <c r="B9412" t="s">
        <v>50</v>
      </c>
      <c r="C9412">
        <v>249000</v>
      </c>
      <c r="D9412">
        <v>529.6</v>
      </c>
      <c r="E9412">
        <v>3.78E-2</v>
      </c>
      <c r="F9412">
        <v>9.3799999999999994E-2</v>
      </c>
    </row>
    <row r="9413" spans="1:6" x14ac:dyDescent="0.3">
      <c r="A9413" t="s">
        <v>9448</v>
      </c>
      <c r="B9413" t="s">
        <v>88</v>
      </c>
      <c r="C9413">
        <v>189000</v>
      </c>
      <c r="D9413">
        <v>4947.3</v>
      </c>
      <c r="E9413">
        <v>3.6299999999999999E-2</v>
      </c>
      <c r="F9413">
        <v>9.5100000000000004E-2</v>
      </c>
    </row>
    <row r="9414" spans="1:6" x14ac:dyDescent="0.3">
      <c r="A9414" t="s">
        <v>9449</v>
      </c>
      <c r="B9414" t="s">
        <v>74</v>
      </c>
      <c r="C9414">
        <v>161000</v>
      </c>
      <c r="D9414">
        <v>4880.5</v>
      </c>
      <c r="E9414">
        <v>5.04E-2</v>
      </c>
      <c r="F9414">
        <v>9.5100000000000004E-2</v>
      </c>
    </row>
    <row r="9415" spans="1:6" x14ac:dyDescent="0.3">
      <c r="A9415" t="s">
        <v>9450</v>
      </c>
      <c r="B9415" t="s">
        <v>92</v>
      </c>
      <c r="C9415">
        <v>198000</v>
      </c>
      <c r="D9415">
        <v>1650</v>
      </c>
      <c r="E9415">
        <v>2.3800000000000002E-2</v>
      </c>
      <c r="F9415">
        <v>9.5100000000000004E-2</v>
      </c>
    </row>
    <row r="9416" spans="1:6" x14ac:dyDescent="0.3">
      <c r="A9416" t="s">
        <v>9451</v>
      </c>
      <c r="B9416" t="s">
        <v>81</v>
      </c>
      <c r="C9416">
        <v>178000</v>
      </c>
      <c r="D9416">
        <v>340082.4</v>
      </c>
      <c r="E9416">
        <v>8.6999999999999994E-3</v>
      </c>
      <c r="F9416">
        <v>8.2199999999999995E-2</v>
      </c>
    </row>
    <row r="9417" spans="1:6" x14ac:dyDescent="0.3">
      <c r="A9417" t="s">
        <v>9452</v>
      </c>
      <c r="B9417" t="s">
        <v>71</v>
      </c>
      <c r="C9417">
        <v>192000</v>
      </c>
      <c r="D9417">
        <v>2041.3</v>
      </c>
      <c r="E9417">
        <v>2.2599999999999999E-2</v>
      </c>
      <c r="F9417">
        <v>8.5400000000000004E-2</v>
      </c>
    </row>
    <row r="9418" spans="1:6" x14ac:dyDescent="0.3">
      <c r="A9418" t="s">
        <v>9453</v>
      </c>
      <c r="B9418" t="s">
        <v>53</v>
      </c>
      <c r="C9418">
        <v>162000</v>
      </c>
      <c r="D9418">
        <v>8291.2000000000007</v>
      </c>
      <c r="E9418">
        <v>6.6199999999999995E-2</v>
      </c>
      <c r="F9418">
        <v>9.5100000000000004E-2</v>
      </c>
    </row>
    <row r="9419" spans="1:6" x14ac:dyDescent="0.3">
      <c r="A9419" t="s">
        <v>9454</v>
      </c>
      <c r="B9419" t="s">
        <v>24</v>
      </c>
      <c r="C9419">
        <v>187000</v>
      </c>
      <c r="D9419">
        <v>1781.2</v>
      </c>
      <c r="E9419">
        <v>2.7799999999999998E-2</v>
      </c>
      <c r="F9419">
        <v>9.3799999999999994E-2</v>
      </c>
    </row>
    <row r="9420" spans="1:6" x14ac:dyDescent="0.3">
      <c r="A9420" t="s">
        <v>9455</v>
      </c>
      <c r="B9420" t="s">
        <v>92</v>
      </c>
      <c r="C9420">
        <v>173000</v>
      </c>
      <c r="D9420">
        <v>776.5</v>
      </c>
      <c r="E9420">
        <v>3.7400000000000003E-2</v>
      </c>
      <c r="F9420">
        <v>0.12429999999999999</v>
      </c>
    </row>
    <row r="9421" spans="1:6" x14ac:dyDescent="0.3">
      <c r="A9421" t="s">
        <v>9456</v>
      </c>
      <c r="B9421" t="s">
        <v>26</v>
      </c>
      <c r="C9421">
        <v>188000</v>
      </c>
      <c r="D9421">
        <v>1481.4</v>
      </c>
      <c r="F9421">
        <v>5.1799999999999999E-2</v>
      </c>
    </row>
    <row r="9422" spans="1:6" x14ac:dyDescent="0.3">
      <c r="A9422" t="s">
        <v>9457</v>
      </c>
      <c r="B9422" t="s">
        <v>26</v>
      </c>
      <c r="C9422">
        <v>212000</v>
      </c>
      <c r="D9422">
        <v>132158.29999999999</v>
      </c>
      <c r="E9422">
        <v>3.1600000000000003E-2</v>
      </c>
      <c r="F9422">
        <v>4.0899999999999999E-2</v>
      </c>
    </row>
    <row r="9423" spans="1:6" x14ac:dyDescent="0.3">
      <c r="A9423" t="s">
        <v>9458</v>
      </c>
      <c r="B9423" t="s">
        <v>41</v>
      </c>
      <c r="C9423">
        <v>427000</v>
      </c>
      <c r="D9423">
        <v>61082.1</v>
      </c>
      <c r="E9423">
        <v>6.1800000000000001E-2</v>
      </c>
      <c r="F9423">
        <v>9.3799999999999994E-2</v>
      </c>
    </row>
    <row r="9424" spans="1:6" x14ac:dyDescent="0.3">
      <c r="A9424" t="s">
        <v>9459</v>
      </c>
      <c r="B9424" t="s">
        <v>26</v>
      </c>
      <c r="C9424">
        <v>222000</v>
      </c>
      <c r="D9424">
        <v>5103.8</v>
      </c>
      <c r="E9424">
        <v>2.2599999999999999E-2</v>
      </c>
      <c r="F9424">
        <v>6.7199999999999996E-2</v>
      </c>
    </row>
    <row r="9425" spans="1:6" x14ac:dyDescent="0.3">
      <c r="A9425" t="s">
        <v>9460</v>
      </c>
      <c r="B9425" t="s">
        <v>71</v>
      </c>
      <c r="C9425">
        <v>172000</v>
      </c>
      <c r="D9425">
        <v>844.7</v>
      </c>
      <c r="E9425">
        <v>1.2200000000000001E-2</v>
      </c>
      <c r="F9425">
        <v>0.13150000000000001</v>
      </c>
    </row>
    <row r="9426" spans="1:6" x14ac:dyDescent="0.3">
      <c r="A9426" t="s">
        <v>9461</v>
      </c>
      <c r="B9426" t="s">
        <v>81</v>
      </c>
      <c r="C9426">
        <v>166000</v>
      </c>
      <c r="D9426">
        <v>6296.9</v>
      </c>
      <c r="E9426">
        <v>3.1699999999999999E-2</v>
      </c>
      <c r="F9426">
        <v>9.5100000000000004E-2</v>
      </c>
    </row>
    <row r="9427" spans="1:6" x14ac:dyDescent="0.3">
      <c r="A9427" t="s">
        <v>9462</v>
      </c>
      <c r="B9427" t="s">
        <v>88</v>
      </c>
      <c r="C9427">
        <v>227000</v>
      </c>
      <c r="D9427">
        <v>1855.8</v>
      </c>
      <c r="E9427">
        <v>4.8399999999999999E-2</v>
      </c>
      <c r="F9427">
        <v>9.3799999999999994E-2</v>
      </c>
    </row>
    <row r="9428" spans="1:6" x14ac:dyDescent="0.3">
      <c r="A9428" t="s">
        <v>9463</v>
      </c>
      <c r="B9428" t="s">
        <v>214</v>
      </c>
      <c r="C9428">
        <v>162000</v>
      </c>
      <c r="D9428">
        <v>1575.4</v>
      </c>
      <c r="E9428">
        <v>1.2200000000000001E-2</v>
      </c>
      <c r="F9428">
        <v>5.8500000000000003E-2</v>
      </c>
    </row>
    <row r="9429" spans="1:6" x14ac:dyDescent="0.3">
      <c r="A9429" t="s">
        <v>9464</v>
      </c>
      <c r="B9429" t="s">
        <v>287</v>
      </c>
      <c r="C9429">
        <v>192000</v>
      </c>
      <c r="D9429">
        <v>17045.900000000001</v>
      </c>
      <c r="E9429">
        <v>1.7100000000000001E-2</v>
      </c>
      <c r="F9429">
        <v>8.5400000000000004E-2</v>
      </c>
    </row>
    <row r="9430" spans="1:6" x14ac:dyDescent="0.3">
      <c r="A9430" t="s">
        <v>9465</v>
      </c>
      <c r="B9430" t="s">
        <v>88</v>
      </c>
      <c r="C9430">
        <v>230000</v>
      </c>
      <c r="D9430">
        <v>3004.2</v>
      </c>
      <c r="E9430">
        <v>5.2699999999999997E-2</v>
      </c>
      <c r="F9430">
        <v>9.3799999999999994E-2</v>
      </c>
    </row>
    <row r="9431" spans="1:6" x14ac:dyDescent="0.3">
      <c r="A9431" t="s">
        <v>9466</v>
      </c>
      <c r="B9431" t="s">
        <v>26</v>
      </c>
      <c r="C9431">
        <v>219000</v>
      </c>
      <c r="D9431">
        <v>42562.6</v>
      </c>
      <c r="E9431">
        <v>7.1400000000000005E-2</v>
      </c>
      <c r="F9431">
        <v>7.5899999999999995E-2</v>
      </c>
    </row>
    <row r="9432" spans="1:6" x14ac:dyDescent="0.3">
      <c r="A9432" t="s">
        <v>9467</v>
      </c>
      <c r="B9432" t="s">
        <v>287</v>
      </c>
      <c r="C9432">
        <v>193000</v>
      </c>
      <c r="D9432">
        <v>1629</v>
      </c>
      <c r="E9432">
        <v>4.1000000000000002E-2</v>
      </c>
      <c r="F9432">
        <v>7.5899999999999995E-2</v>
      </c>
    </row>
    <row r="9433" spans="1:6" x14ac:dyDescent="0.3">
      <c r="A9433" t="s">
        <v>9468</v>
      </c>
      <c r="B9433" t="s">
        <v>62</v>
      </c>
      <c r="C9433">
        <v>216000</v>
      </c>
      <c r="D9433">
        <v>5501.2</v>
      </c>
      <c r="E9433">
        <v>4.8099999999999997E-2</v>
      </c>
      <c r="F9433">
        <v>7.5899999999999995E-2</v>
      </c>
    </row>
    <row r="9434" spans="1:6" x14ac:dyDescent="0.3">
      <c r="A9434" t="s">
        <v>9469</v>
      </c>
      <c r="B9434" t="s">
        <v>214</v>
      </c>
      <c r="C9434">
        <v>365000</v>
      </c>
      <c r="D9434">
        <v>82720.5</v>
      </c>
      <c r="E9434">
        <v>2.69E-2</v>
      </c>
      <c r="F9434">
        <v>7.5899999999999995E-2</v>
      </c>
    </row>
    <row r="9435" spans="1:6" x14ac:dyDescent="0.3">
      <c r="A9435" t="s">
        <v>9470</v>
      </c>
      <c r="B9435" t="s">
        <v>21</v>
      </c>
      <c r="C9435">
        <v>237000</v>
      </c>
      <c r="D9435">
        <v>68327.600000000006</v>
      </c>
      <c r="E9435">
        <v>1.95E-2</v>
      </c>
      <c r="F9435">
        <v>0.1067</v>
      </c>
    </row>
    <row r="9436" spans="1:6" x14ac:dyDescent="0.3">
      <c r="A9436" t="s">
        <v>9471</v>
      </c>
      <c r="B9436" t="s">
        <v>490</v>
      </c>
      <c r="C9436">
        <v>159000</v>
      </c>
      <c r="D9436">
        <v>10748</v>
      </c>
      <c r="E9436">
        <v>2.35E-2</v>
      </c>
      <c r="F9436">
        <v>5.1799999999999999E-2</v>
      </c>
    </row>
    <row r="9437" spans="1:6" x14ac:dyDescent="0.3">
      <c r="A9437" t="s">
        <v>9472</v>
      </c>
      <c r="B9437" t="s">
        <v>26</v>
      </c>
      <c r="C9437">
        <v>210000</v>
      </c>
      <c r="D9437">
        <v>953.6</v>
      </c>
      <c r="E9437">
        <v>7.7999999999999996E-3</v>
      </c>
      <c r="F9437">
        <v>8.2199999999999995E-2</v>
      </c>
    </row>
    <row r="9438" spans="1:6" x14ac:dyDescent="0.3">
      <c r="A9438" t="s">
        <v>9473</v>
      </c>
      <c r="B9438" t="s">
        <v>88</v>
      </c>
      <c r="C9438">
        <v>205000</v>
      </c>
      <c r="F9438">
        <v>7.5899999999999995E-2</v>
      </c>
    </row>
    <row r="9439" spans="1:6" x14ac:dyDescent="0.3">
      <c r="A9439" t="s">
        <v>9474</v>
      </c>
      <c r="B9439" t="s">
        <v>92</v>
      </c>
      <c r="C9439">
        <v>559000</v>
      </c>
      <c r="D9439">
        <v>2995.8</v>
      </c>
      <c r="F9439">
        <v>9.3799999999999994E-2</v>
      </c>
    </row>
    <row r="9440" spans="1:6" x14ac:dyDescent="0.3">
      <c r="A9440" t="s">
        <v>9475</v>
      </c>
      <c r="B9440" t="s">
        <v>88</v>
      </c>
      <c r="C9440">
        <v>162000</v>
      </c>
      <c r="D9440">
        <v>266.39999999999998</v>
      </c>
      <c r="E9440">
        <v>1.9699999999999999E-2</v>
      </c>
      <c r="F9440">
        <v>0.11700000000000001</v>
      </c>
    </row>
    <row r="9441" spans="1:6" x14ac:dyDescent="0.3">
      <c r="A9441" t="s">
        <v>9476</v>
      </c>
      <c r="B9441" t="s">
        <v>26</v>
      </c>
      <c r="C9441">
        <v>169000</v>
      </c>
      <c r="D9441">
        <v>3898.8</v>
      </c>
      <c r="E9441">
        <v>1.66E-2</v>
      </c>
      <c r="F9441">
        <v>0.1067</v>
      </c>
    </row>
    <row r="9442" spans="1:6" x14ac:dyDescent="0.3">
      <c r="A9442" t="s">
        <v>9477</v>
      </c>
      <c r="B9442" t="s">
        <v>74</v>
      </c>
      <c r="C9442">
        <v>156000</v>
      </c>
      <c r="D9442">
        <v>42.5</v>
      </c>
      <c r="F9442">
        <v>5.1799999999999999E-2</v>
      </c>
    </row>
    <row r="9443" spans="1:6" x14ac:dyDescent="0.3">
      <c r="A9443" t="s">
        <v>9478</v>
      </c>
      <c r="B9443" t="s">
        <v>21</v>
      </c>
      <c r="C9443">
        <v>178000</v>
      </c>
      <c r="D9443">
        <v>35763</v>
      </c>
      <c r="E9443">
        <v>1.46E-2</v>
      </c>
      <c r="F9443">
        <v>5.8500000000000003E-2</v>
      </c>
    </row>
    <row r="9444" spans="1:6" x14ac:dyDescent="0.3">
      <c r="A9444" t="s">
        <v>9479</v>
      </c>
      <c r="B9444" t="s">
        <v>53</v>
      </c>
      <c r="C9444">
        <v>227000</v>
      </c>
      <c r="D9444">
        <v>16997.2</v>
      </c>
      <c r="E9444">
        <v>4.9000000000000002E-2</v>
      </c>
      <c r="F9444">
        <v>7.5899999999999995E-2</v>
      </c>
    </row>
    <row r="9445" spans="1:6" x14ac:dyDescent="0.3">
      <c r="A9445" t="s">
        <v>9480</v>
      </c>
      <c r="B9445" t="s">
        <v>71</v>
      </c>
      <c r="C9445">
        <v>159000</v>
      </c>
      <c r="F9445">
        <v>7.5899999999999995E-2</v>
      </c>
    </row>
    <row r="9446" spans="1:6" x14ac:dyDescent="0.3">
      <c r="A9446" t="s">
        <v>9481</v>
      </c>
      <c r="B9446" t="s">
        <v>53</v>
      </c>
      <c r="C9446">
        <v>212000</v>
      </c>
      <c r="D9446">
        <v>7796.2</v>
      </c>
      <c r="E9446">
        <v>5.4399999999999997E-2</v>
      </c>
      <c r="F9446">
        <v>9.3799999999999994E-2</v>
      </c>
    </row>
    <row r="9447" spans="1:6" x14ac:dyDescent="0.3">
      <c r="A9447" t="s">
        <v>9482</v>
      </c>
      <c r="B9447" t="s">
        <v>71</v>
      </c>
      <c r="C9447">
        <v>162000</v>
      </c>
      <c r="D9447">
        <v>41778.9</v>
      </c>
      <c r="E9447">
        <v>3.4799999999999998E-2</v>
      </c>
      <c r="F9447">
        <v>0.11700000000000001</v>
      </c>
    </row>
    <row r="9448" spans="1:6" x14ac:dyDescent="0.3">
      <c r="A9448" t="s">
        <v>9483</v>
      </c>
      <c r="B9448" t="s">
        <v>74</v>
      </c>
      <c r="C9448">
        <v>270000</v>
      </c>
      <c r="D9448">
        <v>2669.7</v>
      </c>
      <c r="E9448">
        <v>3.2899999999999999E-2</v>
      </c>
      <c r="F9448">
        <v>4.0899999999999999E-2</v>
      </c>
    </row>
    <row r="9449" spans="1:6" x14ac:dyDescent="0.3">
      <c r="A9449" t="s">
        <v>9484</v>
      </c>
      <c r="B9449" t="s">
        <v>74</v>
      </c>
      <c r="C9449">
        <v>201000</v>
      </c>
      <c r="D9449">
        <v>10580.3</v>
      </c>
      <c r="E9449">
        <v>8.6999999999999994E-3</v>
      </c>
      <c r="F9449">
        <v>8.2199999999999995E-2</v>
      </c>
    </row>
    <row r="9450" spans="1:6" x14ac:dyDescent="0.3">
      <c r="A9450" t="s">
        <v>9485</v>
      </c>
      <c r="B9450" t="s">
        <v>24</v>
      </c>
      <c r="C9450">
        <v>183000</v>
      </c>
      <c r="D9450">
        <v>475.5</v>
      </c>
      <c r="E9450">
        <v>7.7000000000000002E-3</v>
      </c>
      <c r="F9450">
        <v>8.1100000000000005E-2</v>
      </c>
    </row>
    <row r="9451" spans="1:6" x14ac:dyDescent="0.3">
      <c r="A9451" t="s">
        <v>9486</v>
      </c>
      <c r="B9451" t="s">
        <v>74</v>
      </c>
      <c r="C9451">
        <v>185000</v>
      </c>
      <c r="D9451">
        <v>5237.2</v>
      </c>
      <c r="E9451">
        <v>4.1500000000000002E-2</v>
      </c>
      <c r="F9451">
        <v>7.5899999999999995E-2</v>
      </c>
    </row>
    <row r="9452" spans="1:6" x14ac:dyDescent="0.3">
      <c r="A9452" t="s">
        <v>9487</v>
      </c>
      <c r="B9452" t="s">
        <v>50</v>
      </c>
      <c r="C9452">
        <v>163000</v>
      </c>
      <c r="D9452">
        <v>1499.4</v>
      </c>
      <c r="E9452">
        <v>4.1500000000000002E-2</v>
      </c>
      <c r="F9452">
        <v>9.5100000000000004E-2</v>
      </c>
    </row>
    <row r="9453" spans="1:6" x14ac:dyDescent="0.3">
      <c r="A9453" t="s">
        <v>9488</v>
      </c>
      <c r="B9453" t="s">
        <v>287</v>
      </c>
      <c r="C9453">
        <v>190000</v>
      </c>
      <c r="D9453">
        <v>8357.7000000000007</v>
      </c>
      <c r="E9453">
        <v>1.7899999999999999E-2</v>
      </c>
      <c r="F9453">
        <v>6.1600000000000002E-2</v>
      </c>
    </row>
    <row r="9454" spans="1:6" x14ac:dyDescent="0.3">
      <c r="A9454" t="s">
        <v>9489</v>
      </c>
      <c r="B9454" t="s">
        <v>92</v>
      </c>
      <c r="C9454">
        <v>183000</v>
      </c>
      <c r="D9454">
        <v>1779.1</v>
      </c>
      <c r="E9454">
        <v>1.89E-2</v>
      </c>
      <c r="F9454">
        <v>0.1709</v>
      </c>
    </row>
    <row r="9455" spans="1:6" x14ac:dyDescent="0.3">
      <c r="A9455" t="s">
        <v>9490</v>
      </c>
      <c r="B9455" t="s">
        <v>88</v>
      </c>
      <c r="C9455">
        <v>188000</v>
      </c>
      <c r="D9455">
        <v>1247.2</v>
      </c>
      <c r="E9455">
        <v>5.1299999999999998E-2</v>
      </c>
      <c r="F9455">
        <v>9.3799999999999994E-2</v>
      </c>
    </row>
    <row r="9456" spans="1:6" x14ac:dyDescent="0.3">
      <c r="A9456" t="s">
        <v>9491</v>
      </c>
      <c r="B9456" t="s">
        <v>88</v>
      </c>
      <c r="C9456">
        <v>326000</v>
      </c>
      <c r="D9456">
        <v>4121.6000000000004</v>
      </c>
      <c r="E9456">
        <v>5.62E-2</v>
      </c>
      <c r="F9456">
        <v>9.3799999999999994E-2</v>
      </c>
    </row>
    <row r="9457" spans="1:6" x14ac:dyDescent="0.3">
      <c r="A9457" t="s">
        <v>9492</v>
      </c>
      <c r="B9457" t="s">
        <v>53</v>
      </c>
      <c r="C9457">
        <v>205000</v>
      </c>
      <c r="D9457">
        <v>1368.4</v>
      </c>
      <c r="E9457">
        <v>1.2699999999999999E-2</v>
      </c>
      <c r="F9457">
        <v>0.13270000000000001</v>
      </c>
    </row>
    <row r="9458" spans="1:6" x14ac:dyDescent="0.3">
      <c r="A9458" t="s">
        <v>9493</v>
      </c>
      <c r="B9458" t="s">
        <v>53</v>
      </c>
      <c r="C9458">
        <v>1660000</v>
      </c>
      <c r="D9458">
        <v>181918.1</v>
      </c>
      <c r="E9458">
        <v>9.7500000000000003E-2</v>
      </c>
      <c r="F9458">
        <v>7.5899999999999995E-2</v>
      </c>
    </row>
    <row r="9459" spans="1:6" x14ac:dyDescent="0.3">
      <c r="A9459" t="s">
        <v>9494</v>
      </c>
      <c r="B9459" t="s">
        <v>81</v>
      </c>
      <c r="C9459">
        <v>157000</v>
      </c>
      <c r="D9459">
        <v>514.29999999999995</v>
      </c>
      <c r="E9459">
        <v>0.13489999999999999</v>
      </c>
      <c r="F9459">
        <v>9.5100000000000004E-2</v>
      </c>
    </row>
    <row r="9460" spans="1:6" x14ac:dyDescent="0.3">
      <c r="A9460" t="s">
        <v>9495</v>
      </c>
      <c r="B9460" t="s">
        <v>88</v>
      </c>
      <c r="C9460">
        <v>229000</v>
      </c>
      <c r="D9460">
        <v>18996.2</v>
      </c>
      <c r="E9460">
        <v>2.8299999999999999E-2</v>
      </c>
      <c r="F9460">
        <v>0.11700000000000001</v>
      </c>
    </row>
    <row r="9461" spans="1:6" x14ac:dyDescent="0.3">
      <c r="A9461" t="s">
        <v>9496</v>
      </c>
      <c r="B9461" t="s">
        <v>92</v>
      </c>
      <c r="C9461">
        <v>214000</v>
      </c>
      <c r="D9461">
        <v>46216.4</v>
      </c>
      <c r="E9461">
        <v>1.0500000000000001E-2</v>
      </c>
      <c r="F9461">
        <v>8.2199999999999995E-2</v>
      </c>
    </row>
    <row r="9462" spans="1:6" x14ac:dyDescent="0.3">
      <c r="A9462" t="s">
        <v>9497</v>
      </c>
      <c r="B9462" t="s">
        <v>26</v>
      </c>
      <c r="C9462">
        <v>231000</v>
      </c>
      <c r="D9462">
        <v>118271.3</v>
      </c>
      <c r="E9462">
        <v>4.4299999999999999E-2</v>
      </c>
      <c r="F9462">
        <v>4.0899999999999999E-2</v>
      </c>
    </row>
    <row r="9463" spans="1:6" x14ac:dyDescent="0.3">
      <c r="A9463" t="s">
        <v>9498</v>
      </c>
      <c r="B9463" t="s">
        <v>71</v>
      </c>
      <c r="C9463">
        <v>195000</v>
      </c>
      <c r="D9463">
        <v>5034.8999999999996</v>
      </c>
      <c r="E9463">
        <v>4.7E-2</v>
      </c>
      <c r="F9463">
        <v>9.3799999999999994E-2</v>
      </c>
    </row>
    <row r="9464" spans="1:6" x14ac:dyDescent="0.3">
      <c r="A9464" t="s">
        <v>9499</v>
      </c>
      <c r="B9464" t="s">
        <v>41</v>
      </c>
      <c r="C9464">
        <v>358000</v>
      </c>
      <c r="D9464">
        <v>168043</v>
      </c>
      <c r="E9464">
        <v>2.9700000000000001E-2</v>
      </c>
      <c r="F9464">
        <v>7.5899999999999995E-2</v>
      </c>
    </row>
    <row r="9465" spans="1:6" x14ac:dyDescent="0.3">
      <c r="A9465" t="s">
        <v>9500</v>
      </c>
      <c r="B9465" t="s">
        <v>41</v>
      </c>
      <c r="C9465">
        <v>221000</v>
      </c>
      <c r="D9465">
        <v>391562.6</v>
      </c>
      <c r="E9465">
        <v>1.8499999999999999E-2</v>
      </c>
      <c r="F9465">
        <v>5.8500000000000003E-2</v>
      </c>
    </row>
    <row r="9466" spans="1:6" x14ac:dyDescent="0.3">
      <c r="A9466" t="s">
        <v>9501</v>
      </c>
      <c r="B9466" t="s">
        <v>26</v>
      </c>
      <c r="C9466">
        <v>186000</v>
      </c>
      <c r="D9466">
        <v>1010391.2</v>
      </c>
      <c r="E9466">
        <v>3.6700000000000003E-2</v>
      </c>
      <c r="F9466">
        <v>5.4600000000000003E-2</v>
      </c>
    </row>
    <row r="9467" spans="1:6" x14ac:dyDescent="0.3">
      <c r="A9467" t="s">
        <v>9502</v>
      </c>
      <c r="B9467" t="s">
        <v>41</v>
      </c>
      <c r="C9467">
        <v>165000</v>
      </c>
      <c r="D9467">
        <v>862</v>
      </c>
      <c r="E9467">
        <v>2.53E-2</v>
      </c>
      <c r="F9467">
        <v>9.3799999999999994E-2</v>
      </c>
    </row>
    <row r="9468" spans="1:6" x14ac:dyDescent="0.3">
      <c r="A9468" t="s">
        <v>9503</v>
      </c>
      <c r="B9468" t="s">
        <v>88</v>
      </c>
      <c r="C9468">
        <v>208000</v>
      </c>
      <c r="D9468">
        <v>7017.6</v>
      </c>
      <c r="E9468">
        <v>5.0900000000000001E-2</v>
      </c>
      <c r="F9468">
        <v>9.5100000000000004E-2</v>
      </c>
    </row>
    <row r="9469" spans="1:6" x14ac:dyDescent="0.3">
      <c r="A9469" t="s">
        <v>9504</v>
      </c>
      <c r="B9469" t="s">
        <v>26</v>
      </c>
      <c r="C9469">
        <v>161000</v>
      </c>
      <c r="D9469">
        <v>11497</v>
      </c>
      <c r="E9469">
        <v>2.9499999999999998E-2</v>
      </c>
      <c r="F9469">
        <v>9.5100000000000004E-2</v>
      </c>
    </row>
    <row r="9470" spans="1:6" x14ac:dyDescent="0.3">
      <c r="A9470" t="s">
        <v>9505</v>
      </c>
      <c r="B9470" t="s">
        <v>53</v>
      </c>
      <c r="C9470">
        <v>180000</v>
      </c>
      <c r="D9470">
        <v>28273.599999999999</v>
      </c>
      <c r="E9470">
        <v>7.51E-2</v>
      </c>
      <c r="F9470">
        <v>5.1700000000000003E-2</v>
      </c>
    </row>
    <row r="9471" spans="1:6" x14ac:dyDescent="0.3">
      <c r="A9471" t="s">
        <v>9506</v>
      </c>
      <c r="B9471" t="s">
        <v>53</v>
      </c>
      <c r="C9471">
        <v>168000</v>
      </c>
      <c r="D9471">
        <v>2805.2</v>
      </c>
      <c r="E9471">
        <v>5.6099999999999997E-2</v>
      </c>
      <c r="F9471">
        <v>7.5899999999999995E-2</v>
      </c>
    </row>
    <row r="9472" spans="1:6" x14ac:dyDescent="0.3">
      <c r="A9472" t="s">
        <v>9507</v>
      </c>
      <c r="B9472" t="s">
        <v>92</v>
      </c>
      <c r="C9472">
        <v>180000</v>
      </c>
      <c r="D9472">
        <v>2215.3000000000002</v>
      </c>
      <c r="E9472">
        <v>7.4999999999999997E-3</v>
      </c>
      <c r="F9472">
        <v>6.54E-2</v>
      </c>
    </row>
    <row r="9473" spans="1:6" x14ac:dyDescent="0.3">
      <c r="A9473" t="s">
        <v>9508</v>
      </c>
      <c r="B9473" t="s">
        <v>62</v>
      </c>
      <c r="C9473">
        <v>171000</v>
      </c>
      <c r="D9473">
        <v>1512.4</v>
      </c>
      <c r="E9473">
        <v>2.3300000000000001E-2</v>
      </c>
      <c r="F9473">
        <v>9.5100000000000004E-2</v>
      </c>
    </row>
    <row r="9474" spans="1:6" x14ac:dyDescent="0.3">
      <c r="A9474" t="s">
        <v>9509</v>
      </c>
      <c r="B9474" t="s">
        <v>88</v>
      </c>
      <c r="C9474">
        <v>155000</v>
      </c>
      <c r="D9474">
        <v>1655.7</v>
      </c>
      <c r="E9474">
        <v>2.8400000000000002E-2</v>
      </c>
      <c r="F9474">
        <v>9.5100000000000004E-2</v>
      </c>
    </row>
    <row r="9475" spans="1:6" x14ac:dyDescent="0.3">
      <c r="A9475" t="s">
        <v>9510</v>
      </c>
      <c r="B9475" t="s">
        <v>24</v>
      </c>
      <c r="C9475">
        <v>231000</v>
      </c>
      <c r="D9475">
        <v>47331.4</v>
      </c>
      <c r="E9475">
        <v>7.7399999999999997E-2</v>
      </c>
      <c r="F9475">
        <v>5.4600000000000003E-2</v>
      </c>
    </row>
    <row r="9476" spans="1:6" x14ac:dyDescent="0.3">
      <c r="A9476" t="s">
        <v>9511</v>
      </c>
      <c r="B9476" t="s">
        <v>32</v>
      </c>
      <c r="C9476">
        <v>160000</v>
      </c>
      <c r="D9476">
        <v>84489.7</v>
      </c>
      <c r="E9476">
        <v>4.0300000000000002E-2</v>
      </c>
      <c r="F9476">
        <v>9.5100000000000004E-2</v>
      </c>
    </row>
    <row r="9477" spans="1:6" x14ac:dyDescent="0.3">
      <c r="A9477" t="s">
        <v>9512</v>
      </c>
      <c r="B9477" t="s">
        <v>88</v>
      </c>
      <c r="C9477">
        <v>166000</v>
      </c>
      <c r="D9477">
        <v>6343.9</v>
      </c>
      <c r="E9477">
        <v>2.81E-2</v>
      </c>
      <c r="F9477">
        <v>9.5100000000000004E-2</v>
      </c>
    </row>
    <row r="9478" spans="1:6" x14ac:dyDescent="0.3">
      <c r="A9478" t="s">
        <v>9513</v>
      </c>
      <c r="B9478" t="s">
        <v>41</v>
      </c>
      <c r="C9478">
        <v>167000</v>
      </c>
      <c r="D9478">
        <v>36292.9</v>
      </c>
      <c r="E9478">
        <v>8.8000000000000005E-3</v>
      </c>
      <c r="F9478">
        <v>0.13150000000000001</v>
      </c>
    </row>
    <row r="9479" spans="1:6" x14ac:dyDescent="0.3">
      <c r="A9479" t="s">
        <v>9514</v>
      </c>
      <c r="B9479" t="s">
        <v>35</v>
      </c>
      <c r="C9479">
        <v>314000</v>
      </c>
      <c r="D9479">
        <v>10863.4</v>
      </c>
      <c r="E9479">
        <v>1.6E-2</v>
      </c>
      <c r="F9479">
        <v>4.6199999999999998E-2</v>
      </c>
    </row>
    <row r="9480" spans="1:6" x14ac:dyDescent="0.3">
      <c r="A9480" t="s">
        <v>9515</v>
      </c>
      <c r="B9480" t="s">
        <v>26</v>
      </c>
      <c r="C9480">
        <v>233000</v>
      </c>
      <c r="D9480">
        <v>14664.5</v>
      </c>
      <c r="E9480">
        <v>0.06</v>
      </c>
      <c r="F9480">
        <v>7.5899999999999995E-2</v>
      </c>
    </row>
    <row r="9481" spans="1:6" x14ac:dyDescent="0.3">
      <c r="A9481" t="s">
        <v>9516</v>
      </c>
      <c r="B9481" t="s">
        <v>287</v>
      </c>
      <c r="C9481">
        <v>228000</v>
      </c>
      <c r="D9481">
        <v>1147694.8</v>
      </c>
      <c r="E9481">
        <v>1.21E-2</v>
      </c>
      <c r="F9481">
        <v>7.3599999999999999E-2</v>
      </c>
    </row>
    <row r="9482" spans="1:6" x14ac:dyDescent="0.3">
      <c r="A9482" t="s">
        <v>9517</v>
      </c>
      <c r="B9482" t="s">
        <v>74</v>
      </c>
      <c r="C9482">
        <v>166000</v>
      </c>
      <c r="D9482">
        <v>2102.1999999999998</v>
      </c>
      <c r="E9482">
        <v>1.1599999999999999E-2</v>
      </c>
      <c r="F9482">
        <v>6.54E-2</v>
      </c>
    </row>
    <row r="9483" spans="1:6" x14ac:dyDescent="0.3">
      <c r="A9483" t="s">
        <v>9518</v>
      </c>
      <c r="B9483" t="s">
        <v>214</v>
      </c>
      <c r="C9483">
        <v>335000</v>
      </c>
      <c r="D9483">
        <v>158410.6</v>
      </c>
      <c r="E9483">
        <v>7.7999999999999996E-3</v>
      </c>
      <c r="F9483">
        <v>8.2199999999999995E-2</v>
      </c>
    </row>
    <row r="9484" spans="1:6" x14ac:dyDescent="0.3">
      <c r="A9484" t="s">
        <v>9519</v>
      </c>
      <c r="B9484" t="s">
        <v>26</v>
      </c>
      <c r="C9484">
        <v>300000</v>
      </c>
      <c r="D9484">
        <v>514.6</v>
      </c>
      <c r="E9484">
        <v>1.7100000000000001E-2</v>
      </c>
      <c r="F9484">
        <v>6.4699999999999994E-2</v>
      </c>
    </row>
    <row r="9485" spans="1:6" x14ac:dyDescent="0.3">
      <c r="A9485" t="s">
        <v>9520</v>
      </c>
      <c r="B9485" t="s">
        <v>71</v>
      </c>
      <c r="C9485">
        <v>249000</v>
      </c>
      <c r="D9485">
        <v>13238.4</v>
      </c>
      <c r="E9485">
        <v>0.01</v>
      </c>
      <c r="F9485">
        <v>0.1013</v>
      </c>
    </row>
    <row r="9486" spans="1:6" x14ac:dyDescent="0.3">
      <c r="A9486" t="s">
        <v>9521</v>
      </c>
      <c r="B9486" t="s">
        <v>88</v>
      </c>
      <c r="C9486">
        <v>295000</v>
      </c>
      <c r="D9486">
        <v>4152.3</v>
      </c>
      <c r="E9486">
        <v>4.99E-2</v>
      </c>
      <c r="F9486">
        <v>9.3799999999999994E-2</v>
      </c>
    </row>
    <row r="9487" spans="1:6" x14ac:dyDescent="0.3">
      <c r="A9487" t="s">
        <v>9522</v>
      </c>
      <c r="B9487" t="s">
        <v>195</v>
      </c>
      <c r="C9487">
        <v>176000</v>
      </c>
      <c r="D9487">
        <v>2932.3</v>
      </c>
      <c r="E9487">
        <v>2.8299999999999999E-2</v>
      </c>
      <c r="F9487">
        <v>9.5100000000000004E-2</v>
      </c>
    </row>
    <row r="9488" spans="1:6" x14ac:dyDescent="0.3">
      <c r="A9488" t="s">
        <v>9523</v>
      </c>
      <c r="B9488" t="s">
        <v>50</v>
      </c>
      <c r="C9488">
        <v>171000</v>
      </c>
      <c r="D9488">
        <v>109473.7</v>
      </c>
      <c r="E9488">
        <v>3.0099999999999998E-2</v>
      </c>
      <c r="F9488">
        <v>9.5100000000000004E-2</v>
      </c>
    </row>
    <row r="9489" spans="1:6" x14ac:dyDescent="0.3">
      <c r="A9489" t="s">
        <v>9524</v>
      </c>
      <c r="B9489" t="s">
        <v>26</v>
      </c>
      <c r="C9489">
        <v>181000</v>
      </c>
      <c r="D9489">
        <v>60792.5</v>
      </c>
      <c r="E9489">
        <v>2.2700000000000001E-2</v>
      </c>
      <c r="F9489">
        <v>9.3799999999999994E-2</v>
      </c>
    </row>
    <row r="9490" spans="1:6" x14ac:dyDescent="0.3">
      <c r="A9490" t="s">
        <v>9525</v>
      </c>
      <c r="B9490" t="s">
        <v>62</v>
      </c>
      <c r="C9490">
        <v>173000</v>
      </c>
      <c r="D9490">
        <v>556.1</v>
      </c>
      <c r="E9490">
        <v>3.0700000000000002E-2</v>
      </c>
      <c r="F9490">
        <v>5.1799999999999999E-2</v>
      </c>
    </row>
    <row r="9491" spans="1:6" x14ac:dyDescent="0.3">
      <c r="A9491" t="s">
        <v>9526</v>
      </c>
      <c r="B9491" t="s">
        <v>195</v>
      </c>
      <c r="C9491">
        <v>293000</v>
      </c>
      <c r="D9491">
        <v>11813.4</v>
      </c>
      <c r="E9491">
        <v>1.2999999999999999E-2</v>
      </c>
      <c r="F9491">
        <v>6.1600000000000002E-2</v>
      </c>
    </row>
    <row r="9492" spans="1:6" x14ac:dyDescent="0.3">
      <c r="A9492" t="s">
        <v>9527</v>
      </c>
      <c r="B9492" t="s">
        <v>214</v>
      </c>
      <c r="C9492">
        <v>158000</v>
      </c>
      <c r="D9492">
        <v>2994.3</v>
      </c>
      <c r="E9492">
        <v>1.7899999999999999E-2</v>
      </c>
      <c r="F9492">
        <v>8.5400000000000004E-2</v>
      </c>
    </row>
    <row r="9493" spans="1:6" x14ac:dyDescent="0.3">
      <c r="A9493" t="s">
        <v>9528</v>
      </c>
      <c r="B9493" t="s">
        <v>71</v>
      </c>
      <c r="C9493">
        <v>161000</v>
      </c>
      <c r="D9493">
        <v>129.30000000000001</v>
      </c>
      <c r="E9493">
        <v>1.4200000000000001E-2</v>
      </c>
      <c r="F9493">
        <v>5.8400000000000001E-2</v>
      </c>
    </row>
    <row r="9494" spans="1:6" x14ac:dyDescent="0.3">
      <c r="A9494" t="s">
        <v>9529</v>
      </c>
      <c r="B9494" t="s">
        <v>92</v>
      </c>
      <c r="C9494">
        <v>162000</v>
      </c>
      <c r="D9494">
        <v>45370.3</v>
      </c>
      <c r="E9494">
        <v>1.14E-2</v>
      </c>
      <c r="F9494">
        <v>7.3599999999999999E-2</v>
      </c>
    </row>
    <row r="9495" spans="1:6" x14ac:dyDescent="0.3">
      <c r="A9495" t="s">
        <v>9530</v>
      </c>
      <c r="B9495" t="s">
        <v>24</v>
      </c>
      <c r="C9495">
        <v>299000</v>
      </c>
      <c r="D9495">
        <v>1358.8</v>
      </c>
      <c r="E9495">
        <v>2.1499999999999998E-2</v>
      </c>
      <c r="F9495">
        <v>8.5400000000000004E-2</v>
      </c>
    </row>
    <row r="9496" spans="1:6" x14ac:dyDescent="0.3">
      <c r="A9496" t="s">
        <v>9531</v>
      </c>
      <c r="B9496" t="s">
        <v>26</v>
      </c>
      <c r="C9496">
        <v>188000</v>
      </c>
      <c r="D9496">
        <v>6372.4</v>
      </c>
      <c r="E9496">
        <v>2.5000000000000001E-2</v>
      </c>
      <c r="F9496">
        <v>0.1119</v>
      </c>
    </row>
    <row r="9497" spans="1:6" x14ac:dyDescent="0.3">
      <c r="A9497" t="s">
        <v>9532</v>
      </c>
      <c r="B9497" t="s">
        <v>26</v>
      </c>
      <c r="C9497">
        <v>529000</v>
      </c>
      <c r="D9497">
        <v>460449</v>
      </c>
      <c r="E9497">
        <v>3.9399999999999998E-2</v>
      </c>
      <c r="F9497">
        <v>4.1200000000000001E-2</v>
      </c>
    </row>
    <row r="9498" spans="1:6" x14ac:dyDescent="0.3">
      <c r="A9498" t="s">
        <v>9533</v>
      </c>
      <c r="B9498" t="s">
        <v>74</v>
      </c>
      <c r="C9498">
        <v>173000</v>
      </c>
      <c r="D9498">
        <v>96.2</v>
      </c>
      <c r="E9498">
        <v>5.3600000000000002E-2</v>
      </c>
      <c r="F9498">
        <v>7.5899999999999995E-2</v>
      </c>
    </row>
    <row r="9499" spans="1:6" x14ac:dyDescent="0.3">
      <c r="A9499" t="s">
        <v>9534</v>
      </c>
      <c r="B9499" t="s">
        <v>88</v>
      </c>
      <c r="C9499">
        <v>198000</v>
      </c>
      <c r="D9499">
        <v>706.7</v>
      </c>
      <c r="E9499">
        <v>4.1799999999999997E-2</v>
      </c>
      <c r="F9499">
        <v>7.5899999999999995E-2</v>
      </c>
    </row>
    <row r="9500" spans="1:6" x14ac:dyDescent="0.3">
      <c r="A9500" t="s">
        <v>9535</v>
      </c>
      <c r="B9500" t="s">
        <v>26</v>
      </c>
      <c r="C9500">
        <v>203000</v>
      </c>
      <c r="D9500">
        <v>6408.1</v>
      </c>
      <c r="E9500">
        <v>5.6399999999999999E-2</v>
      </c>
      <c r="F9500">
        <v>7.5899999999999995E-2</v>
      </c>
    </row>
    <row r="9501" spans="1:6" x14ac:dyDescent="0.3">
      <c r="A9501" t="s">
        <v>9536</v>
      </c>
      <c r="B9501" t="s">
        <v>92</v>
      </c>
      <c r="C9501">
        <v>182000</v>
      </c>
      <c r="D9501">
        <v>884.9</v>
      </c>
      <c r="E9501">
        <v>3.4099999999999998E-2</v>
      </c>
      <c r="F9501">
        <v>9.5100000000000004E-2</v>
      </c>
    </row>
    <row r="9502" spans="1:6" x14ac:dyDescent="0.3">
      <c r="A9502" t="s">
        <v>9537</v>
      </c>
      <c r="B9502" t="s">
        <v>32</v>
      </c>
      <c r="C9502">
        <v>169000</v>
      </c>
      <c r="D9502">
        <v>121409.9</v>
      </c>
      <c r="E9502">
        <v>1.15E-2</v>
      </c>
      <c r="F9502">
        <v>8.2199999999999995E-2</v>
      </c>
    </row>
    <row r="9503" spans="1:6" x14ac:dyDescent="0.3">
      <c r="A9503" t="s">
        <v>9538</v>
      </c>
      <c r="B9503" t="s">
        <v>26</v>
      </c>
      <c r="C9503">
        <v>223000</v>
      </c>
      <c r="D9503">
        <v>42830</v>
      </c>
      <c r="E9503">
        <v>4.5999999999999999E-2</v>
      </c>
      <c r="F9503">
        <v>9.5100000000000004E-2</v>
      </c>
    </row>
    <row r="9504" spans="1:6" x14ac:dyDescent="0.3">
      <c r="A9504" t="s">
        <v>9539</v>
      </c>
      <c r="B9504" t="s">
        <v>81</v>
      </c>
      <c r="C9504">
        <v>191000</v>
      </c>
      <c r="D9504">
        <v>23293.3</v>
      </c>
      <c r="E9504">
        <v>1.52E-2</v>
      </c>
      <c r="F9504">
        <v>4.6199999999999998E-2</v>
      </c>
    </row>
    <row r="9505" spans="1:6" x14ac:dyDescent="0.3">
      <c r="A9505" t="s">
        <v>9540</v>
      </c>
      <c r="B9505" t="s">
        <v>41</v>
      </c>
      <c r="C9505">
        <v>155000</v>
      </c>
      <c r="D9505">
        <v>175.4</v>
      </c>
      <c r="E9505">
        <v>1.84E-2</v>
      </c>
      <c r="F9505">
        <v>0.1067</v>
      </c>
    </row>
    <row r="9506" spans="1:6" x14ac:dyDescent="0.3">
      <c r="A9506" t="s">
        <v>9541</v>
      </c>
      <c r="B9506" t="s">
        <v>28</v>
      </c>
      <c r="C9506">
        <v>208000</v>
      </c>
      <c r="D9506">
        <v>6562</v>
      </c>
      <c r="E9506">
        <v>1.7500000000000002E-2</v>
      </c>
      <c r="F9506">
        <v>5.8500000000000003E-2</v>
      </c>
    </row>
    <row r="9507" spans="1:6" x14ac:dyDescent="0.3">
      <c r="A9507" t="s">
        <v>9542</v>
      </c>
      <c r="B9507" t="s">
        <v>41</v>
      </c>
      <c r="C9507">
        <v>159000</v>
      </c>
      <c r="D9507">
        <v>578.20000000000005</v>
      </c>
      <c r="E9507">
        <v>0.13270000000000001</v>
      </c>
      <c r="F9507">
        <v>0.11700000000000001</v>
      </c>
    </row>
    <row r="9508" spans="1:6" x14ac:dyDescent="0.3">
      <c r="A9508" t="s">
        <v>9543</v>
      </c>
      <c r="B9508" t="s">
        <v>24</v>
      </c>
      <c r="C9508">
        <v>219000</v>
      </c>
      <c r="D9508">
        <v>192823.4</v>
      </c>
      <c r="E9508">
        <v>2.2499999999999999E-2</v>
      </c>
      <c r="F9508">
        <v>5.1799999999999999E-2</v>
      </c>
    </row>
    <row r="9509" spans="1:6" x14ac:dyDescent="0.3">
      <c r="A9509" t="s">
        <v>9544</v>
      </c>
      <c r="B9509" t="s">
        <v>26</v>
      </c>
      <c r="C9509">
        <v>150000</v>
      </c>
      <c r="D9509">
        <v>1750.4</v>
      </c>
      <c r="E9509">
        <v>2.24E-2</v>
      </c>
      <c r="F9509">
        <v>7.5899999999999995E-2</v>
      </c>
    </row>
    <row r="9510" spans="1:6" x14ac:dyDescent="0.3">
      <c r="A9510" t="s">
        <v>9545</v>
      </c>
      <c r="B9510" t="s">
        <v>214</v>
      </c>
      <c r="C9510">
        <v>160000</v>
      </c>
      <c r="D9510">
        <v>35280</v>
      </c>
      <c r="E9510">
        <v>3.8100000000000002E-2</v>
      </c>
      <c r="F9510">
        <v>5.4600000000000003E-2</v>
      </c>
    </row>
    <row r="9511" spans="1:6" x14ac:dyDescent="0.3">
      <c r="A9511" t="s">
        <v>9546</v>
      </c>
      <c r="B9511" t="s">
        <v>214</v>
      </c>
      <c r="C9511">
        <v>158000</v>
      </c>
      <c r="D9511">
        <v>1671.3</v>
      </c>
      <c r="E9511">
        <v>2.8299999999999999E-2</v>
      </c>
      <c r="F9511">
        <v>9.5100000000000004E-2</v>
      </c>
    </row>
    <row r="9512" spans="1:6" x14ac:dyDescent="0.3">
      <c r="A9512" t="s">
        <v>9547</v>
      </c>
      <c r="B9512" t="s">
        <v>26</v>
      </c>
      <c r="C9512">
        <v>216000</v>
      </c>
      <c r="D9512">
        <v>9282.5</v>
      </c>
      <c r="E9512">
        <v>5.5500000000000001E-2</v>
      </c>
      <c r="F9512">
        <v>9.5100000000000004E-2</v>
      </c>
    </row>
    <row r="9513" spans="1:6" x14ac:dyDescent="0.3">
      <c r="A9513" t="s">
        <v>9548</v>
      </c>
      <c r="B9513" t="s">
        <v>41</v>
      </c>
      <c r="C9513">
        <v>201000</v>
      </c>
      <c r="D9513">
        <v>5939.4</v>
      </c>
      <c r="E9513">
        <v>5.21E-2</v>
      </c>
      <c r="F9513">
        <v>7.5899999999999995E-2</v>
      </c>
    </row>
    <row r="9514" spans="1:6" x14ac:dyDescent="0.3">
      <c r="A9514" t="s">
        <v>9549</v>
      </c>
      <c r="B9514" t="s">
        <v>74</v>
      </c>
      <c r="C9514">
        <v>268000</v>
      </c>
      <c r="D9514">
        <v>5322.7</v>
      </c>
      <c r="E9514">
        <v>3.0099999999999998E-2</v>
      </c>
      <c r="F9514">
        <v>9.5100000000000004E-2</v>
      </c>
    </row>
    <row r="9515" spans="1:6" x14ac:dyDescent="0.3">
      <c r="A9515" t="s">
        <v>9550</v>
      </c>
      <c r="B9515" t="s">
        <v>81</v>
      </c>
      <c r="C9515">
        <v>162000</v>
      </c>
      <c r="D9515">
        <v>1305.8</v>
      </c>
      <c r="E9515">
        <v>1.7500000000000002E-2</v>
      </c>
      <c r="F9515">
        <v>8.5400000000000004E-2</v>
      </c>
    </row>
    <row r="9516" spans="1:6" x14ac:dyDescent="0.3">
      <c r="A9516" t="s">
        <v>9551</v>
      </c>
      <c r="B9516" t="s">
        <v>53</v>
      </c>
      <c r="C9516">
        <v>412000</v>
      </c>
      <c r="D9516">
        <v>118951.1</v>
      </c>
      <c r="E9516">
        <v>9.5200000000000007E-2</v>
      </c>
      <c r="F9516">
        <v>7.5899999999999995E-2</v>
      </c>
    </row>
    <row r="9517" spans="1:6" x14ac:dyDescent="0.3">
      <c r="A9517" t="s">
        <v>9552</v>
      </c>
      <c r="B9517" t="s">
        <v>41</v>
      </c>
      <c r="C9517">
        <v>170000</v>
      </c>
      <c r="D9517">
        <v>521</v>
      </c>
      <c r="E9517">
        <v>4.2900000000000001E-2</v>
      </c>
      <c r="F9517">
        <v>4.0899999999999999E-2</v>
      </c>
    </row>
    <row r="9518" spans="1:6" x14ac:dyDescent="0.3">
      <c r="A9518" t="s">
        <v>9553</v>
      </c>
      <c r="B9518" t="s">
        <v>41</v>
      </c>
      <c r="C9518">
        <v>230000</v>
      </c>
      <c r="D9518">
        <v>871.5</v>
      </c>
      <c r="E9518">
        <v>0.1032</v>
      </c>
      <c r="F9518">
        <v>9.3799999999999994E-2</v>
      </c>
    </row>
    <row r="9519" spans="1:6" x14ac:dyDescent="0.3">
      <c r="A9519" t="s">
        <v>9554</v>
      </c>
      <c r="B9519" t="s">
        <v>26</v>
      </c>
      <c r="C9519">
        <v>191000</v>
      </c>
      <c r="D9519">
        <v>583.1</v>
      </c>
      <c r="E9519">
        <v>1.49E-2</v>
      </c>
      <c r="F9519">
        <v>5.8000000000000003E-2</v>
      </c>
    </row>
    <row r="9520" spans="1:6" x14ac:dyDescent="0.3">
      <c r="A9520" t="s">
        <v>9555</v>
      </c>
      <c r="B9520" t="s">
        <v>53</v>
      </c>
      <c r="C9520">
        <v>452000</v>
      </c>
      <c r="D9520">
        <v>35120.5</v>
      </c>
      <c r="E9520">
        <v>5.2299999999999999E-2</v>
      </c>
      <c r="F9520">
        <v>7.5899999999999995E-2</v>
      </c>
    </row>
    <row r="9521" spans="1:6" x14ac:dyDescent="0.3">
      <c r="A9521" t="s">
        <v>9556</v>
      </c>
      <c r="B9521" t="s">
        <v>88</v>
      </c>
      <c r="C9521">
        <v>169000</v>
      </c>
      <c r="D9521">
        <v>212.8</v>
      </c>
      <c r="E9521">
        <v>5.3E-3</v>
      </c>
      <c r="F9521">
        <v>8.1100000000000005E-2</v>
      </c>
    </row>
    <row r="9522" spans="1:6" x14ac:dyDescent="0.3">
      <c r="A9522" t="s">
        <v>9557</v>
      </c>
      <c r="B9522" t="s">
        <v>26</v>
      </c>
      <c r="C9522">
        <v>165000</v>
      </c>
      <c r="D9522">
        <v>3165</v>
      </c>
      <c r="E9522">
        <v>2.7900000000000001E-2</v>
      </c>
      <c r="F9522">
        <v>7.5899999999999995E-2</v>
      </c>
    </row>
    <row r="9523" spans="1:6" x14ac:dyDescent="0.3">
      <c r="A9523" t="s">
        <v>9558</v>
      </c>
      <c r="B9523" t="s">
        <v>92</v>
      </c>
      <c r="C9523">
        <v>193000</v>
      </c>
      <c r="D9523">
        <v>543.4</v>
      </c>
      <c r="E9523">
        <v>3.7900000000000003E-2</v>
      </c>
      <c r="F9523">
        <v>7.5899999999999995E-2</v>
      </c>
    </row>
    <row r="9524" spans="1:6" x14ac:dyDescent="0.3">
      <c r="A9524" t="s">
        <v>9559</v>
      </c>
      <c r="B9524" t="s">
        <v>41</v>
      </c>
      <c r="C9524">
        <v>185000</v>
      </c>
      <c r="D9524">
        <v>2835.6</v>
      </c>
      <c r="E9524">
        <v>3.5299999999999998E-2</v>
      </c>
      <c r="F9524">
        <v>9.5100000000000004E-2</v>
      </c>
    </row>
    <row r="9525" spans="1:6" x14ac:dyDescent="0.3">
      <c r="A9525" t="s">
        <v>9560</v>
      </c>
      <c r="B9525" t="s">
        <v>74</v>
      </c>
      <c r="C9525">
        <v>205000</v>
      </c>
      <c r="D9525">
        <v>1498.7</v>
      </c>
      <c r="E9525">
        <v>2.5999999999999999E-2</v>
      </c>
      <c r="F9525">
        <v>7.5899999999999995E-2</v>
      </c>
    </row>
    <row r="9526" spans="1:6" x14ac:dyDescent="0.3">
      <c r="A9526" t="s">
        <v>9561</v>
      </c>
      <c r="B9526" t="s">
        <v>62</v>
      </c>
      <c r="C9526">
        <v>205000</v>
      </c>
      <c r="D9526">
        <v>11746.8</v>
      </c>
      <c r="E9526">
        <v>1.4999999999999999E-2</v>
      </c>
      <c r="F9526">
        <v>4.8800000000000003E-2</v>
      </c>
    </row>
    <row r="9527" spans="1:6" x14ac:dyDescent="0.3">
      <c r="A9527" t="s">
        <v>9562</v>
      </c>
      <c r="B9527" t="s">
        <v>26</v>
      </c>
      <c r="C9527">
        <v>159000</v>
      </c>
      <c r="D9527">
        <v>713.6</v>
      </c>
      <c r="E9527">
        <v>1.6899999999999998E-2</v>
      </c>
      <c r="F9527">
        <v>6.1600000000000002E-2</v>
      </c>
    </row>
    <row r="9528" spans="1:6" x14ac:dyDescent="0.3">
      <c r="A9528" t="s">
        <v>9563</v>
      </c>
      <c r="B9528" t="s">
        <v>81</v>
      </c>
      <c r="C9528">
        <v>167000</v>
      </c>
      <c r="D9528">
        <v>32530.6</v>
      </c>
      <c r="E9528">
        <v>1.9400000000000001E-2</v>
      </c>
      <c r="F9528">
        <v>8.5400000000000004E-2</v>
      </c>
    </row>
    <row r="9529" spans="1:6" x14ac:dyDescent="0.3">
      <c r="A9529" t="s">
        <v>9564</v>
      </c>
      <c r="B9529" t="s">
        <v>195</v>
      </c>
      <c r="C9529">
        <v>170000</v>
      </c>
      <c r="D9529">
        <v>2230.1999999999998</v>
      </c>
      <c r="E9529">
        <v>1.04E-2</v>
      </c>
      <c r="F9529">
        <v>7.3599999999999999E-2</v>
      </c>
    </row>
    <row r="9530" spans="1:6" x14ac:dyDescent="0.3">
      <c r="A9530" t="s">
        <v>9565</v>
      </c>
      <c r="B9530" t="s">
        <v>71</v>
      </c>
      <c r="C9530">
        <v>233000</v>
      </c>
      <c r="D9530">
        <v>4069.7</v>
      </c>
      <c r="E9530">
        <v>8.1100000000000005E-2</v>
      </c>
      <c r="F9530">
        <v>9.3799999999999994E-2</v>
      </c>
    </row>
    <row r="9531" spans="1:6" x14ac:dyDescent="0.3">
      <c r="A9531" t="s">
        <v>9566</v>
      </c>
      <c r="B9531" t="s">
        <v>32</v>
      </c>
      <c r="C9531">
        <v>170000</v>
      </c>
      <c r="D9531">
        <v>13352.8</v>
      </c>
      <c r="E9531">
        <v>3.4799999999999998E-2</v>
      </c>
      <c r="F9531">
        <v>9.3799999999999994E-2</v>
      </c>
    </row>
    <row r="9532" spans="1:6" x14ac:dyDescent="0.3">
      <c r="A9532" t="s">
        <v>9567</v>
      </c>
      <c r="B9532" t="s">
        <v>30</v>
      </c>
      <c r="C9532">
        <v>180000</v>
      </c>
      <c r="D9532">
        <v>1994.9</v>
      </c>
      <c r="E9532">
        <v>1.9699999999999999E-2</v>
      </c>
      <c r="F9532">
        <v>0.15939999999999999</v>
      </c>
    </row>
    <row r="9533" spans="1:6" x14ac:dyDescent="0.3">
      <c r="A9533" t="s">
        <v>9568</v>
      </c>
      <c r="B9533" t="s">
        <v>26</v>
      </c>
      <c r="C9533">
        <v>575000</v>
      </c>
      <c r="D9533">
        <v>15253.6</v>
      </c>
      <c r="E9533">
        <v>1.5100000000000001E-2</v>
      </c>
      <c r="F9533">
        <v>0.1053</v>
      </c>
    </row>
    <row r="9534" spans="1:6" x14ac:dyDescent="0.3">
      <c r="A9534" t="s">
        <v>9569</v>
      </c>
      <c r="B9534" t="s">
        <v>74</v>
      </c>
      <c r="C9534">
        <v>267000</v>
      </c>
      <c r="D9534">
        <v>3569.8</v>
      </c>
      <c r="E9534">
        <v>5.5300000000000002E-2</v>
      </c>
      <c r="F9534">
        <v>9.3799999999999994E-2</v>
      </c>
    </row>
    <row r="9535" spans="1:6" x14ac:dyDescent="0.3">
      <c r="A9535" t="s">
        <v>9570</v>
      </c>
      <c r="B9535" t="s">
        <v>92</v>
      </c>
      <c r="C9535">
        <v>163000</v>
      </c>
      <c r="D9535">
        <v>3821.4</v>
      </c>
      <c r="E9535">
        <v>1.01E-2</v>
      </c>
      <c r="F9535">
        <v>8.2199999999999995E-2</v>
      </c>
    </row>
    <row r="9536" spans="1:6" x14ac:dyDescent="0.3">
      <c r="A9536" t="s">
        <v>9571</v>
      </c>
      <c r="B9536" t="s">
        <v>74</v>
      </c>
      <c r="C9536">
        <v>227000</v>
      </c>
      <c r="D9536">
        <v>677.7</v>
      </c>
      <c r="E9536">
        <v>1.9300000000000001E-2</v>
      </c>
      <c r="F9536">
        <v>0.62709999999999999</v>
      </c>
    </row>
    <row r="9537" spans="1:6" x14ac:dyDescent="0.3">
      <c r="A9537" t="s">
        <v>9572</v>
      </c>
      <c r="B9537" t="s">
        <v>88</v>
      </c>
      <c r="C9537">
        <v>216000</v>
      </c>
      <c r="D9537">
        <v>801.2</v>
      </c>
      <c r="E9537">
        <v>4.2200000000000001E-2</v>
      </c>
      <c r="F9537">
        <v>9.3799999999999994E-2</v>
      </c>
    </row>
    <row r="9538" spans="1:6" x14ac:dyDescent="0.3">
      <c r="A9538" t="s">
        <v>9573</v>
      </c>
      <c r="B9538" t="s">
        <v>50</v>
      </c>
      <c r="C9538">
        <v>234000</v>
      </c>
      <c r="D9538">
        <v>85554.6</v>
      </c>
      <c r="E9538">
        <v>2.1299999999999999E-2</v>
      </c>
      <c r="F9538">
        <v>9.5100000000000004E-2</v>
      </c>
    </row>
    <row r="9539" spans="1:6" x14ac:dyDescent="0.3">
      <c r="A9539" t="s">
        <v>9574</v>
      </c>
      <c r="B9539" t="s">
        <v>214</v>
      </c>
      <c r="C9539">
        <v>173000</v>
      </c>
      <c r="D9539">
        <v>4455.8999999999996</v>
      </c>
      <c r="E9539">
        <v>9.7299999999999998E-2</v>
      </c>
      <c r="F9539">
        <v>0.1535</v>
      </c>
    </row>
    <row r="9540" spans="1:6" x14ac:dyDescent="0.3">
      <c r="A9540" t="s">
        <v>9575</v>
      </c>
      <c r="B9540" t="s">
        <v>88</v>
      </c>
      <c r="C9540">
        <v>175000</v>
      </c>
      <c r="D9540">
        <v>6604.7</v>
      </c>
      <c r="E9540">
        <v>6.2100000000000002E-2</v>
      </c>
      <c r="F9540">
        <v>9.5100000000000004E-2</v>
      </c>
    </row>
    <row r="9541" spans="1:6" x14ac:dyDescent="0.3">
      <c r="A9541" t="s">
        <v>9576</v>
      </c>
      <c r="B9541" t="s">
        <v>53</v>
      </c>
      <c r="C9541">
        <v>213000</v>
      </c>
      <c r="D9541">
        <v>1891.2</v>
      </c>
      <c r="E9541">
        <v>2.4299999999999999E-2</v>
      </c>
      <c r="F9541">
        <v>7.5899999999999995E-2</v>
      </c>
    </row>
    <row r="9542" spans="1:6" x14ac:dyDescent="0.3">
      <c r="A9542" t="s">
        <v>9577</v>
      </c>
      <c r="B9542" t="s">
        <v>26</v>
      </c>
      <c r="C9542">
        <v>171000</v>
      </c>
      <c r="D9542">
        <v>2150.9</v>
      </c>
      <c r="E9542">
        <v>3.49E-2</v>
      </c>
      <c r="F9542">
        <v>9.5100000000000004E-2</v>
      </c>
    </row>
    <row r="9543" spans="1:6" x14ac:dyDescent="0.3">
      <c r="A9543" t="s">
        <v>9578</v>
      </c>
      <c r="B9543" t="s">
        <v>88</v>
      </c>
      <c r="C9543">
        <v>150000</v>
      </c>
      <c r="D9543">
        <v>1648.2</v>
      </c>
      <c r="F9543">
        <v>9.5100000000000004E-2</v>
      </c>
    </row>
    <row r="9544" spans="1:6" x14ac:dyDescent="0.3">
      <c r="A9544" t="s">
        <v>9579</v>
      </c>
      <c r="B9544" t="s">
        <v>214</v>
      </c>
      <c r="C9544">
        <v>329000</v>
      </c>
      <c r="D9544">
        <v>9477.4</v>
      </c>
      <c r="E9544">
        <v>3.7600000000000001E-2</v>
      </c>
      <c r="F9544">
        <v>7.5899999999999995E-2</v>
      </c>
    </row>
    <row r="9545" spans="1:6" x14ac:dyDescent="0.3">
      <c r="A9545" t="s">
        <v>9580</v>
      </c>
      <c r="B9545" t="s">
        <v>92</v>
      </c>
      <c r="C9545">
        <v>223000</v>
      </c>
      <c r="D9545">
        <v>151105</v>
      </c>
      <c r="E9545">
        <v>4.4999999999999998E-2</v>
      </c>
      <c r="F9545">
        <v>4.0899999999999999E-2</v>
      </c>
    </row>
    <row r="9546" spans="1:6" x14ac:dyDescent="0.3">
      <c r="A9546" t="s">
        <v>9581</v>
      </c>
      <c r="B9546" t="s">
        <v>26</v>
      </c>
      <c r="C9546">
        <v>270000</v>
      </c>
      <c r="D9546">
        <v>5772.1</v>
      </c>
      <c r="E9546">
        <v>3.1800000000000002E-2</v>
      </c>
      <c r="F9546">
        <v>0.17100000000000001</v>
      </c>
    </row>
    <row r="9547" spans="1:6" x14ac:dyDescent="0.3">
      <c r="A9547" t="s">
        <v>9582</v>
      </c>
      <c r="B9547" t="s">
        <v>53</v>
      </c>
      <c r="C9547">
        <v>341000</v>
      </c>
      <c r="D9547">
        <v>14083.3</v>
      </c>
      <c r="E9547">
        <v>4.7899999999999998E-2</v>
      </c>
      <c r="F9547">
        <v>7.5899999999999995E-2</v>
      </c>
    </row>
    <row r="9548" spans="1:6" x14ac:dyDescent="0.3">
      <c r="A9548" t="s">
        <v>9583</v>
      </c>
      <c r="B9548" t="s">
        <v>88</v>
      </c>
      <c r="C9548">
        <v>187000</v>
      </c>
      <c r="D9548">
        <v>4953.8</v>
      </c>
      <c r="E9548">
        <v>3.2899999999999999E-2</v>
      </c>
      <c r="F9548">
        <v>9.3799999999999994E-2</v>
      </c>
    </row>
    <row r="9549" spans="1:6" x14ac:dyDescent="0.3">
      <c r="A9549" t="s">
        <v>9584</v>
      </c>
      <c r="B9549" t="s">
        <v>88</v>
      </c>
      <c r="C9549">
        <v>174000</v>
      </c>
      <c r="D9549">
        <v>5210.2</v>
      </c>
      <c r="E9549">
        <v>2.0899999999999998E-2</v>
      </c>
      <c r="F9549">
        <v>9.3799999999999994E-2</v>
      </c>
    </row>
    <row r="9550" spans="1:6" x14ac:dyDescent="0.3">
      <c r="A9550" t="s">
        <v>9585</v>
      </c>
      <c r="B9550" t="s">
        <v>74</v>
      </c>
      <c r="C9550">
        <v>161000</v>
      </c>
      <c r="D9550">
        <v>6684.8</v>
      </c>
      <c r="E9550">
        <v>3.5099999999999999E-2</v>
      </c>
      <c r="F9550">
        <v>9.5100000000000004E-2</v>
      </c>
    </row>
    <row r="9551" spans="1:6" x14ac:dyDescent="0.3">
      <c r="A9551" t="s">
        <v>9586</v>
      </c>
      <c r="B9551" t="s">
        <v>32</v>
      </c>
      <c r="C9551">
        <v>156000</v>
      </c>
      <c r="D9551">
        <v>1817.3</v>
      </c>
      <c r="E9551">
        <v>2.8E-3</v>
      </c>
      <c r="F9551">
        <v>6.54E-2</v>
      </c>
    </row>
    <row r="9552" spans="1:6" x14ac:dyDescent="0.3">
      <c r="A9552" t="s">
        <v>9587</v>
      </c>
      <c r="B9552" t="s">
        <v>81</v>
      </c>
      <c r="C9552">
        <v>217000</v>
      </c>
      <c r="D9552">
        <v>17165.5</v>
      </c>
      <c r="E9552">
        <v>3.9399999999999998E-2</v>
      </c>
      <c r="F9552">
        <v>7.5899999999999995E-2</v>
      </c>
    </row>
    <row r="9553" spans="1:6" x14ac:dyDescent="0.3">
      <c r="A9553" t="s">
        <v>9588</v>
      </c>
      <c r="B9553" t="s">
        <v>24</v>
      </c>
      <c r="C9553">
        <v>510000</v>
      </c>
      <c r="D9553">
        <v>38190.6</v>
      </c>
      <c r="E9553">
        <v>3.5499999999999997E-2</v>
      </c>
      <c r="F9553">
        <v>5.0999999999999997E-2</v>
      </c>
    </row>
    <row r="9554" spans="1:6" x14ac:dyDescent="0.3">
      <c r="A9554" t="s">
        <v>9589</v>
      </c>
      <c r="B9554" t="s">
        <v>81</v>
      </c>
      <c r="C9554">
        <v>169000</v>
      </c>
      <c r="D9554">
        <v>122733.8</v>
      </c>
      <c r="E9554">
        <v>3.3700000000000001E-2</v>
      </c>
      <c r="F9554">
        <v>9.5100000000000004E-2</v>
      </c>
    </row>
    <row r="9555" spans="1:6" x14ac:dyDescent="0.3">
      <c r="A9555" t="s">
        <v>9590</v>
      </c>
      <c r="B9555" t="s">
        <v>71</v>
      </c>
      <c r="C9555">
        <v>316000</v>
      </c>
      <c r="D9555">
        <v>1940.5</v>
      </c>
      <c r="E9555">
        <v>2.0299999999999999E-2</v>
      </c>
      <c r="F9555">
        <v>7.5899999999999995E-2</v>
      </c>
    </row>
    <row r="9556" spans="1:6" x14ac:dyDescent="0.3">
      <c r="A9556" t="s">
        <v>9591</v>
      </c>
      <c r="B9556" t="s">
        <v>53</v>
      </c>
      <c r="C9556">
        <v>194000</v>
      </c>
      <c r="D9556">
        <v>4134</v>
      </c>
      <c r="E9556">
        <v>9.0499999999999997E-2</v>
      </c>
      <c r="F9556">
        <v>0.11700000000000001</v>
      </c>
    </row>
    <row r="9557" spans="1:6" x14ac:dyDescent="0.3">
      <c r="A9557" t="s">
        <v>9592</v>
      </c>
      <c r="B9557" t="s">
        <v>214</v>
      </c>
      <c r="C9557">
        <v>192000</v>
      </c>
      <c r="D9557">
        <v>59811.9</v>
      </c>
      <c r="E9557">
        <v>1.3899999999999999E-2</v>
      </c>
      <c r="F9557">
        <v>5.8500000000000003E-2</v>
      </c>
    </row>
    <row r="9558" spans="1:6" x14ac:dyDescent="0.3">
      <c r="A9558" t="s">
        <v>9593</v>
      </c>
      <c r="B9558" t="s">
        <v>71</v>
      </c>
      <c r="C9558">
        <v>164000</v>
      </c>
      <c r="D9558">
        <v>54466.5</v>
      </c>
      <c r="E9558">
        <v>2.18E-2</v>
      </c>
      <c r="F9558">
        <v>0.1067</v>
      </c>
    </row>
    <row r="9559" spans="1:6" x14ac:dyDescent="0.3">
      <c r="A9559" t="s">
        <v>9594</v>
      </c>
      <c r="B9559" t="s">
        <v>74</v>
      </c>
      <c r="C9559">
        <v>178000</v>
      </c>
      <c r="D9559">
        <v>10304.299999999999</v>
      </c>
      <c r="E9559">
        <v>2.64E-2</v>
      </c>
      <c r="F9559">
        <v>7.5899999999999995E-2</v>
      </c>
    </row>
    <row r="9560" spans="1:6" x14ac:dyDescent="0.3">
      <c r="A9560" t="s">
        <v>9595</v>
      </c>
      <c r="B9560" t="s">
        <v>92</v>
      </c>
      <c r="C9560">
        <v>301000</v>
      </c>
      <c r="D9560">
        <v>237334.39999999999</v>
      </c>
      <c r="E9560">
        <v>1.2E-2</v>
      </c>
      <c r="F9560">
        <v>0.1062</v>
      </c>
    </row>
    <row r="9561" spans="1:6" x14ac:dyDescent="0.3">
      <c r="A9561" t="s">
        <v>9596</v>
      </c>
      <c r="B9561" t="s">
        <v>88</v>
      </c>
      <c r="C9561">
        <v>193000</v>
      </c>
      <c r="D9561">
        <v>1017</v>
      </c>
      <c r="E9561">
        <v>1.2699999999999999E-2</v>
      </c>
      <c r="F9561">
        <v>0.15939999999999999</v>
      </c>
    </row>
    <row r="9562" spans="1:6" x14ac:dyDescent="0.3">
      <c r="A9562" t="s">
        <v>9597</v>
      </c>
      <c r="B9562" t="s">
        <v>74</v>
      </c>
      <c r="C9562">
        <v>393000</v>
      </c>
      <c r="D9562">
        <v>2699.2</v>
      </c>
      <c r="E9562">
        <v>3.3700000000000001E-2</v>
      </c>
      <c r="F9562">
        <v>7.5899999999999995E-2</v>
      </c>
    </row>
    <row r="9563" spans="1:6" x14ac:dyDescent="0.3">
      <c r="A9563" t="s">
        <v>9598</v>
      </c>
      <c r="B9563" t="s">
        <v>62</v>
      </c>
      <c r="C9563">
        <v>157000</v>
      </c>
      <c r="D9563">
        <v>9229.4</v>
      </c>
      <c r="E9563">
        <v>7.1000000000000004E-3</v>
      </c>
      <c r="F9563">
        <v>0.1027</v>
      </c>
    </row>
    <row r="9564" spans="1:6" x14ac:dyDescent="0.3">
      <c r="A9564" t="s">
        <v>9599</v>
      </c>
      <c r="B9564" t="s">
        <v>88</v>
      </c>
      <c r="C9564">
        <v>161000</v>
      </c>
      <c r="D9564">
        <v>18.899999999999999</v>
      </c>
      <c r="E9564">
        <v>0.13980000000000001</v>
      </c>
      <c r="F9564">
        <v>4.0899999999999999E-2</v>
      </c>
    </row>
    <row r="9565" spans="1:6" x14ac:dyDescent="0.3">
      <c r="A9565" t="s">
        <v>9600</v>
      </c>
      <c r="B9565" t="s">
        <v>62</v>
      </c>
      <c r="C9565">
        <v>273000</v>
      </c>
      <c r="D9565">
        <v>53579.199999999997</v>
      </c>
      <c r="E9565">
        <v>1.1599999999999999E-2</v>
      </c>
      <c r="F9565">
        <v>5.8500000000000003E-2</v>
      </c>
    </row>
    <row r="9566" spans="1:6" x14ac:dyDescent="0.3">
      <c r="A9566" t="s">
        <v>9601</v>
      </c>
      <c r="B9566" t="s">
        <v>62</v>
      </c>
      <c r="C9566">
        <v>158000</v>
      </c>
      <c r="D9566">
        <v>10377.1</v>
      </c>
      <c r="E9566">
        <v>3.1099999999999999E-2</v>
      </c>
      <c r="F9566">
        <v>9.5100000000000004E-2</v>
      </c>
    </row>
    <row r="9567" spans="1:6" x14ac:dyDescent="0.3">
      <c r="A9567" t="s">
        <v>9602</v>
      </c>
      <c r="B9567" t="s">
        <v>24</v>
      </c>
      <c r="C9567">
        <v>231000</v>
      </c>
      <c r="D9567">
        <v>315.5</v>
      </c>
      <c r="E9567">
        <v>6.4999999999999997E-3</v>
      </c>
      <c r="F9567">
        <v>0.14710000000000001</v>
      </c>
    </row>
    <row r="9568" spans="1:6" x14ac:dyDescent="0.3">
      <c r="A9568" t="s">
        <v>9603</v>
      </c>
      <c r="B9568" t="s">
        <v>26</v>
      </c>
      <c r="C9568">
        <v>273000</v>
      </c>
      <c r="D9568">
        <v>1474</v>
      </c>
      <c r="E9568">
        <v>1.9400000000000001E-2</v>
      </c>
      <c r="F9568">
        <v>4.6199999999999998E-2</v>
      </c>
    </row>
    <row r="9569" spans="1:6" x14ac:dyDescent="0.3">
      <c r="A9569" t="s">
        <v>9604</v>
      </c>
      <c r="B9569" t="s">
        <v>88</v>
      </c>
      <c r="C9569">
        <v>168000</v>
      </c>
      <c r="D9569">
        <v>608.6</v>
      </c>
      <c r="E9569">
        <v>0.1595</v>
      </c>
      <c r="F9569">
        <v>9.3799999999999994E-2</v>
      </c>
    </row>
    <row r="9570" spans="1:6" x14ac:dyDescent="0.3">
      <c r="A9570" t="s">
        <v>9605</v>
      </c>
      <c r="B9570" t="s">
        <v>24</v>
      </c>
      <c r="C9570">
        <v>201000</v>
      </c>
      <c r="D9570">
        <v>66060.899999999994</v>
      </c>
      <c r="E9570">
        <v>6.08E-2</v>
      </c>
      <c r="F9570">
        <v>9.5100000000000004E-2</v>
      </c>
    </row>
    <row r="9571" spans="1:6" x14ac:dyDescent="0.3">
      <c r="A9571" t="s">
        <v>9606</v>
      </c>
      <c r="B9571" t="s">
        <v>24</v>
      </c>
      <c r="C9571">
        <v>178000</v>
      </c>
      <c r="D9571">
        <v>5564.8</v>
      </c>
      <c r="E9571">
        <v>5.7299999999999997E-2</v>
      </c>
      <c r="F9571">
        <v>7.5899999999999995E-2</v>
      </c>
    </row>
    <row r="9572" spans="1:6" x14ac:dyDescent="0.3">
      <c r="A9572" t="s">
        <v>9607</v>
      </c>
      <c r="B9572" t="s">
        <v>92</v>
      </c>
      <c r="C9572">
        <v>163000</v>
      </c>
      <c r="D9572">
        <v>264.8</v>
      </c>
      <c r="E9572">
        <v>5.4600000000000003E-2</v>
      </c>
      <c r="F9572">
        <v>0.3095</v>
      </c>
    </row>
    <row r="9573" spans="1:6" x14ac:dyDescent="0.3">
      <c r="A9573" t="s">
        <v>9608</v>
      </c>
      <c r="B9573" t="s">
        <v>26</v>
      </c>
      <c r="C9573">
        <v>195000</v>
      </c>
      <c r="D9573">
        <v>1419.7</v>
      </c>
      <c r="E9573">
        <v>7.7999999999999996E-3</v>
      </c>
      <c r="F9573">
        <v>6.54E-2</v>
      </c>
    </row>
    <row r="9574" spans="1:6" x14ac:dyDescent="0.3">
      <c r="A9574" t="s">
        <v>9609</v>
      </c>
      <c r="B9574" t="s">
        <v>30</v>
      </c>
      <c r="C9574">
        <v>184000</v>
      </c>
      <c r="D9574">
        <v>46323355</v>
      </c>
      <c r="E9574">
        <v>4.6100000000000002E-2</v>
      </c>
      <c r="F9574">
        <v>5.1799999999999999E-2</v>
      </c>
    </row>
    <row r="9575" spans="1:6" x14ac:dyDescent="0.3">
      <c r="A9575" t="s">
        <v>9610</v>
      </c>
      <c r="B9575" t="s">
        <v>92</v>
      </c>
      <c r="C9575">
        <v>192000</v>
      </c>
      <c r="D9575">
        <v>1738.7</v>
      </c>
      <c r="E9575">
        <v>1.0999999999999999E-2</v>
      </c>
      <c r="F9575">
        <v>0.13150000000000001</v>
      </c>
    </row>
    <row r="9576" spans="1:6" x14ac:dyDescent="0.3">
      <c r="A9576" t="s">
        <v>9611</v>
      </c>
      <c r="B9576" t="s">
        <v>88</v>
      </c>
      <c r="C9576">
        <v>292000</v>
      </c>
      <c r="D9576">
        <v>4593.8999999999996</v>
      </c>
      <c r="E9576">
        <v>3.15E-2</v>
      </c>
      <c r="F9576">
        <v>9.3799999999999994E-2</v>
      </c>
    </row>
    <row r="9577" spans="1:6" x14ac:dyDescent="0.3">
      <c r="A9577" t="s">
        <v>9612</v>
      </c>
      <c r="B9577" t="s">
        <v>88</v>
      </c>
      <c r="C9577">
        <v>175000</v>
      </c>
      <c r="D9577">
        <v>895.7</v>
      </c>
      <c r="E9577">
        <v>5.45E-2</v>
      </c>
      <c r="F9577">
        <v>9.3799999999999994E-2</v>
      </c>
    </row>
    <row r="9578" spans="1:6" x14ac:dyDescent="0.3">
      <c r="A9578" t="s">
        <v>9613</v>
      </c>
      <c r="B9578" t="s">
        <v>30</v>
      </c>
      <c r="C9578">
        <v>173000</v>
      </c>
      <c r="D9578">
        <v>29490.2</v>
      </c>
      <c r="E9578">
        <v>1.77E-2</v>
      </c>
      <c r="F9578">
        <v>0.1067</v>
      </c>
    </row>
    <row r="9579" spans="1:6" x14ac:dyDescent="0.3">
      <c r="A9579" t="s">
        <v>9614</v>
      </c>
      <c r="B9579" t="s">
        <v>92</v>
      </c>
      <c r="C9579">
        <v>383000</v>
      </c>
      <c r="D9579">
        <v>74860.7</v>
      </c>
      <c r="E9579">
        <v>5.9299999999999999E-2</v>
      </c>
      <c r="F9579">
        <v>7.5899999999999995E-2</v>
      </c>
    </row>
    <row r="9580" spans="1:6" x14ac:dyDescent="0.3">
      <c r="A9580" t="s">
        <v>9615</v>
      </c>
      <c r="B9580" t="s">
        <v>214</v>
      </c>
      <c r="C9580">
        <v>181000</v>
      </c>
      <c r="D9580">
        <v>3388</v>
      </c>
      <c r="E9580">
        <v>7.1999999999999998E-3</v>
      </c>
      <c r="F9580">
        <v>8.2199999999999995E-2</v>
      </c>
    </row>
    <row r="9581" spans="1:6" x14ac:dyDescent="0.3">
      <c r="A9581" t="s">
        <v>9616</v>
      </c>
      <c r="B9581" t="s">
        <v>88</v>
      </c>
      <c r="C9581">
        <v>289000</v>
      </c>
      <c r="D9581">
        <v>3910.4</v>
      </c>
      <c r="E9581">
        <v>3.2000000000000001E-2</v>
      </c>
      <c r="F9581">
        <v>7.5899999999999995E-2</v>
      </c>
    </row>
    <row r="9582" spans="1:6" x14ac:dyDescent="0.3">
      <c r="A9582" t="s">
        <v>9617</v>
      </c>
      <c r="B9582" t="s">
        <v>26</v>
      </c>
      <c r="C9582">
        <v>243000</v>
      </c>
      <c r="D9582">
        <v>22444.400000000001</v>
      </c>
      <c r="E9582">
        <v>4.07E-2</v>
      </c>
      <c r="F9582">
        <v>9.5100000000000004E-2</v>
      </c>
    </row>
    <row r="9583" spans="1:6" x14ac:dyDescent="0.3">
      <c r="A9583" t="s">
        <v>9618</v>
      </c>
      <c r="B9583" t="s">
        <v>50</v>
      </c>
      <c r="C9583">
        <v>174000</v>
      </c>
      <c r="D9583">
        <v>36683</v>
      </c>
      <c r="E9583">
        <v>8.0600000000000005E-2</v>
      </c>
      <c r="F9583">
        <v>9.5100000000000004E-2</v>
      </c>
    </row>
    <row r="9584" spans="1:6" x14ac:dyDescent="0.3">
      <c r="A9584" t="s">
        <v>9619</v>
      </c>
      <c r="B9584" t="s">
        <v>74</v>
      </c>
      <c r="C9584">
        <v>218000</v>
      </c>
      <c r="D9584">
        <v>6013.7</v>
      </c>
      <c r="E9584">
        <v>2.86E-2</v>
      </c>
      <c r="F9584">
        <v>4.3200000000000002E-2</v>
      </c>
    </row>
    <row r="9585" spans="1:6" x14ac:dyDescent="0.3">
      <c r="A9585" t="s">
        <v>9620</v>
      </c>
      <c r="B9585" t="s">
        <v>81</v>
      </c>
      <c r="C9585">
        <v>354000</v>
      </c>
      <c r="D9585">
        <v>464.3</v>
      </c>
      <c r="E9585">
        <v>5.0700000000000002E-2</v>
      </c>
      <c r="F9585">
        <v>0.15160000000000001</v>
      </c>
    </row>
    <row r="9586" spans="1:6" x14ac:dyDescent="0.3">
      <c r="A9586" t="s">
        <v>9621</v>
      </c>
      <c r="B9586" t="s">
        <v>88</v>
      </c>
      <c r="C9586">
        <v>194000</v>
      </c>
      <c r="D9586">
        <v>1511.5</v>
      </c>
      <c r="E9586">
        <v>3.3599999999999998E-2</v>
      </c>
      <c r="F9586">
        <v>9.3799999999999994E-2</v>
      </c>
    </row>
    <row r="9587" spans="1:6" x14ac:dyDescent="0.3">
      <c r="A9587" t="s">
        <v>9622</v>
      </c>
      <c r="B9587" t="s">
        <v>53</v>
      </c>
      <c r="C9587">
        <v>155000</v>
      </c>
      <c r="D9587">
        <v>351.2</v>
      </c>
      <c r="E9587">
        <v>7.7700000000000005E-2</v>
      </c>
      <c r="F9587">
        <v>6.5199999999999994E-2</v>
      </c>
    </row>
    <row r="9588" spans="1:6" x14ac:dyDescent="0.3">
      <c r="A9588" t="s">
        <v>9623</v>
      </c>
      <c r="B9588" t="s">
        <v>88</v>
      </c>
      <c r="C9588">
        <v>154000</v>
      </c>
      <c r="D9588">
        <v>414.1</v>
      </c>
      <c r="E9588">
        <v>1.6899999999999998E-2</v>
      </c>
      <c r="F9588">
        <v>5.7599999999999998E-2</v>
      </c>
    </row>
    <row r="9589" spans="1:6" x14ac:dyDescent="0.3">
      <c r="A9589" t="s">
        <v>9624</v>
      </c>
      <c r="B9589" t="s">
        <v>81</v>
      </c>
      <c r="C9589">
        <v>164000</v>
      </c>
      <c r="D9589">
        <v>10219.1</v>
      </c>
      <c r="E9589">
        <v>4.4900000000000002E-2</v>
      </c>
      <c r="F9589">
        <v>9.5100000000000004E-2</v>
      </c>
    </row>
    <row r="9590" spans="1:6" x14ac:dyDescent="0.3">
      <c r="A9590" t="s">
        <v>9625</v>
      </c>
      <c r="B9590" t="s">
        <v>26</v>
      </c>
      <c r="C9590">
        <v>163000</v>
      </c>
      <c r="D9590">
        <v>3788.8</v>
      </c>
      <c r="E9590">
        <v>2.64E-2</v>
      </c>
      <c r="F9590">
        <v>0.1241</v>
      </c>
    </row>
    <row r="9591" spans="1:6" x14ac:dyDescent="0.3">
      <c r="A9591" t="s">
        <v>9626</v>
      </c>
      <c r="B9591" t="s">
        <v>26</v>
      </c>
      <c r="C9591">
        <v>179000</v>
      </c>
      <c r="D9591">
        <v>633.1</v>
      </c>
      <c r="E9591">
        <v>4.3900000000000002E-2</v>
      </c>
      <c r="F9591">
        <v>0.15160000000000001</v>
      </c>
    </row>
    <row r="9592" spans="1:6" x14ac:dyDescent="0.3">
      <c r="A9592" t="s">
        <v>9627</v>
      </c>
      <c r="B9592" t="s">
        <v>88</v>
      </c>
      <c r="C9592">
        <v>163000</v>
      </c>
      <c r="D9592">
        <v>1445.8</v>
      </c>
      <c r="E9592">
        <v>2.8899999999999999E-2</v>
      </c>
      <c r="F9592">
        <v>7.5899999999999995E-2</v>
      </c>
    </row>
    <row r="9593" spans="1:6" x14ac:dyDescent="0.3">
      <c r="A9593" t="s">
        <v>9628</v>
      </c>
      <c r="B9593" t="s">
        <v>88</v>
      </c>
      <c r="C9593">
        <v>193000</v>
      </c>
      <c r="D9593">
        <v>4096.7</v>
      </c>
      <c r="E9593">
        <v>2.41E-2</v>
      </c>
      <c r="F9593">
        <v>7.5899999999999995E-2</v>
      </c>
    </row>
    <row r="9594" spans="1:6" x14ac:dyDescent="0.3">
      <c r="A9594" t="s">
        <v>9629</v>
      </c>
      <c r="B9594" t="s">
        <v>26</v>
      </c>
      <c r="C9594">
        <v>306000</v>
      </c>
      <c r="D9594">
        <v>137964.6</v>
      </c>
      <c r="E9594">
        <v>3.0200000000000001E-2</v>
      </c>
      <c r="F9594">
        <v>7.5899999999999995E-2</v>
      </c>
    </row>
    <row r="9595" spans="1:6" x14ac:dyDescent="0.3">
      <c r="A9595" t="s">
        <v>9630</v>
      </c>
      <c r="B9595" t="s">
        <v>71</v>
      </c>
      <c r="C9595">
        <v>237000</v>
      </c>
      <c r="D9595">
        <v>101722.3</v>
      </c>
      <c r="E9595">
        <v>2.63E-2</v>
      </c>
      <c r="F9595">
        <v>5.4600000000000003E-2</v>
      </c>
    </row>
    <row r="9596" spans="1:6" x14ac:dyDescent="0.3">
      <c r="A9596" t="s">
        <v>9631</v>
      </c>
      <c r="B9596" t="s">
        <v>74</v>
      </c>
      <c r="C9596">
        <v>211000</v>
      </c>
      <c r="D9596">
        <v>1385.9</v>
      </c>
      <c r="E9596">
        <v>5.5899999999999998E-2</v>
      </c>
      <c r="F9596">
        <v>9.3799999999999994E-2</v>
      </c>
    </row>
    <row r="9597" spans="1:6" x14ac:dyDescent="0.3">
      <c r="A9597" t="s">
        <v>9632</v>
      </c>
      <c r="B9597" t="s">
        <v>214</v>
      </c>
      <c r="C9597">
        <v>167000</v>
      </c>
      <c r="D9597">
        <v>692.8</v>
      </c>
      <c r="E9597">
        <v>1.8700000000000001E-2</v>
      </c>
      <c r="F9597">
        <v>4.6199999999999998E-2</v>
      </c>
    </row>
    <row r="9598" spans="1:6" x14ac:dyDescent="0.3">
      <c r="A9598" t="s">
        <v>9633</v>
      </c>
      <c r="B9598" t="s">
        <v>26</v>
      </c>
      <c r="C9598">
        <v>159000</v>
      </c>
      <c r="D9598">
        <v>18409.400000000001</v>
      </c>
      <c r="E9598">
        <v>4.2999999999999997E-2</v>
      </c>
      <c r="F9598">
        <v>9.5100000000000004E-2</v>
      </c>
    </row>
    <row r="9599" spans="1:6" x14ac:dyDescent="0.3">
      <c r="A9599" t="s">
        <v>9634</v>
      </c>
      <c r="B9599" t="s">
        <v>26</v>
      </c>
      <c r="C9599">
        <v>161000</v>
      </c>
      <c r="D9599">
        <v>18509.7</v>
      </c>
      <c r="E9599">
        <v>4.2299999999999997E-2</v>
      </c>
      <c r="F9599">
        <v>9.5100000000000004E-2</v>
      </c>
    </row>
    <row r="9600" spans="1:6" x14ac:dyDescent="0.3">
      <c r="A9600" t="s">
        <v>9635</v>
      </c>
      <c r="B9600" t="s">
        <v>53</v>
      </c>
      <c r="C9600">
        <v>253000</v>
      </c>
      <c r="D9600">
        <v>2708.5</v>
      </c>
      <c r="E9600">
        <v>3.3799999999999997E-2</v>
      </c>
      <c r="F9600">
        <v>7.5899999999999995E-2</v>
      </c>
    </row>
    <row r="9601" spans="1:6" x14ac:dyDescent="0.3">
      <c r="A9601" t="s">
        <v>9636</v>
      </c>
      <c r="B9601" t="s">
        <v>74</v>
      </c>
      <c r="C9601">
        <v>267000</v>
      </c>
      <c r="D9601">
        <v>11729.3</v>
      </c>
      <c r="E9601">
        <v>3.95E-2</v>
      </c>
      <c r="F9601">
        <v>9.5100000000000004E-2</v>
      </c>
    </row>
    <row r="9602" spans="1:6" x14ac:dyDescent="0.3">
      <c r="A9602" t="s">
        <v>9637</v>
      </c>
      <c r="B9602" t="s">
        <v>88</v>
      </c>
      <c r="C9602">
        <v>191000</v>
      </c>
      <c r="D9602">
        <v>632.70000000000005</v>
      </c>
      <c r="E9602">
        <v>4.1599999999999998E-2</v>
      </c>
      <c r="F9602">
        <v>9.5100000000000004E-2</v>
      </c>
    </row>
    <row r="9603" spans="1:6" x14ac:dyDescent="0.3">
      <c r="A9603" t="s">
        <v>9638</v>
      </c>
      <c r="B9603" t="s">
        <v>35</v>
      </c>
      <c r="C9603">
        <v>165000</v>
      </c>
      <c r="D9603">
        <v>1173.5999999999999</v>
      </c>
      <c r="E9603">
        <v>0.1018</v>
      </c>
      <c r="F9603">
        <v>9.3799999999999994E-2</v>
      </c>
    </row>
    <row r="9604" spans="1:6" x14ac:dyDescent="0.3">
      <c r="A9604" t="s">
        <v>9639</v>
      </c>
      <c r="B9604" t="s">
        <v>26</v>
      </c>
      <c r="C9604">
        <v>223000</v>
      </c>
      <c r="D9604">
        <v>24429.599999999999</v>
      </c>
      <c r="E9604">
        <v>9.1999999999999998E-3</v>
      </c>
      <c r="F9604">
        <v>0.14710000000000001</v>
      </c>
    </row>
    <row r="9605" spans="1:6" x14ac:dyDescent="0.3">
      <c r="A9605" t="s">
        <v>9640</v>
      </c>
      <c r="B9605" t="s">
        <v>490</v>
      </c>
      <c r="C9605">
        <v>172000</v>
      </c>
      <c r="D9605">
        <v>3818.2</v>
      </c>
      <c r="E9605">
        <v>2.52E-2</v>
      </c>
      <c r="F9605">
        <v>0.1119</v>
      </c>
    </row>
    <row r="9606" spans="1:6" x14ac:dyDescent="0.3">
      <c r="A9606" t="s">
        <v>9641</v>
      </c>
      <c r="B9606" t="s">
        <v>287</v>
      </c>
      <c r="C9606">
        <v>320000</v>
      </c>
      <c r="D9606">
        <v>40259</v>
      </c>
      <c r="E9606">
        <v>2.18E-2</v>
      </c>
      <c r="F9606">
        <v>4.6199999999999998E-2</v>
      </c>
    </row>
    <row r="9607" spans="1:6" x14ac:dyDescent="0.3">
      <c r="A9607" t="s">
        <v>9642</v>
      </c>
      <c r="B9607" t="s">
        <v>53</v>
      </c>
      <c r="C9607">
        <v>187000</v>
      </c>
      <c r="D9607">
        <v>1213.0999999999999</v>
      </c>
      <c r="F9607">
        <v>9.3799999999999994E-2</v>
      </c>
    </row>
    <row r="9608" spans="1:6" x14ac:dyDescent="0.3">
      <c r="A9608" t="s">
        <v>9643</v>
      </c>
      <c r="B9608" t="s">
        <v>214</v>
      </c>
      <c r="C9608">
        <v>207000</v>
      </c>
      <c r="D9608">
        <v>4702.1000000000004</v>
      </c>
      <c r="E9608">
        <v>1.7100000000000001E-2</v>
      </c>
      <c r="F9608">
        <v>4.6199999999999998E-2</v>
      </c>
    </row>
    <row r="9609" spans="1:6" x14ac:dyDescent="0.3">
      <c r="A9609" t="s">
        <v>9644</v>
      </c>
      <c r="B9609" t="s">
        <v>88</v>
      </c>
      <c r="C9609">
        <v>165000</v>
      </c>
      <c r="D9609">
        <v>4350.1000000000004</v>
      </c>
      <c r="E9609">
        <v>2.46E-2</v>
      </c>
      <c r="F9609">
        <v>9.5100000000000004E-2</v>
      </c>
    </row>
    <row r="9610" spans="1:6" x14ac:dyDescent="0.3">
      <c r="A9610" t="s">
        <v>9645</v>
      </c>
      <c r="B9610" t="s">
        <v>24</v>
      </c>
      <c r="C9610">
        <v>167000</v>
      </c>
      <c r="D9610">
        <v>535.79999999999995</v>
      </c>
      <c r="E9610">
        <v>2.4199999999999999E-2</v>
      </c>
      <c r="F9610">
        <v>0.3301</v>
      </c>
    </row>
    <row r="9611" spans="1:6" x14ac:dyDescent="0.3">
      <c r="A9611" t="s">
        <v>9646</v>
      </c>
      <c r="B9611" t="s">
        <v>50</v>
      </c>
      <c r="C9611">
        <v>467000</v>
      </c>
      <c r="D9611">
        <v>181229.4</v>
      </c>
      <c r="E9611">
        <v>6.0499999999999998E-2</v>
      </c>
      <c r="F9611">
        <v>7.5899999999999995E-2</v>
      </c>
    </row>
    <row r="9612" spans="1:6" x14ac:dyDescent="0.3">
      <c r="A9612" t="s">
        <v>9647</v>
      </c>
      <c r="B9612" t="s">
        <v>30</v>
      </c>
      <c r="C9612">
        <v>159000</v>
      </c>
      <c r="D9612">
        <v>10348.1</v>
      </c>
      <c r="E9612">
        <v>3.5099999999999999E-2</v>
      </c>
      <c r="F9612">
        <v>7.5899999999999995E-2</v>
      </c>
    </row>
    <row r="9613" spans="1:6" x14ac:dyDescent="0.3">
      <c r="A9613" t="s">
        <v>9648</v>
      </c>
      <c r="B9613" t="s">
        <v>92</v>
      </c>
      <c r="C9613">
        <v>159000</v>
      </c>
      <c r="D9613">
        <v>1247.5999999999999</v>
      </c>
      <c r="E9613">
        <v>9.7000000000000003E-3</v>
      </c>
      <c r="F9613">
        <v>0.18859999999999999</v>
      </c>
    </row>
    <row r="9614" spans="1:6" x14ac:dyDescent="0.3">
      <c r="A9614" t="s">
        <v>9649</v>
      </c>
      <c r="B9614" t="s">
        <v>214</v>
      </c>
      <c r="C9614">
        <v>201000</v>
      </c>
      <c r="D9614">
        <v>34495.199999999997</v>
      </c>
      <c r="E9614">
        <v>5.9499999999999997E-2</v>
      </c>
      <c r="F9614">
        <v>4.3200000000000002E-2</v>
      </c>
    </row>
    <row r="9615" spans="1:6" x14ac:dyDescent="0.3">
      <c r="A9615" t="s">
        <v>9650</v>
      </c>
      <c r="B9615" t="s">
        <v>41</v>
      </c>
      <c r="C9615">
        <v>624000</v>
      </c>
      <c r="D9615">
        <v>49460.6</v>
      </c>
      <c r="E9615">
        <v>2.8000000000000001E-2</v>
      </c>
      <c r="F9615">
        <v>7.5899999999999995E-2</v>
      </c>
    </row>
    <row r="9616" spans="1:6" x14ac:dyDescent="0.3">
      <c r="A9616" t="s">
        <v>9651</v>
      </c>
      <c r="B9616" t="s">
        <v>81</v>
      </c>
      <c r="C9616">
        <v>155000</v>
      </c>
      <c r="D9616">
        <v>2057.8000000000002</v>
      </c>
      <c r="E9616">
        <v>6.7400000000000002E-2</v>
      </c>
      <c r="F9616">
        <v>9.5100000000000004E-2</v>
      </c>
    </row>
    <row r="9617" spans="1:6" x14ac:dyDescent="0.3">
      <c r="A9617" t="s">
        <v>9652</v>
      </c>
      <c r="B9617" t="s">
        <v>62</v>
      </c>
      <c r="C9617">
        <v>155000</v>
      </c>
      <c r="D9617">
        <v>533.79999999999995</v>
      </c>
      <c r="E9617">
        <v>8.0000000000000002E-3</v>
      </c>
      <c r="F9617">
        <v>8.2199999999999995E-2</v>
      </c>
    </row>
    <row r="9618" spans="1:6" x14ac:dyDescent="0.3">
      <c r="A9618" t="s">
        <v>9653</v>
      </c>
      <c r="B9618" t="s">
        <v>26</v>
      </c>
      <c r="C9618">
        <v>168000</v>
      </c>
      <c r="D9618">
        <v>1329</v>
      </c>
      <c r="F9618">
        <v>5.1799999999999999E-2</v>
      </c>
    </row>
    <row r="9619" spans="1:6" x14ac:dyDescent="0.3">
      <c r="A9619" t="s">
        <v>9654</v>
      </c>
      <c r="B9619" t="s">
        <v>26</v>
      </c>
      <c r="C9619">
        <v>166000</v>
      </c>
      <c r="D9619">
        <v>304794.90000000002</v>
      </c>
      <c r="E9619">
        <v>1.8599999999999998E-2</v>
      </c>
      <c r="F9619">
        <v>5.8500000000000003E-2</v>
      </c>
    </row>
    <row r="9620" spans="1:6" x14ac:dyDescent="0.3">
      <c r="A9620" t="s">
        <v>9655</v>
      </c>
      <c r="B9620" t="s">
        <v>214</v>
      </c>
      <c r="C9620">
        <v>178000</v>
      </c>
      <c r="D9620">
        <v>8239.2999999999993</v>
      </c>
      <c r="E9620">
        <v>1.38E-2</v>
      </c>
      <c r="F9620">
        <v>5.8500000000000003E-2</v>
      </c>
    </row>
    <row r="9621" spans="1:6" x14ac:dyDescent="0.3">
      <c r="A9621" t="s">
        <v>9656</v>
      </c>
      <c r="B9621" t="s">
        <v>53</v>
      </c>
      <c r="C9621">
        <v>206000</v>
      </c>
      <c r="D9621">
        <v>5662.1</v>
      </c>
      <c r="E9621">
        <v>6.9900000000000004E-2</v>
      </c>
      <c r="F9621">
        <v>9.3799999999999994E-2</v>
      </c>
    </row>
    <row r="9622" spans="1:6" x14ac:dyDescent="0.3">
      <c r="A9622" t="s">
        <v>9657</v>
      </c>
      <c r="B9622" t="s">
        <v>26</v>
      </c>
      <c r="C9622">
        <v>183000</v>
      </c>
      <c r="D9622">
        <v>4775.7</v>
      </c>
      <c r="E9622">
        <v>1.6500000000000001E-2</v>
      </c>
      <c r="F9622">
        <v>5.8500000000000003E-2</v>
      </c>
    </row>
    <row r="9623" spans="1:6" x14ac:dyDescent="0.3">
      <c r="A9623" t="s">
        <v>9658</v>
      </c>
      <c r="B9623" t="s">
        <v>88</v>
      </c>
      <c r="C9623">
        <v>163000</v>
      </c>
      <c r="D9623">
        <v>195.6</v>
      </c>
      <c r="E9623">
        <v>1.7500000000000002E-2</v>
      </c>
      <c r="F9623">
        <v>8.5400000000000004E-2</v>
      </c>
    </row>
    <row r="9624" spans="1:6" x14ac:dyDescent="0.3">
      <c r="A9624" t="s">
        <v>9659</v>
      </c>
      <c r="B9624" t="s">
        <v>214</v>
      </c>
      <c r="C9624">
        <v>222000</v>
      </c>
      <c r="D9624">
        <v>7131.2</v>
      </c>
      <c r="E9624">
        <v>4.7600000000000003E-2</v>
      </c>
      <c r="F9624">
        <v>7.5899999999999995E-2</v>
      </c>
    </row>
    <row r="9625" spans="1:6" x14ac:dyDescent="0.3">
      <c r="A9625" t="s">
        <v>9660</v>
      </c>
      <c r="B9625" t="s">
        <v>92</v>
      </c>
      <c r="C9625">
        <v>171000</v>
      </c>
      <c r="D9625">
        <v>3183.4</v>
      </c>
      <c r="E9625">
        <v>2.7900000000000001E-2</v>
      </c>
      <c r="F9625">
        <v>9.5100000000000004E-2</v>
      </c>
    </row>
    <row r="9626" spans="1:6" x14ac:dyDescent="0.3">
      <c r="A9626" t="s">
        <v>9661</v>
      </c>
      <c r="B9626" t="s">
        <v>81</v>
      </c>
      <c r="C9626">
        <v>154000</v>
      </c>
      <c r="D9626">
        <v>5547.9</v>
      </c>
      <c r="E9626">
        <v>6.7599999999999993E-2</v>
      </c>
      <c r="F9626">
        <v>9.5100000000000004E-2</v>
      </c>
    </row>
    <row r="9627" spans="1:6" x14ac:dyDescent="0.3">
      <c r="A9627" t="s">
        <v>9662</v>
      </c>
      <c r="B9627" t="s">
        <v>88</v>
      </c>
      <c r="C9627">
        <v>444000</v>
      </c>
      <c r="D9627">
        <v>297.7</v>
      </c>
      <c r="E9627">
        <v>4.6199999999999998E-2</v>
      </c>
      <c r="F9627">
        <v>0.1226</v>
      </c>
    </row>
    <row r="9628" spans="1:6" x14ac:dyDescent="0.3">
      <c r="A9628" t="s">
        <v>9663</v>
      </c>
      <c r="B9628" t="s">
        <v>26</v>
      </c>
      <c r="C9628">
        <v>153000</v>
      </c>
      <c r="D9628">
        <v>8195.6</v>
      </c>
      <c r="E9628">
        <v>7.7100000000000002E-2</v>
      </c>
      <c r="F9628">
        <v>9.5100000000000004E-2</v>
      </c>
    </row>
    <row r="9629" spans="1:6" x14ac:dyDescent="0.3">
      <c r="A9629" t="s">
        <v>9664</v>
      </c>
      <c r="B9629" t="s">
        <v>92</v>
      </c>
      <c r="C9629">
        <v>158000</v>
      </c>
      <c r="D9629">
        <v>729.6</v>
      </c>
      <c r="E9629">
        <v>1.11E-2</v>
      </c>
      <c r="F9629">
        <v>0.13270000000000001</v>
      </c>
    </row>
    <row r="9630" spans="1:6" x14ac:dyDescent="0.3">
      <c r="A9630" t="s">
        <v>9665</v>
      </c>
      <c r="B9630" t="s">
        <v>26</v>
      </c>
      <c r="C9630">
        <v>187000</v>
      </c>
      <c r="D9630">
        <v>7242.3</v>
      </c>
      <c r="E9630">
        <v>2.5899999999999999E-2</v>
      </c>
      <c r="F9630">
        <v>7.5899999999999995E-2</v>
      </c>
    </row>
    <row r="9631" spans="1:6" x14ac:dyDescent="0.3">
      <c r="A9631" t="s">
        <v>9666</v>
      </c>
      <c r="B9631" t="s">
        <v>81</v>
      </c>
      <c r="C9631">
        <v>161000</v>
      </c>
      <c r="D9631">
        <v>4726.5</v>
      </c>
      <c r="E9631">
        <v>1.47E-2</v>
      </c>
      <c r="F9631">
        <v>0.16170000000000001</v>
      </c>
    </row>
    <row r="9632" spans="1:6" x14ac:dyDescent="0.3">
      <c r="A9632" t="s">
        <v>9667</v>
      </c>
      <c r="B9632" t="s">
        <v>62</v>
      </c>
      <c r="C9632">
        <v>234000</v>
      </c>
      <c r="D9632">
        <v>14.5</v>
      </c>
      <c r="E9632">
        <v>9.5999999999999992E-3</v>
      </c>
      <c r="F9632">
        <v>0.27129999999999999</v>
      </c>
    </row>
    <row r="9633" spans="1:6" x14ac:dyDescent="0.3">
      <c r="A9633" t="s">
        <v>9668</v>
      </c>
      <c r="B9633" t="s">
        <v>26</v>
      </c>
      <c r="C9633">
        <v>157000</v>
      </c>
      <c r="D9633">
        <v>960</v>
      </c>
      <c r="E9633">
        <v>5.8999999999999999E-3</v>
      </c>
      <c r="F9633">
        <v>0.2072</v>
      </c>
    </row>
    <row r="9634" spans="1:6" x14ac:dyDescent="0.3">
      <c r="A9634" t="s">
        <v>9669</v>
      </c>
      <c r="B9634" t="s">
        <v>26</v>
      </c>
      <c r="C9634">
        <v>180000</v>
      </c>
      <c r="D9634">
        <v>33497.4</v>
      </c>
      <c r="E9634">
        <v>1.06E-2</v>
      </c>
      <c r="F9634">
        <v>8.2199999999999995E-2</v>
      </c>
    </row>
    <row r="9635" spans="1:6" x14ac:dyDescent="0.3">
      <c r="A9635" t="s">
        <v>9670</v>
      </c>
      <c r="B9635" t="s">
        <v>41</v>
      </c>
      <c r="C9635">
        <v>157000</v>
      </c>
      <c r="D9635">
        <v>208.6</v>
      </c>
      <c r="E9635">
        <v>2.8799999999999999E-2</v>
      </c>
      <c r="F9635">
        <v>6.4399999999999999E-2</v>
      </c>
    </row>
    <row r="9636" spans="1:6" x14ac:dyDescent="0.3">
      <c r="A9636" t="s">
        <v>9671</v>
      </c>
      <c r="B9636" t="s">
        <v>26</v>
      </c>
      <c r="C9636">
        <v>185000</v>
      </c>
      <c r="D9636">
        <v>138993.79999999999</v>
      </c>
      <c r="E9636">
        <v>2.8000000000000001E-2</v>
      </c>
      <c r="F9636">
        <v>5.1799999999999999E-2</v>
      </c>
    </row>
    <row r="9637" spans="1:6" x14ac:dyDescent="0.3">
      <c r="A9637" t="s">
        <v>9672</v>
      </c>
      <c r="B9637" t="s">
        <v>41</v>
      </c>
      <c r="C9637">
        <v>162000</v>
      </c>
      <c r="D9637">
        <v>289.39999999999998</v>
      </c>
      <c r="E9637">
        <v>3.2300000000000002E-2</v>
      </c>
      <c r="F9637">
        <v>0.12429999999999999</v>
      </c>
    </row>
    <row r="9638" spans="1:6" x14ac:dyDescent="0.3">
      <c r="A9638" t="s">
        <v>9673</v>
      </c>
      <c r="B9638" t="s">
        <v>26</v>
      </c>
      <c r="C9638">
        <v>163000</v>
      </c>
      <c r="D9638">
        <v>1251.4000000000001</v>
      </c>
      <c r="E9638">
        <v>1.0699999999999999E-2</v>
      </c>
      <c r="F9638">
        <v>0.1953</v>
      </c>
    </row>
    <row r="9639" spans="1:6" x14ac:dyDescent="0.3">
      <c r="A9639" t="s">
        <v>9674</v>
      </c>
      <c r="B9639" t="s">
        <v>24</v>
      </c>
      <c r="C9639">
        <v>308000</v>
      </c>
      <c r="D9639">
        <v>5410</v>
      </c>
      <c r="E9639">
        <v>4.5600000000000002E-2</v>
      </c>
      <c r="F9639">
        <v>0.11840000000000001</v>
      </c>
    </row>
    <row r="9640" spans="1:6" x14ac:dyDescent="0.3">
      <c r="A9640" t="s">
        <v>9675</v>
      </c>
      <c r="B9640" t="s">
        <v>26</v>
      </c>
      <c r="C9640">
        <v>282000</v>
      </c>
      <c r="D9640">
        <v>13863.4</v>
      </c>
      <c r="E9640">
        <v>7.3800000000000004E-2</v>
      </c>
      <c r="F9640">
        <v>7.5899999999999995E-2</v>
      </c>
    </row>
    <row r="9641" spans="1:6" x14ac:dyDescent="0.3">
      <c r="A9641" t="s">
        <v>9676</v>
      </c>
      <c r="B9641" t="s">
        <v>88</v>
      </c>
      <c r="C9641">
        <v>155000</v>
      </c>
      <c r="D9641">
        <v>359.6</v>
      </c>
      <c r="E9641">
        <v>1.7299999999999999E-2</v>
      </c>
      <c r="F9641">
        <v>0.22939999999999999</v>
      </c>
    </row>
    <row r="9642" spans="1:6" x14ac:dyDescent="0.3">
      <c r="A9642" t="s">
        <v>9677</v>
      </c>
      <c r="B9642" t="s">
        <v>26</v>
      </c>
      <c r="C9642">
        <v>200000</v>
      </c>
      <c r="D9642">
        <v>748.9</v>
      </c>
      <c r="E9642">
        <v>1.37E-2</v>
      </c>
      <c r="F9642">
        <v>0.28910000000000002</v>
      </c>
    </row>
    <row r="9643" spans="1:6" x14ac:dyDescent="0.3">
      <c r="A9643" t="s">
        <v>9678</v>
      </c>
      <c r="B9643" t="s">
        <v>81</v>
      </c>
      <c r="C9643">
        <v>156000</v>
      </c>
      <c r="D9643">
        <v>1460.5</v>
      </c>
      <c r="E9643">
        <v>1.35E-2</v>
      </c>
      <c r="F9643">
        <v>0.1067</v>
      </c>
    </row>
    <row r="9644" spans="1:6" x14ac:dyDescent="0.3">
      <c r="A9644" t="s">
        <v>9679</v>
      </c>
      <c r="B9644" t="s">
        <v>26</v>
      </c>
      <c r="C9644">
        <v>175000</v>
      </c>
      <c r="D9644">
        <v>5978.7</v>
      </c>
      <c r="E9644">
        <v>3.8199999999999998E-2</v>
      </c>
      <c r="F9644">
        <v>7.5899999999999995E-2</v>
      </c>
    </row>
    <row r="9645" spans="1:6" x14ac:dyDescent="0.3">
      <c r="A9645" t="s">
        <v>9680</v>
      </c>
      <c r="B9645" t="s">
        <v>214</v>
      </c>
      <c r="C9645">
        <v>330000</v>
      </c>
      <c r="D9645">
        <v>4747.5</v>
      </c>
      <c r="E9645">
        <v>1.1299999999999999E-2</v>
      </c>
      <c r="F9645">
        <v>6.54E-2</v>
      </c>
    </row>
    <row r="9646" spans="1:6" x14ac:dyDescent="0.3">
      <c r="A9646" t="s">
        <v>9681</v>
      </c>
      <c r="B9646" t="s">
        <v>81</v>
      </c>
      <c r="C9646">
        <v>157000</v>
      </c>
      <c r="D9646">
        <v>2167.4</v>
      </c>
      <c r="E9646">
        <v>2.29E-2</v>
      </c>
      <c r="F9646">
        <v>5.1799999999999999E-2</v>
      </c>
    </row>
    <row r="9647" spans="1:6" x14ac:dyDescent="0.3">
      <c r="A9647" t="s">
        <v>9682</v>
      </c>
      <c r="B9647" t="s">
        <v>50</v>
      </c>
      <c r="C9647">
        <v>163000</v>
      </c>
      <c r="D9647">
        <v>2455</v>
      </c>
      <c r="E9647">
        <v>2.6100000000000002E-2</v>
      </c>
      <c r="F9647">
        <v>0.13869999999999999</v>
      </c>
    </row>
    <row r="9648" spans="1:6" x14ac:dyDescent="0.3">
      <c r="A9648" t="s">
        <v>9683</v>
      </c>
      <c r="B9648" t="s">
        <v>26</v>
      </c>
      <c r="C9648">
        <v>172000</v>
      </c>
      <c r="D9648">
        <v>118.8</v>
      </c>
      <c r="E9648">
        <v>4.1700000000000001E-2</v>
      </c>
      <c r="F9648">
        <v>0.11700000000000001</v>
      </c>
    </row>
    <row r="9649" spans="1:6" x14ac:dyDescent="0.3">
      <c r="A9649" t="s">
        <v>9684</v>
      </c>
      <c r="B9649" t="s">
        <v>88</v>
      </c>
      <c r="C9649">
        <v>177000</v>
      </c>
      <c r="D9649">
        <v>538.9</v>
      </c>
      <c r="E9649">
        <v>1.3299999999999999E-2</v>
      </c>
      <c r="F9649">
        <v>0.18859999999999999</v>
      </c>
    </row>
    <row r="9650" spans="1:6" x14ac:dyDescent="0.3">
      <c r="A9650" t="s">
        <v>9685</v>
      </c>
      <c r="B9650" t="s">
        <v>88</v>
      </c>
      <c r="C9650">
        <v>235000</v>
      </c>
      <c r="D9650">
        <v>1994.7</v>
      </c>
      <c r="E9650">
        <v>6.6500000000000004E-2</v>
      </c>
      <c r="F9650">
        <v>9.3799999999999994E-2</v>
      </c>
    </row>
    <row r="9651" spans="1:6" x14ac:dyDescent="0.3">
      <c r="A9651" t="s">
        <v>9686</v>
      </c>
      <c r="B9651" t="s">
        <v>74</v>
      </c>
      <c r="C9651">
        <v>375000</v>
      </c>
      <c r="D9651">
        <v>25094.1</v>
      </c>
      <c r="E9651">
        <v>5.8999999999999997E-2</v>
      </c>
      <c r="F9651">
        <v>9.3799999999999994E-2</v>
      </c>
    </row>
    <row r="9652" spans="1:6" x14ac:dyDescent="0.3">
      <c r="A9652" t="s">
        <v>9687</v>
      </c>
      <c r="B9652" t="s">
        <v>26</v>
      </c>
      <c r="C9652">
        <v>185000</v>
      </c>
      <c r="D9652">
        <v>7376.9</v>
      </c>
      <c r="E9652">
        <v>5.3900000000000003E-2</v>
      </c>
      <c r="F9652">
        <v>9.5100000000000004E-2</v>
      </c>
    </row>
    <row r="9653" spans="1:6" x14ac:dyDescent="0.3">
      <c r="A9653" t="s">
        <v>9688</v>
      </c>
      <c r="B9653" t="s">
        <v>71</v>
      </c>
      <c r="C9653">
        <v>159000</v>
      </c>
      <c r="D9653">
        <v>210.2</v>
      </c>
      <c r="E9653">
        <v>0.1153</v>
      </c>
      <c r="F9653">
        <v>9.5100000000000004E-2</v>
      </c>
    </row>
    <row r="9654" spans="1:6" x14ac:dyDescent="0.3">
      <c r="A9654" t="s">
        <v>9689</v>
      </c>
      <c r="B9654" t="s">
        <v>26</v>
      </c>
      <c r="C9654">
        <v>180000</v>
      </c>
      <c r="D9654">
        <v>45493.1</v>
      </c>
      <c r="E9654">
        <v>0.11119999999999999</v>
      </c>
      <c r="F9654">
        <v>7.5899999999999995E-2</v>
      </c>
    </row>
    <row r="9655" spans="1:6" x14ac:dyDescent="0.3">
      <c r="A9655" t="s">
        <v>9690</v>
      </c>
      <c r="B9655" t="s">
        <v>26</v>
      </c>
      <c r="C9655">
        <v>163000</v>
      </c>
      <c r="D9655">
        <v>6865.8</v>
      </c>
      <c r="E9655">
        <v>1.3599999999999999E-2</v>
      </c>
      <c r="F9655">
        <v>0.1067</v>
      </c>
    </row>
    <row r="9656" spans="1:6" x14ac:dyDescent="0.3">
      <c r="A9656" t="s">
        <v>9691</v>
      </c>
      <c r="B9656" t="s">
        <v>24</v>
      </c>
      <c r="C9656">
        <v>735000</v>
      </c>
      <c r="D9656">
        <v>381046.9</v>
      </c>
      <c r="E9656">
        <v>2.46E-2</v>
      </c>
      <c r="F9656">
        <v>4.0899999999999999E-2</v>
      </c>
    </row>
    <row r="9657" spans="1:6" x14ac:dyDescent="0.3">
      <c r="A9657" t="s">
        <v>9692</v>
      </c>
      <c r="B9657" t="s">
        <v>24</v>
      </c>
      <c r="C9657">
        <v>235000</v>
      </c>
      <c r="D9657">
        <v>1266.9000000000001</v>
      </c>
      <c r="F9657">
        <v>7.5899999999999995E-2</v>
      </c>
    </row>
    <row r="9658" spans="1:6" x14ac:dyDescent="0.3">
      <c r="A9658" t="s">
        <v>9693</v>
      </c>
      <c r="B9658" t="s">
        <v>214</v>
      </c>
      <c r="C9658">
        <v>151000</v>
      </c>
      <c r="D9658">
        <v>5291.1</v>
      </c>
      <c r="E9658">
        <v>8.2600000000000007E-2</v>
      </c>
      <c r="F9658">
        <v>9.5100000000000004E-2</v>
      </c>
    </row>
    <row r="9659" spans="1:6" x14ac:dyDescent="0.3">
      <c r="A9659" t="s">
        <v>9694</v>
      </c>
      <c r="B9659" t="s">
        <v>26</v>
      </c>
      <c r="C9659">
        <v>257000</v>
      </c>
      <c r="D9659">
        <v>128565.4</v>
      </c>
      <c r="E9659">
        <v>4.82E-2</v>
      </c>
      <c r="F9659">
        <v>5.1799999999999999E-2</v>
      </c>
    </row>
    <row r="9660" spans="1:6" x14ac:dyDescent="0.3">
      <c r="A9660" t="s">
        <v>9695</v>
      </c>
      <c r="B9660" t="s">
        <v>26</v>
      </c>
      <c r="C9660">
        <v>171000</v>
      </c>
      <c r="D9660">
        <v>55362.7</v>
      </c>
      <c r="E9660">
        <v>2.4199999999999999E-2</v>
      </c>
      <c r="F9660">
        <v>7.5899999999999995E-2</v>
      </c>
    </row>
    <row r="9661" spans="1:6" x14ac:dyDescent="0.3">
      <c r="A9661" t="s">
        <v>9696</v>
      </c>
      <c r="B9661" t="s">
        <v>88</v>
      </c>
      <c r="C9661">
        <v>221000</v>
      </c>
      <c r="D9661">
        <v>366.1</v>
      </c>
      <c r="E9661">
        <v>4.1399999999999999E-2</v>
      </c>
      <c r="F9661">
        <v>7.5899999999999995E-2</v>
      </c>
    </row>
    <row r="9662" spans="1:6" x14ac:dyDescent="0.3">
      <c r="A9662" t="s">
        <v>9697</v>
      </c>
      <c r="B9662" t="s">
        <v>50</v>
      </c>
      <c r="C9662">
        <v>187000</v>
      </c>
      <c r="D9662">
        <v>51263.199999999997</v>
      </c>
      <c r="E9662">
        <v>5.91E-2</v>
      </c>
      <c r="F9662">
        <v>7.5899999999999995E-2</v>
      </c>
    </row>
    <row r="9663" spans="1:6" x14ac:dyDescent="0.3">
      <c r="A9663" t="s">
        <v>9698</v>
      </c>
      <c r="B9663" t="s">
        <v>287</v>
      </c>
      <c r="C9663">
        <v>285000</v>
      </c>
      <c r="D9663">
        <v>9487.6</v>
      </c>
      <c r="E9663">
        <v>3.5099999999999999E-2</v>
      </c>
      <c r="F9663">
        <v>5.0999999999999997E-2</v>
      </c>
    </row>
    <row r="9664" spans="1:6" x14ac:dyDescent="0.3">
      <c r="A9664" t="s">
        <v>9699</v>
      </c>
      <c r="B9664" t="s">
        <v>24</v>
      </c>
      <c r="C9664">
        <v>301000</v>
      </c>
      <c r="D9664">
        <v>304592.90000000002</v>
      </c>
      <c r="E9664">
        <v>3.61E-2</v>
      </c>
      <c r="F9664">
        <v>4.3200000000000002E-2</v>
      </c>
    </row>
    <row r="9665" spans="1:6" x14ac:dyDescent="0.3">
      <c r="A9665" t="s">
        <v>9700</v>
      </c>
      <c r="B9665" t="s">
        <v>214</v>
      </c>
      <c r="C9665">
        <v>409000</v>
      </c>
      <c r="D9665">
        <v>29774.9</v>
      </c>
      <c r="E9665">
        <v>7.1000000000000004E-3</v>
      </c>
      <c r="F9665">
        <v>6.54E-2</v>
      </c>
    </row>
    <row r="9666" spans="1:6" x14ac:dyDescent="0.3">
      <c r="A9666" t="s">
        <v>9701</v>
      </c>
      <c r="B9666" t="s">
        <v>50</v>
      </c>
      <c r="C9666">
        <v>410000</v>
      </c>
      <c r="D9666">
        <v>58840</v>
      </c>
      <c r="E9666">
        <v>1.52E-2</v>
      </c>
      <c r="F9666">
        <v>4.6199999999999998E-2</v>
      </c>
    </row>
    <row r="9667" spans="1:6" x14ac:dyDescent="0.3">
      <c r="A9667" t="s">
        <v>9702</v>
      </c>
      <c r="B9667" t="s">
        <v>32</v>
      </c>
      <c r="C9667">
        <v>214000</v>
      </c>
      <c r="D9667">
        <v>4544.2</v>
      </c>
      <c r="E9667">
        <v>1.52E-2</v>
      </c>
      <c r="F9667">
        <v>9.5600000000000004E-2</v>
      </c>
    </row>
    <row r="9668" spans="1:6" x14ac:dyDescent="0.3">
      <c r="A9668" t="s">
        <v>9703</v>
      </c>
      <c r="B9668" t="s">
        <v>26</v>
      </c>
      <c r="C9668">
        <v>172000</v>
      </c>
      <c r="D9668">
        <v>10879</v>
      </c>
      <c r="E9668">
        <v>3.5999999999999997E-2</v>
      </c>
      <c r="F9668">
        <v>9.5100000000000004E-2</v>
      </c>
    </row>
    <row r="9669" spans="1:6" x14ac:dyDescent="0.3">
      <c r="A9669" t="s">
        <v>9704</v>
      </c>
      <c r="B9669" t="s">
        <v>88</v>
      </c>
      <c r="C9669">
        <v>282000</v>
      </c>
      <c r="D9669">
        <v>5191.1000000000004</v>
      </c>
      <c r="E9669">
        <v>4.36E-2</v>
      </c>
      <c r="F9669">
        <v>4.0899999999999999E-2</v>
      </c>
    </row>
    <row r="9670" spans="1:6" x14ac:dyDescent="0.3">
      <c r="A9670" t="s">
        <v>9705</v>
      </c>
      <c r="B9670" t="s">
        <v>26</v>
      </c>
      <c r="C9670">
        <v>151000</v>
      </c>
      <c r="D9670">
        <v>6036.1</v>
      </c>
      <c r="E9670">
        <v>5.4699999999999999E-2</v>
      </c>
      <c r="F9670">
        <v>9.5100000000000004E-2</v>
      </c>
    </row>
    <row r="9671" spans="1:6" x14ac:dyDescent="0.3">
      <c r="A9671" t="s">
        <v>9706</v>
      </c>
      <c r="B9671" t="s">
        <v>214</v>
      </c>
      <c r="C9671">
        <v>184000</v>
      </c>
      <c r="D9671">
        <v>214564</v>
      </c>
      <c r="E9671">
        <v>3.5900000000000001E-2</v>
      </c>
      <c r="F9671">
        <v>8.4500000000000006E-2</v>
      </c>
    </row>
    <row r="9672" spans="1:6" x14ac:dyDescent="0.3">
      <c r="A9672" t="s">
        <v>9707</v>
      </c>
      <c r="B9672" t="s">
        <v>41</v>
      </c>
      <c r="C9672">
        <v>170000</v>
      </c>
      <c r="D9672">
        <v>6477.1</v>
      </c>
      <c r="E9672">
        <v>3.5000000000000003E-2</v>
      </c>
      <c r="F9672">
        <v>4.0899999999999999E-2</v>
      </c>
    </row>
    <row r="9673" spans="1:6" x14ac:dyDescent="0.3">
      <c r="A9673" t="s">
        <v>9708</v>
      </c>
      <c r="B9673" t="s">
        <v>92</v>
      </c>
      <c r="C9673">
        <v>235000</v>
      </c>
      <c r="D9673">
        <v>11637.8</v>
      </c>
      <c r="E9673">
        <v>3.5499999999999997E-2</v>
      </c>
      <c r="F9673">
        <v>7.5899999999999995E-2</v>
      </c>
    </row>
    <row r="9674" spans="1:6" x14ac:dyDescent="0.3">
      <c r="A9674" t="s">
        <v>9709</v>
      </c>
      <c r="B9674" t="s">
        <v>81</v>
      </c>
      <c r="C9674">
        <v>154000</v>
      </c>
      <c r="D9674">
        <v>63172.9</v>
      </c>
      <c r="E9674">
        <v>1.34E-2</v>
      </c>
      <c r="F9674">
        <v>9.5000000000000001E-2</v>
      </c>
    </row>
    <row r="9675" spans="1:6" x14ac:dyDescent="0.3">
      <c r="A9675" t="s">
        <v>9710</v>
      </c>
      <c r="B9675" t="s">
        <v>88</v>
      </c>
      <c r="C9675">
        <v>215000</v>
      </c>
      <c r="D9675">
        <v>11884.5</v>
      </c>
      <c r="E9675">
        <v>1.6400000000000001E-2</v>
      </c>
      <c r="F9675">
        <v>4.6600000000000003E-2</v>
      </c>
    </row>
    <row r="9676" spans="1:6" x14ac:dyDescent="0.3">
      <c r="A9676" t="s">
        <v>9711</v>
      </c>
      <c r="B9676" t="s">
        <v>71</v>
      </c>
      <c r="C9676">
        <v>157000</v>
      </c>
      <c r="D9676">
        <v>3203.7</v>
      </c>
      <c r="E9676">
        <v>9.1000000000000004E-3</v>
      </c>
      <c r="F9676">
        <v>6.54E-2</v>
      </c>
    </row>
    <row r="9677" spans="1:6" x14ac:dyDescent="0.3">
      <c r="A9677" t="s">
        <v>9712</v>
      </c>
      <c r="B9677" t="s">
        <v>26</v>
      </c>
      <c r="C9677">
        <v>179000</v>
      </c>
      <c r="D9677">
        <v>4913.5</v>
      </c>
      <c r="E9677">
        <v>1.9900000000000001E-2</v>
      </c>
      <c r="F9677">
        <v>0.15429999999999999</v>
      </c>
    </row>
    <row r="9678" spans="1:6" x14ac:dyDescent="0.3">
      <c r="A9678" t="s">
        <v>9713</v>
      </c>
      <c r="B9678" t="s">
        <v>74</v>
      </c>
      <c r="C9678">
        <v>148000</v>
      </c>
      <c r="D9678">
        <v>936</v>
      </c>
      <c r="E9678">
        <v>2.9000000000000001E-2</v>
      </c>
      <c r="F9678">
        <v>7.5899999999999995E-2</v>
      </c>
    </row>
    <row r="9679" spans="1:6" x14ac:dyDescent="0.3">
      <c r="A9679" t="s">
        <v>9714</v>
      </c>
      <c r="B9679" t="s">
        <v>41</v>
      </c>
      <c r="C9679">
        <v>183000</v>
      </c>
      <c r="D9679">
        <v>24046.1</v>
      </c>
      <c r="E9679">
        <v>3.6600000000000001E-2</v>
      </c>
      <c r="F9679">
        <v>7.5899999999999995E-2</v>
      </c>
    </row>
    <row r="9680" spans="1:6" x14ac:dyDescent="0.3">
      <c r="A9680" t="s">
        <v>9715</v>
      </c>
      <c r="B9680" t="s">
        <v>26</v>
      </c>
      <c r="C9680">
        <v>170000</v>
      </c>
      <c r="D9680">
        <v>16077.1</v>
      </c>
      <c r="E9680">
        <v>5.0900000000000001E-2</v>
      </c>
      <c r="F9680">
        <v>4.0899999999999999E-2</v>
      </c>
    </row>
    <row r="9681" spans="1:6" x14ac:dyDescent="0.3">
      <c r="A9681" t="s">
        <v>9716</v>
      </c>
      <c r="B9681" t="s">
        <v>32</v>
      </c>
      <c r="C9681">
        <v>181000</v>
      </c>
      <c r="D9681">
        <v>7930.5</v>
      </c>
      <c r="E9681">
        <v>7.3000000000000001E-3</v>
      </c>
      <c r="F9681">
        <v>6.54E-2</v>
      </c>
    </row>
    <row r="9682" spans="1:6" x14ac:dyDescent="0.3">
      <c r="A9682" t="s">
        <v>9717</v>
      </c>
      <c r="B9682" t="s">
        <v>214</v>
      </c>
      <c r="C9682">
        <v>176000</v>
      </c>
      <c r="D9682">
        <v>1837.4</v>
      </c>
      <c r="E9682">
        <v>1.5699999999999999E-2</v>
      </c>
      <c r="F9682">
        <v>4.8800000000000003E-2</v>
      </c>
    </row>
    <row r="9683" spans="1:6" x14ac:dyDescent="0.3">
      <c r="A9683" t="s">
        <v>9718</v>
      </c>
      <c r="B9683" t="s">
        <v>62</v>
      </c>
      <c r="C9683">
        <v>209000</v>
      </c>
      <c r="D9683">
        <v>27709.200000000001</v>
      </c>
      <c r="E9683">
        <v>3.9100000000000003E-2</v>
      </c>
      <c r="F9683">
        <v>7.5899999999999995E-2</v>
      </c>
    </row>
    <row r="9684" spans="1:6" x14ac:dyDescent="0.3">
      <c r="A9684" t="s">
        <v>9719</v>
      </c>
      <c r="B9684" t="s">
        <v>24</v>
      </c>
      <c r="C9684">
        <v>150000</v>
      </c>
      <c r="D9684">
        <v>5266.3</v>
      </c>
      <c r="E9684">
        <v>9.5799999999999996E-2</v>
      </c>
      <c r="F9684">
        <v>9.5100000000000004E-2</v>
      </c>
    </row>
    <row r="9685" spans="1:6" x14ac:dyDescent="0.3">
      <c r="A9685" t="s">
        <v>9720</v>
      </c>
      <c r="B9685" t="s">
        <v>62</v>
      </c>
      <c r="C9685">
        <v>161000</v>
      </c>
      <c r="D9685">
        <v>12301.6</v>
      </c>
      <c r="E9685">
        <v>3.7499999999999999E-2</v>
      </c>
      <c r="F9685">
        <v>7.5899999999999995E-2</v>
      </c>
    </row>
    <row r="9686" spans="1:6" x14ac:dyDescent="0.3">
      <c r="A9686" t="s">
        <v>9721</v>
      </c>
      <c r="B9686" t="s">
        <v>26</v>
      </c>
      <c r="C9686">
        <v>146000</v>
      </c>
      <c r="D9686">
        <v>2784.1</v>
      </c>
      <c r="E9686">
        <v>2.1399999999999999E-2</v>
      </c>
      <c r="F9686">
        <v>0.1067</v>
      </c>
    </row>
    <row r="9687" spans="1:6" x14ac:dyDescent="0.3">
      <c r="A9687" t="s">
        <v>9722</v>
      </c>
      <c r="B9687" t="s">
        <v>195</v>
      </c>
      <c r="C9687">
        <v>173000</v>
      </c>
      <c r="D9687">
        <v>177.6</v>
      </c>
      <c r="E9687">
        <v>2.87E-2</v>
      </c>
      <c r="F9687">
        <v>6.4399999999999999E-2</v>
      </c>
    </row>
    <row r="9688" spans="1:6" x14ac:dyDescent="0.3">
      <c r="A9688" t="s">
        <v>9723</v>
      </c>
      <c r="B9688" t="s">
        <v>88</v>
      </c>
      <c r="C9688">
        <v>152000</v>
      </c>
      <c r="D9688">
        <v>777.8</v>
      </c>
      <c r="E9688">
        <v>1.6899999999999998E-2</v>
      </c>
      <c r="F9688">
        <v>0.13900000000000001</v>
      </c>
    </row>
    <row r="9689" spans="1:6" x14ac:dyDescent="0.3">
      <c r="A9689" t="s">
        <v>9724</v>
      </c>
      <c r="B9689" t="s">
        <v>74</v>
      </c>
      <c r="C9689">
        <v>199000</v>
      </c>
      <c r="D9689">
        <v>3236.3</v>
      </c>
      <c r="E9689">
        <v>3.1800000000000002E-2</v>
      </c>
      <c r="F9689">
        <v>5.0999999999999997E-2</v>
      </c>
    </row>
    <row r="9690" spans="1:6" x14ac:dyDescent="0.3">
      <c r="A9690" t="s">
        <v>9725</v>
      </c>
      <c r="B9690" t="s">
        <v>214</v>
      </c>
      <c r="C9690">
        <v>146000</v>
      </c>
      <c r="D9690">
        <v>9456.5</v>
      </c>
      <c r="F9690">
        <v>5.1799999999999999E-2</v>
      </c>
    </row>
    <row r="9691" spans="1:6" x14ac:dyDescent="0.3">
      <c r="A9691" t="s">
        <v>9726</v>
      </c>
      <c r="B9691" t="s">
        <v>214</v>
      </c>
      <c r="C9691">
        <v>165000</v>
      </c>
      <c r="D9691">
        <v>4263.8</v>
      </c>
      <c r="E9691">
        <v>3.4799999999999998E-2</v>
      </c>
      <c r="F9691">
        <v>0.1241</v>
      </c>
    </row>
    <row r="9692" spans="1:6" x14ac:dyDescent="0.3">
      <c r="A9692" t="s">
        <v>9727</v>
      </c>
      <c r="B9692" t="s">
        <v>26</v>
      </c>
      <c r="C9692">
        <v>229000</v>
      </c>
      <c r="D9692">
        <v>21697.4</v>
      </c>
      <c r="E9692">
        <v>1.23E-2</v>
      </c>
      <c r="F9692">
        <v>5.1999999999999998E-2</v>
      </c>
    </row>
    <row r="9693" spans="1:6" x14ac:dyDescent="0.3">
      <c r="A9693" t="s">
        <v>9728</v>
      </c>
      <c r="B9693" t="s">
        <v>41</v>
      </c>
      <c r="C9693">
        <v>186000</v>
      </c>
      <c r="D9693">
        <v>290.7</v>
      </c>
      <c r="E9693">
        <v>8.0999999999999996E-3</v>
      </c>
      <c r="F9693">
        <v>0.18659999999999999</v>
      </c>
    </row>
    <row r="9694" spans="1:6" x14ac:dyDescent="0.3">
      <c r="A9694" t="s">
        <v>9729</v>
      </c>
      <c r="B9694" t="s">
        <v>26</v>
      </c>
      <c r="C9694">
        <v>325000</v>
      </c>
      <c r="D9694">
        <v>9077.9</v>
      </c>
      <c r="E9694">
        <v>2.9399999999999999E-2</v>
      </c>
      <c r="F9694">
        <v>7.5899999999999995E-2</v>
      </c>
    </row>
    <row r="9695" spans="1:6" x14ac:dyDescent="0.3">
      <c r="A9695" t="s">
        <v>9730</v>
      </c>
      <c r="B9695" t="s">
        <v>26</v>
      </c>
      <c r="C9695">
        <v>242000</v>
      </c>
      <c r="D9695">
        <v>5208.3</v>
      </c>
      <c r="E9695">
        <v>1.8499999999999999E-2</v>
      </c>
      <c r="F9695">
        <v>6.1600000000000002E-2</v>
      </c>
    </row>
    <row r="9696" spans="1:6" x14ac:dyDescent="0.3">
      <c r="A9696" t="s">
        <v>9731</v>
      </c>
      <c r="B9696" t="s">
        <v>53</v>
      </c>
      <c r="C9696">
        <v>153000</v>
      </c>
      <c r="D9696">
        <v>1699.3</v>
      </c>
      <c r="E9696">
        <v>1.37E-2</v>
      </c>
      <c r="F9696">
        <v>7.3599999999999999E-2</v>
      </c>
    </row>
    <row r="9697" spans="1:6" x14ac:dyDescent="0.3">
      <c r="A9697" t="s">
        <v>9732</v>
      </c>
      <c r="B9697" t="s">
        <v>88</v>
      </c>
      <c r="C9697">
        <v>160000</v>
      </c>
      <c r="D9697">
        <v>6915.3</v>
      </c>
      <c r="E9697">
        <v>4.7999999999999996E-3</v>
      </c>
      <c r="F9697">
        <v>0.10150000000000001</v>
      </c>
    </row>
    <row r="9698" spans="1:6" x14ac:dyDescent="0.3">
      <c r="A9698" t="s">
        <v>9733</v>
      </c>
      <c r="B9698" t="s">
        <v>74</v>
      </c>
      <c r="C9698">
        <v>423000</v>
      </c>
      <c r="D9698">
        <v>1781.7</v>
      </c>
      <c r="E9698">
        <v>3.7999999999999999E-2</v>
      </c>
      <c r="F9698">
        <v>5.0999999999999997E-2</v>
      </c>
    </row>
    <row r="9699" spans="1:6" x14ac:dyDescent="0.3">
      <c r="A9699" t="s">
        <v>9734</v>
      </c>
      <c r="B9699" t="s">
        <v>88</v>
      </c>
      <c r="C9699">
        <v>181000</v>
      </c>
      <c r="D9699">
        <v>1516</v>
      </c>
      <c r="E9699">
        <v>4.1599999999999998E-2</v>
      </c>
      <c r="F9699">
        <v>9.5100000000000004E-2</v>
      </c>
    </row>
    <row r="9700" spans="1:6" x14ac:dyDescent="0.3">
      <c r="A9700" t="s">
        <v>9735</v>
      </c>
      <c r="B9700" t="s">
        <v>88</v>
      </c>
      <c r="C9700">
        <v>252000</v>
      </c>
      <c r="D9700">
        <v>9032.7000000000007</v>
      </c>
      <c r="E9700">
        <v>3.39E-2</v>
      </c>
      <c r="F9700">
        <v>7.5899999999999995E-2</v>
      </c>
    </row>
    <row r="9701" spans="1:6" x14ac:dyDescent="0.3">
      <c r="A9701" t="s">
        <v>9736</v>
      </c>
      <c r="B9701" t="s">
        <v>26</v>
      </c>
      <c r="C9701">
        <v>158000</v>
      </c>
      <c r="D9701">
        <v>1161.3</v>
      </c>
      <c r="E9701">
        <v>1.32E-2</v>
      </c>
      <c r="F9701">
        <v>0.1192</v>
      </c>
    </row>
    <row r="9702" spans="1:6" x14ac:dyDescent="0.3">
      <c r="A9702" t="s">
        <v>9737</v>
      </c>
      <c r="B9702" t="s">
        <v>214</v>
      </c>
      <c r="C9702">
        <v>171000</v>
      </c>
      <c r="D9702">
        <v>188164.9</v>
      </c>
      <c r="E9702">
        <v>1.8800000000000001E-2</v>
      </c>
      <c r="F9702">
        <v>0.1067</v>
      </c>
    </row>
    <row r="9703" spans="1:6" x14ac:dyDescent="0.3">
      <c r="A9703" t="s">
        <v>9738</v>
      </c>
      <c r="B9703" t="s">
        <v>26</v>
      </c>
      <c r="C9703">
        <v>240000</v>
      </c>
      <c r="D9703">
        <v>7701.9</v>
      </c>
      <c r="E9703">
        <v>4.82E-2</v>
      </c>
      <c r="F9703">
        <v>7.5899999999999995E-2</v>
      </c>
    </row>
    <row r="9704" spans="1:6" x14ac:dyDescent="0.3">
      <c r="A9704" t="s">
        <v>9739</v>
      </c>
      <c r="B9704" t="s">
        <v>26</v>
      </c>
      <c r="C9704">
        <v>155000</v>
      </c>
      <c r="D9704">
        <v>174047</v>
      </c>
      <c r="E9704">
        <v>5.57E-2</v>
      </c>
      <c r="F9704">
        <v>9.5100000000000004E-2</v>
      </c>
    </row>
    <row r="9705" spans="1:6" x14ac:dyDescent="0.3">
      <c r="A9705" t="s">
        <v>9740</v>
      </c>
      <c r="B9705" t="s">
        <v>41</v>
      </c>
      <c r="C9705">
        <v>178000</v>
      </c>
      <c r="D9705">
        <v>5437.3</v>
      </c>
      <c r="E9705">
        <v>3.5299999999999998E-2</v>
      </c>
      <c r="F9705">
        <v>9.3799999999999994E-2</v>
      </c>
    </row>
    <row r="9706" spans="1:6" x14ac:dyDescent="0.3">
      <c r="A9706" t="s">
        <v>9741</v>
      </c>
      <c r="B9706" t="s">
        <v>195</v>
      </c>
      <c r="C9706">
        <v>189000</v>
      </c>
      <c r="D9706">
        <v>17905.400000000001</v>
      </c>
      <c r="F9706">
        <v>5.0999999999999997E-2</v>
      </c>
    </row>
    <row r="9707" spans="1:6" x14ac:dyDescent="0.3">
      <c r="A9707" t="s">
        <v>9742</v>
      </c>
      <c r="B9707" t="s">
        <v>195</v>
      </c>
      <c r="C9707">
        <v>260000</v>
      </c>
      <c r="D9707">
        <v>9542.5</v>
      </c>
      <c r="E9707">
        <v>5.0000000000000001E-3</v>
      </c>
      <c r="F9707">
        <v>6.54E-2</v>
      </c>
    </row>
    <row r="9708" spans="1:6" x14ac:dyDescent="0.3">
      <c r="A9708" t="s">
        <v>9743</v>
      </c>
      <c r="B9708" t="s">
        <v>62</v>
      </c>
      <c r="C9708">
        <v>151000</v>
      </c>
      <c r="D9708">
        <v>2259.3000000000002</v>
      </c>
      <c r="E9708">
        <v>2.7799999999999998E-2</v>
      </c>
      <c r="F9708">
        <v>9.5100000000000004E-2</v>
      </c>
    </row>
    <row r="9709" spans="1:6" x14ac:dyDescent="0.3">
      <c r="A9709" t="s">
        <v>9744</v>
      </c>
      <c r="B9709" t="s">
        <v>490</v>
      </c>
      <c r="C9709">
        <v>176000</v>
      </c>
      <c r="D9709">
        <v>27684.3</v>
      </c>
      <c r="E9709">
        <v>2.93E-2</v>
      </c>
      <c r="F9709">
        <v>9.5100000000000004E-2</v>
      </c>
    </row>
    <row r="9710" spans="1:6" x14ac:dyDescent="0.3">
      <c r="A9710" t="s">
        <v>9745</v>
      </c>
      <c r="B9710" t="s">
        <v>88</v>
      </c>
      <c r="C9710">
        <v>222000</v>
      </c>
      <c r="D9710">
        <v>751.3</v>
      </c>
      <c r="E9710">
        <v>2.2599999999999999E-2</v>
      </c>
      <c r="F9710">
        <v>9.5100000000000004E-2</v>
      </c>
    </row>
    <row r="9711" spans="1:6" x14ac:dyDescent="0.3">
      <c r="A9711" t="s">
        <v>9746</v>
      </c>
      <c r="B9711" t="s">
        <v>88</v>
      </c>
      <c r="C9711">
        <v>299000</v>
      </c>
      <c r="D9711">
        <v>496.9</v>
      </c>
      <c r="E9711">
        <v>3.3099999999999997E-2</v>
      </c>
      <c r="F9711">
        <v>9.3799999999999994E-2</v>
      </c>
    </row>
    <row r="9712" spans="1:6" x14ac:dyDescent="0.3">
      <c r="A9712" t="s">
        <v>9747</v>
      </c>
      <c r="B9712" t="s">
        <v>26</v>
      </c>
      <c r="C9712">
        <v>243000</v>
      </c>
      <c r="D9712">
        <v>161620.70000000001</v>
      </c>
      <c r="E9712">
        <v>0.02</v>
      </c>
      <c r="F9712">
        <v>5.8500000000000003E-2</v>
      </c>
    </row>
    <row r="9713" spans="1:6" x14ac:dyDescent="0.3">
      <c r="A9713" t="s">
        <v>9748</v>
      </c>
      <c r="B9713" t="s">
        <v>21</v>
      </c>
      <c r="C9713">
        <v>234000</v>
      </c>
      <c r="D9713">
        <v>4825.5</v>
      </c>
      <c r="E9713">
        <v>5.7799999999999997E-2</v>
      </c>
      <c r="F9713">
        <v>7.5899999999999995E-2</v>
      </c>
    </row>
    <row r="9714" spans="1:6" x14ac:dyDescent="0.3">
      <c r="A9714" t="s">
        <v>9749</v>
      </c>
      <c r="B9714" t="s">
        <v>24</v>
      </c>
      <c r="C9714">
        <v>254000</v>
      </c>
      <c r="D9714">
        <v>5421.6</v>
      </c>
      <c r="E9714">
        <v>2.4500000000000001E-2</v>
      </c>
      <c r="F9714">
        <v>9.5100000000000004E-2</v>
      </c>
    </row>
    <row r="9715" spans="1:6" x14ac:dyDescent="0.3">
      <c r="A9715" t="s">
        <v>9750</v>
      </c>
      <c r="B9715" t="s">
        <v>71</v>
      </c>
      <c r="C9715">
        <v>185000</v>
      </c>
      <c r="D9715">
        <v>6424.2</v>
      </c>
      <c r="E9715">
        <v>5.7500000000000002E-2</v>
      </c>
      <c r="F9715">
        <v>7.5899999999999995E-2</v>
      </c>
    </row>
    <row r="9716" spans="1:6" x14ac:dyDescent="0.3">
      <c r="A9716" t="s">
        <v>9751</v>
      </c>
      <c r="B9716" t="s">
        <v>41</v>
      </c>
      <c r="C9716">
        <v>166000</v>
      </c>
      <c r="D9716">
        <v>1159.3</v>
      </c>
      <c r="E9716">
        <v>4.1500000000000002E-2</v>
      </c>
      <c r="F9716">
        <v>9.3799999999999994E-2</v>
      </c>
    </row>
    <row r="9717" spans="1:6" x14ac:dyDescent="0.3">
      <c r="A9717" t="s">
        <v>9752</v>
      </c>
      <c r="B9717" t="s">
        <v>71</v>
      </c>
      <c r="C9717">
        <v>155000</v>
      </c>
      <c r="D9717">
        <v>741.8</v>
      </c>
      <c r="E9717">
        <v>1.55E-2</v>
      </c>
      <c r="F9717">
        <v>0.1067</v>
      </c>
    </row>
    <row r="9718" spans="1:6" x14ac:dyDescent="0.3">
      <c r="A9718" t="s">
        <v>9753</v>
      </c>
      <c r="B9718" t="s">
        <v>88</v>
      </c>
      <c r="C9718">
        <v>381000</v>
      </c>
      <c r="D9718">
        <v>6016.8</v>
      </c>
      <c r="E9718">
        <v>2.1600000000000001E-2</v>
      </c>
      <c r="F9718">
        <v>8.2100000000000006E-2</v>
      </c>
    </row>
    <row r="9719" spans="1:6" x14ac:dyDescent="0.3">
      <c r="A9719" t="s">
        <v>9754</v>
      </c>
      <c r="B9719" t="s">
        <v>41</v>
      </c>
      <c r="C9719">
        <v>212000</v>
      </c>
      <c r="D9719">
        <v>863.9</v>
      </c>
      <c r="E9719">
        <v>4.8500000000000001E-2</v>
      </c>
      <c r="F9719">
        <v>7.5899999999999995E-2</v>
      </c>
    </row>
    <row r="9720" spans="1:6" x14ac:dyDescent="0.3">
      <c r="A9720" t="s">
        <v>9755</v>
      </c>
      <c r="B9720" t="s">
        <v>287</v>
      </c>
      <c r="C9720">
        <v>227000</v>
      </c>
      <c r="D9720">
        <v>5060</v>
      </c>
      <c r="E9720">
        <v>2.53E-2</v>
      </c>
      <c r="F9720">
        <v>8.5400000000000004E-2</v>
      </c>
    </row>
    <row r="9721" spans="1:6" x14ac:dyDescent="0.3">
      <c r="A9721" t="s">
        <v>9756</v>
      </c>
      <c r="B9721" t="s">
        <v>214</v>
      </c>
      <c r="C9721">
        <v>194000</v>
      </c>
      <c r="D9721">
        <v>406.1</v>
      </c>
      <c r="E9721">
        <v>2.0199999999999999E-2</v>
      </c>
      <c r="F9721">
        <v>0.15939999999999999</v>
      </c>
    </row>
    <row r="9722" spans="1:6" x14ac:dyDescent="0.3">
      <c r="A9722" t="s">
        <v>9757</v>
      </c>
      <c r="B9722" t="s">
        <v>88</v>
      </c>
      <c r="C9722">
        <v>201000</v>
      </c>
      <c r="D9722">
        <v>167.9</v>
      </c>
      <c r="E9722">
        <v>1.5599999999999999E-2</v>
      </c>
      <c r="F9722">
        <v>0.13719999999999999</v>
      </c>
    </row>
    <row r="9723" spans="1:6" x14ac:dyDescent="0.3">
      <c r="A9723" t="s">
        <v>9758</v>
      </c>
      <c r="B9723" t="s">
        <v>490</v>
      </c>
      <c r="C9723">
        <v>192000</v>
      </c>
      <c r="D9723">
        <v>20725</v>
      </c>
      <c r="E9723">
        <v>2.64E-2</v>
      </c>
      <c r="F9723">
        <v>4.0899999999999999E-2</v>
      </c>
    </row>
    <row r="9724" spans="1:6" x14ac:dyDescent="0.3">
      <c r="A9724" t="s">
        <v>9759</v>
      </c>
      <c r="B9724" t="s">
        <v>41</v>
      </c>
      <c r="C9724">
        <v>153000</v>
      </c>
      <c r="D9724">
        <v>3275.7</v>
      </c>
      <c r="E9724">
        <v>1.11E-2</v>
      </c>
      <c r="F9724">
        <v>0.10150000000000001</v>
      </c>
    </row>
    <row r="9725" spans="1:6" x14ac:dyDescent="0.3">
      <c r="A9725" t="s">
        <v>9760</v>
      </c>
      <c r="B9725" t="s">
        <v>88</v>
      </c>
      <c r="C9725">
        <v>151000</v>
      </c>
      <c r="D9725">
        <v>266.39999999999998</v>
      </c>
      <c r="E9725">
        <v>1.6899999999999998E-2</v>
      </c>
      <c r="F9725">
        <v>0.7157</v>
      </c>
    </row>
    <row r="9726" spans="1:6" x14ac:dyDescent="0.3">
      <c r="A9726" t="s">
        <v>9761</v>
      </c>
      <c r="B9726" t="s">
        <v>88</v>
      </c>
      <c r="C9726">
        <v>244000</v>
      </c>
      <c r="D9726">
        <v>827.1</v>
      </c>
      <c r="E9726">
        <v>2.1399999999999999E-2</v>
      </c>
      <c r="F9726">
        <v>8.0299999999999996E-2</v>
      </c>
    </row>
    <row r="9727" spans="1:6" x14ac:dyDescent="0.3">
      <c r="A9727" t="s">
        <v>9762</v>
      </c>
      <c r="B9727" t="s">
        <v>26</v>
      </c>
      <c r="C9727">
        <v>423000</v>
      </c>
      <c r="D9727">
        <v>458355.3</v>
      </c>
      <c r="E9727">
        <v>1.4500000000000001E-2</v>
      </c>
      <c r="F9727">
        <v>4.6199999999999998E-2</v>
      </c>
    </row>
    <row r="9728" spans="1:6" x14ac:dyDescent="0.3">
      <c r="A9728" t="s">
        <v>9763</v>
      </c>
      <c r="B9728" t="s">
        <v>88</v>
      </c>
      <c r="C9728">
        <v>165000</v>
      </c>
      <c r="D9728">
        <v>1071.7</v>
      </c>
      <c r="E9728">
        <v>3.8800000000000001E-2</v>
      </c>
      <c r="F9728">
        <v>7.5899999999999995E-2</v>
      </c>
    </row>
    <row r="9729" spans="1:6" x14ac:dyDescent="0.3">
      <c r="A9729" t="s">
        <v>9764</v>
      </c>
      <c r="B9729" t="s">
        <v>21</v>
      </c>
      <c r="C9729">
        <v>157000</v>
      </c>
      <c r="D9729">
        <v>319550.8</v>
      </c>
      <c r="E9729">
        <v>2.1000000000000001E-2</v>
      </c>
      <c r="F9729">
        <v>0.1067</v>
      </c>
    </row>
    <row r="9730" spans="1:6" x14ac:dyDescent="0.3">
      <c r="A9730" t="s">
        <v>9765</v>
      </c>
      <c r="B9730" t="s">
        <v>88</v>
      </c>
      <c r="C9730">
        <v>175000</v>
      </c>
      <c r="D9730">
        <v>9365.9</v>
      </c>
      <c r="E9730">
        <v>7.8299999999999995E-2</v>
      </c>
      <c r="F9730">
        <v>9.5100000000000004E-2</v>
      </c>
    </row>
    <row r="9731" spans="1:6" x14ac:dyDescent="0.3">
      <c r="A9731" t="s">
        <v>9766</v>
      </c>
      <c r="B9731" t="s">
        <v>88</v>
      </c>
      <c r="C9731">
        <v>196000</v>
      </c>
      <c r="D9731">
        <v>5376.9</v>
      </c>
      <c r="E9731">
        <v>4.9299999999999997E-2</v>
      </c>
      <c r="F9731">
        <v>9.5100000000000004E-2</v>
      </c>
    </row>
    <row r="9732" spans="1:6" x14ac:dyDescent="0.3">
      <c r="A9732" t="s">
        <v>9767</v>
      </c>
      <c r="B9732" t="s">
        <v>41</v>
      </c>
      <c r="C9732">
        <v>285000</v>
      </c>
      <c r="D9732">
        <v>391.8</v>
      </c>
      <c r="E9732">
        <v>9.2999999999999992E-3</v>
      </c>
      <c r="F9732">
        <v>8.1100000000000005E-2</v>
      </c>
    </row>
    <row r="9733" spans="1:6" x14ac:dyDescent="0.3">
      <c r="A9733" t="s">
        <v>9768</v>
      </c>
      <c r="B9733" t="s">
        <v>74</v>
      </c>
      <c r="C9733">
        <v>247000</v>
      </c>
      <c r="D9733">
        <v>3077.9</v>
      </c>
      <c r="F9733">
        <v>4.0899999999999999E-2</v>
      </c>
    </row>
    <row r="9734" spans="1:6" x14ac:dyDescent="0.3">
      <c r="A9734" t="s">
        <v>9769</v>
      </c>
      <c r="B9734" t="s">
        <v>26</v>
      </c>
      <c r="C9734">
        <v>154000</v>
      </c>
      <c r="D9734">
        <v>11276</v>
      </c>
      <c r="E9734">
        <v>4.0599999999999997E-2</v>
      </c>
      <c r="F9734">
        <v>4.0899999999999999E-2</v>
      </c>
    </row>
    <row r="9735" spans="1:6" x14ac:dyDescent="0.3">
      <c r="A9735" t="s">
        <v>9770</v>
      </c>
      <c r="B9735" t="s">
        <v>71</v>
      </c>
      <c r="C9735">
        <v>336000</v>
      </c>
      <c r="D9735">
        <v>27704.2</v>
      </c>
      <c r="E9735">
        <v>2.0500000000000001E-2</v>
      </c>
      <c r="F9735">
        <v>8.5400000000000004E-2</v>
      </c>
    </row>
    <row r="9736" spans="1:6" x14ac:dyDescent="0.3">
      <c r="A9736" t="s">
        <v>9771</v>
      </c>
      <c r="B9736" t="s">
        <v>74</v>
      </c>
      <c r="C9736">
        <v>171000</v>
      </c>
      <c r="F9736">
        <v>7.5899999999999995E-2</v>
      </c>
    </row>
    <row r="9737" spans="1:6" x14ac:dyDescent="0.3">
      <c r="A9737" t="s">
        <v>9772</v>
      </c>
      <c r="B9737" t="s">
        <v>74</v>
      </c>
      <c r="C9737">
        <v>236000</v>
      </c>
      <c r="D9737">
        <v>7477.7</v>
      </c>
      <c r="E9737">
        <v>5.74E-2</v>
      </c>
      <c r="F9737">
        <v>7.5899999999999995E-2</v>
      </c>
    </row>
    <row r="9738" spans="1:6" x14ac:dyDescent="0.3">
      <c r="A9738" t="s">
        <v>9773</v>
      </c>
      <c r="B9738" t="s">
        <v>74</v>
      </c>
      <c r="C9738">
        <v>189000</v>
      </c>
      <c r="D9738">
        <v>2090.4</v>
      </c>
      <c r="E9738">
        <v>6.1899999999999997E-2</v>
      </c>
      <c r="F9738">
        <v>7.5899999999999995E-2</v>
      </c>
    </row>
    <row r="9739" spans="1:6" x14ac:dyDescent="0.3">
      <c r="A9739" t="s">
        <v>9774</v>
      </c>
      <c r="B9739" t="s">
        <v>26</v>
      </c>
      <c r="C9739">
        <v>152000</v>
      </c>
      <c r="D9739">
        <v>1381.9</v>
      </c>
      <c r="E9739">
        <v>2.2800000000000001E-2</v>
      </c>
      <c r="F9739">
        <v>0.38679999999999998</v>
      </c>
    </row>
    <row r="9740" spans="1:6" x14ac:dyDescent="0.3">
      <c r="A9740" t="s">
        <v>9775</v>
      </c>
      <c r="B9740" t="s">
        <v>88</v>
      </c>
      <c r="C9740">
        <v>182000</v>
      </c>
      <c r="D9740">
        <v>2719.1</v>
      </c>
      <c r="E9740">
        <v>5.2499999999999998E-2</v>
      </c>
      <c r="F9740">
        <v>9.3799999999999994E-2</v>
      </c>
    </row>
    <row r="9741" spans="1:6" x14ac:dyDescent="0.3">
      <c r="A9741" t="s">
        <v>9776</v>
      </c>
      <c r="B9741" t="s">
        <v>490</v>
      </c>
      <c r="C9741">
        <v>248000</v>
      </c>
      <c r="D9741">
        <v>2258.6</v>
      </c>
      <c r="E9741">
        <v>2.98E-2</v>
      </c>
      <c r="F9741">
        <v>9.3799999999999994E-2</v>
      </c>
    </row>
    <row r="9742" spans="1:6" x14ac:dyDescent="0.3">
      <c r="A9742" t="s">
        <v>9777</v>
      </c>
      <c r="B9742" t="s">
        <v>74</v>
      </c>
      <c r="C9742">
        <v>175000</v>
      </c>
      <c r="D9742">
        <v>38476</v>
      </c>
      <c r="E9742">
        <v>0.1023</v>
      </c>
      <c r="F9742">
        <v>9.5100000000000004E-2</v>
      </c>
    </row>
    <row r="9743" spans="1:6" x14ac:dyDescent="0.3">
      <c r="A9743" t="s">
        <v>9778</v>
      </c>
      <c r="B9743" t="s">
        <v>53</v>
      </c>
      <c r="C9743">
        <v>233000</v>
      </c>
      <c r="D9743">
        <v>2104.6</v>
      </c>
      <c r="E9743">
        <v>1.24E-2</v>
      </c>
      <c r="F9743">
        <v>8.1100000000000005E-2</v>
      </c>
    </row>
    <row r="9744" spans="1:6" x14ac:dyDescent="0.3">
      <c r="A9744" t="s">
        <v>9779</v>
      </c>
      <c r="B9744" t="s">
        <v>88</v>
      </c>
      <c r="C9744">
        <v>368000</v>
      </c>
      <c r="D9744">
        <v>12767.5</v>
      </c>
      <c r="E9744">
        <v>6.7699999999999996E-2</v>
      </c>
      <c r="F9744">
        <v>7.5899999999999995E-2</v>
      </c>
    </row>
    <row r="9745" spans="1:6" x14ac:dyDescent="0.3">
      <c r="A9745" t="s">
        <v>9780</v>
      </c>
      <c r="B9745" t="s">
        <v>26</v>
      </c>
      <c r="C9745">
        <v>152000</v>
      </c>
      <c r="D9745">
        <v>15607.5</v>
      </c>
      <c r="E9745">
        <v>5.5300000000000002E-2</v>
      </c>
      <c r="F9745">
        <v>9.5100000000000004E-2</v>
      </c>
    </row>
    <row r="9746" spans="1:6" x14ac:dyDescent="0.3">
      <c r="A9746" t="s">
        <v>9781</v>
      </c>
      <c r="B9746" t="s">
        <v>81</v>
      </c>
      <c r="C9746">
        <v>165000</v>
      </c>
      <c r="D9746">
        <v>3581.1</v>
      </c>
      <c r="E9746">
        <v>6.6E-3</v>
      </c>
      <c r="F9746">
        <v>8.2199999999999995E-2</v>
      </c>
    </row>
    <row r="9747" spans="1:6" x14ac:dyDescent="0.3">
      <c r="A9747" t="s">
        <v>9782</v>
      </c>
      <c r="B9747" t="s">
        <v>26</v>
      </c>
      <c r="C9747">
        <v>271000</v>
      </c>
      <c r="D9747">
        <v>27617.9</v>
      </c>
      <c r="E9747">
        <v>3.7100000000000001E-2</v>
      </c>
      <c r="F9747">
        <v>5.0999999999999997E-2</v>
      </c>
    </row>
    <row r="9748" spans="1:6" x14ac:dyDescent="0.3">
      <c r="A9748" t="s">
        <v>9783</v>
      </c>
      <c r="B9748" t="s">
        <v>41</v>
      </c>
      <c r="C9748">
        <v>155000</v>
      </c>
      <c r="D9748">
        <v>313.39999999999998</v>
      </c>
      <c r="E9748">
        <v>3.2899999999999999E-2</v>
      </c>
      <c r="F9748">
        <v>9.5100000000000004E-2</v>
      </c>
    </row>
    <row r="9749" spans="1:6" x14ac:dyDescent="0.3">
      <c r="A9749" t="s">
        <v>9784</v>
      </c>
      <c r="B9749" t="s">
        <v>92</v>
      </c>
      <c r="C9749">
        <v>527000</v>
      </c>
      <c r="D9749">
        <v>74167.7</v>
      </c>
      <c r="E9749">
        <v>2.52E-2</v>
      </c>
      <c r="F9749">
        <v>5.0999999999999997E-2</v>
      </c>
    </row>
    <row r="9750" spans="1:6" x14ac:dyDescent="0.3">
      <c r="A9750" t="s">
        <v>9785</v>
      </c>
      <c r="B9750" t="s">
        <v>24</v>
      </c>
      <c r="C9750">
        <v>207000</v>
      </c>
      <c r="D9750">
        <v>4649.7</v>
      </c>
      <c r="E9750">
        <v>5.3600000000000002E-2</v>
      </c>
      <c r="F9750">
        <v>7.5899999999999995E-2</v>
      </c>
    </row>
    <row r="9751" spans="1:6" x14ac:dyDescent="0.3">
      <c r="A9751" t="s">
        <v>9786</v>
      </c>
      <c r="B9751" t="s">
        <v>53</v>
      </c>
      <c r="C9751">
        <v>209000</v>
      </c>
      <c r="D9751">
        <v>9402.6</v>
      </c>
      <c r="E9751">
        <v>5.1900000000000002E-2</v>
      </c>
      <c r="F9751">
        <v>9.3799999999999994E-2</v>
      </c>
    </row>
    <row r="9752" spans="1:6" x14ac:dyDescent="0.3">
      <c r="A9752" t="s">
        <v>9787</v>
      </c>
      <c r="B9752" t="s">
        <v>26</v>
      </c>
      <c r="C9752">
        <v>171000</v>
      </c>
      <c r="D9752">
        <v>734.1</v>
      </c>
      <c r="E9752">
        <v>4.1599999999999998E-2</v>
      </c>
      <c r="F9752">
        <v>9.5100000000000004E-2</v>
      </c>
    </row>
    <row r="9753" spans="1:6" x14ac:dyDescent="0.3">
      <c r="A9753" t="s">
        <v>9788</v>
      </c>
      <c r="B9753" t="s">
        <v>92</v>
      </c>
      <c r="C9753">
        <v>198000</v>
      </c>
      <c r="D9753">
        <v>10861.9</v>
      </c>
      <c r="E9753">
        <v>3.7400000000000003E-2</v>
      </c>
      <c r="F9753">
        <v>9.5100000000000004E-2</v>
      </c>
    </row>
    <row r="9754" spans="1:6" x14ac:dyDescent="0.3">
      <c r="A9754" t="s">
        <v>9789</v>
      </c>
      <c r="B9754" t="s">
        <v>92</v>
      </c>
      <c r="C9754">
        <v>186000</v>
      </c>
      <c r="D9754">
        <v>27138</v>
      </c>
      <c r="E9754">
        <v>2.47E-2</v>
      </c>
      <c r="F9754">
        <v>7.5899999999999995E-2</v>
      </c>
    </row>
    <row r="9755" spans="1:6" x14ac:dyDescent="0.3">
      <c r="A9755" t="s">
        <v>9790</v>
      </c>
      <c r="B9755" t="s">
        <v>26</v>
      </c>
      <c r="C9755">
        <v>150000</v>
      </c>
      <c r="D9755">
        <v>3752.2</v>
      </c>
      <c r="E9755">
        <v>2.8000000000000001E-2</v>
      </c>
      <c r="F9755">
        <v>9.5100000000000004E-2</v>
      </c>
    </row>
    <row r="9756" spans="1:6" x14ac:dyDescent="0.3">
      <c r="A9756" t="s">
        <v>9791</v>
      </c>
      <c r="B9756" t="s">
        <v>88</v>
      </c>
      <c r="C9756">
        <v>166000</v>
      </c>
      <c r="D9756">
        <v>705</v>
      </c>
      <c r="E9756">
        <v>4.3499999999999997E-2</v>
      </c>
      <c r="F9756">
        <v>9.3799999999999994E-2</v>
      </c>
    </row>
    <row r="9757" spans="1:6" x14ac:dyDescent="0.3">
      <c r="A9757" t="s">
        <v>9792</v>
      </c>
      <c r="B9757" t="s">
        <v>92</v>
      </c>
      <c r="C9757">
        <v>155000</v>
      </c>
      <c r="D9757">
        <v>1005.5</v>
      </c>
      <c r="E9757">
        <v>8.0999999999999996E-3</v>
      </c>
      <c r="F9757">
        <v>8.2199999999999995E-2</v>
      </c>
    </row>
    <row r="9758" spans="1:6" x14ac:dyDescent="0.3">
      <c r="A9758" t="s">
        <v>9793</v>
      </c>
      <c r="B9758" t="s">
        <v>26</v>
      </c>
      <c r="C9758">
        <v>417000</v>
      </c>
      <c r="D9758">
        <v>26470.5</v>
      </c>
      <c r="E9758">
        <v>2.1999999999999999E-2</v>
      </c>
      <c r="F9758">
        <v>9.5100000000000004E-2</v>
      </c>
    </row>
    <row r="9759" spans="1:6" x14ac:dyDescent="0.3">
      <c r="A9759" t="s">
        <v>9794</v>
      </c>
      <c r="B9759" t="s">
        <v>81</v>
      </c>
      <c r="C9759">
        <v>164000</v>
      </c>
      <c r="D9759">
        <v>3388.7</v>
      </c>
      <c r="E9759">
        <v>5.9499999999999997E-2</v>
      </c>
      <c r="F9759">
        <v>9.5100000000000004E-2</v>
      </c>
    </row>
    <row r="9760" spans="1:6" x14ac:dyDescent="0.3">
      <c r="A9760" t="s">
        <v>9795</v>
      </c>
      <c r="B9760" t="s">
        <v>26</v>
      </c>
      <c r="C9760">
        <v>237000</v>
      </c>
      <c r="D9760">
        <v>13097</v>
      </c>
      <c r="E9760">
        <v>4.8099999999999997E-2</v>
      </c>
      <c r="F9760">
        <v>0.1168</v>
      </c>
    </row>
    <row r="9761" spans="1:6" x14ac:dyDescent="0.3">
      <c r="A9761" t="s">
        <v>9796</v>
      </c>
      <c r="B9761" t="s">
        <v>24</v>
      </c>
      <c r="C9761">
        <v>155000</v>
      </c>
      <c r="D9761">
        <v>995.4</v>
      </c>
      <c r="E9761">
        <v>3.2099999999999997E-2</v>
      </c>
      <c r="F9761">
        <v>9.3799999999999994E-2</v>
      </c>
    </row>
    <row r="9762" spans="1:6" x14ac:dyDescent="0.3">
      <c r="A9762" t="s">
        <v>9797</v>
      </c>
      <c r="B9762" t="s">
        <v>53</v>
      </c>
      <c r="C9762">
        <v>449000</v>
      </c>
      <c r="D9762">
        <v>153269.5</v>
      </c>
      <c r="E9762">
        <v>4.99E-2</v>
      </c>
      <c r="F9762">
        <v>7.5899999999999995E-2</v>
      </c>
    </row>
    <row r="9763" spans="1:6" x14ac:dyDescent="0.3">
      <c r="A9763" t="s">
        <v>9798</v>
      </c>
      <c r="B9763" t="s">
        <v>74</v>
      </c>
      <c r="C9763">
        <v>174000</v>
      </c>
      <c r="D9763">
        <v>33839</v>
      </c>
      <c r="E9763">
        <v>3.1099999999999999E-2</v>
      </c>
      <c r="F9763">
        <v>9.5100000000000004E-2</v>
      </c>
    </row>
    <row r="9764" spans="1:6" x14ac:dyDescent="0.3">
      <c r="A9764" t="s">
        <v>9799</v>
      </c>
      <c r="B9764" t="s">
        <v>41</v>
      </c>
      <c r="C9764">
        <v>261000</v>
      </c>
      <c r="D9764">
        <v>25.5</v>
      </c>
      <c r="E9764">
        <v>0.10589999999999999</v>
      </c>
      <c r="F9764">
        <v>0.3024</v>
      </c>
    </row>
    <row r="9765" spans="1:6" x14ac:dyDescent="0.3">
      <c r="A9765" t="s">
        <v>9800</v>
      </c>
      <c r="B9765" t="s">
        <v>214</v>
      </c>
      <c r="C9765">
        <v>158000</v>
      </c>
      <c r="D9765">
        <v>952.4</v>
      </c>
      <c r="E9765">
        <v>1.01E-2</v>
      </c>
      <c r="F9765">
        <v>8.2199999999999995E-2</v>
      </c>
    </row>
    <row r="9766" spans="1:6" x14ac:dyDescent="0.3">
      <c r="A9766" t="s">
        <v>9801</v>
      </c>
      <c r="B9766" t="s">
        <v>50</v>
      </c>
      <c r="C9766">
        <v>162000</v>
      </c>
      <c r="D9766">
        <v>2594.3000000000002</v>
      </c>
      <c r="E9766">
        <v>6.1899999999999997E-2</v>
      </c>
      <c r="F9766">
        <v>0.3095</v>
      </c>
    </row>
    <row r="9767" spans="1:6" x14ac:dyDescent="0.3">
      <c r="A9767" t="s">
        <v>9802</v>
      </c>
      <c r="B9767" t="s">
        <v>26</v>
      </c>
      <c r="C9767">
        <v>156000</v>
      </c>
      <c r="D9767">
        <v>801.2</v>
      </c>
      <c r="E9767">
        <v>1.4500000000000001E-2</v>
      </c>
      <c r="F9767">
        <v>4.6199999999999998E-2</v>
      </c>
    </row>
    <row r="9768" spans="1:6" x14ac:dyDescent="0.3">
      <c r="A9768" t="s">
        <v>9803</v>
      </c>
      <c r="B9768" t="s">
        <v>24</v>
      </c>
      <c r="C9768">
        <v>170000</v>
      </c>
      <c r="D9768">
        <v>435.3</v>
      </c>
      <c r="E9768">
        <v>2.6200000000000001E-2</v>
      </c>
      <c r="F9768">
        <v>7.5899999999999995E-2</v>
      </c>
    </row>
    <row r="9769" spans="1:6" x14ac:dyDescent="0.3">
      <c r="A9769" t="s">
        <v>9804</v>
      </c>
      <c r="B9769" t="s">
        <v>26</v>
      </c>
      <c r="C9769">
        <v>157000</v>
      </c>
      <c r="D9769">
        <v>597934.19999999995</v>
      </c>
      <c r="E9769">
        <v>2.4299999999999999E-2</v>
      </c>
      <c r="F9769">
        <v>5.1799999999999999E-2</v>
      </c>
    </row>
    <row r="9770" spans="1:6" x14ac:dyDescent="0.3">
      <c r="A9770" t="s">
        <v>9805</v>
      </c>
      <c r="B9770" t="s">
        <v>26</v>
      </c>
      <c r="C9770">
        <v>325000</v>
      </c>
      <c r="D9770">
        <v>5837450.9000000004</v>
      </c>
      <c r="E9770">
        <v>3.2199999999999999E-2</v>
      </c>
      <c r="F9770">
        <v>9.5100000000000004E-2</v>
      </c>
    </row>
    <row r="9771" spans="1:6" x14ac:dyDescent="0.3">
      <c r="A9771" t="s">
        <v>9806</v>
      </c>
      <c r="B9771" t="s">
        <v>26</v>
      </c>
      <c r="C9771">
        <v>158000</v>
      </c>
      <c r="D9771">
        <v>2366603.5</v>
      </c>
      <c r="E9771">
        <v>6.13E-2</v>
      </c>
      <c r="F9771">
        <v>5.1799999999999999E-2</v>
      </c>
    </row>
    <row r="9772" spans="1:6" x14ac:dyDescent="0.3">
      <c r="A9772" t="s">
        <v>9807</v>
      </c>
      <c r="B9772" t="s">
        <v>92</v>
      </c>
      <c r="C9772">
        <v>154000</v>
      </c>
      <c r="D9772">
        <v>329</v>
      </c>
      <c r="E9772">
        <v>1.3899999999999999E-2</v>
      </c>
      <c r="F9772">
        <v>0.2051</v>
      </c>
    </row>
    <row r="9773" spans="1:6" x14ac:dyDescent="0.3">
      <c r="A9773" t="s">
        <v>9808</v>
      </c>
      <c r="B9773" t="s">
        <v>81</v>
      </c>
      <c r="C9773">
        <v>194000</v>
      </c>
      <c r="D9773">
        <v>1889.6</v>
      </c>
      <c r="E9773">
        <v>2.81E-2</v>
      </c>
      <c r="F9773">
        <v>4.0899999999999999E-2</v>
      </c>
    </row>
    <row r="9774" spans="1:6" x14ac:dyDescent="0.3">
      <c r="A9774" t="s">
        <v>9809</v>
      </c>
      <c r="B9774" t="s">
        <v>26</v>
      </c>
      <c r="C9774">
        <v>155000</v>
      </c>
      <c r="D9774">
        <v>1795.6</v>
      </c>
      <c r="E9774">
        <v>2.6200000000000001E-2</v>
      </c>
      <c r="F9774">
        <v>4.6199999999999998E-2</v>
      </c>
    </row>
    <row r="9775" spans="1:6" x14ac:dyDescent="0.3">
      <c r="A9775" t="s">
        <v>9810</v>
      </c>
      <c r="B9775" t="s">
        <v>53</v>
      </c>
      <c r="C9775">
        <v>156000</v>
      </c>
      <c r="D9775">
        <v>4375.5</v>
      </c>
      <c r="E9775">
        <v>3.9199999999999999E-2</v>
      </c>
      <c r="F9775">
        <v>9.5100000000000004E-2</v>
      </c>
    </row>
    <row r="9776" spans="1:6" x14ac:dyDescent="0.3">
      <c r="A9776" t="s">
        <v>9811</v>
      </c>
      <c r="B9776" t="s">
        <v>92</v>
      </c>
      <c r="C9776">
        <v>155000</v>
      </c>
      <c r="D9776">
        <v>288777.2</v>
      </c>
      <c r="E9776">
        <v>1.5599999999999999E-2</v>
      </c>
      <c r="F9776">
        <v>0.1067</v>
      </c>
    </row>
    <row r="9777" spans="1:6" x14ac:dyDescent="0.3">
      <c r="A9777" t="s">
        <v>9812</v>
      </c>
      <c r="B9777" t="s">
        <v>88</v>
      </c>
      <c r="C9777">
        <v>215000</v>
      </c>
      <c r="D9777">
        <v>28674.1</v>
      </c>
      <c r="E9777">
        <v>3.8100000000000002E-2</v>
      </c>
      <c r="F9777">
        <v>7.5899999999999995E-2</v>
      </c>
    </row>
    <row r="9778" spans="1:6" x14ac:dyDescent="0.3">
      <c r="A9778" t="s">
        <v>9813</v>
      </c>
      <c r="B9778" t="s">
        <v>88</v>
      </c>
      <c r="C9778">
        <v>166000</v>
      </c>
      <c r="D9778">
        <v>5756.7</v>
      </c>
      <c r="E9778">
        <v>3.3599999999999998E-2</v>
      </c>
      <c r="F9778">
        <v>9.5100000000000004E-2</v>
      </c>
    </row>
    <row r="9779" spans="1:6" x14ac:dyDescent="0.3">
      <c r="A9779" t="s">
        <v>9814</v>
      </c>
      <c r="B9779" t="s">
        <v>88</v>
      </c>
      <c r="C9779">
        <v>202000</v>
      </c>
      <c r="D9779">
        <v>29584.400000000001</v>
      </c>
      <c r="E9779">
        <v>2.24E-2</v>
      </c>
      <c r="F9779">
        <v>9.5100000000000004E-2</v>
      </c>
    </row>
    <row r="9780" spans="1:6" x14ac:dyDescent="0.3">
      <c r="A9780" t="s">
        <v>9815</v>
      </c>
      <c r="B9780" t="s">
        <v>88</v>
      </c>
      <c r="C9780">
        <v>169000</v>
      </c>
      <c r="D9780">
        <v>206.3</v>
      </c>
      <c r="E9780">
        <v>1.3599999999999999E-2</v>
      </c>
      <c r="F9780">
        <v>0.22700000000000001</v>
      </c>
    </row>
    <row r="9781" spans="1:6" x14ac:dyDescent="0.3">
      <c r="A9781" t="s">
        <v>9816</v>
      </c>
      <c r="B9781" t="s">
        <v>92</v>
      </c>
      <c r="C9781">
        <v>332000</v>
      </c>
      <c r="D9781">
        <v>111402.8</v>
      </c>
      <c r="E9781">
        <v>2.2800000000000001E-2</v>
      </c>
      <c r="F9781">
        <v>4.0899999999999999E-2</v>
      </c>
    </row>
    <row r="9782" spans="1:6" x14ac:dyDescent="0.3">
      <c r="A9782" t="s">
        <v>9817</v>
      </c>
      <c r="B9782" t="s">
        <v>24</v>
      </c>
      <c r="C9782">
        <v>196000</v>
      </c>
      <c r="D9782">
        <v>371.4</v>
      </c>
      <c r="E9782">
        <v>4.6199999999999998E-2</v>
      </c>
      <c r="F9782">
        <v>9.3799999999999994E-2</v>
      </c>
    </row>
    <row r="9783" spans="1:6" x14ac:dyDescent="0.3">
      <c r="A9783" t="s">
        <v>9818</v>
      </c>
      <c r="B9783" t="s">
        <v>88</v>
      </c>
      <c r="C9783">
        <v>174000</v>
      </c>
      <c r="D9783">
        <v>392663.7</v>
      </c>
      <c r="E9783">
        <v>2.9600000000000001E-2</v>
      </c>
      <c r="F9783">
        <v>9.5100000000000004E-2</v>
      </c>
    </row>
    <row r="9784" spans="1:6" x14ac:dyDescent="0.3">
      <c r="A9784" t="s">
        <v>9819</v>
      </c>
      <c r="B9784" t="s">
        <v>195</v>
      </c>
      <c r="C9784">
        <v>204000</v>
      </c>
      <c r="D9784">
        <v>7312.2</v>
      </c>
      <c r="E9784">
        <v>8.8999999999999999E-3</v>
      </c>
      <c r="F9784">
        <v>8.1100000000000005E-2</v>
      </c>
    </row>
    <row r="9785" spans="1:6" x14ac:dyDescent="0.3">
      <c r="A9785" t="s">
        <v>9820</v>
      </c>
      <c r="B9785" t="s">
        <v>71</v>
      </c>
      <c r="C9785">
        <v>167000</v>
      </c>
      <c r="D9785">
        <v>140812.9</v>
      </c>
      <c r="E9785">
        <v>1.38E-2</v>
      </c>
      <c r="F9785">
        <v>7.3599999999999999E-2</v>
      </c>
    </row>
    <row r="9786" spans="1:6" x14ac:dyDescent="0.3">
      <c r="A9786" t="s">
        <v>9821</v>
      </c>
      <c r="B9786" t="s">
        <v>62</v>
      </c>
      <c r="C9786">
        <v>168000</v>
      </c>
      <c r="D9786">
        <v>497</v>
      </c>
      <c r="E9786">
        <v>3.85E-2</v>
      </c>
      <c r="F9786">
        <v>9.5100000000000004E-2</v>
      </c>
    </row>
    <row r="9787" spans="1:6" x14ac:dyDescent="0.3">
      <c r="A9787" t="s">
        <v>9822</v>
      </c>
      <c r="B9787" t="s">
        <v>26</v>
      </c>
      <c r="C9787">
        <v>159000</v>
      </c>
      <c r="D9787">
        <v>2622.2</v>
      </c>
      <c r="E9787">
        <v>1.4999999999999999E-2</v>
      </c>
      <c r="F9787">
        <v>5.7599999999999998E-2</v>
      </c>
    </row>
    <row r="9788" spans="1:6" x14ac:dyDescent="0.3">
      <c r="A9788" t="s">
        <v>9823</v>
      </c>
      <c r="B9788" t="s">
        <v>81</v>
      </c>
      <c r="C9788">
        <v>158000</v>
      </c>
      <c r="D9788">
        <v>3762.9</v>
      </c>
      <c r="E9788">
        <v>1.52E-2</v>
      </c>
      <c r="F9788">
        <v>9.5000000000000001E-2</v>
      </c>
    </row>
    <row r="9789" spans="1:6" x14ac:dyDescent="0.3">
      <c r="A9789" t="s">
        <v>9824</v>
      </c>
      <c r="B9789" t="s">
        <v>26</v>
      </c>
      <c r="C9789">
        <v>246000</v>
      </c>
      <c r="D9789">
        <v>319189</v>
      </c>
      <c r="E9789">
        <v>6.4899999999999999E-2</v>
      </c>
      <c r="F9789">
        <v>7.5899999999999995E-2</v>
      </c>
    </row>
    <row r="9790" spans="1:6" x14ac:dyDescent="0.3">
      <c r="A9790" t="s">
        <v>9825</v>
      </c>
      <c r="B9790" t="s">
        <v>88</v>
      </c>
      <c r="C9790">
        <v>213000</v>
      </c>
      <c r="D9790">
        <v>183.8</v>
      </c>
      <c r="E9790">
        <v>5.1900000000000002E-2</v>
      </c>
      <c r="F9790">
        <v>9.3799999999999994E-2</v>
      </c>
    </row>
    <row r="9791" spans="1:6" x14ac:dyDescent="0.3">
      <c r="A9791" t="s">
        <v>9826</v>
      </c>
      <c r="B9791" t="s">
        <v>30</v>
      </c>
      <c r="C9791">
        <v>167000</v>
      </c>
      <c r="D9791">
        <v>99081.600000000006</v>
      </c>
      <c r="E9791">
        <v>2.7300000000000001E-2</v>
      </c>
      <c r="F9791">
        <v>9.5100000000000004E-2</v>
      </c>
    </row>
    <row r="9792" spans="1:6" x14ac:dyDescent="0.3">
      <c r="A9792" t="s">
        <v>9827</v>
      </c>
      <c r="B9792" t="s">
        <v>53</v>
      </c>
      <c r="C9792">
        <v>253000</v>
      </c>
      <c r="D9792">
        <v>20806.900000000001</v>
      </c>
      <c r="E9792">
        <v>3.1600000000000003E-2</v>
      </c>
      <c r="F9792">
        <v>9.5100000000000004E-2</v>
      </c>
    </row>
    <row r="9793" spans="1:6" x14ac:dyDescent="0.3">
      <c r="A9793" t="s">
        <v>9828</v>
      </c>
      <c r="B9793" t="s">
        <v>26</v>
      </c>
      <c r="C9793">
        <v>1130000</v>
      </c>
      <c r="D9793">
        <v>99424.3</v>
      </c>
      <c r="E9793">
        <v>6.7000000000000004E-2</v>
      </c>
      <c r="F9793">
        <v>7.5899999999999995E-2</v>
      </c>
    </row>
    <row r="9794" spans="1:6" x14ac:dyDescent="0.3">
      <c r="A9794" t="s">
        <v>9829</v>
      </c>
      <c r="B9794" t="s">
        <v>287</v>
      </c>
      <c r="C9794">
        <v>157000</v>
      </c>
      <c r="D9794">
        <v>4135.7</v>
      </c>
      <c r="E9794">
        <v>9.9000000000000008E-3</v>
      </c>
      <c r="F9794">
        <v>0.12620000000000001</v>
      </c>
    </row>
    <row r="9795" spans="1:6" x14ac:dyDescent="0.3">
      <c r="A9795" t="s">
        <v>9830</v>
      </c>
      <c r="B9795" t="s">
        <v>24</v>
      </c>
      <c r="C9795">
        <v>226000</v>
      </c>
      <c r="D9795">
        <v>67035.5</v>
      </c>
      <c r="E9795">
        <v>2.8899999999999999E-2</v>
      </c>
      <c r="F9795">
        <v>0.12429999999999999</v>
      </c>
    </row>
    <row r="9796" spans="1:6" x14ac:dyDescent="0.3">
      <c r="A9796" t="s">
        <v>9831</v>
      </c>
      <c r="B9796" t="s">
        <v>26</v>
      </c>
      <c r="C9796">
        <v>269000</v>
      </c>
      <c r="D9796">
        <v>3926.8</v>
      </c>
      <c r="E9796">
        <v>5.8099999999999999E-2</v>
      </c>
      <c r="F9796">
        <v>9.3799999999999994E-2</v>
      </c>
    </row>
    <row r="9797" spans="1:6" x14ac:dyDescent="0.3">
      <c r="A9797" t="s">
        <v>9832</v>
      </c>
      <c r="B9797" t="s">
        <v>92</v>
      </c>
      <c r="C9797">
        <v>168000</v>
      </c>
      <c r="D9797">
        <v>1114.2</v>
      </c>
      <c r="E9797">
        <v>2.3199999999999998E-2</v>
      </c>
      <c r="F9797">
        <v>0.38340000000000002</v>
      </c>
    </row>
    <row r="9798" spans="1:6" x14ac:dyDescent="0.3">
      <c r="A9798" t="s">
        <v>9833</v>
      </c>
      <c r="B9798" t="s">
        <v>26</v>
      </c>
      <c r="C9798">
        <v>147000</v>
      </c>
      <c r="D9798">
        <v>3328.1</v>
      </c>
      <c r="E9798">
        <v>3.09E-2</v>
      </c>
      <c r="F9798">
        <v>9.5100000000000004E-2</v>
      </c>
    </row>
    <row r="9799" spans="1:6" x14ac:dyDescent="0.3">
      <c r="A9799" t="s">
        <v>9834</v>
      </c>
      <c r="B9799" t="s">
        <v>26</v>
      </c>
      <c r="C9799">
        <v>156000</v>
      </c>
      <c r="D9799">
        <v>2480.9</v>
      </c>
      <c r="E9799">
        <v>3.8699999999999998E-2</v>
      </c>
      <c r="F9799">
        <v>7.5899999999999995E-2</v>
      </c>
    </row>
    <row r="9800" spans="1:6" x14ac:dyDescent="0.3">
      <c r="A9800" t="s">
        <v>9835</v>
      </c>
      <c r="B9800" t="s">
        <v>214</v>
      </c>
      <c r="C9800">
        <v>2480000</v>
      </c>
      <c r="D9800">
        <v>17811.5</v>
      </c>
      <c r="E9800">
        <v>5.0000000000000001E-3</v>
      </c>
      <c r="F9800">
        <v>8.1100000000000005E-2</v>
      </c>
    </row>
    <row r="9801" spans="1:6" x14ac:dyDescent="0.3">
      <c r="A9801" t="s">
        <v>9836</v>
      </c>
      <c r="B9801" t="s">
        <v>28</v>
      </c>
      <c r="C9801">
        <v>271000</v>
      </c>
      <c r="D9801">
        <v>1237.8</v>
      </c>
      <c r="E9801">
        <v>1.2500000000000001E-2</v>
      </c>
      <c r="F9801">
        <v>8.2100000000000006E-2</v>
      </c>
    </row>
    <row r="9802" spans="1:6" x14ac:dyDescent="0.3">
      <c r="A9802" t="s">
        <v>9837</v>
      </c>
      <c r="B9802" t="s">
        <v>41</v>
      </c>
      <c r="C9802">
        <v>371000</v>
      </c>
      <c r="D9802">
        <v>52.2</v>
      </c>
      <c r="E9802">
        <v>7.4999999999999997E-3</v>
      </c>
      <c r="F9802">
        <v>0.23710000000000001</v>
      </c>
    </row>
    <row r="9803" spans="1:6" x14ac:dyDescent="0.3">
      <c r="A9803" t="s">
        <v>9838</v>
      </c>
      <c r="B9803" t="s">
        <v>81</v>
      </c>
      <c r="C9803">
        <v>221000</v>
      </c>
      <c r="D9803">
        <v>5964.3</v>
      </c>
      <c r="E9803">
        <v>1.5699999999999999E-2</v>
      </c>
      <c r="F9803">
        <v>4.6199999999999998E-2</v>
      </c>
    </row>
    <row r="9804" spans="1:6" x14ac:dyDescent="0.3">
      <c r="A9804" t="s">
        <v>9839</v>
      </c>
      <c r="B9804" t="s">
        <v>92</v>
      </c>
      <c r="C9804">
        <v>262000</v>
      </c>
      <c r="D9804">
        <v>38429.199999999997</v>
      </c>
      <c r="E9804">
        <v>2.3900000000000001E-2</v>
      </c>
      <c r="F9804">
        <v>5.1799999999999999E-2</v>
      </c>
    </row>
    <row r="9805" spans="1:6" x14ac:dyDescent="0.3">
      <c r="A9805" t="s">
        <v>9840</v>
      </c>
      <c r="B9805" t="s">
        <v>81</v>
      </c>
      <c r="C9805">
        <v>183000</v>
      </c>
      <c r="D9805">
        <v>1065.5999999999999</v>
      </c>
      <c r="E9805">
        <v>5.7000000000000002E-3</v>
      </c>
      <c r="F9805">
        <v>7.2999999999999995E-2</v>
      </c>
    </row>
    <row r="9806" spans="1:6" x14ac:dyDescent="0.3">
      <c r="A9806" t="s">
        <v>9841</v>
      </c>
      <c r="B9806" t="s">
        <v>74</v>
      </c>
      <c r="C9806">
        <v>156000</v>
      </c>
      <c r="D9806">
        <v>1838.6</v>
      </c>
      <c r="E9806">
        <v>8.1799999999999998E-2</v>
      </c>
      <c r="F9806">
        <v>7.5899999999999995E-2</v>
      </c>
    </row>
    <row r="9807" spans="1:6" x14ac:dyDescent="0.3">
      <c r="A9807" t="s">
        <v>9842</v>
      </c>
      <c r="B9807" t="s">
        <v>26</v>
      </c>
      <c r="C9807">
        <v>142000</v>
      </c>
      <c r="D9807">
        <v>2398.6</v>
      </c>
      <c r="E9807">
        <v>1.34E-2</v>
      </c>
      <c r="F9807">
        <v>8.2199999999999995E-2</v>
      </c>
    </row>
    <row r="9808" spans="1:6" x14ac:dyDescent="0.3">
      <c r="A9808" t="s">
        <v>9843</v>
      </c>
      <c r="B9808" t="s">
        <v>24</v>
      </c>
      <c r="C9808">
        <v>178000</v>
      </c>
      <c r="D9808">
        <v>2828.6</v>
      </c>
      <c r="E9808">
        <v>1.2200000000000001E-2</v>
      </c>
      <c r="F9808">
        <v>5.8500000000000003E-2</v>
      </c>
    </row>
    <row r="9809" spans="1:6" x14ac:dyDescent="0.3">
      <c r="A9809" t="s">
        <v>9844</v>
      </c>
      <c r="B9809" t="s">
        <v>50</v>
      </c>
      <c r="C9809">
        <v>282000</v>
      </c>
      <c r="D9809">
        <v>207109.5</v>
      </c>
      <c r="E9809">
        <v>2.46E-2</v>
      </c>
      <c r="F9809">
        <v>7.5899999999999995E-2</v>
      </c>
    </row>
    <row r="9810" spans="1:6" x14ac:dyDescent="0.3">
      <c r="A9810" t="s">
        <v>9845</v>
      </c>
      <c r="B9810" t="s">
        <v>41</v>
      </c>
      <c r="C9810">
        <v>233000</v>
      </c>
      <c r="D9810">
        <v>16905.599999999999</v>
      </c>
      <c r="E9810">
        <v>9.4999999999999998E-3</v>
      </c>
      <c r="F9810">
        <v>8.2199999999999995E-2</v>
      </c>
    </row>
    <row r="9811" spans="1:6" x14ac:dyDescent="0.3">
      <c r="A9811" t="s">
        <v>9846</v>
      </c>
      <c r="B9811" t="s">
        <v>71</v>
      </c>
      <c r="C9811">
        <v>249000</v>
      </c>
      <c r="D9811">
        <v>31151.200000000001</v>
      </c>
      <c r="E9811">
        <v>6.9900000000000004E-2</v>
      </c>
      <c r="F9811">
        <v>7.5899999999999995E-2</v>
      </c>
    </row>
    <row r="9812" spans="1:6" x14ac:dyDescent="0.3">
      <c r="A9812" t="s">
        <v>9847</v>
      </c>
      <c r="B9812" t="s">
        <v>50</v>
      </c>
      <c r="C9812">
        <v>158000</v>
      </c>
      <c r="D9812">
        <v>12113.2</v>
      </c>
      <c r="E9812">
        <v>4.2500000000000003E-2</v>
      </c>
      <c r="F9812">
        <v>9.3799999999999994E-2</v>
      </c>
    </row>
    <row r="9813" spans="1:6" x14ac:dyDescent="0.3">
      <c r="A9813" t="s">
        <v>9848</v>
      </c>
      <c r="B9813" t="s">
        <v>21</v>
      </c>
      <c r="C9813">
        <v>188000</v>
      </c>
      <c r="D9813">
        <v>381.9</v>
      </c>
      <c r="E9813">
        <v>4.5999999999999999E-2</v>
      </c>
      <c r="F9813">
        <v>5.0999999999999997E-2</v>
      </c>
    </row>
    <row r="9814" spans="1:6" x14ac:dyDescent="0.3">
      <c r="A9814" t="s">
        <v>9849</v>
      </c>
      <c r="B9814" t="s">
        <v>26</v>
      </c>
      <c r="C9814">
        <v>145000</v>
      </c>
      <c r="D9814">
        <v>1679</v>
      </c>
      <c r="E9814">
        <v>3.6799999999999999E-2</v>
      </c>
      <c r="F9814">
        <v>0.30420000000000003</v>
      </c>
    </row>
    <row r="9815" spans="1:6" x14ac:dyDescent="0.3">
      <c r="A9815" t="s">
        <v>9850</v>
      </c>
      <c r="B9815" t="s">
        <v>214</v>
      </c>
      <c r="C9815">
        <v>146000</v>
      </c>
      <c r="D9815">
        <v>655</v>
      </c>
      <c r="E9815">
        <v>6.6600000000000006E-2</v>
      </c>
      <c r="F9815">
        <v>0.12429999999999999</v>
      </c>
    </row>
    <row r="9816" spans="1:6" x14ac:dyDescent="0.3">
      <c r="A9816" t="s">
        <v>9851</v>
      </c>
      <c r="B9816" t="s">
        <v>92</v>
      </c>
      <c r="C9816">
        <v>182000</v>
      </c>
      <c r="D9816">
        <v>8216.9</v>
      </c>
      <c r="E9816">
        <v>3.0200000000000001E-2</v>
      </c>
      <c r="F9816">
        <v>7.5899999999999995E-2</v>
      </c>
    </row>
    <row r="9817" spans="1:6" x14ac:dyDescent="0.3">
      <c r="A9817" t="s">
        <v>9852</v>
      </c>
      <c r="B9817" t="s">
        <v>214</v>
      </c>
      <c r="C9817">
        <v>198000</v>
      </c>
      <c r="D9817">
        <v>4580.2</v>
      </c>
      <c r="E9817">
        <v>7.6E-3</v>
      </c>
      <c r="F9817">
        <v>8.2199999999999995E-2</v>
      </c>
    </row>
    <row r="9818" spans="1:6" x14ac:dyDescent="0.3">
      <c r="A9818" t="s">
        <v>9853</v>
      </c>
      <c r="B9818" t="s">
        <v>26</v>
      </c>
      <c r="C9818">
        <v>205000</v>
      </c>
      <c r="D9818">
        <v>9979.7999999999993</v>
      </c>
      <c r="E9818">
        <v>2.7E-2</v>
      </c>
      <c r="F9818">
        <v>7.5899999999999995E-2</v>
      </c>
    </row>
    <row r="9819" spans="1:6" x14ac:dyDescent="0.3">
      <c r="A9819" t="s">
        <v>9854</v>
      </c>
      <c r="B9819" t="s">
        <v>41</v>
      </c>
      <c r="C9819">
        <v>153000</v>
      </c>
      <c r="D9819">
        <v>1494.7</v>
      </c>
      <c r="E9819">
        <v>5.8599999999999999E-2</v>
      </c>
      <c r="F9819">
        <v>9.5100000000000004E-2</v>
      </c>
    </row>
    <row r="9820" spans="1:6" x14ac:dyDescent="0.3">
      <c r="A9820" t="s">
        <v>9855</v>
      </c>
      <c r="B9820" t="s">
        <v>26</v>
      </c>
      <c r="C9820">
        <v>183000</v>
      </c>
      <c r="D9820">
        <v>267903.2</v>
      </c>
      <c r="E9820">
        <v>8.0000000000000002E-3</v>
      </c>
      <c r="F9820">
        <v>8.2199999999999995E-2</v>
      </c>
    </row>
    <row r="9821" spans="1:6" x14ac:dyDescent="0.3">
      <c r="A9821" t="s">
        <v>9856</v>
      </c>
      <c r="B9821" t="s">
        <v>24</v>
      </c>
      <c r="C9821">
        <v>329000</v>
      </c>
      <c r="D9821">
        <v>127062.9</v>
      </c>
      <c r="E9821">
        <v>1.72E-2</v>
      </c>
      <c r="F9821">
        <v>0.1067</v>
      </c>
    </row>
    <row r="9822" spans="1:6" x14ac:dyDescent="0.3">
      <c r="A9822" t="s">
        <v>9857</v>
      </c>
      <c r="B9822" t="s">
        <v>26</v>
      </c>
      <c r="C9822">
        <v>155000</v>
      </c>
      <c r="D9822">
        <v>9775</v>
      </c>
      <c r="E9822">
        <v>2.18E-2</v>
      </c>
      <c r="F9822">
        <v>0.1067</v>
      </c>
    </row>
    <row r="9823" spans="1:6" x14ac:dyDescent="0.3">
      <c r="A9823" t="s">
        <v>9858</v>
      </c>
      <c r="B9823" t="s">
        <v>26</v>
      </c>
      <c r="C9823">
        <v>158000</v>
      </c>
      <c r="D9823">
        <v>959.3</v>
      </c>
      <c r="F9823">
        <v>5.1799999999999999E-2</v>
      </c>
    </row>
    <row r="9824" spans="1:6" x14ac:dyDescent="0.3">
      <c r="A9824" t="s">
        <v>9859</v>
      </c>
      <c r="B9824" t="s">
        <v>26</v>
      </c>
      <c r="C9824">
        <v>265000</v>
      </c>
      <c r="D9824">
        <v>9632</v>
      </c>
      <c r="E9824">
        <v>4.19E-2</v>
      </c>
      <c r="F9824">
        <v>7.5899999999999995E-2</v>
      </c>
    </row>
    <row r="9825" spans="1:6" x14ac:dyDescent="0.3">
      <c r="A9825" t="s">
        <v>9860</v>
      </c>
      <c r="B9825" t="s">
        <v>88</v>
      </c>
      <c r="C9825">
        <v>153000</v>
      </c>
      <c r="D9825">
        <v>511.2</v>
      </c>
      <c r="E9825">
        <v>1.9800000000000002E-2</v>
      </c>
      <c r="F9825">
        <v>0.1067</v>
      </c>
    </row>
    <row r="9826" spans="1:6" x14ac:dyDescent="0.3">
      <c r="A9826" t="s">
        <v>9861</v>
      </c>
      <c r="B9826" t="s">
        <v>50</v>
      </c>
      <c r="C9826">
        <v>192000</v>
      </c>
      <c r="D9826">
        <v>14509.8</v>
      </c>
      <c r="E9826">
        <v>6.7799999999999999E-2</v>
      </c>
      <c r="F9826">
        <v>7.5899999999999995E-2</v>
      </c>
    </row>
    <row r="9827" spans="1:6" x14ac:dyDescent="0.3">
      <c r="A9827" t="s">
        <v>9862</v>
      </c>
      <c r="B9827" t="s">
        <v>24</v>
      </c>
      <c r="C9827">
        <v>160000</v>
      </c>
      <c r="D9827">
        <v>6420</v>
      </c>
      <c r="E9827">
        <v>7.3800000000000004E-2</v>
      </c>
      <c r="F9827">
        <v>9.5100000000000004E-2</v>
      </c>
    </row>
    <row r="9828" spans="1:6" x14ac:dyDescent="0.3">
      <c r="A9828" t="s">
        <v>9863</v>
      </c>
      <c r="B9828" t="s">
        <v>490</v>
      </c>
      <c r="C9828">
        <v>189000</v>
      </c>
      <c r="D9828">
        <v>9919.6</v>
      </c>
      <c r="E9828">
        <v>2.5700000000000001E-2</v>
      </c>
      <c r="F9828">
        <v>7.5899999999999995E-2</v>
      </c>
    </row>
    <row r="9829" spans="1:6" x14ac:dyDescent="0.3">
      <c r="A9829" t="s">
        <v>9864</v>
      </c>
      <c r="B9829" t="s">
        <v>26</v>
      </c>
      <c r="C9829">
        <v>199000</v>
      </c>
      <c r="D9829">
        <v>5604</v>
      </c>
      <c r="E9829">
        <v>2.7099999999999999E-2</v>
      </c>
      <c r="F9829">
        <v>7.5899999999999995E-2</v>
      </c>
    </row>
    <row r="9830" spans="1:6" x14ac:dyDescent="0.3">
      <c r="A9830" t="s">
        <v>9865</v>
      </c>
      <c r="B9830" t="s">
        <v>53</v>
      </c>
      <c r="C9830">
        <v>200000</v>
      </c>
      <c r="D9830">
        <v>22955.200000000001</v>
      </c>
      <c r="E9830">
        <v>3.6700000000000003E-2</v>
      </c>
      <c r="F9830">
        <v>7.5899999999999995E-2</v>
      </c>
    </row>
    <row r="9831" spans="1:6" x14ac:dyDescent="0.3">
      <c r="A9831" t="s">
        <v>9866</v>
      </c>
      <c r="B9831" t="s">
        <v>71</v>
      </c>
      <c r="C9831">
        <v>149000</v>
      </c>
      <c r="D9831">
        <v>7684.6</v>
      </c>
      <c r="E9831">
        <v>3.5200000000000002E-2</v>
      </c>
      <c r="F9831">
        <v>9.5100000000000004E-2</v>
      </c>
    </row>
    <row r="9832" spans="1:6" x14ac:dyDescent="0.3">
      <c r="A9832" t="s">
        <v>9867</v>
      </c>
      <c r="B9832" t="s">
        <v>71</v>
      </c>
      <c r="C9832">
        <v>186000</v>
      </c>
      <c r="D9832">
        <v>185.6</v>
      </c>
      <c r="E9832">
        <v>1.83E-2</v>
      </c>
      <c r="F9832">
        <v>0.1119</v>
      </c>
    </row>
    <row r="9833" spans="1:6" x14ac:dyDescent="0.3">
      <c r="A9833" t="s">
        <v>9868</v>
      </c>
      <c r="B9833" t="s">
        <v>195</v>
      </c>
      <c r="C9833">
        <v>245000</v>
      </c>
      <c r="D9833">
        <v>3489.9</v>
      </c>
      <c r="E9833">
        <v>1.0500000000000001E-2</v>
      </c>
      <c r="F9833">
        <v>6.54E-2</v>
      </c>
    </row>
    <row r="9834" spans="1:6" x14ac:dyDescent="0.3">
      <c r="A9834" t="s">
        <v>9869</v>
      </c>
      <c r="B9834" t="s">
        <v>214</v>
      </c>
      <c r="C9834">
        <v>150000</v>
      </c>
      <c r="D9834">
        <v>13304.2</v>
      </c>
      <c r="E9834">
        <v>1.0699999999999999E-2</v>
      </c>
      <c r="F9834">
        <v>0.18060000000000001</v>
      </c>
    </row>
    <row r="9835" spans="1:6" x14ac:dyDescent="0.3">
      <c r="A9835" t="s">
        <v>9870</v>
      </c>
      <c r="B9835" t="s">
        <v>287</v>
      </c>
      <c r="C9835">
        <v>237000</v>
      </c>
      <c r="D9835">
        <v>2809.6</v>
      </c>
      <c r="E9835">
        <v>7.0000000000000001E-3</v>
      </c>
      <c r="F9835">
        <v>8.1100000000000005E-2</v>
      </c>
    </row>
    <row r="9836" spans="1:6" x14ac:dyDescent="0.3">
      <c r="A9836" t="s">
        <v>9871</v>
      </c>
      <c r="B9836" t="s">
        <v>74</v>
      </c>
      <c r="C9836">
        <v>175000</v>
      </c>
      <c r="D9836">
        <v>633</v>
      </c>
      <c r="E9836">
        <v>5.5300000000000002E-2</v>
      </c>
      <c r="F9836">
        <v>7.5899999999999995E-2</v>
      </c>
    </row>
    <row r="9837" spans="1:6" x14ac:dyDescent="0.3">
      <c r="A9837" t="s">
        <v>9872</v>
      </c>
      <c r="B9837" t="s">
        <v>26</v>
      </c>
      <c r="C9837">
        <v>239000</v>
      </c>
      <c r="D9837">
        <v>4239</v>
      </c>
      <c r="E9837">
        <v>4.6399999999999997E-2</v>
      </c>
      <c r="F9837">
        <v>9.5100000000000004E-2</v>
      </c>
    </row>
    <row r="9838" spans="1:6" x14ac:dyDescent="0.3">
      <c r="A9838" t="s">
        <v>9873</v>
      </c>
      <c r="B9838" t="s">
        <v>26</v>
      </c>
      <c r="C9838">
        <v>267000</v>
      </c>
      <c r="D9838">
        <v>257593.7</v>
      </c>
      <c r="E9838">
        <v>2.41E-2</v>
      </c>
      <c r="F9838">
        <v>4.0899999999999999E-2</v>
      </c>
    </row>
    <row r="9839" spans="1:6" x14ac:dyDescent="0.3">
      <c r="A9839" t="s">
        <v>9874</v>
      </c>
      <c r="B9839" t="s">
        <v>26</v>
      </c>
      <c r="C9839">
        <v>363000</v>
      </c>
      <c r="D9839">
        <v>11002</v>
      </c>
      <c r="E9839">
        <v>5.8500000000000003E-2</v>
      </c>
      <c r="F9839">
        <v>9.5100000000000004E-2</v>
      </c>
    </row>
    <row r="9840" spans="1:6" x14ac:dyDescent="0.3">
      <c r="A9840" t="s">
        <v>9875</v>
      </c>
      <c r="B9840" t="s">
        <v>24</v>
      </c>
      <c r="C9840">
        <v>225000</v>
      </c>
      <c r="D9840">
        <v>162363.29999999999</v>
      </c>
      <c r="E9840">
        <v>3.1699999999999999E-2</v>
      </c>
      <c r="F9840">
        <v>4.0899999999999999E-2</v>
      </c>
    </row>
    <row r="9841" spans="1:6" x14ac:dyDescent="0.3">
      <c r="A9841" t="s">
        <v>9876</v>
      </c>
      <c r="B9841" t="s">
        <v>41</v>
      </c>
      <c r="C9841">
        <v>154000</v>
      </c>
      <c r="D9841">
        <v>211.5</v>
      </c>
      <c r="E9841">
        <v>6.3E-3</v>
      </c>
      <c r="F9841">
        <v>0.39660000000000001</v>
      </c>
    </row>
    <row r="9842" spans="1:6" x14ac:dyDescent="0.3">
      <c r="A9842" t="s">
        <v>9877</v>
      </c>
      <c r="B9842" t="s">
        <v>287</v>
      </c>
      <c r="C9842">
        <v>594000</v>
      </c>
      <c r="D9842">
        <v>66670.100000000006</v>
      </c>
      <c r="E9842">
        <v>7.8100000000000003E-2</v>
      </c>
      <c r="F9842">
        <v>7.5899999999999995E-2</v>
      </c>
    </row>
    <row r="9843" spans="1:6" x14ac:dyDescent="0.3">
      <c r="A9843" t="s">
        <v>9878</v>
      </c>
      <c r="B9843" t="s">
        <v>88</v>
      </c>
      <c r="C9843">
        <v>224000</v>
      </c>
      <c r="D9843">
        <v>3436</v>
      </c>
      <c r="E9843">
        <v>5.4999999999999997E-3</v>
      </c>
      <c r="F9843">
        <v>8.2199999999999995E-2</v>
      </c>
    </row>
    <row r="9844" spans="1:6" x14ac:dyDescent="0.3">
      <c r="A9844" t="s">
        <v>9879</v>
      </c>
      <c r="B9844" t="s">
        <v>92</v>
      </c>
      <c r="C9844">
        <v>212000</v>
      </c>
      <c r="D9844">
        <v>3517.4</v>
      </c>
      <c r="E9844">
        <v>1.89E-2</v>
      </c>
      <c r="F9844">
        <v>0.13100000000000001</v>
      </c>
    </row>
    <row r="9845" spans="1:6" x14ac:dyDescent="0.3">
      <c r="A9845" t="s">
        <v>9880</v>
      </c>
      <c r="B9845" t="s">
        <v>195</v>
      </c>
      <c r="C9845">
        <v>151000</v>
      </c>
      <c r="D9845">
        <v>658.3</v>
      </c>
      <c r="E9845">
        <v>3.04E-2</v>
      </c>
      <c r="F9845">
        <v>0.30099999999999999</v>
      </c>
    </row>
    <row r="9846" spans="1:6" x14ac:dyDescent="0.3">
      <c r="A9846" t="s">
        <v>9881</v>
      </c>
      <c r="B9846" t="s">
        <v>88</v>
      </c>
      <c r="C9846">
        <v>184000</v>
      </c>
      <c r="D9846">
        <v>926</v>
      </c>
      <c r="E9846">
        <v>7.6300000000000007E-2</v>
      </c>
      <c r="F9846">
        <v>7.5899999999999995E-2</v>
      </c>
    </row>
    <row r="9847" spans="1:6" x14ac:dyDescent="0.3">
      <c r="A9847" t="s">
        <v>9882</v>
      </c>
      <c r="B9847" t="s">
        <v>88</v>
      </c>
      <c r="C9847">
        <v>155000</v>
      </c>
      <c r="D9847">
        <v>247.1</v>
      </c>
      <c r="E9847">
        <v>2.5899999999999999E-2</v>
      </c>
      <c r="F9847">
        <v>9.3799999999999994E-2</v>
      </c>
    </row>
    <row r="9848" spans="1:6" x14ac:dyDescent="0.3">
      <c r="A9848" t="s">
        <v>9883</v>
      </c>
      <c r="B9848" t="s">
        <v>62</v>
      </c>
      <c r="C9848">
        <v>156000</v>
      </c>
      <c r="D9848">
        <v>10606.3</v>
      </c>
      <c r="E9848">
        <v>9.6799999999999997E-2</v>
      </c>
      <c r="F9848">
        <v>9.5100000000000004E-2</v>
      </c>
    </row>
    <row r="9849" spans="1:6" x14ac:dyDescent="0.3">
      <c r="A9849" t="s">
        <v>9884</v>
      </c>
      <c r="B9849" t="s">
        <v>26</v>
      </c>
      <c r="C9849">
        <v>158000</v>
      </c>
      <c r="D9849">
        <v>67890.5</v>
      </c>
      <c r="E9849">
        <v>2.8799999999999999E-2</v>
      </c>
      <c r="F9849">
        <v>9.5100000000000004E-2</v>
      </c>
    </row>
    <row r="9850" spans="1:6" x14ac:dyDescent="0.3">
      <c r="A9850" t="s">
        <v>9885</v>
      </c>
      <c r="B9850" t="s">
        <v>26</v>
      </c>
      <c r="C9850">
        <v>318000</v>
      </c>
      <c r="D9850">
        <v>40718.1</v>
      </c>
      <c r="E9850">
        <v>1.84E-2</v>
      </c>
      <c r="F9850">
        <v>0.1053</v>
      </c>
    </row>
    <row r="9851" spans="1:6" x14ac:dyDescent="0.3">
      <c r="A9851" t="s">
        <v>9886</v>
      </c>
      <c r="B9851" t="s">
        <v>74</v>
      </c>
      <c r="C9851">
        <v>160000</v>
      </c>
      <c r="D9851">
        <v>5555.4</v>
      </c>
      <c r="E9851">
        <v>4.6899999999999997E-2</v>
      </c>
      <c r="F9851">
        <v>9.5100000000000004E-2</v>
      </c>
    </row>
    <row r="9852" spans="1:6" x14ac:dyDescent="0.3">
      <c r="A9852" t="s">
        <v>9887</v>
      </c>
      <c r="B9852" t="s">
        <v>214</v>
      </c>
      <c r="C9852">
        <v>343000</v>
      </c>
      <c r="D9852">
        <v>11101</v>
      </c>
      <c r="E9852">
        <v>5.8500000000000003E-2</v>
      </c>
      <c r="F9852">
        <v>7.5899999999999995E-2</v>
      </c>
    </row>
    <row r="9853" spans="1:6" x14ac:dyDescent="0.3">
      <c r="A9853" t="s">
        <v>9888</v>
      </c>
      <c r="B9853" t="s">
        <v>88</v>
      </c>
      <c r="C9853">
        <v>215000</v>
      </c>
      <c r="D9853">
        <v>2847.1</v>
      </c>
      <c r="E9853">
        <v>1.84E-2</v>
      </c>
      <c r="F9853">
        <v>7.2599999999999998E-2</v>
      </c>
    </row>
    <row r="9854" spans="1:6" x14ac:dyDescent="0.3">
      <c r="A9854" t="s">
        <v>9889</v>
      </c>
      <c r="B9854" t="s">
        <v>41</v>
      </c>
      <c r="C9854">
        <v>333000</v>
      </c>
      <c r="D9854">
        <v>32886.1</v>
      </c>
      <c r="E9854">
        <v>1.41E-2</v>
      </c>
      <c r="F9854">
        <v>0.13100000000000001</v>
      </c>
    </row>
    <row r="9855" spans="1:6" x14ac:dyDescent="0.3">
      <c r="A9855" t="s">
        <v>9890</v>
      </c>
      <c r="B9855" t="s">
        <v>71</v>
      </c>
      <c r="C9855">
        <v>232000</v>
      </c>
      <c r="D9855">
        <v>7975</v>
      </c>
      <c r="E9855">
        <v>3.8600000000000002E-2</v>
      </c>
      <c r="F9855">
        <v>7.5899999999999995E-2</v>
      </c>
    </row>
    <row r="9856" spans="1:6" x14ac:dyDescent="0.3">
      <c r="A9856" t="s">
        <v>9891</v>
      </c>
      <c r="B9856" t="s">
        <v>26</v>
      </c>
      <c r="C9856">
        <v>347000</v>
      </c>
      <c r="D9856">
        <v>1327.2</v>
      </c>
      <c r="E9856">
        <v>4.7000000000000002E-3</v>
      </c>
      <c r="F9856">
        <v>6.54E-2</v>
      </c>
    </row>
    <row r="9857" spans="1:6" x14ac:dyDescent="0.3">
      <c r="A9857" t="s">
        <v>9892</v>
      </c>
      <c r="B9857" t="s">
        <v>26</v>
      </c>
      <c r="C9857">
        <v>198000</v>
      </c>
      <c r="D9857">
        <v>2036.4</v>
      </c>
      <c r="E9857">
        <v>1.52E-2</v>
      </c>
      <c r="F9857">
        <v>0.1053</v>
      </c>
    </row>
    <row r="9858" spans="1:6" x14ac:dyDescent="0.3">
      <c r="A9858" t="s">
        <v>9893</v>
      </c>
      <c r="B9858" t="s">
        <v>92</v>
      </c>
      <c r="C9858">
        <v>149000</v>
      </c>
      <c r="D9858">
        <v>1237.2</v>
      </c>
      <c r="E9858">
        <v>1.06E-2</v>
      </c>
      <c r="F9858">
        <v>6.1600000000000002E-2</v>
      </c>
    </row>
    <row r="9859" spans="1:6" x14ac:dyDescent="0.3">
      <c r="A9859" t="s">
        <v>9894</v>
      </c>
      <c r="B9859" t="s">
        <v>35</v>
      </c>
      <c r="C9859">
        <v>168000</v>
      </c>
      <c r="D9859">
        <v>5969</v>
      </c>
      <c r="E9859">
        <v>8.5500000000000007E-2</v>
      </c>
      <c r="F9859">
        <v>9.3799999999999994E-2</v>
      </c>
    </row>
    <row r="9860" spans="1:6" x14ac:dyDescent="0.3">
      <c r="A9860" t="s">
        <v>9895</v>
      </c>
      <c r="B9860" t="s">
        <v>74</v>
      </c>
      <c r="C9860">
        <v>221000</v>
      </c>
      <c r="D9860">
        <v>1347.6</v>
      </c>
      <c r="E9860">
        <v>2.1899999999999999E-2</v>
      </c>
      <c r="F9860">
        <v>5.1799999999999999E-2</v>
      </c>
    </row>
    <row r="9861" spans="1:6" x14ac:dyDescent="0.3">
      <c r="A9861" t="s">
        <v>9896</v>
      </c>
      <c r="B9861" t="s">
        <v>74</v>
      </c>
      <c r="C9861">
        <v>164000</v>
      </c>
      <c r="D9861">
        <v>4383.6000000000004</v>
      </c>
      <c r="E9861">
        <v>1.8700000000000001E-2</v>
      </c>
      <c r="F9861">
        <v>6.1600000000000002E-2</v>
      </c>
    </row>
    <row r="9862" spans="1:6" x14ac:dyDescent="0.3">
      <c r="A9862" t="s">
        <v>9897</v>
      </c>
      <c r="B9862" t="s">
        <v>81</v>
      </c>
      <c r="C9862">
        <v>341000</v>
      </c>
      <c r="D9862">
        <v>8718.4</v>
      </c>
      <c r="E9862">
        <v>1.9900000000000001E-2</v>
      </c>
      <c r="F9862">
        <v>0.1053</v>
      </c>
    </row>
    <row r="9863" spans="1:6" x14ac:dyDescent="0.3">
      <c r="A9863" t="s">
        <v>9898</v>
      </c>
      <c r="B9863" t="s">
        <v>26</v>
      </c>
      <c r="C9863">
        <v>674000</v>
      </c>
      <c r="D9863">
        <v>17069.7</v>
      </c>
      <c r="E9863">
        <v>7.0599999999999996E-2</v>
      </c>
      <c r="F9863">
        <v>7.5899999999999995E-2</v>
      </c>
    </row>
    <row r="9864" spans="1:6" x14ac:dyDescent="0.3">
      <c r="A9864" t="s">
        <v>9899</v>
      </c>
      <c r="B9864" t="s">
        <v>81</v>
      </c>
      <c r="C9864">
        <v>154000</v>
      </c>
      <c r="D9864">
        <v>1775</v>
      </c>
      <c r="E9864">
        <v>1.7299999999999999E-2</v>
      </c>
      <c r="F9864">
        <v>0.1709</v>
      </c>
    </row>
    <row r="9865" spans="1:6" x14ac:dyDescent="0.3">
      <c r="A9865" t="s">
        <v>9900</v>
      </c>
      <c r="B9865" t="s">
        <v>214</v>
      </c>
      <c r="C9865">
        <v>152000</v>
      </c>
      <c r="D9865">
        <v>1971.7</v>
      </c>
      <c r="E9865">
        <v>1.41E-2</v>
      </c>
      <c r="F9865">
        <v>5.8500000000000003E-2</v>
      </c>
    </row>
    <row r="9866" spans="1:6" x14ac:dyDescent="0.3">
      <c r="A9866" t="s">
        <v>9901</v>
      </c>
      <c r="B9866" t="s">
        <v>71</v>
      </c>
      <c r="C9866">
        <v>201000</v>
      </c>
      <c r="D9866">
        <v>2843.8</v>
      </c>
      <c r="E9866">
        <v>2.8500000000000001E-2</v>
      </c>
      <c r="F9866">
        <v>7.5899999999999995E-2</v>
      </c>
    </row>
    <row r="9867" spans="1:6" x14ac:dyDescent="0.3">
      <c r="A9867" t="s">
        <v>9902</v>
      </c>
      <c r="B9867" t="s">
        <v>50</v>
      </c>
      <c r="C9867">
        <v>176000</v>
      </c>
      <c r="D9867">
        <v>8085.1</v>
      </c>
      <c r="E9867">
        <v>0.1153</v>
      </c>
      <c r="F9867">
        <v>7.5899999999999995E-2</v>
      </c>
    </row>
    <row r="9868" spans="1:6" x14ac:dyDescent="0.3">
      <c r="A9868" t="s">
        <v>9903</v>
      </c>
      <c r="B9868" t="s">
        <v>71</v>
      </c>
      <c r="C9868">
        <v>160000</v>
      </c>
      <c r="D9868">
        <v>439.7</v>
      </c>
      <c r="E9868">
        <v>7.1000000000000004E-3</v>
      </c>
      <c r="F9868">
        <v>0.29389999999999999</v>
      </c>
    </row>
    <row r="9869" spans="1:6" x14ac:dyDescent="0.3">
      <c r="A9869" t="s">
        <v>9904</v>
      </c>
      <c r="B9869" t="s">
        <v>62</v>
      </c>
      <c r="C9869">
        <v>159000</v>
      </c>
      <c r="D9869">
        <v>11868</v>
      </c>
      <c r="E9869">
        <v>4.65E-2</v>
      </c>
      <c r="F9869">
        <v>0.12429999999999999</v>
      </c>
    </row>
    <row r="9870" spans="1:6" x14ac:dyDescent="0.3">
      <c r="A9870" t="s">
        <v>9905</v>
      </c>
      <c r="B9870" t="s">
        <v>92</v>
      </c>
      <c r="C9870">
        <v>184000</v>
      </c>
      <c r="D9870">
        <v>1972.4</v>
      </c>
      <c r="E9870">
        <v>1.9300000000000001E-2</v>
      </c>
      <c r="F9870">
        <v>0.38679999999999998</v>
      </c>
    </row>
    <row r="9871" spans="1:6" x14ac:dyDescent="0.3">
      <c r="A9871" t="s">
        <v>9906</v>
      </c>
      <c r="B9871" t="s">
        <v>74</v>
      </c>
      <c r="C9871">
        <v>153000</v>
      </c>
      <c r="D9871">
        <v>977.9</v>
      </c>
      <c r="E9871">
        <v>1.6500000000000001E-2</v>
      </c>
      <c r="F9871">
        <v>0.13100000000000001</v>
      </c>
    </row>
    <row r="9872" spans="1:6" x14ac:dyDescent="0.3">
      <c r="A9872" t="s">
        <v>9907</v>
      </c>
      <c r="B9872" t="s">
        <v>214</v>
      </c>
      <c r="C9872">
        <v>177000</v>
      </c>
      <c r="D9872">
        <v>189694.6</v>
      </c>
      <c r="E9872">
        <v>4.7E-2</v>
      </c>
      <c r="F9872">
        <v>9.5100000000000004E-2</v>
      </c>
    </row>
    <row r="9873" spans="1:6" x14ac:dyDescent="0.3">
      <c r="A9873" t="s">
        <v>9908</v>
      </c>
      <c r="B9873" t="s">
        <v>26</v>
      </c>
      <c r="C9873">
        <v>204000</v>
      </c>
      <c r="D9873">
        <v>3915.5</v>
      </c>
      <c r="E9873">
        <v>2.63E-2</v>
      </c>
      <c r="F9873">
        <v>9.5100000000000004E-2</v>
      </c>
    </row>
    <row r="9874" spans="1:6" x14ac:dyDescent="0.3">
      <c r="A9874" t="s">
        <v>9909</v>
      </c>
      <c r="B9874" t="s">
        <v>81</v>
      </c>
      <c r="C9874">
        <v>149000</v>
      </c>
      <c r="D9874">
        <v>1251.8</v>
      </c>
      <c r="E9874">
        <v>2.4899999999999999E-2</v>
      </c>
      <c r="F9874">
        <v>9.5100000000000004E-2</v>
      </c>
    </row>
    <row r="9875" spans="1:6" x14ac:dyDescent="0.3">
      <c r="A9875" t="s">
        <v>9910</v>
      </c>
      <c r="B9875" t="s">
        <v>88</v>
      </c>
      <c r="C9875">
        <v>180000</v>
      </c>
      <c r="D9875">
        <v>289.5</v>
      </c>
      <c r="E9875">
        <v>1.6299999999999999E-2</v>
      </c>
      <c r="F9875">
        <v>0.58779999999999999</v>
      </c>
    </row>
    <row r="9876" spans="1:6" x14ac:dyDescent="0.3">
      <c r="A9876" t="s">
        <v>9911</v>
      </c>
      <c r="B9876" t="s">
        <v>26</v>
      </c>
      <c r="C9876">
        <v>249000</v>
      </c>
      <c r="D9876">
        <v>34537.5</v>
      </c>
      <c r="E9876">
        <v>2.4299999999999999E-2</v>
      </c>
      <c r="F9876">
        <v>7.5899999999999995E-2</v>
      </c>
    </row>
    <row r="9877" spans="1:6" x14ac:dyDescent="0.3">
      <c r="A9877" t="s">
        <v>9912</v>
      </c>
      <c r="B9877" t="s">
        <v>81</v>
      </c>
      <c r="C9877">
        <v>173000</v>
      </c>
      <c r="D9877">
        <v>87.2</v>
      </c>
      <c r="E9877">
        <v>6.54E-2</v>
      </c>
      <c r="F9877">
        <v>9.3799999999999994E-2</v>
      </c>
    </row>
    <row r="9878" spans="1:6" x14ac:dyDescent="0.3">
      <c r="A9878" t="s">
        <v>9913</v>
      </c>
      <c r="B9878" t="s">
        <v>32</v>
      </c>
      <c r="C9878">
        <v>409000</v>
      </c>
      <c r="D9878">
        <v>141384.1</v>
      </c>
      <c r="E9878">
        <v>1.37E-2</v>
      </c>
      <c r="F9878">
        <v>7.3599999999999999E-2</v>
      </c>
    </row>
    <row r="9879" spans="1:6" x14ac:dyDescent="0.3">
      <c r="A9879" t="s">
        <v>9914</v>
      </c>
      <c r="B9879" t="s">
        <v>26</v>
      </c>
      <c r="C9879">
        <v>155000</v>
      </c>
      <c r="D9879">
        <v>6906.7</v>
      </c>
      <c r="E9879">
        <v>1.66E-2</v>
      </c>
      <c r="F9879">
        <v>0.1067</v>
      </c>
    </row>
    <row r="9880" spans="1:6" x14ac:dyDescent="0.3">
      <c r="A9880" t="s">
        <v>9915</v>
      </c>
      <c r="B9880" t="s">
        <v>88</v>
      </c>
      <c r="C9880">
        <v>153000</v>
      </c>
      <c r="D9880">
        <v>2409.1</v>
      </c>
      <c r="E9880">
        <v>5.6599999999999998E-2</v>
      </c>
      <c r="F9880">
        <v>7.5899999999999995E-2</v>
      </c>
    </row>
    <row r="9881" spans="1:6" x14ac:dyDescent="0.3">
      <c r="A9881" t="s">
        <v>9916</v>
      </c>
      <c r="B9881" t="s">
        <v>53</v>
      </c>
      <c r="C9881">
        <v>152000</v>
      </c>
      <c r="D9881">
        <v>894.8</v>
      </c>
      <c r="E9881">
        <v>1.18E-2</v>
      </c>
      <c r="F9881">
        <v>7.2599999999999998E-2</v>
      </c>
    </row>
    <row r="9882" spans="1:6" x14ac:dyDescent="0.3">
      <c r="A9882" t="s">
        <v>9917</v>
      </c>
      <c r="B9882" t="s">
        <v>26</v>
      </c>
      <c r="C9882">
        <v>169000</v>
      </c>
      <c r="D9882">
        <v>32784.5</v>
      </c>
      <c r="E9882">
        <v>4.3400000000000001E-2</v>
      </c>
      <c r="F9882">
        <v>9.3799999999999994E-2</v>
      </c>
    </row>
    <row r="9883" spans="1:6" x14ac:dyDescent="0.3">
      <c r="A9883" t="s">
        <v>9918</v>
      </c>
      <c r="B9883" t="s">
        <v>50</v>
      </c>
      <c r="C9883">
        <v>320000</v>
      </c>
      <c r="D9883">
        <v>32596.799999999999</v>
      </c>
      <c r="E9883">
        <v>2.2800000000000001E-2</v>
      </c>
      <c r="F9883">
        <v>4.3200000000000002E-2</v>
      </c>
    </row>
    <row r="9884" spans="1:6" x14ac:dyDescent="0.3">
      <c r="A9884" t="s">
        <v>9919</v>
      </c>
      <c r="B9884" t="s">
        <v>81</v>
      </c>
      <c r="C9884">
        <v>262000</v>
      </c>
      <c r="D9884">
        <v>10536.9</v>
      </c>
      <c r="E9884">
        <v>4.1000000000000002E-2</v>
      </c>
      <c r="F9884">
        <v>7.5899999999999995E-2</v>
      </c>
    </row>
    <row r="9885" spans="1:6" x14ac:dyDescent="0.3">
      <c r="A9885" t="s">
        <v>9920</v>
      </c>
      <c r="B9885" t="s">
        <v>26</v>
      </c>
      <c r="C9885">
        <v>196000</v>
      </c>
      <c r="D9885">
        <v>13193.6</v>
      </c>
      <c r="E9885">
        <v>5.2999999999999999E-2</v>
      </c>
      <c r="F9885">
        <v>7.5899999999999995E-2</v>
      </c>
    </row>
    <row r="9886" spans="1:6" x14ac:dyDescent="0.3">
      <c r="A9886" t="s">
        <v>9921</v>
      </c>
      <c r="B9886" t="s">
        <v>50</v>
      </c>
      <c r="C9886">
        <v>281000</v>
      </c>
      <c r="D9886">
        <v>126363.5</v>
      </c>
      <c r="E9886">
        <v>2.9399999999999999E-2</v>
      </c>
      <c r="F9886">
        <v>9.5100000000000004E-2</v>
      </c>
    </row>
    <row r="9887" spans="1:6" x14ac:dyDescent="0.3">
      <c r="A9887" t="s">
        <v>9922</v>
      </c>
      <c r="B9887" t="s">
        <v>195</v>
      </c>
      <c r="C9887">
        <v>258000</v>
      </c>
      <c r="D9887">
        <v>22452.1</v>
      </c>
      <c r="E9887">
        <v>6.0000000000000001E-3</v>
      </c>
      <c r="F9887">
        <v>6.54E-2</v>
      </c>
    </row>
    <row r="9888" spans="1:6" x14ac:dyDescent="0.3">
      <c r="A9888" t="s">
        <v>9923</v>
      </c>
      <c r="B9888" t="s">
        <v>195</v>
      </c>
      <c r="C9888">
        <v>158000</v>
      </c>
      <c r="D9888">
        <v>5508.5</v>
      </c>
      <c r="F9888">
        <v>5.4600000000000003E-2</v>
      </c>
    </row>
    <row r="9889" spans="1:6" x14ac:dyDescent="0.3">
      <c r="A9889" t="s">
        <v>9924</v>
      </c>
      <c r="B9889" t="s">
        <v>41</v>
      </c>
      <c r="C9889">
        <v>153000</v>
      </c>
      <c r="D9889">
        <v>609.6</v>
      </c>
      <c r="E9889">
        <v>1.1299999999999999E-2</v>
      </c>
      <c r="F9889">
        <v>0.23430000000000001</v>
      </c>
    </row>
    <row r="9890" spans="1:6" x14ac:dyDescent="0.3">
      <c r="A9890" t="s">
        <v>9925</v>
      </c>
      <c r="B9890" t="s">
        <v>62</v>
      </c>
      <c r="C9890">
        <v>219000</v>
      </c>
      <c r="D9890">
        <v>3597.1</v>
      </c>
      <c r="E9890">
        <v>2.5100000000000001E-2</v>
      </c>
      <c r="F9890">
        <v>9.5100000000000004E-2</v>
      </c>
    </row>
    <row r="9891" spans="1:6" x14ac:dyDescent="0.3">
      <c r="A9891" t="s">
        <v>9926</v>
      </c>
      <c r="B9891" t="s">
        <v>62</v>
      </c>
      <c r="C9891">
        <v>177000</v>
      </c>
      <c r="D9891">
        <v>18496.7</v>
      </c>
      <c r="E9891">
        <v>2.9399999999999999E-2</v>
      </c>
      <c r="F9891">
        <v>9.5100000000000004E-2</v>
      </c>
    </row>
    <row r="9892" spans="1:6" x14ac:dyDescent="0.3">
      <c r="A9892" t="s">
        <v>9927</v>
      </c>
      <c r="B9892" t="s">
        <v>26</v>
      </c>
      <c r="C9892">
        <v>170000</v>
      </c>
      <c r="D9892">
        <v>10212.299999999999</v>
      </c>
      <c r="E9892">
        <v>1.8700000000000001E-2</v>
      </c>
      <c r="F9892">
        <v>5.8500000000000003E-2</v>
      </c>
    </row>
    <row r="9893" spans="1:6" x14ac:dyDescent="0.3">
      <c r="A9893" t="s">
        <v>9928</v>
      </c>
      <c r="B9893" t="s">
        <v>26</v>
      </c>
      <c r="C9893">
        <v>147000</v>
      </c>
      <c r="D9893">
        <v>412.7</v>
      </c>
      <c r="E9893">
        <v>2.3199999999999998E-2</v>
      </c>
      <c r="F9893">
        <v>0.38679999999999998</v>
      </c>
    </row>
    <row r="9894" spans="1:6" x14ac:dyDescent="0.3">
      <c r="A9894" t="s">
        <v>9929</v>
      </c>
      <c r="B9894" t="s">
        <v>88</v>
      </c>
      <c r="C9894">
        <v>173000</v>
      </c>
      <c r="D9894">
        <v>3070.1</v>
      </c>
      <c r="E9894">
        <v>5.3999999999999999E-2</v>
      </c>
      <c r="F9894">
        <v>7.5899999999999995E-2</v>
      </c>
    </row>
    <row r="9895" spans="1:6" x14ac:dyDescent="0.3">
      <c r="A9895" t="s">
        <v>9930</v>
      </c>
      <c r="B9895" t="s">
        <v>74</v>
      </c>
      <c r="C9895">
        <v>147000</v>
      </c>
      <c r="D9895">
        <v>3029.1</v>
      </c>
      <c r="E9895">
        <v>4.9099999999999998E-2</v>
      </c>
      <c r="F9895">
        <v>9.5100000000000004E-2</v>
      </c>
    </row>
    <row r="9896" spans="1:6" x14ac:dyDescent="0.3">
      <c r="A9896" t="s">
        <v>9931</v>
      </c>
      <c r="B9896" t="s">
        <v>81</v>
      </c>
      <c r="C9896">
        <v>233000</v>
      </c>
      <c r="D9896">
        <v>5431.9</v>
      </c>
      <c r="E9896">
        <v>3.3700000000000001E-2</v>
      </c>
      <c r="F9896">
        <v>4.3200000000000002E-2</v>
      </c>
    </row>
    <row r="9897" spans="1:6" x14ac:dyDescent="0.3">
      <c r="A9897" t="s">
        <v>9932</v>
      </c>
      <c r="B9897" t="s">
        <v>50</v>
      </c>
      <c r="C9897">
        <v>150000</v>
      </c>
      <c r="D9897">
        <v>26.7</v>
      </c>
      <c r="E9897">
        <v>6.4000000000000003E-3</v>
      </c>
      <c r="F9897">
        <v>0.21199999999999999</v>
      </c>
    </row>
    <row r="9898" spans="1:6" x14ac:dyDescent="0.3">
      <c r="A9898" t="s">
        <v>9933</v>
      </c>
      <c r="B9898" t="s">
        <v>74</v>
      </c>
      <c r="C9898">
        <v>498000</v>
      </c>
      <c r="D9898">
        <v>30523.4</v>
      </c>
      <c r="E9898">
        <v>5.11E-2</v>
      </c>
      <c r="F9898">
        <v>7.5899999999999995E-2</v>
      </c>
    </row>
    <row r="9899" spans="1:6" x14ac:dyDescent="0.3">
      <c r="A9899" t="s">
        <v>9934</v>
      </c>
      <c r="B9899" t="s">
        <v>92</v>
      </c>
      <c r="C9899">
        <v>147000</v>
      </c>
      <c r="D9899">
        <v>70284.800000000003</v>
      </c>
      <c r="E9899">
        <v>1.9599999999999999E-2</v>
      </c>
      <c r="F9899">
        <v>9.5100000000000004E-2</v>
      </c>
    </row>
    <row r="9900" spans="1:6" x14ac:dyDescent="0.3">
      <c r="A9900" t="s">
        <v>9935</v>
      </c>
      <c r="B9900" t="s">
        <v>24</v>
      </c>
      <c r="C9900">
        <v>174000</v>
      </c>
      <c r="D9900">
        <v>17585.3</v>
      </c>
      <c r="E9900">
        <v>2.24E-2</v>
      </c>
      <c r="F9900">
        <v>0.11849999999999999</v>
      </c>
    </row>
    <row r="9901" spans="1:6" x14ac:dyDescent="0.3">
      <c r="A9901" t="s">
        <v>9936</v>
      </c>
      <c r="B9901" t="s">
        <v>88</v>
      </c>
      <c r="C9901">
        <v>145000</v>
      </c>
      <c r="D9901">
        <v>1754.3</v>
      </c>
      <c r="E9901">
        <v>3.2099999999999997E-2</v>
      </c>
      <c r="F9901">
        <v>9.5100000000000004E-2</v>
      </c>
    </row>
    <row r="9902" spans="1:6" x14ac:dyDescent="0.3">
      <c r="A9902" t="s">
        <v>9937</v>
      </c>
      <c r="B9902" t="s">
        <v>74</v>
      </c>
      <c r="C9902">
        <v>146000</v>
      </c>
      <c r="D9902">
        <v>8753.9</v>
      </c>
      <c r="E9902">
        <v>9.8500000000000004E-2</v>
      </c>
      <c r="F9902">
        <v>0.11700000000000001</v>
      </c>
    </row>
    <row r="9903" spans="1:6" x14ac:dyDescent="0.3">
      <c r="A9903" t="s">
        <v>9938</v>
      </c>
      <c r="B9903" t="s">
        <v>26</v>
      </c>
      <c r="C9903">
        <v>173000</v>
      </c>
      <c r="D9903">
        <v>12634</v>
      </c>
      <c r="E9903">
        <v>1.54E-2</v>
      </c>
      <c r="F9903">
        <v>8.5400000000000004E-2</v>
      </c>
    </row>
    <row r="9904" spans="1:6" x14ac:dyDescent="0.3">
      <c r="A9904" t="s">
        <v>9939</v>
      </c>
      <c r="B9904" t="s">
        <v>26</v>
      </c>
      <c r="C9904">
        <v>160000</v>
      </c>
      <c r="D9904">
        <v>1186.2</v>
      </c>
      <c r="E9904">
        <v>1.3100000000000001E-2</v>
      </c>
      <c r="F9904">
        <v>0.13270000000000001</v>
      </c>
    </row>
    <row r="9905" spans="1:6" x14ac:dyDescent="0.3">
      <c r="A9905" t="s">
        <v>9940</v>
      </c>
      <c r="B9905" t="s">
        <v>26</v>
      </c>
      <c r="C9905">
        <v>147000</v>
      </c>
      <c r="D9905">
        <v>27832.3</v>
      </c>
      <c r="E9905">
        <v>2.3599999999999999E-2</v>
      </c>
      <c r="F9905">
        <v>9.5100000000000004E-2</v>
      </c>
    </row>
    <row r="9906" spans="1:6" x14ac:dyDescent="0.3">
      <c r="A9906" t="s">
        <v>9941</v>
      </c>
      <c r="B9906" t="s">
        <v>26</v>
      </c>
      <c r="C9906">
        <v>209000</v>
      </c>
      <c r="D9906">
        <v>37367</v>
      </c>
      <c r="E9906">
        <v>4.8899999999999999E-2</v>
      </c>
      <c r="F9906">
        <v>7.5899999999999995E-2</v>
      </c>
    </row>
    <row r="9907" spans="1:6" x14ac:dyDescent="0.3">
      <c r="A9907" t="s">
        <v>9942</v>
      </c>
      <c r="B9907" t="s">
        <v>74</v>
      </c>
      <c r="C9907">
        <v>152000</v>
      </c>
      <c r="D9907">
        <v>272.60000000000002</v>
      </c>
      <c r="E9907">
        <v>0.09</v>
      </c>
      <c r="F9907">
        <v>9.3799999999999994E-2</v>
      </c>
    </row>
    <row r="9908" spans="1:6" x14ac:dyDescent="0.3">
      <c r="A9908" t="s">
        <v>9943</v>
      </c>
      <c r="B9908" t="s">
        <v>88</v>
      </c>
      <c r="C9908">
        <v>166000</v>
      </c>
      <c r="D9908">
        <v>1988.9</v>
      </c>
      <c r="E9908">
        <v>9.5999999999999992E-3</v>
      </c>
      <c r="F9908">
        <v>0.1452</v>
      </c>
    </row>
    <row r="9909" spans="1:6" x14ac:dyDescent="0.3">
      <c r="A9909" t="s">
        <v>9944</v>
      </c>
      <c r="B9909" t="s">
        <v>41</v>
      </c>
      <c r="C9909">
        <v>199000</v>
      </c>
      <c r="D9909">
        <v>1033.5</v>
      </c>
      <c r="E9909">
        <v>4.2799999999999998E-2</v>
      </c>
      <c r="F9909">
        <v>7.5899999999999995E-2</v>
      </c>
    </row>
    <row r="9910" spans="1:6" x14ac:dyDescent="0.3">
      <c r="A9910" t="s">
        <v>9945</v>
      </c>
      <c r="B9910" t="s">
        <v>92</v>
      </c>
      <c r="C9910">
        <v>158000</v>
      </c>
      <c r="D9910">
        <v>812.9</v>
      </c>
      <c r="E9910">
        <v>4.99E-2</v>
      </c>
      <c r="F9910">
        <v>7.5899999999999995E-2</v>
      </c>
    </row>
    <row r="9911" spans="1:6" x14ac:dyDescent="0.3">
      <c r="A9911" t="s">
        <v>9946</v>
      </c>
      <c r="B9911" t="s">
        <v>41</v>
      </c>
      <c r="C9911">
        <v>1780000</v>
      </c>
      <c r="D9911">
        <v>3419.6</v>
      </c>
      <c r="E9911">
        <v>1.2800000000000001E-2</v>
      </c>
      <c r="F9911">
        <v>8.14E-2</v>
      </c>
    </row>
    <row r="9912" spans="1:6" x14ac:dyDescent="0.3">
      <c r="A9912" t="s">
        <v>9947</v>
      </c>
      <c r="B9912" t="s">
        <v>53</v>
      </c>
      <c r="C9912">
        <v>148000</v>
      </c>
      <c r="D9912">
        <v>10195.200000000001</v>
      </c>
      <c r="E9912">
        <v>0.13250000000000001</v>
      </c>
      <c r="F9912">
        <v>9.5100000000000004E-2</v>
      </c>
    </row>
    <row r="9913" spans="1:6" x14ac:dyDescent="0.3">
      <c r="A9913" t="s">
        <v>9948</v>
      </c>
      <c r="B9913" t="s">
        <v>88</v>
      </c>
      <c r="C9913">
        <v>150000</v>
      </c>
      <c r="D9913">
        <v>219.7</v>
      </c>
      <c r="E9913">
        <v>2.7900000000000001E-2</v>
      </c>
      <c r="F9913">
        <v>9.5100000000000004E-2</v>
      </c>
    </row>
    <row r="9914" spans="1:6" x14ac:dyDescent="0.3">
      <c r="A9914" t="s">
        <v>9949</v>
      </c>
      <c r="B9914" t="s">
        <v>88</v>
      </c>
      <c r="C9914">
        <v>165000</v>
      </c>
      <c r="D9914">
        <v>44771.6</v>
      </c>
      <c r="E9914">
        <v>3.15E-2</v>
      </c>
      <c r="F9914">
        <v>7.5899999999999995E-2</v>
      </c>
    </row>
    <row r="9915" spans="1:6" x14ac:dyDescent="0.3">
      <c r="A9915" t="s">
        <v>9950</v>
      </c>
      <c r="B9915" t="s">
        <v>26</v>
      </c>
      <c r="C9915">
        <v>157000</v>
      </c>
      <c r="D9915">
        <v>284</v>
      </c>
      <c r="E9915">
        <v>5.7700000000000001E-2</v>
      </c>
      <c r="F9915">
        <v>7.5899999999999995E-2</v>
      </c>
    </row>
    <row r="9916" spans="1:6" x14ac:dyDescent="0.3">
      <c r="A9916" t="s">
        <v>9951</v>
      </c>
      <c r="B9916" t="s">
        <v>62</v>
      </c>
      <c r="C9916">
        <v>160000</v>
      </c>
      <c r="D9916">
        <v>502.7</v>
      </c>
      <c r="E9916">
        <v>2.64E-2</v>
      </c>
      <c r="F9916">
        <v>0.1119</v>
      </c>
    </row>
    <row r="9917" spans="1:6" x14ac:dyDescent="0.3">
      <c r="A9917" t="s">
        <v>9952</v>
      </c>
      <c r="B9917" t="s">
        <v>195</v>
      </c>
      <c r="C9917">
        <v>146000</v>
      </c>
      <c r="D9917">
        <v>961.4</v>
      </c>
      <c r="E9917">
        <v>6.6E-3</v>
      </c>
      <c r="F9917">
        <v>6.54E-2</v>
      </c>
    </row>
    <row r="9918" spans="1:6" x14ac:dyDescent="0.3">
      <c r="A9918" t="s">
        <v>9953</v>
      </c>
      <c r="B9918" t="s">
        <v>26</v>
      </c>
      <c r="C9918">
        <v>145000</v>
      </c>
      <c r="D9918">
        <v>7391.2</v>
      </c>
      <c r="E9918">
        <v>1.0200000000000001E-2</v>
      </c>
      <c r="F9918">
        <v>8.2199999999999995E-2</v>
      </c>
    </row>
    <row r="9919" spans="1:6" x14ac:dyDescent="0.3">
      <c r="A9919" t="s">
        <v>9954</v>
      </c>
      <c r="B9919" t="s">
        <v>26</v>
      </c>
      <c r="C9919">
        <v>175000</v>
      </c>
      <c r="D9919">
        <v>12783.8</v>
      </c>
      <c r="E9919">
        <v>8.7999999999999995E-2</v>
      </c>
      <c r="F9919">
        <v>9.5100000000000004E-2</v>
      </c>
    </row>
    <row r="9920" spans="1:6" x14ac:dyDescent="0.3">
      <c r="A9920" t="s">
        <v>9955</v>
      </c>
      <c r="B9920" t="s">
        <v>26</v>
      </c>
      <c r="C9920">
        <v>215000</v>
      </c>
      <c r="D9920">
        <v>26625.9</v>
      </c>
      <c r="E9920">
        <v>1.2E-2</v>
      </c>
      <c r="F9920">
        <v>9.5600000000000004E-2</v>
      </c>
    </row>
    <row r="9921" spans="1:6" x14ac:dyDescent="0.3">
      <c r="A9921" t="s">
        <v>9956</v>
      </c>
      <c r="B9921" t="s">
        <v>71</v>
      </c>
      <c r="C9921">
        <v>145000</v>
      </c>
      <c r="D9921">
        <v>70351.3</v>
      </c>
      <c r="E9921">
        <v>4.2200000000000001E-2</v>
      </c>
      <c r="F9921">
        <v>0.1535</v>
      </c>
    </row>
    <row r="9922" spans="1:6" x14ac:dyDescent="0.3">
      <c r="A9922" t="s">
        <v>9957</v>
      </c>
      <c r="B9922" t="s">
        <v>88</v>
      </c>
      <c r="C9922">
        <v>196000</v>
      </c>
      <c r="D9922">
        <v>377.6</v>
      </c>
      <c r="E9922">
        <v>0.12180000000000001</v>
      </c>
      <c r="F9922">
        <v>9.3799999999999994E-2</v>
      </c>
    </row>
    <row r="9923" spans="1:6" x14ac:dyDescent="0.3">
      <c r="A9923" t="s">
        <v>9958</v>
      </c>
      <c r="B9923" t="s">
        <v>74</v>
      </c>
      <c r="C9923">
        <v>181000</v>
      </c>
      <c r="D9923">
        <v>5576</v>
      </c>
      <c r="E9923">
        <v>2.7699999999999999E-2</v>
      </c>
      <c r="F9923">
        <v>7.5899999999999995E-2</v>
      </c>
    </row>
    <row r="9924" spans="1:6" x14ac:dyDescent="0.3">
      <c r="A9924" t="s">
        <v>9959</v>
      </c>
      <c r="B9924" t="s">
        <v>92</v>
      </c>
      <c r="C9924">
        <v>157000</v>
      </c>
      <c r="D9924">
        <v>89.6</v>
      </c>
      <c r="E9924">
        <v>6.7799999999999999E-2</v>
      </c>
      <c r="F9924">
        <v>7.5899999999999995E-2</v>
      </c>
    </row>
    <row r="9925" spans="1:6" x14ac:dyDescent="0.3">
      <c r="A9925" t="s">
        <v>9960</v>
      </c>
      <c r="B9925" t="s">
        <v>214</v>
      </c>
      <c r="C9925">
        <v>187000</v>
      </c>
      <c r="D9925">
        <v>1974.7</v>
      </c>
      <c r="E9925">
        <v>3.3099999999999997E-2</v>
      </c>
      <c r="F9925">
        <v>9.3799999999999994E-2</v>
      </c>
    </row>
    <row r="9926" spans="1:6" x14ac:dyDescent="0.3">
      <c r="A9926" t="s">
        <v>9961</v>
      </c>
      <c r="B9926" t="s">
        <v>26</v>
      </c>
      <c r="C9926">
        <v>153000</v>
      </c>
      <c r="D9926">
        <v>310</v>
      </c>
      <c r="E9926">
        <v>2.5499999999999998E-2</v>
      </c>
      <c r="F9926">
        <v>0.1067</v>
      </c>
    </row>
    <row r="9927" spans="1:6" x14ac:dyDescent="0.3">
      <c r="A9927" t="s">
        <v>9962</v>
      </c>
      <c r="B9927" t="s">
        <v>26</v>
      </c>
      <c r="C9927">
        <v>212000</v>
      </c>
      <c r="D9927">
        <v>35960.800000000003</v>
      </c>
      <c r="E9927">
        <v>5.1400000000000001E-2</v>
      </c>
      <c r="F9927">
        <v>9.3799999999999994E-2</v>
      </c>
    </row>
    <row r="9928" spans="1:6" x14ac:dyDescent="0.3">
      <c r="A9928" t="s">
        <v>9963</v>
      </c>
      <c r="B9928" t="s">
        <v>26</v>
      </c>
      <c r="C9928">
        <v>157000</v>
      </c>
      <c r="D9928">
        <v>808.7</v>
      </c>
      <c r="E9928">
        <v>3.6499999999999998E-2</v>
      </c>
      <c r="F9928">
        <v>5.1799999999999999E-2</v>
      </c>
    </row>
    <row r="9929" spans="1:6" x14ac:dyDescent="0.3">
      <c r="A9929" t="s">
        <v>9964</v>
      </c>
      <c r="B9929" t="s">
        <v>92</v>
      </c>
      <c r="C9929">
        <v>152000</v>
      </c>
      <c r="D9929">
        <v>4299.8</v>
      </c>
      <c r="E9929">
        <v>2.8799999999999999E-2</v>
      </c>
      <c r="F9929">
        <v>0.1239</v>
      </c>
    </row>
    <row r="9930" spans="1:6" x14ac:dyDescent="0.3">
      <c r="A9930" t="s">
        <v>9965</v>
      </c>
      <c r="B9930" t="s">
        <v>26</v>
      </c>
      <c r="C9930">
        <v>2170000</v>
      </c>
      <c r="D9930">
        <v>57240.5</v>
      </c>
      <c r="E9930">
        <v>1.12E-2</v>
      </c>
      <c r="F9930">
        <v>8.1100000000000005E-2</v>
      </c>
    </row>
    <row r="9931" spans="1:6" x14ac:dyDescent="0.3">
      <c r="A9931" t="s">
        <v>9966</v>
      </c>
      <c r="B9931" t="s">
        <v>26</v>
      </c>
      <c r="C9931">
        <v>221000</v>
      </c>
      <c r="F9931">
        <v>7.5899999999999995E-2</v>
      </c>
    </row>
    <row r="9932" spans="1:6" x14ac:dyDescent="0.3">
      <c r="A9932" t="s">
        <v>9967</v>
      </c>
      <c r="B9932" t="s">
        <v>74</v>
      </c>
      <c r="C9932">
        <v>170000</v>
      </c>
      <c r="D9932">
        <v>6411.9</v>
      </c>
      <c r="E9932">
        <v>4.3499999999999997E-2</v>
      </c>
      <c r="F9932">
        <v>9.5100000000000004E-2</v>
      </c>
    </row>
    <row r="9933" spans="1:6" x14ac:dyDescent="0.3">
      <c r="A9933" t="s">
        <v>9968</v>
      </c>
      <c r="B9933" t="s">
        <v>28</v>
      </c>
      <c r="C9933">
        <v>206000</v>
      </c>
      <c r="D9933">
        <v>125511.6</v>
      </c>
      <c r="E9933">
        <v>5.9999999999999995E-4</v>
      </c>
      <c r="F9933">
        <v>6.54E-2</v>
      </c>
    </row>
    <row r="9934" spans="1:6" x14ac:dyDescent="0.3">
      <c r="A9934" t="s">
        <v>9969</v>
      </c>
      <c r="B9934" t="s">
        <v>88</v>
      </c>
      <c r="C9934">
        <v>192000</v>
      </c>
      <c r="D9934">
        <v>7862.6</v>
      </c>
      <c r="E9934">
        <v>2.18E-2</v>
      </c>
      <c r="F9934">
        <v>9.5100000000000004E-2</v>
      </c>
    </row>
    <row r="9935" spans="1:6" x14ac:dyDescent="0.3">
      <c r="A9935" t="s">
        <v>9970</v>
      </c>
      <c r="B9935" t="s">
        <v>50</v>
      </c>
      <c r="C9935">
        <v>150000</v>
      </c>
      <c r="D9935">
        <v>308.7</v>
      </c>
      <c r="E9935">
        <v>7.1000000000000004E-3</v>
      </c>
      <c r="F9935">
        <v>0.2054</v>
      </c>
    </row>
    <row r="9936" spans="1:6" x14ac:dyDescent="0.3">
      <c r="A9936" t="s">
        <v>9971</v>
      </c>
      <c r="B9936" t="s">
        <v>88</v>
      </c>
      <c r="C9936">
        <v>203000</v>
      </c>
      <c r="D9936">
        <v>1268.5</v>
      </c>
      <c r="E9936">
        <v>3.3000000000000002E-2</v>
      </c>
      <c r="F9936">
        <v>7.5899999999999995E-2</v>
      </c>
    </row>
    <row r="9937" spans="1:6" x14ac:dyDescent="0.3">
      <c r="A9937" t="s">
        <v>9972</v>
      </c>
      <c r="B9937" t="s">
        <v>26</v>
      </c>
      <c r="C9937">
        <v>327000</v>
      </c>
      <c r="D9937">
        <v>40506.400000000001</v>
      </c>
      <c r="E9937">
        <v>3.0599999999999999E-2</v>
      </c>
      <c r="F9937">
        <v>5.1799999999999999E-2</v>
      </c>
    </row>
    <row r="9938" spans="1:6" x14ac:dyDescent="0.3">
      <c r="A9938" t="s">
        <v>9973</v>
      </c>
      <c r="B9938" t="s">
        <v>287</v>
      </c>
      <c r="C9938">
        <v>197000</v>
      </c>
      <c r="D9938">
        <v>9944.7999999999993</v>
      </c>
      <c r="E9938">
        <v>2.69E-2</v>
      </c>
      <c r="F9938">
        <v>7.5899999999999995E-2</v>
      </c>
    </row>
    <row r="9939" spans="1:6" x14ac:dyDescent="0.3">
      <c r="A9939" t="s">
        <v>9974</v>
      </c>
      <c r="B9939" t="s">
        <v>62</v>
      </c>
      <c r="C9939">
        <v>485000</v>
      </c>
      <c r="D9939">
        <v>44133.1</v>
      </c>
      <c r="E9939">
        <v>3.7100000000000001E-2</v>
      </c>
      <c r="F9939">
        <v>9.5100000000000004E-2</v>
      </c>
    </row>
    <row r="9940" spans="1:6" x14ac:dyDescent="0.3">
      <c r="A9940" t="s">
        <v>9975</v>
      </c>
      <c r="B9940" t="s">
        <v>41</v>
      </c>
      <c r="C9940">
        <v>178000</v>
      </c>
      <c r="D9940">
        <v>22802.6</v>
      </c>
      <c r="E9940">
        <v>2.7799999999999998E-2</v>
      </c>
      <c r="F9940">
        <v>9.5100000000000004E-2</v>
      </c>
    </row>
    <row r="9941" spans="1:6" x14ac:dyDescent="0.3">
      <c r="A9941" t="s">
        <v>9976</v>
      </c>
      <c r="B9941" t="s">
        <v>88</v>
      </c>
      <c r="C9941">
        <v>144000</v>
      </c>
      <c r="D9941">
        <v>212.9</v>
      </c>
      <c r="E9941">
        <v>1.03E-2</v>
      </c>
      <c r="F9941">
        <v>8.2199999999999995E-2</v>
      </c>
    </row>
    <row r="9942" spans="1:6" x14ac:dyDescent="0.3">
      <c r="A9942" t="s">
        <v>9977</v>
      </c>
      <c r="B9942" t="s">
        <v>41</v>
      </c>
      <c r="C9942">
        <v>145000</v>
      </c>
      <c r="D9942">
        <v>20173.7</v>
      </c>
      <c r="F9942">
        <v>5.1799999999999999E-2</v>
      </c>
    </row>
    <row r="9943" spans="1:6" x14ac:dyDescent="0.3">
      <c r="A9943" t="s">
        <v>9978</v>
      </c>
      <c r="B9943" t="s">
        <v>214</v>
      </c>
      <c r="C9943">
        <v>187000</v>
      </c>
      <c r="D9943">
        <v>590.9</v>
      </c>
      <c r="E9943">
        <v>2.06E-2</v>
      </c>
      <c r="F9943">
        <v>5.8500000000000003E-2</v>
      </c>
    </row>
    <row r="9944" spans="1:6" x14ac:dyDescent="0.3">
      <c r="A9944" t="s">
        <v>9979</v>
      </c>
      <c r="B9944" t="s">
        <v>26</v>
      </c>
      <c r="C9944">
        <v>148000</v>
      </c>
      <c r="D9944">
        <v>48062.400000000001</v>
      </c>
      <c r="E9944">
        <v>2.24E-2</v>
      </c>
      <c r="F9944">
        <v>9.5100000000000004E-2</v>
      </c>
    </row>
    <row r="9945" spans="1:6" x14ac:dyDescent="0.3">
      <c r="A9945" t="s">
        <v>9980</v>
      </c>
      <c r="B9945" t="s">
        <v>26</v>
      </c>
      <c r="C9945">
        <v>144000</v>
      </c>
      <c r="D9945">
        <v>5836.6</v>
      </c>
      <c r="E9945">
        <v>2.3699999999999999E-2</v>
      </c>
      <c r="F9945">
        <v>9.5100000000000004E-2</v>
      </c>
    </row>
    <row r="9946" spans="1:6" x14ac:dyDescent="0.3">
      <c r="A9946" t="s">
        <v>9981</v>
      </c>
      <c r="B9946" t="s">
        <v>81</v>
      </c>
      <c r="C9946">
        <v>152000</v>
      </c>
      <c r="D9946">
        <v>1100.3</v>
      </c>
      <c r="E9946">
        <v>1.1599999999999999E-2</v>
      </c>
      <c r="F9946">
        <v>5.8500000000000003E-2</v>
      </c>
    </row>
    <row r="9947" spans="1:6" x14ac:dyDescent="0.3">
      <c r="A9947" t="s">
        <v>9982</v>
      </c>
      <c r="B9947" t="s">
        <v>62</v>
      </c>
      <c r="C9947">
        <v>146000</v>
      </c>
      <c r="D9947">
        <v>335.1</v>
      </c>
      <c r="E9947">
        <v>5.7099999999999998E-2</v>
      </c>
      <c r="F9947">
        <v>9.5100000000000004E-2</v>
      </c>
    </row>
    <row r="9948" spans="1:6" x14ac:dyDescent="0.3">
      <c r="A9948" t="s">
        <v>9983</v>
      </c>
      <c r="B9948" t="s">
        <v>62</v>
      </c>
      <c r="C9948">
        <v>269000</v>
      </c>
      <c r="D9948">
        <v>83606.2</v>
      </c>
      <c r="E9948">
        <v>2.2700000000000001E-2</v>
      </c>
      <c r="F9948">
        <v>4.0899999999999999E-2</v>
      </c>
    </row>
    <row r="9949" spans="1:6" x14ac:dyDescent="0.3">
      <c r="A9949" t="s">
        <v>9984</v>
      </c>
      <c r="B9949" t="s">
        <v>26</v>
      </c>
      <c r="C9949">
        <v>207000</v>
      </c>
      <c r="D9949">
        <v>2036.9</v>
      </c>
      <c r="E9949">
        <v>3.1099999999999999E-2</v>
      </c>
      <c r="F9949">
        <v>7.5899999999999995E-2</v>
      </c>
    </row>
    <row r="9950" spans="1:6" x14ac:dyDescent="0.3">
      <c r="A9950" t="s">
        <v>9985</v>
      </c>
      <c r="B9950" t="s">
        <v>50</v>
      </c>
      <c r="C9950">
        <v>180000</v>
      </c>
      <c r="D9950">
        <v>1595.3</v>
      </c>
      <c r="E9950">
        <v>1.21E-2</v>
      </c>
      <c r="F9950">
        <v>8.1100000000000005E-2</v>
      </c>
    </row>
    <row r="9951" spans="1:6" x14ac:dyDescent="0.3">
      <c r="A9951" t="s">
        <v>9986</v>
      </c>
      <c r="B9951" t="s">
        <v>26</v>
      </c>
      <c r="C9951">
        <v>276000</v>
      </c>
      <c r="D9951">
        <v>667587.1</v>
      </c>
      <c r="F9951">
        <v>4.0899999999999999E-2</v>
      </c>
    </row>
    <row r="9952" spans="1:6" x14ac:dyDescent="0.3">
      <c r="A9952" t="s">
        <v>9987</v>
      </c>
      <c r="B9952" t="s">
        <v>41</v>
      </c>
      <c r="C9952">
        <v>141000</v>
      </c>
      <c r="D9952">
        <v>2115.6</v>
      </c>
      <c r="E9952">
        <v>1.18E-2</v>
      </c>
      <c r="F9952">
        <v>6.54E-2</v>
      </c>
    </row>
    <row r="9953" spans="1:6" x14ac:dyDescent="0.3">
      <c r="A9953" t="s">
        <v>9988</v>
      </c>
      <c r="B9953" t="s">
        <v>62</v>
      </c>
      <c r="C9953">
        <v>159000</v>
      </c>
      <c r="D9953">
        <v>1118.8</v>
      </c>
      <c r="E9953">
        <v>2.46E-2</v>
      </c>
      <c r="F9953">
        <v>9.5100000000000004E-2</v>
      </c>
    </row>
    <row r="9954" spans="1:6" x14ac:dyDescent="0.3">
      <c r="A9954" t="s">
        <v>9989</v>
      </c>
      <c r="B9954" t="s">
        <v>26</v>
      </c>
      <c r="C9954">
        <v>613000</v>
      </c>
      <c r="D9954">
        <v>8000.6</v>
      </c>
      <c r="E9954">
        <v>3.4500000000000003E-2</v>
      </c>
      <c r="F9954">
        <v>9.3799999999999994E-2</v>
      </c>
    </row>
    <row r="9955" spans="1:6" x14ac:dyDescent="0.3">
      <c r="A9955" t="s">
        <v>9990</v>
      </c>
      <c r="B9955" t="s">
        <v>24</v>
      </c>
      <c r="C9955">
        <v>211000</v>
      </c>
      <c r="D9955">
        <v>1139.5</v>
      </c>
      <c r="E9955">
        <v>3.27E-2</v>
      </c>
      <c r="F9955">
        <v>7.5899999999999995E-2</v>
      </c>
    </row>
    <row r="9956" spans="1:6" x14ac:dyDescent="0.3">
      <c r="A9956" t="s">
        <v>9991</v>
      </c>
      <c r="B9956" t="s">
        <v>92</v>
      </c>
      <c r="C9956">
        <v>169000</v>
      </c>
      <c r="D9956">
        <v>9689.7000000000007</v>
      </c>
      <c r="E9956">
        <v>2.8400000000000002E-2</v>
      </c>
      <c r="F9956">
        <v>9.5100000000000004E-2</v>
      </c>
    </row>
    <row r="9957" spans="1:6" x14ac:dyDescent="0.3">
      <c r="A9957" t="s">
        <v>9992</v>
      </c>
      <c r="B9957" t="s">
        <v>50</v>
      </c>
      <c r="C9957">
        <v>190000</v>
      </c>
      <c r="D9957">
        <v>23892</v>
      </c>
      <c r="E9957">
        <v>2.9100000000000001E-2</v>
      </c>
      <c r="F9957">
        <v>7.5899999999999995E-2</v>
      </c>
    </row>
    <row r="9958" spans="1:6" x14ac:dyDescent="0.3">
      <c r="A9958" t="s">
        <v>9993</v>
      </c>
      <c r="B9958" t="s">
        <v>71</v>
      </c>
      <c r="C9958">
        <v>193000</v>
      </c>
      <c r="D9958">
        <v>3480.8</v>
      </c>
      <c r="E9958">
        <v>4.3700000000000003E-2</v>
      </c>
      <c r="F9958">
        <v>9.3799999999999994E-2</v>
      </c>
    </row>
    <row r="9959" spans="1:6" x14ac:dyDescent="0.3">
      <c r="A9959" t="s">
        <v>9994</v>
      </c>
      <c r="B9959" t="s">
        <v>92</v>
      </c>
      <c r="C9959">
        <v>195000</v>
      </c>
      <c r="D9959">
        <v>2196.3000000000002</v>
      </c>
      <c r="E9959">
        <v>3.6600000000000001E-2</v>
      </c>
      <c r="F9959">
        <v>7.5899999999999995E-2</v>
      </c>
    </row>
    <row r="9960" spans="1:6" x14ac:dyDescent="0.3">
      <c r="A9960" t="s">
        <v>9995</v>
      </c>
      <c r="B9960" t="s">
        <v>26</v>
      </c>
      <c r="C9960">
        <v>188000</v>
      </c>
      <c r="D9960">
        <v>6308.2</v>
      </c>
      <c r="E9960">
        <v>3.27E-2</v>
      </c>
      <c r="F9960">
        <v>9.5100000000000004E-2</v>
      </c>
    </row>
    <row r="9961" spans="1:6" x14ac:dyDescent="0.3">
      <c r="A9961" t="s">
        <v>9996</v>
      </c>
      <c r="B9961" t="s">
        <v>71</v>
      </c>
      <c r="C9961">
        <v>159000</v>
      </c>
      <c r="D9961">
        <v>1379.6</v>
      </c>
      <c r="E9961">
        <v>5.1999999999999998E-2</v>
      </c>
      <c r="F9961">
        <v>0.11700000000000001</v>
      </c>
    </row>
    <row r="9962" spans="1:6" x14ac:dyDescent="0.3">
      <c r="A9962" t="s">
        <v>9997</v>
      </c>
      <c r="B9962" t="s">
        <v>74</v>
      </c>
      <c r="C9962">
        <v>290000</v>
      </c>
      <c r="D9962">
        <v>9725.7000000000007</v>
      </c>
      <c r="E9962">
        <v>2.1499999999999998E-2</v>
      </c>
      <c r="F9962">
        <v>7.5899999999999995E-2</v>
      </c>
    </row>
    <row r="9963" spans="1:6" x14ac:dyDescent="0.3">
      <c r="A9963" t="s">
        <v>9998</v>
      </c>
      <c r="B9963" t="s">
        <v>62</v>
      </c>
      <c r="C9963">
        <v>144000</v>
      </c>
      <c r="D9963">
        <v>922.6</v>
      </c>
      <c r="E9963">
        <v>7.3400000000000007E-2</v>
      </c>
      <c r="F9963">
        <v>0.2409</v>
      </c>
    </row>
    <row r="9964" spans="1:6" x14ac:dyDescent="0.3">
      <c r="A9964" t="s">
        <v>9999</v>
      </c>
      <c r="B9964" t="s">
        <v>26</v>
      </c>
      <c r="C9964">
        <v>146000</v>
      </c>
      <c r="D9964">
        <v>555.29999999999995</v>
      </c>
      <c r="E9964">
        <v>1.2800000000000001E-2</v>
      </c>
      <c r="F9964">
        <v>0.1027</v>
      </c>
    </row>
    <row r="9965" spans="1:6" x14ac:dyDescent="0.3">
      <c r="A9965" t="s">
        <v>10000</v>
      </c>
      <c r="B9965" t="s">
        <v>214</v>
      </c>
      <c r="C9965">
        <v>166000</v>
      </c>
      <c r="D9965">
        <v>1259</v>
      </c>
      <c r="E9965">
        <v>3.4200000000000001E-2</v>
      </c>
      <c r="F9965">
        <v>8.1299999999999997E-2</v>
      </c>
    </row>
    <row r="9966" spans="1:6" x14ac:dyDescent="0.3">
      <c r="A9966" t="s">
        <v>10001</v>
      </c>
      <c r="B9966" t="s">
        <v>21</v>
      </c>
      <c r="C9966">
        <v>181000</v>
      </c>
      <c r="D9966">
        <v>1320.2</v>
      </c>
      <c r="E9966">
        <v>1.15E-2</v>
      </c>
      <c r="F9966">
        <v>7.2999999999999995E-2</v>
      </c>
    </row>
    <row r="9967" spans="1:6" x14ac:dyDescent="0.3">
      <c r="A9967" t="s">
        <v>10002</v>
      </c>
      <c r="B9967" t="s">
        <v>74</v>
      </c>
      <c r="C9967">
        <v>194000</v>
      </c>
      <c r="D9967">
        <v>16095.9</v>
      </c>
      <c r="E9967">
        <v>1.46E-2</v>
      </c>
      <c r="F9967">
        <v>0.1067</v>
      </c>
    </row>
    <row r="9968" spans="1:6" x14ac:dyDescent="0.3">
      <c r="A9968" t="s">
        <v>10003</v>
      </c>
      <c r="B9968" t="s">
        <v>74</v>
      </c>
      <c r="C9968">
        <v>313000</v>
      </c>
      <c r="D9968">
        <v>27725.3</v>
      </c>
      <c r="E9968">
        <v>3.2500000000000001E-2</v>
      </c>
      <c r="F9968">
        <v>7.5899999999999995E-2</v>
      </c>
    </row>
    <row r="9969" spans="1:6" x14ac:dyDescent="0.3">
      <c r="A9969" t="s">
        <v>10004</v>
      </c>
      <c r="B9969" t="s">
        <v>74</v>
      </c>
      <c r="C9969">
        <v>133000</v>
      </c>
      <c r="D9969">
        <v>945</v>
      </c>
      <c r="E9969">
        <v>4.07E-2</v>
      </c>
      <c r="F9969">
        <v>9.5100000000000004E-2</v>
      </c>
    </row>
    <row r="9970" spans="1:6" x14ac:dyDescent="0.3">
      <c r="A9970" t="s">
        <v>10005</v>
      </c>
      <c r="B9970" t="s">
        <v>81</v>
      </c>
      <c r="C9970">
        <v>144000</v>
      </c>
      <c r="D9970">
        <v>51946.9</v>
      </c>
      <c r="E9970">
        <v>1.9900000000000001E-2</v>
      </c>
      <c r="F9970">
        <v>0.1067</v>
      </c>
    </row>
    <row r="9971" spans="1:6" x14ac:dyDescent="0.3">
      <c r="A9971" t="s">
        <v>10006</v>
      </c>
      <c r="B9971" t="s">
        <v>92</v>
      </c>
      <c r="C9971">
        <v>173000</v>
      </c>
      <c r="D9971">
        <v>44937.7</v>
      </c>
      <c r="E9971">
        <v>2.3099999999999999E-2</v>
      </c>
      <c r="F9971">
        <v>9.5100000000000004E-2</v>
      </c>
    </row>
    <row r="9972" spans="1:6" x14ac:dyDescent="0.3">
      <c r="A9972" t="s">
        <v>10007</v>
      </c>
      <c r="B9972" t="s">
        <v>88</v>
      </c>
      <c r="C9972">
        <v>118000</v>
      </c>
      <c r="D9972">
        <v>1591.5</v>
      </c>
      <c r="E9972">
        <v>3.4200000000000001E-2</v>
      </c>
      <c r="F9972">
        <v>9.5100000000000004E-2</v>
      </c>
    </row>
    <row r="9973" spans="1:6" x14ac:dyDescent="0.3">
      <c r="A9973" t="s">
        <v>10008</v>
      </c>
      <c r="B9973" t="s">
        <v>74</v>
      </c>
      <c r="C9973">
        <v>153000</v>
      </c>
      <c r="D9973">
        <v>122.9</v>
      </c>
      <c r="E9973">
        <v>2.35E-2</v>
      </c>
      <c r="F9973">
        <v>4.0899999999999999E-2</v>
      </c>
    </row>
    <row r="9974" spans="1:6" x14ac:dyDescent="0.3">
      <c r="A9974" t="s">
        <v>10009</v>
      </c>
      <c r="B9974" t="s">
        <v>26</v>
      </c>
      <c r="C9974">
        <v>140000</v>
      </c>
      <c r="D9974">
        <v>17954.8</v>
      </c>
      <c r="E9974">
        <v>4.3400000000000001E-2</v>
      </c>
      <c r="F9974">
        <v>9.5100000000000004E-2</v>
      </c>
    </row>
    <row r="9975" spans="1:6" x14ac:dyDescent="0.3">
      <c r="A9975" t="s">
        <v>10010</v>
      </c>
      <c r="B9975" t="s">
        <v>26</v>
      </c>
      <c r="C9975">
        <v>145000</v>
      </c>
      <c r="D9975">
        <v>1188.9000000000001</v>
      </c>
      <c r="E9975">
        <v>1.2999999999999999E-2</v>
      </c>
      <c r="F9975">
        <v>0.1027</v>
      </c>
    </row>
    <row r="9976" spans="1:6" x14ac:dyDescent="0.3">
      <c r="A9976" t="s">
        <v>10011</v>
      </c>
      <c r="B9976" t="s">
        <v>26</v>
      </c>
      <c r="C9976">
        <v>296000</v>
      </c>
      <c r="D9976">
        <v>160783</v>
      </c>
      <c r="E9976">
        <v>1.26E-2</v>
      </c>
      <c r="F9976">
        <v>5.8400000000000001E-2</v>
      </c>
    </row>
    <row r="9977" spans="1:6" x14ac:dyDescent="0.3">
      <c r="A9977" t="s">
        <v>10012</v>
      </c>
      <c r="B9977" t="s">
        <v>53</v>
      </c>
      <c r="C9977">
        <v>145000</v>
      </c>
      <c r="D9977">
        <v>36365.699999999997</v>
      </c>
      <c r="E9977">
        <v>7.7899999999999997E-2</v>
      </c>
      <c r="F9977">
        <v>9.5100000000000004E-2</v>
      </c>
    </row>
    <row r="9978" spans="1:6" x14ac:dyDescent="0.3">
      <c r="A9978" t="s">
        <v>10013</v>
      </c>
      <c r="B9978" t="s">
        <v>195</v>
      </c>
      <c r="C9978">
        <v>143000</v>
      </c>
      <c r="D9978">
        <v>559</v>
      </c>
      <c r="E9978">
        <v>9.4000000000000004E-3</v>
      </c>
      <c r="F9978">
        <v>8.1100000000000005E-2</v>
      </c>
    </row>
    <row r="9979" spans="1:6" x14ac:dyDescent="0.3">
      <c r="A9979" t="s">
        <v>10014</v>
      </c>
      <c r="B9979" t="s">
        <v>24</v>
      </c>
      <c r="C9979">
        <v>192000</v>
      </c>
      <c r="D9979">
        <v>1714.7</v>
      </c>
      <c r="E9979">
        <v>5.8700000000000002E-2</v>
      </c>
      <c r="F9979">
        <v>7.5899999999999995E-2</v>
      </c>
    </row>
    <row r="9980" spans="1:6" x14ac:dyDescent="0.3">
      <c r="A9980" t="s">
        <v>10015</v>
      </c>
      <c r="B9980" t="s">
        <v>26</v>
      </c>
      <c r="C9980">
        <v>142000</v>
      </c>
      <c r="D9980">
        <v>6135</v>
      </c>
      <c r="E9980">
        <v>5.2299999999999999E-2</v>
      </c>
      <c r="F9980">
        <v>9.5100000000000004E-2</v>
      </c>
    </row>
    <row r="9981" spans="1:6" x14ac:dyDescent="0.3">
      <c r="A9981" t="s">
        <v>10016</v>
      </c>
      <c r="B9981" t="s">
        <v>195</v>
      </c>
      <c r="C9981">
        <v>166000</v>
      </c>
      <c r="D9981">
        <v>2798.4</v>
      </c>
      <c r="E9981">
        <v>1.0999999999999999E-2</v>
      </c>
      <c r="F9981">
        <v>8.2100000000000006E-2</v>
      </c>
    </row>
    <row r="9982" spans="1:6" x14ac:dyDescent="0.3">
      <c r="A9982" t="s">
        <v>10017</v>
      </c>
      <c r="B9982" t="s">
        <v>26</v>
      </c>
      <c r="C9982">
        <v>153000</v>
      </c>
      <c r="D9982">
        <v>2886.9</v>
      </c>
      <c r="E9982">
        <v>1.2E-2</v>
      </c>
      <c r="F9982">
        <v>6.1600000000000002E-2</v>
      </c>
    </row>
    <row r="9983" spans="1:6" x14ac:dyDescent="0.3">
      <c r="A9983" t="s">
        <v>10018</v>
      </c>
      <c r="B9983" t="s">
        <v>41</v>
      </c>
      <c r="C9983">
        <v>396000</v>
      </c>
      <c r="D9983">
        <v>81151.600000000006</v>
      </c>
      <c r="E9983">
        <v>4.9799999999999997E-2</v>
      </c>
      <c r="F9983">
        <v>7.5899999999999995E-2</v>
      </c>
    </row>
    <row r="9984" spans="1:6" x14ac:dyDescent="0.3">
      <c r="A9984" t="s">
        <v>10019</v>
      </c>
      <c r="B9984" t="s">
        <v>88</v>
      </c>
      <c r="C9984">
        <v>168000</v>
      </c>
      <c r="D9984">
        <v>5378.4</v>
      </c>
      <c r="E9984">
        <v>2.9000000000000001E-2</v>
      </c>
      <c r="F9984">
        <v>7.5899999999999995E-2</v>
      </c>
    </row>
    <row r="9985" spans="1:6" x14ac:dyDescent="0.3">
      <c r="A9985" t="s">
        <v>10020</v>
      </c>
      <c r="B9985" t="s">
        <v>26</v>
      </c>
      <c r="C9985">
        <v>163000</v>
      </c>
      <c r="D9985">
        <v>45451.6</v>
      </c>
      <c r="E9985">
        <v>2.1700000000000001E-2</v>
      </c>
      <c r="F9985">
        <v>6.7199999999999996E-2</v>
      </c>
    </row>
    <row r="9986" spans="1:6" x14ac:dyDescent="0.3">
      <c r="A9986" t="s">
        <v>10021</v>
      </c>
      <c r="B9986" t="s">
        <v>26</v>
      </c>
      <c r="C9986">
        <v>151000</v>
      </c>
      <c r="D9986">
        <v>1376.2</v>
      </c>
      <c r="E9986">
        <v>8.9999999999999993E-3</v>
      </c>
      <c r="F9986">
        <v>8.2199999999999995E-2</v>
      </c>
    </row>
    <row r="9987" spans="1:6" x14ac:dyDescent="0.3">
      <c r="A9987" t="s">
        <v>10022</v>
      </c>
      <c r="B9987" t="s">
        <v>214</v>
      </c>
      <c r="C9987">
        <v>174000</v>
      </c>
      <c r="D9987">
        <v>2404.6999999999998</v>
      </c>
      <c r="E9987">
        <v>6.5199999999999994E-2</v>
      </c>
      <c r="F9987">
        <v>9.5100000000000004E-2</v>
      </c>
    </row>
    <row r="9988" spans="1:6" x14ac:dyDescent="0.3">
      <c r="A9988" t="s">
        <v>10023</v>
      </c>
      <c r="B9988" t="s">
        <v>195</v>
      </c>
      <c r="C9988">
        <v>144000</v>
      </c>
      <c r="D9988">
        <v>345.2</v>
      </c>
      <c r="E9988">
        <v>1.8599999999999998E-2</v>
      </c>
      <c r="F9988">
        <v>0.1067</v>
      </c>
    </row>
    <row r="9989" spans="1:6" x14ac:dyDescent="0.3">
      <c r="A9989" t="s">
        <v>10024</v>
      </c>
      <c r="B9989" t="s">
        <v>92</v>
      </c>
      <c r="C9989">
        <v>144000</v>
      </c>
      <c r="D9989">
        <v>5184.2</v>
      </c>
      <c r="E9989">
        <v>2.53E-2</v>
      </c>
      <c r="F9989">
        <v>9.5100000000000004E-2</v>
      </c>
    </row>
    <row r="9990" spans="1:6" x14ac:dyDescent="0.3">
      <c r="A9990" t="s">
        <v>10025</v>
      </c>
      <c r="B9990" t="s">
        <v>50</v>
      </c>
      <c r="C9990">
        <v>316000</v>
      </c>
      <c r="D9990">
        <v>23544.7</v>
      </c>
      <c r="E9990">
        <v>5.1999999999999998E-2</v>
      </c>
      <c r="F9990">
        <v>7.5899999999999995E-2</v>
      </c>
    </row>
    <row r="9991" spans="1:6" x14ac:dyDescent="0.3">
      <c r="A9991" t="s">
        <v>10026</v>
      </c>
      <c r="B9991" t="s">
        <v>26</v>
      </c>
      <c r="C9991">
        <v>176000</v>
      </c>
      <c r="D9991">
        <v>3232.6</v>
      </c>
      <c r="E9991">
        <v>2.53E-2</v>
      </c>
      <c r="F9991">
        <v>0.1053</v>
      </c>
    </row>
    <row r="9992" spans="1:6" x14ac:dyDescent="0.3">
      <c r="A9992" t="s">
        <v>10027</v>
      </c>
      <c r="B9992" t="s">
        <v>81</v>
      </c>
      <c r="C9992">
        <v>145000</v>
      </c>
      <c r="D9992">
        <v>529.1</v>
      </c>
      <c r="E9992">
        <v>7.1000000000000004E-3</v>
      </c>
      <c r="F9992">
        <v>8.2199999999999995E-2</v>
      </c>
    </row>
    <row r="9993" spans="1:6" x14ac:dyDescent="0.3">
      <c r="A9993" t="s">
        <v>10028</v>
      </c>
      <c r="B9993" t="s">
        <v>24</v>
      </c>
      <c r="C9993">
        <v>525000</v>
      </c>
      <c r="D9993">
        <v>13185.6</v>
      </c>
      <c r="E9993">
        <v>1.38E-2</v>
      </c>
      <c r="F9993">
        <v>5.8400000000000001E-2</v>
      </c>
    </row>
    <row r="9994" spans="1:6" x14ac:dyDescent="0.3">
      <c r="A9994" t="s">
        <v>10029</v>
      </c>
      <c r="B9994" t="s">
        <v>195</v>
      </c>
      <c r="C9994">
        <v>147000</v>
      </c>
      <c r="D9994">
        <v>2291.6999999999998</v>
      </c>
      <c r="E9994">
        <v>1.09E-2</v>
      </c>
      <c r="F9994">
        <v>0.1187</v>
      </c>
    </row>
    <row r="9995" spans="1:6" x14ac:dyDescent="0.3">
      <c r="A9995" t="s">
        <v>10030</v>
      </c>
      <c r="B9995" t="s">
        <v>26</v>
      </c>
      <c r="C9995">
        <v>141000</v>
      </c>
      <c r="D9995">
        <v>2677.8</v>
      </c>
      <c r="E9995">
        <v>2.29E-2</v>
      </c>
      <c r="F9995">
        <v>9.5100000000000004E-2</v>
      </c>
    </row>
    <row r="9996" spans="1:6" x14ac:dyDescent="0.3">
      <c r="A9996" t="s">
        <v>10031</v>
      </c>
      <c r="B9996" t="s">
        <v>88</v>
      </c>
      <c r="C9996">
        <v>548000</v>
      </c>
      <c r="D9996">
        <v>2410.5</v>
      </c>
      <c r="E9996">
        <v>5.6899999999999999E-2</v>
      </c>
      <c r="F9996">
        <v>7.5899999999999995E-2</v>
      </c>
    </row>
    <row r="9997" spans="1:6" x14ac:dyDescent="0.3">
      <c r="A9997" t="s">
        <v>10032</v>
      </c>
      <c r="B9997" t="s">
        <v>32</v>
      </c>
      <c r="C9997">
        <v>201000</v>
      </c>
      <c r="D9997">
        <v>126163.1</v>
      </c>
      <c r="E9997">
        <v>8.2100000000000006E-2</v>
      </c>
      <c r="F9997">
        <v>9.5100000000000004E-2</v>
      </c>
    </row>
    <row r="9998" spans="1:6" x14ac:dyDescent="0.3">
      <c r="A9998" t="s">
        <v>10033</v>
      </c>
      <c r="B9998" t="s">
        <v>88</v>
      </c>
      <c r="C9998">
        <v>210000</v>
      </c>
      <c r="D9998">
        <v>6919.9</v>
      </c>
      <c r="E9998">
        <v>7.9000000000000001E-2</v>
      </c>
      <c r="F9998">
        <v>7.5899999999999995E-2</v>
      </c>
    </row>
    <row r="9999" spans="1:6" x14ac:dyDescent="0.3">
      <c r="A9999" t="s">
        <v>10034</v>
      </c>
      <c r="B9999" t="s">
        <v>41</v>
      </c>
      <c r="C9999">
        <v>156000</v>
      </c>
      <c r="D9999">
        <v>600.70000000000005</v>
      </c>
      <c r="E9999">
        <v>1.0699999999999999E-2</v>
      </c>
      <c r="F9999">
        <v>8.1100000000000005E-2</v>
      </c>
    </row>
    <row r="10000" spans="1:6" x14ac:dyDescent="0.3">
      <c r="A10000" t="s">
        <v>10035</v>
      </c>
      <c r="B10000" t="s">
        <v>195</v>
      </c>
      <c r="C10000">
        <v>196000</v>
      </c>
      <c r="D10000">
        <v>9865.9</v>
      </c>
      <c r="E10000">
        <v>2.1100000000000001E-2</v>
      </c>
      <c r="F10000">
        <v>8.5400000000000004E-2</v>
      </c>
    </row>
    <row r="10001" spans="1:6" x14ac:dyDescent="0.3">
      <c r="A10001" t="s">
        <v>10036</v>
      </c>
      <c r="B10001" t="s">
        <v>24</v>
      </c>
      <c r="C10001">
        <v>189000</v>
      </c>
      <c r="D10001">
        <v>5822.4</v>
      </c>
      <c r="E10001">
        <v>4.87E-2</v>
      </c>
      <c r="F10001">
        <v>7.5899999999999995E-2</v>
      </c>
    </row>
    <row r="10002" spans="1:6" x14ac:dyDescent="0.3">
      <c r="A10002" t="s">
        <v>10037</v>
      </c>
      <c r="B10002" t="s">
        <v>88</v>
      </c>
      <c r="C10002">
        <v>488000</v>
      </c>
      <c r="D10002">
        <v>135191.70000000001</v>
      </c>
      <c r="E10002">
        <v>7.9200000000000007E-2</v>
      </c>
      <c r="F10002">
        <v>9.3799999999999994E-2</v>
      </c>
    </row>
    <row r="10003" spans="1:6" x14ac:dyDescent="0.3">
      <c r="A10003" t="s">
        <v>10038</v>
      </c>
      <c r="B10003" t="s">
        <v>41</v>
      </c>
      <c r="C10003">
        <v>183000</v>
      </c>
      <c r="D10003">
        <v>644.5</v>
      </c>
      <c r="E10003">
        <v>7.2400000000000006E-2</v>
      </c>
      <c r="F10003">
        <v>9.3799999999999994E-2</v>
      </c>
    </row>
    <row r="10004" spans="1:6" x14ac:dyDescent="0.3">
      <c r="A10004" t="s">
        <v>10039</v>
      </c>
      <c r="B10004" t="s">
        <v>88</v>
      </c>
      <c r="C10004">
        <v>154000</v>
      </c>
      <c r="D10004">
        <v>655.5</v>
      </c>
      <c r="E10004">
        <v>2.6100000000000002E-2</v>
      </c>
      <c r="F10004">
        <v>0.15179999999999999</v>
      </c>
    </row>
    <row r="10005" spans="1:6" x14ac:dyDescent="0.3">
      <c r="A10005" t="s">
        <v>10040</v>
      </c>
      <c r="B10005" t="s">
        <v>26</v>
      </c>
      <c r="C10005">
        <v>292000</v>
      </c>
      <c r="D10005">
        <v>23428.6</v>
      </c>
      <c r="E10005">
        <v>2.5700000000000001E-2</v>
      </c>
      <c r="F10005">
        <v>7.5899999999999995E-2</v>
      </c>
    </row>
    <row r="10006" spans="1:6" x14ac:dyDescent="0.3">
      <c r="A10006" t="s">
        <v>10041</v>
      </c>
      <c r="B10006" t="s">
        <v>88</v>
      </c>
      <c r="C10006">
        <v>176000</v>
      </c>
      <c r="D10006">
        <v>783.8</v>
      </c>
      <c r="E10006">
        <v>2.0899999999999998E-2</v>
      </c>
      <c r="F10006">
        <v>8.4500000000000006E-2</v>
      </c>
    </row>
    <row r="10007" spans="1:6" x14ac:dyDescent="0.3">
      <c r="A10007" t="s">
        <v>10042</v>
      </c>
      <c r="B10007" t="s">
        <v>81</v>
      </c>
      <c r="C10007">
        <v>487000</v>
      </c>
      <c r="D10007">
        <v>134010.4</v>
      </c>
      <c r="E10007">
        <v>5.5500000000000001E-2</v>
      </c>
      <c r="F10007">
        <v>9.3799999999999994E-2</v>
      </c>
    </row>
    <row r="10008" spans="1:6" x14ac:dyDescent="0.3">
      <c r="A10008" t="s">
        <v>10043</v>
      </c>
      <c r="B10008" t="s">
        <v>71</v>
      </c>
      <c r="C10008">
        <v>143000</v>
      </c>
      <c r="D10008">
        <v>5565.7</v>
      </c>
      <c r="E10008">
        <v>1.9599999999999999E-2</v>
      </c>
      <c r="F10008">
        <v>0.1067</v>
      </c>
    </row>
    <row r="10009" spans="1:6" x14ac:dyDescent="0.3">
      <c r="A10009" t="s">
        <v>10044</v>
      </c>
      <c r="B10009" t="s">
        <v>214</v>
      </c>
      <c r="C10009">
        <v>154000</v>
      </c>
      <c r="D10009">
        <v>4998.7</v>
      </c>
      <c r="E10009">
        <v>3.1899999999999998E-2</v>
      </c>
      <c r="F10009">
        <v>8.4500000000000006E-2</v>
      </c>
    </row>
    <row r="10010" spans="1:6" x14ac:dyDescent="0.3">
      <c r="A10010" t="s">
        <v>10045</v>
      </c>
      <c r="B10010" t="s">
        <v>26</v>
      </c>
      <c r="C10010">
        <v>220000</v>
      </c>
      <c r="D10010">
        <v>176706.2</v>
      </c>
      <c r="E10010">
        <v>3.3399999999999999E-2</v>
      </c>
      <c r="F10010">
        <v>7.5899999999999995E-2</v>
      </c>
    </row>
    <row r="10011" spans="1:6" x14ac:dyDescent="0.3">
      <c r="A10011" t="s">
        <v>10046</v>
      </c>
      <c r="B10011" t="s">
        <v>50</v>
      </c>
      <c r="C10011">
        <v>193000</v>
      </c>
      <c r="D10011">
        <v>12594.3</v>
      </c>
      <c r="E10011">
        <v>1.49E-2</v>
      </c>
      <c r="F10011">
        <v>5.1999999999999998E-2</v>
      </c>
    </row>
    <row r="10012" spans="1:6" x14ac:dyDescent="0.3">
      <c r="A10012" t="s">
        <v>10047</v>
      </c>
      <c r="B10012" t="s">
        <v>26</v>
      </c>
      <c r="C10012">
        <v>157000</v>
      </c>
      <c r="D10012">
        <v>1749.5</v>
      </c>
      <c r="E10012">
        <v>1.09E-2</v>
      </c>
      <c r="F10012">
        <v>8.1100000000000005E-2</v>
      </c>
    </row>
    <row r="10013" spans="1:6" x14ac:dyDescent="0.3">
      <c r="A10013" t="s">
        <v>10048</v>
      </c>
      <c r="B10013" t="s">
        <v>32</v>
      </c>
      <c r="C10013">
        <v>159000</v>
      </c>
      <c r="D10013">
        <v>145018.4</v>
      </c>
      <c r="E10013">
        <v>3.7699999999999997E-2</v>
      </c>
      <c r="F10013">
        <v>9.5100000000000004E-2</v>
      </c>
    </row>
    <row r="10014" spans="1:6" x14ac:dyDescent="0.3">
      <c r="A10014" t="s">
        <v>10049</v>
      </c>
      <c r="B10014" t="s">
        <v>41</v>
      </c>
      <c r="C10014">
        <v>228000</v>
      </c>
      <c r="D10014">
        <v>47177.7</v>
      </c>
      <c r="E10014">
        <v>3.9199999999999999E-2</v>
      </c>
      <c r="F10014">
        <v>7.5899999999999995E-2</v>
      </c>
    </row>
    <row r="10015" spans="1:6" x14ac:dyDescent="0.3">
      <c r="A10015" t="s">
        <v>10050</v>
      </c>
      <c r="B10015" t="s">
        <v>26</v>
      </c>
      <c r="C10015">
        <v>149000</v>
      </c>
      <c r="D10015">
        <v>10580.7</v>
      </c>
      <c r="E10015">
        <v>3.1099999999999999E-2</v>
      </c>
      <c r="F10015">
        <v>5.1799999999999999E-2</v>
      </c>
    </row>
    <row r="10016" spans="1:6" x14ac:dyDescent="0.3">
      <c r="A10016" t="s">
        <v>10051</v>
      </c>
      <c r="B10016" t="s">
        <v>26</v>
      </c>
      <c r="C10016">
        <v>152000</v>
      </c>
      <c r="D10016">
        <v>3415.6</v>
      </c>
      <c r="E10016">
        <v>2.5399999999999999E-2</v>
      </c>
      <c r="F10016">
        <v>5.1799999999999999E-2</v>
      </c>
    </row>
    <row r="10017" spans="1:6" x14ac:dyDescent="0.3">
      <c r="A10017" t="s">
        <v>10052</v>
      </c>
      <c r="B10017" t="s">
        <v>26</v>
      </c>
      <c r="C10017">
        <v>156000</v>
      </c>
      <c r="D10017">
        <v>5699.9</v>
      </c>
      <c r="E10017">
        <v>1.54E-2</v>
      </c>
      <c r="F10017">
        <v>7.2599999999999998E-2</v>
      </c>
    </row>
    <row r="10018" spans="1:6" x14ac:dyDescent="0.3">
      <c r="A10018" t="s">
        <v>10053</v>
      </c>
      <c r="B10018" t="s">
        <v>88</v>
      </c>
      <c r="C10018">
        <v>303000</v>
      </c>
      <c r="D10018">
        <v>28227.5</v>
      </c>
      <c r="E10018">
        <v>2.9899999999999999E-2</v>
      </c>
      <c r="F10018">
        <v>9.5100000000000004E-2</v>
      </c>
    </row>
    <row r="10019" spans="1:6" x14ac:dyDescent="0.3">
      <c r="A10019" t="s">
        <v>10054</v>
      </c>
      <c r="B10019" t="s">
        <v>26</v>
      </c>
      <c r="C10019">
        <v>144000</v>
      </c>
      <c r="D10019">
        <v>1120.4000000000001</v>
      </c>
      <c r="E10019">
        <v>7.4000000000000003E-3</v>
      </c>
      <c r="F10019">
        <v>0.1027</v>
      </c>
    </row>
    <row r="10020" spans="1:6" x14ac:dyDescent="0.3">
      <c r="A10020" t="s">
        <v>10055</v>
      </c>
      <c r="B10020" t="s">
        <v>287</v>
      </c>
      <c r="C10020">
        <v>178000</v>
      </c>
      <c r="D10020">
        <v>5286.6</v>
      </c>
      <c r="E10020">
        <v>4.7399999999999998E-2</v>
      </c>
      <c r="F10020">
        <v>7.5899999999999995E-2</v>
      </c>
    </row>
    <row r="10021" spans="1:6" x14ac:dyDescent="0.3">
      <c r="A10021" t="s">
        <v>10056</v>
      </c>
      <c r="B10021" t="s">
        <v>26</v>
      </c>
      <c r="C10021">
        <v>191000</v>
      </c>
      <c r="D10021">
        <v>5071</v>
      </c>
      <c r="E10021">
        <v>3.15E-2</v>
      </c>
      <c r="F10021">
        <v>0.1168</v>
      </c>
    </row>
    <row r="10022" spans="1:6" x14ac:dyDescent="0.3">
      <c r="A10022" t="s">
        <v>10057</v>
      </c>
      <c r="B10022" t="s">
        <v>30</v>
      </c>
      <c r="C10022">
        <v>209000</v>
      </c>
      <c r="D10022">
        <v>41346.9</v>
      </c>
      <c r="E10022">
        <v>6.6000000000000003E-2</v>
      </c>
      <c r="F10022">
        <v>7.5899999999999995E-2</v>
      </c>
    </row>
    <row r="10023" spans="1:6" x14ac:dyDescent="0.3">
      <c r="A10023" t="s">
        <v>10058</v>
      </c>
      <c r="B10023" t="s">
        <v>26</v>
      </c>
      <c r="C10023">
        <v>142000</v>
      </c>
      <c r="D10023">
        <v>569.29999999999995</v>
      </c>
      <c r="E10023">
        <v>2.7099999999999999E-2</v>
      </c>
      <c r="F10023">
        <v>0.17100000000000001</v>
      </c>
    </row>
    <row r="10024" spans="1:6" x14ac:dyDescent="0.3">
      <c r="A10024" t="s">
        <v>10059</v>
      </c>
      <c r="B10024" t="s">
        <v>26</v>
      </c>
      <c r="C10024">
        <v>153000</v>
      </c>
      <c r="D10024">
        <v>114337.5</v>
      </c>
      <c r="E10024">
        <v>1.67E-2</v>
      </c>
      <c r="F10024">
        <v>0.1067</v>
      </c>
    </row>
    <row r="10025" spans="1:6" x14ac:dyDescent="0.3">
      <c r="A10025" t="s">
        <v>10060</v>
      </c>
      <c r="B10025" t="s">
        <v>214</v>
      </c>
      <c r="C10025">
        <v>241000</v>
      </c>
      <c r="D10025">
        <v>142891</v>
      </c>
      <c r="E10025">
        <v>2.98E-2</v>
      </c>
      <c r="F10025">
        <v>9.5100000000000004E-2</v>
      </c>
    </row>
    <row r="10026" spans="1:6" x14ac:dyDescent="0.3">
      <c r="A10026" t="s">
        <v>10061</v>
      </c>
      <c r="B10026" t="s">
        <v>88</v>
      </c>
      <c r="C10026">
        <v>234000</v>
      </c>
      <c r="D10026">
        <v>1693.1</v>
      </c>
      <c r="E10026">
        <v>3.56E-2</v>
      </c>
      <c r="F10026">
        <v>9.3799999999999994E-2</v>
      </c>
    </row>
    <row r="10027" spans="1:6" x14ac:dyDescent="0.3">
      <c r="A10027" t="s">
        <v>10062</v>
      </c>
      <c r="B10027" t="s">
        <v>26</v>
      </c>
      <c r="C10027">
        <v>152000</v>
      </c>
      <c r="D10027">
        <v>2048.5</v>
      </c>
      <c r="E10027">
        <v>0.02</v>
      </c>
      <c r="F10027">
        <v>8.5400000000000004E-2</v>
      </c>
    </row>
    <row r="10028" spans="1:6" x14ac:dyDescent="0.3">
      <c r="A10028" t="s">
        <v>10063</v>
      </c>
      <c r="B10028" t="s">
        <v>26</v>
      </c>
      <c r="C10028">
        <v>220000</v>
      </c>
      <c r="D10028">
        <v>26090.2</v>
      </c>
      <c r="E10028">
        <v>4.2599999999999999E-2</v>
      </c>
      <c r="F10028">
        <v>7.5899999999999995E-2</v>
      </c>
    </row>
    <row r="10029" spans="1:6" x14ac:dyDescent="0.3">
      <c r="A10029" t="s">
        <v>10064</v>
      </c>
      <c r="B10029" t="s">
        <v>24</v>
      </c>
      <c r="C10029">
        <v>336000</v>
      </c>
      <c r="D10029">
        <v>51827.1</v>
      </c>
      <c r="E10029">
        <v>3.9199999999999999E-2</v>
      </c>
      <c r="F10029">
        <v>0.1241</v>
      </c>
    </row>
    <row r="10030" spans="1:6" x14ac:dyDescent="0.3">
      <c r="A10030" t="s">
        <v>10065</v>
      </c>
      <c r="B10030" t="s">
        <v>26</v>
      </c>
      <c r="C10030">
        <v>143000</v>
      </c>
      <c r="D10030">
        <v>1546.3</v>
      </c>
      <c r="E10030">
        <v>9.1000000000000004E-3</v>
      </c>
      <c r="F10030">
        <v>8.2199999999999995E-2</v>
      </c>
    </row>
    <row r="10031" spans="1:6" x14ac:dyDescent="0.3">
      <c r="A10031" t="s">
        <v>10066</v>
      </c>
      <c r="B10031" t="s">
        <v>88</v>
      </c>
      <c r="C10031">
        <v>198000</v>
      </c>
      <c r="D10031">
        <v>4980.3999999999996</v>
      </c>
      <c r="E10031">
        <v>5.2900000000000003E-2</v>
      </c>
      <c r="F10031">
        <v>9.3799999999999994E-2</v>
      </c>
    </row>
    <row r="10032" spans="1:6" x14ac:dyDescent="0.3">
      <c r="A10032" t="s">
        <v>10067</v>
      </c>
      <c r="B10032" t="s">
        <v>41</v>
      </c>
      <c r="C10032">
        <v>155000</v>
      </c>
      <c r="D10032">
        <v>1482.9</v>
      </c>
      <c r="E10032">
        <v>1.7899999999999999E-2</v>
      </c>
      <c r="F10032">
        <v>0.22939999999999999</v>
      </c>
    </row>
    <row r="10033" spans="1:6" x14ac:dyDescent="0.3">
      <c r="A10033" t="s">
        <v>10068</v>
      </c>
      <c r="B10033" t="s">
        <v>30</v>
      </c>
      <c r="C10033">
        <v>145000</v>
      </c>
      <c r="D10033">
        <v>25842.3</v>
      </c>
      <c r="E10033">
        <v>4.0800000000000003E-2</v>
      </c>
      <c r="F10033">
        <v>5.1799999999999999E-2</v>
      </c>
    </row>
    <row r="10034" spans="1:6" x14ac:dyDescent="0.3">
      <c r="A10034" t="s">
        <v>10069</v>
      </c>
      <c r="B10034" t="s">
        <v>214</v>
      </c>
      <c r="C10034">
        <v>150000</v>
      </c>
      <c r="D10034">
        <v>2436.4</v>
      </c>
      <c r="E10034">
        <v>9.2999999999999992E-3</v>
      </c>
      <c r="F10034">
        <v>8.2799999999999999E-2</v>
      </c>
    </row>
    <row r="10035" spans="1:6" x14ac:dyDescent="0.3">
      <c r="A10035" t="s">
        <v>10070</v>
      </c>
      <c r="B10035" t="s">
        <v>81</v>
      </c>
      <c r="C10035">
        <v>140000</v>
      </c>
      <c r="D10035">
        <v>1746.2</v>
      </c>
      <c r="E10035">
        <v>1.0999999999999999E-2</v>
      </c>
      <c r="F10035">
        <v>8.2100000000000006E-2</v>
      </c>
    </row>
    <row r="10036" spans="1:6" x14ac:dyDescent="0.3">
      <c r="A10036" t="s">
        <v>10071</v>
      </c>
      <c r="B10036" t="s">
        <v>74</v>
      </c>
      <c r="C10036">
        <v>164000</v>
      </c>
      <c r="D10036">
        <v>1741.5</v>
      </c>
      <c r="E10036">
        <v>2.2800000000000001E-2</v>
      </c>
      <c r="F10036">
        <v>9.3799999999999994E-2</v>
      </c>
    </row>
    <row r="10037" spans="1:6" x14ac:dyDescent="0.3">
      <c r="A10037" t="s">
        <v>10072</v>
      </c>
      <c r="B10037" t="s">
        <v>88</v>
      </c>
      <c r="C10037">
        <v>257000</v>
      </c>
      <c r="D10037">
        <v>1143.9000000000001</v>
      </c>
      <c r="E10037">
        <v>4.41E-2</v>
      </c>
      <c r="F10037">
        <v>7.5899999999999995E-2</v>
      </c>
    </row>
    <row r="10038" spans="1:6" x14ac:dyDescent="0.3">
      <c r="A10038" t="s">
        <v>10073</v>
      </c>
      <c r="B10038" t="s">
        <v>92</v>
      </c>
      <c r="C10038">
        <v>149000</v>
      </c>
      <c r="D10038">
        <v>412.3</v>
      </c>
      <c r="E10038">
        <v>5.3699999999999998E-2</v>
      </c>
      <c r="F10038">
        <v>9.98E-2</v>
      </c>
    </row>
    <row r="10039" spans="1:6" x14ac:dyDescent="0.3">
      <c r="A10039" t="s">
        <v>10074</v>
      </c>
      <c r="B10039" t="s">
        <v>53</v>
      </c>
      <c r="C10039">
        <v>149000</v>
      </c>
      <c r="D10039">
        <v>896.2</v>
      </c>
      <c r="F10039">
        <v>9.5100000000000004E-2</v>
      </c>
    </row>
    <row r="10040" spans="1:6" x14ac:dyDescent="0.3">
      <c r="A10040" t="s">
        <v>10075</v>
      </c>
      <c r="B10040" t="s">
        <v>214</v>
      </c>
      <c r="C10040">
        <v>141000</v>
      </c>
      <c r="D10040">
        <v>112.7</v>
      </c>
      <c r="E10040">
        <v>1.15E-2</v>
      </c>
      <c r="F10040">
        <v>0.13900000000000001</v>
      </c>
    </row>
    <row r="10041" spans="1:6" x14ac:dyDescent="0.3">
      <c r="A10041" t="s">
        <v>10076</v>
      </c>
      <c r="B10041" t="s">
        <v>26</v>
      </c>
      <c r="C10041">
        <v>144000</v>
      </c>
      <c r="D10041">
        <v>882.6</v>
      </c>
      <c r="F10041">
        <v>5.1799999999999999E-2</v>
      </c>
    </row>
    <row r="10042" spans="1:6" x14ac:dyDescent="0.3">
      <c r="A10042" t="s">
        <v>10077</v>
      </c>
      <c r="B10042" t="s">
        <v>26</v>
      </c>
      <c r="C10042">
        <v>163000</v>
      </c>
      <c r="D10042">
        <v>5984.8</v>
      </c>
      <c r="E10042">
        <v>2.0299999999999999E-2</v>
      </c>
      <c r="F10042">
        <v>0.1053</v>
      </c>
    </row>
    <row r="10043" spans="1:6" x14ac:dyDescent="0.3">
      <c r="A10043" t="s">
        <v>10078</v>
      </c>
      <c r="B10043" t="s">
        <v>21</v>
      </c>
      <c r="C10043">
        <v>152000</v>
      </c>
      <c r="D10043">
        <v>6211654.5999999996</v>
      </c>
      <c r="E10043">
        <v>4.3E-3</v>
      </c>
      <c r="F10043">
        <v>8.2199999999999995E-2</v>
      </c>
    </row>
    <row r="10044" spans="1:6" x14ac:dyDescent="0.3">
      <c r="A10044" t="s">
        <v>10079</v>
      </c>
      <c r="B10044" t="s">
        <v>26</v>
      </c>
      <c r="C10044">
        <v>184000</v>
      </c>
      <c r="D10044">
        <v>2990.1</v>
      </c>
      <c r="E10044">
        <v>7.1400000000000005E-2</v>
      </c>
      <c r="F10044">
        <v>9.3799999999999994E-2</v>
      </c>
    </row>
    <row r="10045" spans="1:6" x14ac:dyDescent="0.3">
      <c r="A10045" t="s">
        <v>10080</v>
      </c>
      <c r="B10045" t="s">
        <v>21</v>
      </c>
      <c r="C10045">
        <v>356000</v>
      </c>
      <c r="D10045">
        <v>516539.9</v>
      </c>
      <c r="E10045">
        <v>1.9199999999999998E-2</v>
      </c>
      <c r="F10045">
        <v>0.1067</v>
      </c>
    </row>
    <row r="10046" spans="1:6" x14ac:dyDescent="0.3">
      <c r="A10046" t="s">
        <v>10081</v>
      </c>
      <c r="B10046" t="s">
        <v>26</v>
      </c>
      <c r="C10046">
        <v>162000</v>
      </c>
      <c r="D10046">
        <v>10043.299999999999</v>
      </c>
      <c r="E10046">
        <v>2.69E-2</v>
      </c>
      <c r="F10046">
        <v>7.3499999999999996E-2</v>
      </c>
    </row>
    <row r="10047" spans="1:6" x14ac:dyDescent="0.3">
      <c r="A10047" t="s">
        <v>10082</v>
      </c>
      <c r="B10047" t="s">
        <v>195</v>
      </c>
      <c r="C10047">
        <v>255000</v>
      </c>
      <c r="D10047">
        <v>5079.5</v>
      </c>
      <c r="E10047">
        <v>2.3199999999999998E-2</v>
      </c>
      <c r="F10047">
        <v>7.5899999999999995E-2</v>
      </c>
    </row>
    <row r="10048" spans="1:6" x14ac:dyDescent="0.3">
      <c r="A10048" t="s">
        <v>10083</v>
      </c>
      <c r="B10048" t="s">
        <v>214</v>
      </c>
      <c r="C10048">
        <v>166000</v>
      </c>
      <c r="D10048">
        <v>4525.1000000000004</v>
      </c>
      <c r="E10048">
        <v>2.24E-2</v>
      </c>
      <c r="F10048">
        <v>9.5100000000000004E-2</v>
      </c>
    </row>
    <row r="10049" spans="1:6" x14ac:dyDescent="0.3">
      <c r="A10049" t="s">
        <v>10084</v>
      </c>
      <c r="B10049" t="s">
        <v>88</v>
      </c>
      <c r="C10049">
        <v>336000</v>
      </c>
      <c r="D10049">
        <v>11861.3</v>
      </c>
      <c r="E10049">
        <v>1.8599999999999998E-2</v>
      </c>
      <c r="F10049">
        <v>0.1053</v>
      </c>
    </row>
    <row r="10050" spans="1:6" x14ac:dyDescent="0.3">
      <c r="A10050" t="s">
        <v>10085</v>
      </c>
      <c r="B10050" t="s">
        <v>26</v>
      </c>
      <c r="C10050">
        <v>230000</v>
      </c>
      <c r="D10050">
        <v>95346.6</v>
      </c>
      <c r="E10050">
        <v>6.3299999999999995E-2</v>
      </c>
      <c r="F10050">
        <v>7.5899999999999995E-2</v>
      </c>
    </row>
    <row r="10051" spans="1:6" x14ac:dyDescent="0.3">
      <c r="A10051" t="s">
        <v>10086</v>
      </c>
      <c r="B10051" t="s">
        <v>26</v>
      </c>
      <c r="C10051">
        <v>155000</v>
      </c>
      <c r="D10051">
        <v>988.2</v>
      </c>
      <c r="E10051">
        <v>1.21E-2</v>
      </c>
      <c r="F10051">
        <v>6.54E-2</v>
      </c>
    </row>
    <row r="10052" spans="1:6" x14ac:dyDescent="0.3">
      <c r="A10052" t="s">
        <v>10087</v>
      </c>
      <c r="B10052" t="s">
        <v>41</v>
      </c>
      <c r="C10052">
        <v>217000</v>
      </c>
      <c r="D10052">
        <v>1519.6</v>
      </c>
      <c r="E10052">
        <v>4.6800000000000001E-2</v>
      </c>
      <c r="F10052">
        <v>6.4299999999999996E-2</v>
      </c>
    </row>
    <row r="10053" spans="1:6" x14ac:dyDescent="0.3">
      <c r="A10053" t="s">
        <v>10088</v>
      </c>
      <c r="B10053" t="s">
        <v>26</v>
      </c>
      <c r="C10053">
        <v>246000</v>
      </c>
      <c r="D10053">
        <v>36391.599999999999</v>
      </c>
      <c r="E10053">
        <v>1.6899999999999998E-2</v>
      </c>
      <c r="F10053">
        <v>4.6199999999999998E-2</v>
      </c>
    </row>
    <row r="10054" spans="1:6" x14ac:dyDescent="0.3">
      <c r="A10054" t="s">
        <v>10089</v>
      </c>
      <c r="B10054" t="s">
        <v>53</v>
      </c>
      <c r="C10054">
        <v>149000</v>
      </c>
      <c r="D10054">
        <v>12200.8</v>
      </c>
      <c r="E10054">
        <v>2.52E-2</v>
      </c>
      <c r="F10054">
        <v>9.5100000000000004E-2</v>
      </c>
    </row>
    <row r="10055" spans="1:6" x14ac:dyDescent="0.3">
      <c r="A10055" t="s">
        <v>10090</v>
      </c>
      <c r="B10055" t="s">
        <v>81</v>
      </c>
      <c r="C10055">
        <v>190000</v>
      </c>
      <c r="D10055">
        <v>2481.1</v>
      </c>
      <c r="E10055">
        <v>2.69E-2</v>
      </c>
      <c r="F10055">
        <v>5.0999999999999997E-2</v>
      </c>
    </row>
    <row r="10056" spans="1:6" x14ac:dyDescent="0.3">
      <c r="A10056" t="s">
        <v>10091</v>
      </c>
      <c r="B10056" t="s">
        <v>26</v>
      </c>
      <c r="C10056">
        <v>139000</v>
      </c>
      <c r="D10056">
        <v>710.4</v>
      </c>
      <c r="E10056">
        <v>7.7000000000000002E-3</v>
      </c>
      <c r="F10056">
        <v>6.54E-2</v>
      </c>
    </row>
    <row r="10057" spans="1:6" x14ac:dyDescent="0.3">
      <c r="A10057" t="s">
        <v>10092</v>
      </c>
      <c r="B10057" t="s">
        <v>28</v>
      </c>
      <c r="C10057">
        <v>143000</v>
      </c>
      <c r="D10057">
        <v>4162.8</v>
      </c>
      <c r="F10057">
        <v>5.1799999999999999E-2</v>
      </c>
    </row>
    <row r="10058" spans="1:6" x14ac:dyDescent="0.3">
      <c r="A10058" t="s">
        <v>10093</v>
      </c>
      <c r="B10058" t="s">
        <v>74</v>
      </c>
      <c r="C10058">
        <v>259000</v>
      </c>
      <c r="D10058">
        <v>752.8</v>
      </c>
      <c r="E10058">
        <v>2.6100000000000002E-2</v>
      </c>
      <c r="F10058">
        <v>5.0999999999999997E-2</v>
      </c>
    </row>
    <row r="10059" spans="1:6" x14ac:dyDescent="0.3">
      <c r="A10059" t="s">
        <v>10094</v>
      </c>
      <c r="B10059" t="s">
        <v>71</v>
      </c>
      <c r="C10059">
        <v>229000</v>
      </c>
      <c r="D10059">
        <v>10150.700000000001</v>
      </c>
      <c r="E10059">
        <v>1.67E-2</v>
      </c>
      <c r="F10059">
        <v>4.6199999999999998E-2</v>
      </c>
    </row>
    <row r="10060" spans="1:6" x14ac:dyDescent="0.3">
      <c r="A10060" t="s">
        <v>10095</v>
      </c>
      <c r="B10060" t="s">
        <v>287</v>
      </c>
      <c r="C10060">
        <v>231000</v>
      </c>
      <c r="D10060">
        <v>7683.8</v>
      </c>
      <c r="E10060">
        <v>2.3900000000000001E-2</v>
      </c>
      <c r="F10060">
        <v>9.5100000000000004E-2</v>
      </c>
    </row>
    <row r="10061" spans="1:6" x14ac:dyDescent="0.3">
      <c r="A10061" t="s">
        <v>10096</v>
      </c>
      <c r="B10061" t="s">
        <v>26</v>
      </c>
      <c r="C10061">
        <v>149000</v>
      </c>
      <c r="D10061">
        <v>942.4</v>
      </c>
      <c r="E10061">
        <v>3.7100000000000001E-2</v>
      </c>
      <c r="F10061">
        <v>9.5100000000000004E-2</v>
      </c>
    </row>
    <row r="10062" spans="1:6" x14ac:dyDescent="0.3">
      <c r="A10062" t="s">
        <v>10097</v>
      </c>
      <c r="B10062" t="s">
        <v>26</v>
      </c>
      <c r="C10062">
        <v>142000</v>
      </c>
      <c r="D10062">
        <v>825.1</v>
      </c>
      <c r="E10062">
        <v>1.95E-2</v>
      </c>
      <c r="F10062">
        <v>8.5400000000000004E-2</v>
      </c>
    </row>
    <row r="10063" spans="1:6" x14ac:dyDescent="0.3">
      <c r="A10063" t="s">
        <v>10098</v>
      </c>
      <c r="B10063" t="s">
        <v>26</v>
      </c>
      <c r="C10063">
        <v>142000</v>
      </c>
      <c r="D10063">
        <v>3146.8</v>
      </c>
      <c r="E10063">
        <v>6.1800000000000001E-2</v>
      </c>
      <c r="F10063">
        <v>9.5100000000000004E-2</v>
      </c>
    </row>
    <row r="10064" spans="1:6" x14ac:dyDescent="0.3">
      <c r="A10064" t="s">
        <v>10099</v>
      </c>
      <c r="B10064" t="s">
        <v>88</v>
      </c>
      <c r="C10064">
        <v>165000</v>
      </c>
      <c r="D10064">
        <v>1948.9</v>
      </c>
      <c r="E10064">
        <v>5.0599999999999999E-2</v>
      </c>
      <c r="F10064">
        <v>0.11700000000000001</v>
      </c>
    </row>
    <row r="10065" spans="1:6" x14ac:dyDescent="0.3">
      <c r="A10065" t="s">
        <v>10100</v>
      </c>
      <c r="B10065" t="s">
        <v>21</v>
      </c>
      <c r="C10065">
        <v>185000</v>
      </c>
      <c r="D10065">
        <v>17624.400000000001</v>
      </c>
      <c r="E10065">
        <v>8.0399999999999999E-2</v>
      </c>
      <c r="F10065">
        <v>9.3799999999999994E-2</v>
      </c>
    </row>
    <row r="10066" spans="1:6" x14ac:dyDescent="0.3">
      <c r="A10066" t="s">
        <v>10101</v>
      </c>
      <c r="B10066" t="s">
        <v>88</v>
      </c>
      <c r="C10066">
        <v>202000</v>
      </c>
      <c r="D10066">
        <v>6948.2</v>
      </c>
      <c r="E10066">
        <v>2.8299999999999999E-2</v>
      </c>
      <c r="F10066">
        <v>9.5100000000000004E-2</v>
      </c>
    </row>
    <row r="10067" spans="1:6" x14ac:dyDescent="0.3">
      <c r="A10067" t="s">
        <v>10102</v>
      </c>
      <c r="B10067" t="s">
        <v>50</v>
      </c>
      <c r="C10067">
        <v>159000</v>
      </c>
      <c r="D10067">
        <v>22820</v>
      </c>
      <c r="E10067">
        <v>4.1700000000000001E-2</v>
      </c>
      <c r="F10067">
        <v>9.5100000000000004E-2</v>
      </c>
    </row>
    <row r="10068" spans="1:6" x14ac:dyDescent="0.3">
      <c r="A10068" t="s">
        <v>10103</v>
      </c>
      <c r="B10068" t="s">
        <v>195</v>
      </c>
      <c r="C10068">
        <v>141000</v>
      </c>
      <c r="D10068">
        <v>954.9</v>
      </c>
      <c r="E10068">
        <v>3.1800000000000002E-2</v>
      </c>
      <c r="F10068">
        <v>9.5100000000000004E-2</v>
      </c>
    </row>
    <row r="10069" spans="1:6" x14ac:dyDescent="0.3">
      <c r="A10069" t="s">
        <v>10104</v>
      </c>
      <c r="B10069" t="s">
        <v>30</v>
      </c>
      <c r="C10069">
        <v>155000</v>
      </c>
      <c r="D10069">
        <v>10558.5</v>
      </c>
      <c r="E10069">
        <v>8.8999999999999999E-3</v>
      </c>
      <c r="F10069">
        <v>8.1100000000000005E-2</v>
      </c>
    </row>
    <row r="10070" spans="1:6" x14ac:dyDescent="0.3">
      <c r="A10070" t="s">
        <v>10105</v>
      </c>
      <c r="B10070" t="s">
        <v>88</v>
      </c>
      <c r="C10070">
        <v>155000</v>
      </c>
      <c r="D10070">
        <v>1870.8</v>
      </c>
      <c r="F10070">
        <v>6.7199999999999996E-2</v>
      </c>
    </row>
    <row r="10071" spans="1:6" x14ac:dyDescent="0.3">
      <c r="A10071" t="s">
        <v>10106</v>
      </c>
      <c r="B10071" t="s">
        <v>88</v>
      </c>
      <c r="C10071">
        <v>202000</v>
      </c>
      <c r="D10071">
        <v>659.1</v>
      </c>
      <c r="E10071">
        <v>9.4600000000000004E-2</v>
      </c>
      <c r="F10071">
        <v>9.3799999999999994E-2</v>
      </c>
    </row>
    <row r="10072" spans="1:6" x14ac:dyDescent="0.3">
      <c r="A10072" t="s">
        <v>10107</v>
      </c>
      <c r="B10072" t="s">
        <v>35</v>
      </c>
      <c r="C10072">
        <v>161000</v>
      </c>
      <c r="D10072">
        <v>2683.4</v>
      </c>
      <c r="E10072">
        <v>3.9E-2</v>
      </c>
      <c r="F10072">
        <v>5.1799999999999999E-2</v>
      </c>
    </row>
    <row r="10073" spans="1:6" x14ac:dyDescent="0.3">
      <c r="A10073" t="s">
        <v>10108</v>
      </c>
      <c r="B10073" t="s">
        <v>287</v>
      </c>
      <c r="C10073">
        <v>157000</v>
      </c>
      <c r="D10073">
        <v>6644.4</v>
      </c>
      <c r="E10073">
        <v>7.7100000000000002E-2</v>
      </c>
      <c r="F10073">
        <v>9.5100000000000004E-2</v>
      </c>
    </row>
    <row r="10074" spans="1:6" x14ac:dyDescent="0.3">
      <c r="A10074" t="s">
        <v>10109</v>
      </c>
      <c r="B10074" t="s">
        <v>74</v>
      </c>
      <c r="C10074">
        <v>134000</v>
      </c>
      <c r="F10074">
        <v>7.5899999999999995E-2</v>
      </c>
    </row>
    <row r="10075" spans="1:6" x14ac:dyDescent="0.3">
      <c r="A10075" t="s">
        <v>10110</v>
      </c>
      <c r="B10075" t="s">
        <v>26</v>
      </c>
      <c r="C10075">
        <v>270000</v>
      </c>
      <c r="D10075">
        <v>184819.9</v>
      </c>
      <c r="E10075">
        <v>1.8499999999999999E-2</v>
      </c>
      <c r="F10075">
        <v>4.6199999999999998E-2</v>
      </c>
    </row>
    <row r="10076" spans="1:6" x14ac:dyDescent="0.3">
      <c r="A10076" t="s">
        <v>10111</v>
      </c>
      <c r="B10076" t="s">
        <v>92</v>
      </c>
      <c r="C10076">
        <v>151000</v>
      </c>
      <c r="D10076">
        <v>59.9</v>
      </c>
      <c r="E10076">
        <v>7.3200000000000001E-2</v>
      </c>
      <c r="F10076">
        <v>9.3799999999999994E-2</v>
      </c>
    </row>
    <row r="10077" spans="1:6" x14ac:dyDescent="0.3">
      <c r="A10077" t="s">
        <v>10112</v>
      </c>
      <c r="B10077" t="s">
        <v>71</v>
      </c>
      <c r="C10077">
        <v>140000</v>
      </c>
      <c r="D10077">
        <v>2044.9</v>
      </c>
      <c r="E10077">
        <v>8.0999999999999996E-3</v>
      </c>
      <c r="F10077">
        <v>8.2199999999999995E-2</v>
      </c>
    </row>
    <row r="10078" spans="1:6" x14ac:dyDescent="0.3">
      <c r="A10078" t="s">
        <v>10113</v>
      </c>
      <c r="B10078" t="s">
        <v>88</v>
      </c>
      <c r="C10078">
        <v>138000</v>
      </c>
      <c r="D10078">
        <v>593.9</v>
      </c>
      <c r="E10078">
        <v>5.1999999999999998E-2</v>
      </c>
      <c r="F10078">
        <v>0.11700000000000001</v>
      </c>
    </row>
    <row r="10079" spans="1:6" x14ac:dyDescent="0.3">
      <c r="A10079" t="s">
        <v>10114</v>
      </c>
      <c r="B10079" t="s">
        <v>74</v>
      </c>
      <c r="C10079">
        <v>137000</v>
      </c>
      <c r="F10079">
        <v>7.5899999999999995E-2</v>
      </c>
    </row>
    <row r="10080" spans="1:6" x14ac:dyDescent="0.3">
      <c r="A10080" t="s">
        <v>10115</v>
      </c>
      <c r="B10080" t="s">
        <v>26</v>
      </c>
      <c r="C10080">
        <v>153000</v>
      </c>
      <c r="D10080">
        <v>2785.2</v>
      </c>
      <c r="F10080">
        <v>9.5100000000000004E-2</v>
      </c>
    </row>
    <row r="10081" spans="1:6" x14ac:dyDescent="0.3">
      <c r="A10081" t="s">
        <v>10116</v>
      </c>
      <c r="B10081" t="s">
        <v>88</v>
      </c>
      <c r="C10081">
        <v>231000</v>
      </c>
      <c r="D10081">
        <v>4784.1000000000004</v>
      </c>
      <c r="E10081">
        <v>8.7499999999999994E-2</v>
      </c>
      <c r="F10081">
        <v>7.5899999999999995E-2</v>
      </c>
    </row>
    <row r="10082" spans="1:6" x14ac:dyDescent="0.3">
      <c r="A10082" t="s">
        <v>10117</v>
      </c>
      <c r="B10082" t="s">
        <v>24</v>
      </c>
      <c r="C10082">
        <v>275000</v>
      </c>
      <c r="D10082">
        <v>59329.2</v>
      </c>
      <c r="E10082">
        <v>8.8999999999999999E-3</v>
      </c>
      <c r="F10082">
        <v>8.2199999999999995E-2</v>
      </c>
    </row>
    <row r="10083" spans="1:6" x14ac:dyDescent="0.3">
      <c r="A10083" t="s">
        <v>10118</v>
      </c>
      <c r="B10083" t="s">
        <v>214</v>
      </c>
      <c r="C10083">
        <v>192000</v>
      </c>
      <c r="D10083">
        <v>76917.7</v>
      </c>
      <c r="E10083">
        <v>3.7999999999999999E-2</v>
      </c>
      <c r="F10083">
        <v>5.1799999999999999E-2</v>
      </c>
    </row>
    <row r="10084" spans="1:6" x14ac:dyDescent="0.3">
      <c r="A10084" t="s">
        <v>10119</v>
      </c>
      <c r="B10084" t="s">
        <v>214</v>
      </c>
      <c r="C10084">
        <v>166000</v>
      </c>
      <c r="D10084">
        <v>22821.9</v>
      </c>
      <c r="E10084">
        <v>5.1999999999999998E-3</v>
      </c>
      <c r="F10084">
        <v>8.2199999999999995E-2</v>
      </c>
    </row>
    <row r="10085" spans="1:6" x14ac:dyDescent="0.3">
      <c r="A10085" t="s">
        <v>10120</v>
      </c>
      <c r="B10085" t="s">
        <v>41</v>
      </c>
      <c r="C10085">
        <v>144000</v>
      </c>
      <c r="D10085">
        <v>1832.5</v>
      </c>
      <c r="E10085">
        <v>1.7899999999999999E-2</v>
      </c>
      <c r="F10085">
        <v>7.2599999999999998E-2</v>
      </c>
    </row>
    <row r="10086" spans="1:6" x14ac:dyDescent="0.3">
      <c r="A10086" t="s">
        <v>10121</v>
      </c>
      <c r="B10086" t="s">
        <v>88</v>
      </c>
      <c r="C10086">
        <v>142000</v>
      </c>
      <c r="D10086">
        <v>359.5</v>
      </c>
      <c r="E10086">
        <v>4.3099999999999999E-2</v>
      </c>
      <c r="F10086">
        <v>9.5000000000000001E-2</v>
      </c>
    </row>
    <row r="10087" spans="1:6" x14ac:dyDescent="0.3">
      <c r="A10087" t="s">
        <v>10122</v>
      </c>
      <c r="B10087" t="s">
        <v>214</v>
      </c>
      <c r="C10087">
        <v>175000</v>
      </c>
      <c r="D10087">
        <v>1022.5</v>
      </c>
      <c r="E10087">
        <v>6.0600000000000001E-2</v>
      </c>
      <c r="F10087">
        <v>0.46829999999999999</v>
      </c>
    </row>
    <row r="10088" spans="1:6" x14ac:dyDescent="0.3">
      <c r="A10088" t="s">
        <v>10123</v>
      </c>
      <c r="B10088" t="s">
        <v>26</v>
      </c>
      <c r="C10088">
        <v>178000</v>
      </c>
      <c r="D10088">
        <v>3770.7</v>
      </c>
      <c r="E10088">
        <v>2.0799999999999999E-2</v>
      </c>
      <c r="F10088">
        <v>9.5100000000000004E-2</v>
      </c>
    </row>
    <row r="10089" spans="1:6" x14ac:dyDescent="0.3">
      <c r="A10089" t="s">
        <v>10124</v>
      </c>
      <c r="B10089" t="s">
        <v>24</v>
      </c>
      <c r="C10089">
        <v>170000</v>
      </c>
      <c r="D10089">
        <v>1387.1</v>
      </c>
      <c r="E10089">
        <v>3.0800000000000001E-2</v>
      </c>
      <c r="F10089">
        <v>7.5899999999999995E-2</v>
      </c>
    </row>
    <row r="10090" spans="1:6" x14ac:dyDescent="0.3">
      <c r="A10090" t="s">
        <v>10125</v>
      </c>
      <c r="B10090" t="s">
        <v>26</v>
      </c>
      <c r="C10090">
        <v>175000</v>
      </c>
      <c r="D10090">
        <v>1584.2</v>
      </c>
      <c r="E10090">
        <v>3.0300000000000001E-2</v>
      </c>
      <c r="F10090">
        <v>4.0899999999999999E-2</v>
      </c>
    </row>
    <row r="10091" spans="1:6" x14ac:dyDescent="0.3">
      <c r="A10091" t="s">
        <v>10126</v>
      </c>
      <c r="B10091" t="s">
        <v>88</v>
      </c>
      <c r="C10091">
        <v>142000</v>
      </c>
      <c r="D10091">
        <v>154.19999999999999</v>
      </c>
      <c r="E10091">
        <v>0.1246</v>
      </c>
      <c r="F10091">
        <v>9.5100000000000004E-2</v>
      </c>
    </row>
    <row r="10092" spans="1:6" x14ac:dyDescent="0.3">
      <c r="A10092" t="s">
        <v>10127</v>
      </c>
      <c r="B10092" t="s">
        <v>24</v>
      </c>
      <c r="C10092">
        <v>234000</v>
      </c>
      <c r="D10092">
        <v>981.2</v>
      </c>
      <c r="E10092">
        <v>2.23E-2</v>
      </c>
      <c r="F10092">
        <v>9.5100000000000004E-2</v>
      </c>
    </row>
    <row r="10093" spans="1:6" x14ac:dyDescent="0.3">
      <c r="A10093" t="s">
        <v>10128</v>
      </c>
      <c r="B10093" t="s">
        <v>74</v>
      </c>
      <c r="C10093">
        <v>143000</v>
      </c>
      <c r="D10093">
        <v>7663.5</v>
      </c>
      <c r="E10093">
        <v>1.7000000000000001E-2</v>
      </c>
      <c r="F10093">
        <v>4.6199999999999998E-2</v>
      </c>
    </row>
    <row r="10094" spans="1:6" x14ac:dyDescent="0.3">
      <c r="A10094" t="s">
        <v>10129</v>
      </c>
      <c r="B10094" t="s">
        <v>214</v>
      </c>
      <c r="C10094">
        <v>148000</v>
      </c>
      <c r="D10094">
        <v>1274.2</v>
      </c>
      <c r="E10094">
        <v>8.9999999999999993E-3</v>
      </c>
      <c r="F10094">
        <v>8.2199999999999995E-2</v>
      </c>
    </row>
    <row r="10095" spans="1:6" x14ac:dyDescent="0.3">
      <c r="A10095" t="s">
        <v>10130</v>
      </c>
      <c r="B10095" t="s">
        <v>26</v>
      </c>
      <c r="C10095">
        <v>275000</v>
      </c>
      <c r="D10095">
        <v>8815.6</v>
      </c>
      <c r="E10095">
        <v>6.5799999999999997E-2</v>
      </c>
      <c r="F10095">
        <v>9.5100000000000004E-2</v>
      </c>
    </row>
    <row r="10096" spans="1:6" x14ac:dyDescent="0.3">
      <c r="A10096" t="s">
        <v>10131</v>
      </c>
      <c r="B10096" t="s">
        <v>26</v>
      </c>
      <c r="C10096">
        <v>196000</v>
      </c>
      <c r="D10096">
        <v>6546.9</v>
      </c>
      <c r="E10096">
        <v>2.3400000000000001E-2</v>
      </c>
      <c r="F10096">
        <v>9.5100000000000004E-2</v>
      </c>
    </row>
    <row r="10097" spans="1:6" x14ac:dyDescent="0.3">
      <c r="A10097" t="s">
        <v>10132</v>
      </c>
      <c r="B10097" t="s">
        <v>26</v>
      </c>
      <c r="C10097">
        <v>166000</v>
      </c>
      <c r="D10097">
        <v>400.7</v>
      </c>
      <c r="E10097">
        <v>6.4399999999999999E-2</v>
      </c>
      <c r="F10097">
        <v>7.5899999999999995E-2</v>
      </c>
    </row>
    <row r="10098" spans="1:6" x14ac:dyDescent="0.3">
      <c r="A10098" t="s">
        <v>10133</v>
      </c>
      <c r="B10098" t="s">
        <v>71</v>
      </c>
      <c r="C10098">
        <v>234000</v>
      </c>
      <c r="D10098">
        <v>184429.8</v>
      </c>
      <c r="E10098">
        <v>1.3899999999999999E-2</v>
      </c>
      <c r="F10098">
        <v>5.8500000000000003E-2</v>
      </c>
    </row>
    <row r="10099" spans="1:6" x14ac:dyDescent="0.3">
      <c r="A10099" t="s">
        <v>10134</v>
      </c>
      <c r="B10099" t="s">
        <v>24</v>
      </c>
      <c r="C10099">
        <v>138000</v>
      </c>
      <c r="D10099">
        <v>25492.7</v>
      </c>
      <c r="E10099">
        <v>3.2000000000000001E-2</v>
      </c>
      <c r="F10099">
        <v>9.5100000000000004E-2</v>
      </c>
    </row>
    <row r="10100" spans="1:6" x14ac:dyDescent="0.3">
      <c r="A10100" t="s">
        <v>10135</v>
      </c>
      <c r="B10100" t="s">
        <v>92</v>
      </c>
      <c r="C10100">
        <v>140000</v>
      </c>
      <c r="D10100">
        <v>8500.7000000000007</v>
      </c>
      <c r="E10100">
        <v>1.6400000000000001E-2</v>
      </c>
      <c r="F10100">
        <v>0.1067</v>
      </c>
    </row>
    <row r="10101" spans="1:6" x14ac:dyDescent="0.3">
      <c r="A10101" t="s">
        <v>10136</v>
      </c>
      <c r="B10101" t="s">
        <v>26</v>
      </c>
      <c r="C10101">
        <v>243000</v>
      </c>
      <c r="D10101">
        <v>7538.7</v>
      </c>
      <c r="E10101">
        <v>7.4700000000000003E-2</v>
      </c>
      <c r="F10101">
        <v>7.5899999999999995E-2</v>
      </c>
    </row>
    <row r="10102" spans="1:6" x14ac:dyDescent="0.3">
      <c r="A10102" t="s">
        <v>10137</v>
      </c>
      <c r="B10102" t="s">
        <v>26</v>
      </c>
      <c r="C10102">
        <v>204000</v>
      </c>
      <c r="D10102">
        <v>9265.6</v>
      </c>
      <c r="E10102">
        <v>6.8999999999999999E-3</v>
      </c>
      <c r="F10102">
        <v>6.54E-2</v>
      </c>
    </row>
    <row r="10103" spans="1:6" x14ac:dyDescent="0.3">
      <c r="A10103" t="s">
        <v>10138</v>
      </c>
      <c r="B10103" t="s">
        <v>26</v>
      </c>
      <c r="C10103">
        <v>142000</v>
      </c>
      <c r="D10103">
        <v>37099.4</v>
      </c>
      <c r="E10103">
        <v>3.15E-2</v>
      </c>
      <c r="F10103">
        <v>9.5100000000000004E-2</v>
      </c>
    </row>
    <row r="10104" spans="1:6" x14ac:dyDescent="0.3">
      <c r="A10104" t="s">
        <v>10139</v>
      </c>
      <c r="B10104" t="s">
        <v>26</v>
      </c>
      <c r="C10104">
        <v>232000</v>
      </c>
      <c r="D10104">
        <v>30518.799999999999</v>
      </c>
      <c r="E10104">
        <v>6.4000000000000003E-3</v>
      </c>
      <c r="F10104">
        <v>6.54E-2</v>
      </c>
    </row>
    <row r="10105" spans="1:6" x14ac:dyDescent="0.3">
      <c r="A10105" t="s">
        <v>10140</v>
      </c>
      <c r="B10105" t="s">
        <v>26</v>
      </c>
      <c r="C10105">
        <v>144000</v>
      </c>
      <c r="D10105">
        <v>647.4</v>
      </c>
      <c r="E10105">
        <v>7.9500000000000001E-2</v>
      </c>
      <c r="F10105">
        <v>9.5100000000000004E-2</v>
      </c>
    </row>
    <row r="10106" spans="1:6" x14ac:dyDescent="0.3">
      <c r="A10106" t="s">
        <v>10141</v>
      </c>
      <c r="B10106" t="s">
        <v>24</v>
      </c>
      <c r="C10106">
        <v>159000</v>
      </c>
      <c r="D10106">
        <v>483.6</v>
      </c>
      <c r="E10106">
        <v>2.64E-2</v>
      </c>
      <c r="F10106">
        <v>0.1242</v>
      </c>
    </row>
    <row r="10107" spans="1:6" x14ac:dyDescent="0.3">
      <c r="A10107" t="s">
        <v>10142</v>
      </c>
      <c r="B10107" t="s">
        <v>74</v>
      </c>
      <c r="C10107">
        <v>181000</v>
      </c>
      <c r="D10107">
        <v>2652.8</v>
      </c>
      <c r="E10107">
        <v>3.2099999999999997E-2</v>
      </c>
      <c r="F10107">
        <v>7.5899999999999995E-2</v>
      </c>
    </row>
    <row r="10108" spans="1:6" x14ac:dyDescent="0.3">
      <c r="A10108" t="s">
        <v>10143</v>
      </c>
      <c r="B10108" t="s">
        <v>62</v>
      </c>
      <c r="C10108">
        <v>140000</v>
      </c>
      <c r="D10108">
        <v>684</v>
      </c>
      <c r="E10108">
        <v>1.7999999999999999E-2</v>
      </c>
      <c r="F10108">
        <v>6.1600000000000002E-2</v>
      </c>
    </row>
    <row r="10109" spans="1:6" x14ac:dyDescent="0.3">
      <c r="A10109" t="s">
        <v>10144</v>
      </c>
      <c r="B10109" t="s">
        <v>26</v>
      </c>
      <c r="C10109">
        <v>137000</v>
      </c>
      <c r="D10109">
        <v>2113.4</v>
      </c>
      <c r="E10109">
        <v>4.7500000000000001E-2</v>
      </c>
      <c r="F10109">
        <v>9.5100000000000004E-2</v>
      </c>
    </row>
    <row r="10110" spans="1:6" x14ac:dyDescent="0.3">
      <c r="A10110" t="s">
        <v>10145</v>
      </c>
      <c r="B10110" t="s">
        <v>81</v>
      </c>
      <c r="C10110">
        <v>151000</v>
      </c>
      <c r="D10110">
        <v>4623.5</v>
      </c>
      <c r="E10110">
        <v>2.5100000000000001E-2</v>
      </c>
      <c r="F10110">
        <v>5.4600000000000003E-2</v>
      </c>
    </row>
    <row r="10111" spans="1:6" x14ac:dyDescent="0.3">
      <c r="A10111" t="s">
        <v>10146</v>
      </c>
      <c r="B10111" t="s">
        <v>32</v>
      </c>
      <c r="C10111">
        <v>159000</v>
      </c>
      <c r="D10111">
        <v>28983.5</v>
      </c>
      <c r="E10111">
        <v>2.58E-2</v>
      </c>
      <c r="F10111">
        <v>0.13869999999999999</v>
      </c>
    </row>
    <row r="10112" spans="1:6" x14ac:dyDescent="0.3">
      <c r="A10112" t="s">
        <v>10147</v>
      </c>
      <c r="B10112" t="s">
        <v>92</v>
      </c>
      <c r="C10112">
        <v>2410000</v>
      </c>
      <c r="D10112">
        <v>563803.5</v>
      </c>
      <c r="E10112">
        <v>2.01E-2</v>
      </c>
      <c r="F10112">
        <v>4.6199999999999998E-2</v>
      </c>
    </row>
    <row r="10113" spans="1:6" x14ac:dyDescent="0.3">
      <c r="A10113" t="s">
        <v>10148</v>
      </c>
      <c r="B10113" t="s">
        <v>74</v>
      </c>
      <c r="C10113">
        <v>139000</v>
      </c>
      <c r="D10113">
        <v>378.5</v>
      </c>
      <c r="E10113">
        <v>1.26E-2</v>
      </c>
      <c r="F10113">
        <v>8.2199999999999995E-2</v>
      </c>
    </row>
    <row r="10114" spans="1:6" x14ac:dyDescent="0.3">
      <c r="A10114" t="s">
        <v>10149</v>
      </c>
      <c r="B10114" t="s">
        <v>28</v>
      </c>
      <c r="C10114">
        <v>175000</v>
      </c>
      <c r="D10114">
        <v>5060.3999999999996</v>
      </c>
      <c r="E10114">
        <v>1.0500000000000001E-2</v>
      </c>
      <c r="F10114">
        <v>6.54E-2</v>
      </c>
    </row>
    <row r="10115" spans="1:6" x14ac:dyDescent="0.3">
      <c r="A10115" t="s">
        <v>10150</v>
      </c>
      <c r="B10115" t="s">
        <v>26</v>
      </c>
      <c r="C10115">
        <v>140000</v>
      </c>
      <c r="D10115">
        <v>1481.9</v>
      </c>
      <c r="E10115">
        <v>3.56E-2</v>
      </c>
      <c r="F10115">
        <v>0.1055</v>
      </c>
    </row>
    <row r="10116" spans="1:6" x14ac:dyDescent="0.3">
      <c r="A10116" t="s">
        <v>10151</v>
      </c>
      <c r="B10116" t="s">
        <v>21</v>
      </c>
      <c r="C10116">
        <v>178000</v>
      </c>
      <c r="D10116">
        <v>22944.5</v>
      </c>
      <c r="E10116">
        <v>4.1000000000000002E-2</v>
      </c>
      <c r="F10116">
        <v>9.3799999999999994E-2</v>
      </c>
    </row>
    <row r="10117" spans="1:6" x14ac:dyDescent="0.3">
      <c r="A10117" t="s">
        <v>10152</v>
      </c>
      <c r="B10117" t="s">
        <v>74</v>
      </c>
      <c r="C10117">
        <v>160000</v>
      </c>
      <c r="D10117">
        <v>17549.8</v>
      </c>
      <c r="E10117">
        <v>1.44E-2</v>
      </c>
      <c r="F10117">
        <v>5.8400000000000001E-2</v>
      </c>
    </row>
    <row r="10118" spans="1:6" x14ac:dyDescent="0.3">
      <c r="A10118" t="s">
        <v>10153</v>
      </c>
      <c r="B10118" t="s">
        <v>26</v>
      </c>
      <c r="C10118">
        <v>141000</v>
      </c>
      <c r="D10118">
        <v>230.5</v>
      </c>
      <c r="E10118">
        <v>5.1900000000000002E-2</v>
      </c>
      <c r="F10118">
        <v>9.5100000000000004E-2</v>
      </c>
    </row>
    <row r="10119" spans="1:6" x14ac:dyDescent="0.3">
      <c r="A10119" t="s">
        <v>10154</v>
      </c>
      <c r="B10119" t="s">
        <v>24</v>
      </c>
      <c r="C10119">
        <v>455000</v>
      </c>
      <c r="D10119">
        <v>3631.2</v>
      </c>
      <c r="E10119">
        <v>0.1862</v>
      </c>
      <c r="F10119">
        <v>7.5899999999999995E-2</v>
      </c>
    </row>
    <row r="10120" spans="1:6" x14ac:dyDescent="0.3">
      <c r="A10120" t="s">
        <v>10155</v>
      </c>
      <c r="B10120" t="s">
        <v>92</v>
      </c>
      <c r="C10120">
        <v>158000</v>
      </c>
      <c r="D10120">
        <v>3914.9</v>
      </c>
      <c r="E10120">
        <v>6.4999999999999997E-3</v>
      </c>
      <c r="F10120">
        <v>8.1100000000000005E-2</v>
      </c>
    </row>
    <row r="10121" spans="1:6" x14ac:dyDescent="0.3">
      <c r="A10121" t="s">
        <v>10156</v>
      </c>
      <c r="B10121" t="s">
        <v>41</v>
      </c>
      <c r="C10121">
        <v>202000</v>
      </c>
      <c r="D10121">
        <v>109.3</v>
      </c>
      <c r="E10121">
        <v>2.93E-2</v>
      </c>
      <c r="F10121">
        <v>0.16880000000000001</v>
      </c>
    </row>
    <row r="10122" spans="1:6" x14ac:dyDescent="0.3">
      <c r="A10122" t="s">
        <v>10157</v>
      </c>
      <c r="B10122" t="s">
        <v>74</v>
      </c>
      <c r="C10122">
        <v>169000</v>
      </c>
      <c r="D10122">
        <v>35723.800000000003</v>
      </c>
      <c r="E10122">
        <v>0.05</v>
      </c>
      <c r="F10122">
        <v>9.5100000000000004E-2</v>
      </c>
    </row>
    <row r="10123" spans="1:6" x14ac:dyDescent="0.3">
      <c r="A10123" t="s">
        <v>10158</v>
      </c>
      <c r="B10123" t="s">
        <v>81</v>
      </c>
      <c r="C10123">
        <v>148000</v>
      </c>
      <c r="D10123">
        <v>95484.3</v>
      </c>
      <c r="E10123">
        <v>3.2800000000000003E-2</v>
      </c>
      <c r="F10123">
        <v>5.4600000000000003E-2</v>
      </c>
    </row>
    <row r="10124" spans="1:6" x14ac:dyDescent="0.3">
      <c r="A10124" t="s">
        <v>10159</v>
      </c>
      <c r="B10124" t="s">
        <v>26</v>
      </c>
      <c r="C10124">
        <v>146000</v>
      </c>
      <c r="D10124">
        <v>1788.6</v>
      </c>
      <c r="E10124">
        <v>3.5700000000000003E-2</v>
      </c>
      <c r="F10124">
        <v>0.1241</v>
      </c>
    </row>
    <row r="10125" spans="1:6" x14ac:dyDescent="0.3">
      <c r="A10125" t="s">
        <v>10160</v>
      </c>
      <c r="B10125" t="s">
        <v>88</v>
      </c>
      <c r="C10125">
        <v>178000</v>
      </c>
      <c r="D10125">
        <v>618.6</v>
      </c>
      <c r="E10125">
        <v>2.7699999999999999E-2</v>
      </c>
      <c r="F10125">
        <v>0.2064</v>
      </c>
    </row>
    <row r="10126" spans="1:6" x14ac:dyDescent="0.3">
      <c r="A10126" t="s">
        <v>10161</v>
      </c>
      <c r="B10126" t="s">
        <v>24</v>
      </c>
      <c r="C10126">
        <v>190000</v>
      </c>
      <c r="D10126">
        <v>9172.2999999999993</v>
      </c>
      <c r="E10126">
        <v>1.2699999999999999E-2</v>
      </c>
      <c r="F10126">
        <v>0.1067</v>
      </c>
    </row>
    <row r="10127" spans="1:6" x14ac:dyDescent="0.3">
      <c r="A10127" t="s">
        <v>10162</v>
      </c>
      <c r="B10127" t="s">
        <v>88</v>
      </c>
      <c r="C10127">
        <v>163000</v>
      </c>
      <c r="D10127">
        <v>1847.9</v>
      </c>
      <c r="E10127">
        <v>3.1300000000000001E-2</v>
      </c>
      <c r="F10127">
        <v>0.11700000000000001</v>
      </c>
    </row>
    <row r="10128" spans="1:6" x14ac:dyDescent="0.3">
      <c r="A10128" t="s">
        <v>10163</v>
      </c>
      <c r="B10128" t="s">
        <v>41</v>
      </c>
      <c r="C10128">
        <v>157000</v>
      </c>
      <c r="D10128">
        <v>724.1</v>
      </c>
      <c r="E10128">
        <v>3.5799999999999998E-2</v>
      </c>
      <c r="F10128">
        <v>0.39279999999999998</v>
      </c>
    </row>
    <row r="10129" spans="1:6" x14ac:dyDescent="0.3">
      <c r="A10129" t="s">
        <v>10164</v>
      </c>
      <c r="B10129" t="s">
        <v>92</v>
      </c>
      <c r="C10129">
        <v>717000</v>
      </c>
      <c r="D10129">
        <v>233562.3</v>
      </c>
      <c r="E10129">
        <v>1.17E-2</v>
      </c>
      <c r="F10129">
        <v>5.8400000000000001E-2</v>
      </c>
    </row>
    <row r="10130" spans="1:6" x14ac:dyDescent="0.3">
      <c r="A10130" t="s">
        <v>10165</v>
      </c>
      <c r="B10130" t="s">
        <v>92</v>
      </c>
      <c r="C10130">
        <v>168000</v>
      </c>
      <c r="D10130">
        <v>6787.1</v>
      </c>
      <c r="F10130">
        <v>5.2200000000000003E-2</v>
      </c>
    </row>
    <row r="10131" spans="1:6" x14ac:dyDescent="0.3">
      <c r="A10131" t="s">
        <v>10166</v>
      </c>
      <c r="B10131" t="s">
        <v>88</v>
      </c>
      <c r="C10131">
        <v>170000</v>
      </c>
      <c r="D10131">
        <v>1361.7</v>
      </c>
      <c r="E10131">
        <v>3.5000000000000003E-2</v>
      </c>
      <c r="F10131">
        <v>0.19620000000000001</v>
      </c>
    </row>
    <row r="10132" spans="1:6" x14ac:dyDescent="0.3">
      <c r="A10132" t="s">
        <v>10167</v>
      </c>
      <c r="B10132" t="s">
        <v>32</v>
      </c>
      <c r="C10132">
        <v>388000</v>
      </c>
      <c r="D10132">
        <v>1571.4</v>
      </c>
      <c r="E10132">
        <v>1.35E-2</v>
      </c>
      <c r="F10132">
        <v>6.08E-2</v>
      </c>
    </row>
    <row r="10133" spans="1:6" x14ac:dyDescent="0.3">
      <c r="A10133" t="s">
        <v>10168</v>
      </c>
      <c r="B10133" t="s">
        <v>26</v>
      </c>
      <c r="C10133">
        <v>283000</v>
      </c>
      <c r="D10133">
        <v>2120.6</v>
      </c>
      <c r="E10133">
        <v>2.1600000000000001E-2</v>
      </c>
      <c r="F10133">
        <v>5.8500000000000003E-2</v>
      </c>
    </row>
    <row r="10134" spans="1:6" x14ac:dyDescent="0.3">
      <c r="A10134" t="s">
        <v>10169</v>
      </c>
      <c r="B10134" t="s">
        <v>26</v>
      </c>
      <c r="C10134">
        <v>135000</v>
      </c>
      <c r="F10134">
        <v>7.5899999999999995E-2</v>
      </c>
    </row>
    <row r="10135" spans="1:6" x14ac:dyDescent="0.3">
      <c r="A10135" t="s">
        <v>10170</v>
      </c>
      <c r="B10135" t="s">
        <v>92</v>
      </c>
      <c r="C10135">
        <v>201000</v>
      </c>
      <c r="D10135">
        <v>4014.5</v>
      </c>
      <c r="E10135">
        <v>3.6299999999999999E-2</v>
      </c>
      <c r="F10135">
        <v>4.0899999999999999E-2</v>
      </c>
    </row>
    <row r="10136" spans="1:6" x14ac:dyDescent="0.3">
      <c r="A10136" t="s">
        <v>10171</v>
      </c>
      <c r="B10136" t="s">
        <v>50</v>
      </c>
      <c r="C10136">
        <v>236000</v>
      </c>
      <c r="D10136">
        <v>1430.5</v>
      </c>
      <c r="E10136">
        <v>1.0500000000000001E-2</v>
      </c>
      <c r="F10136">
        <v>0.1013</v>
      </c>
    </row>
    <row r="10137" spans="1:6" x14ac:dyDescent="0.3">
      <c r="A10137" t="s">
        <v>10172</v>
      </c>
      <c r="B10137" t="s">
        <v>24</v>
      </c>
      <c r="C10137">
        <v>145000</v>
      </c>
      <c r="D10137">
        <v>1093.2</v>
      </c>
      <c r="E10137">
        <v>2.29E-2</v>
      </c>
      <c r="F10137">
        <v>7.2599999999999998E-2</v>
      </c>
    </row>
    <row r="10138" spans="1:6" x14ac:dyDescent="0.3">
      <c r="A10138" t="s">
        <v>10173</v>
      </c>
      <c r="B10138" t="s">
        <v>88</v>
      </c>
      <c r="C10138">
        <v>151000</v>
      </c>
      <c r="D10138">
        <v>1268.4000000000001</v>
      </c>
      <c r="E10138">
        <v>1.9599999999999999E-2</v>
      </c>
      <c r="F10138">
        <v>0.1053</v>
      </c>
    </row>
    <row r="10139" spans="1:6" x14ac:dyDescent="0.3">
      <c r="A10139" t="s">
        <v>10174</v>
      </c>
      <c r="B10139" t="s">
        <v>32</v>
      </c>
      <c r="C10139">
        <v>149000</v>
      </c>
      <c r="D10139">
        <v>11077.6</v>
      </c>
      <c r="E10139">
        <v>9.7000000000000003E-3</v>
      </c>
      <c r="F10139">
        <v>8.2100000000000006E-2</v>
      </c>
    </row>
    <row r="10140" spans="1:6" x14ac:dyDescent="0.3">
      <c r="A10140" t="s">
        <v>10175</v>
      </c>
      <c r="B10140" t="s">
        <v>21</v>
      </c>
      <c r="C10140">
        <v>175000</v>
      </c>
      <c r="D10140">
        <v>1594.4</v>
      </c>
      <c r="E10140">
        <v>3.5200000000000002E-2</v>
      </c>
      <c r="F10140">
        <v>7.5899999999999995E-2</v>
      </c>
    </row>
    <row r="10141" spans="1:6" x14ac:dyDescent="0.3">
      <c r="A10141" t="s">
        <v>10176</v>
      </c>
      <c r="B10141" t="s">
        <v>88</v>
      </c>
      <c r="C10141">
        <v>230000</v>
      </c>
      <c r="D10141">
        <v>166.7</v>
      </c>
      <c r="E10141">
        <v>2.53E-2</v>
      </c>
      <c r="F10141">
        <v>7.5899999999999995E-2</v>
      </c>
    </row>
    <row r="10142" spans="1:6" x14ac:dyDescent="0.3">
      <c r="A10142" t="s">
        <v>10177</v>
      </c>
      <c r="B10142" t="s">
        <v>50</v>
      </c>
      <c r="C10142">
        <v>150000</v>
      </c>
      <c r="D10142">
        <v>300.3</v>
      </c>
      <c r="E10142">
        <v>1.2E-2</v>
      </c>
      <c r="F10142">
        <v>0.28910000000000002</v>
      </c>
    </row>
    <row r="10143" spans="1:6" x14ac:dyDescent="0.3">
      <c r="A10143" t="s">
        <v>10178</v>
      </c>
      <c r="B10143" t="s">
        <v>81</v>
      </c>
      <c r="C10143">
        <v>140000</v>
      </c>
      <c r="D10143">
        <v>4209.1000000000004</v>
      </c>
      <c r="E10143">
        <v>0.1125</v>
      </c>
      <c r="F10143">
        <v>9.5100000000000004E-2</v>
      </c>
    </row>
    <row r="10144" spans="1:6" x14ac:dyDescent="0.3">
      <c r="A10144" t="s">
        <v>10179</v>
      </c>
      <c r="B10144" t="s">
        <v>41</v>
      </c>
      <c r="C10144">
        <v>160000</v>
      </c>
      <c r="D10144">
        <v>1633.7</v>
      </c>
      <c r="E10144">
        <v>1.01E-2</v>
      </c>
      <c r="F10144">
        <v>0.33900000000000002</v>
      </c>
    </row>
    <row r="10145" spans="1:6" x14ac:dyDescent="0.3">
      <c r="A10145" t="s">
        <v>10180</v>
      </c>
      <c r="B10145" t="s">
        <v>88</v>
      </c>
      <c r="C10145">
        <v>156000</v>
      </c>
      <c r="D10145">
        <v>207.5</v>
      </c>
      <c r="E10145">
        <v>3.5200000000000002E-2</v>
      </c>
      <c r="F10145">
        <v>9.3799999999999994E-2</v>
      </c>
    </row>
    <row r="10146" spans="1:6" x14ac:dyDescent="0.3">
      <c r="A10146" t="s">
        <v>10181</v>
      </c>
      <c r="B10146" t="s">
        <v>21</v>
      </c>
      <c r="C10146">
        <v>304000</v>
      </c>
      <c r="D10146">
        <v>29214.1</v>
      </c>
      <c r="E10146">
        <v>3.5299999999999998E-2</v>
      </c>
      <c r="F10146">
        <v>5.1799999999999999E-2</v>
      </c>
    </row>
    <row r="10147" spans="1:6" x14ac:dyDescent="0.3">
      <c r="A10147" t="s">
        <v>10182</v>
      </c>
      <c r="B10147" t="s">
        <v>26</v>
      </c>
      <c r="C10147">
        <v>151000</v>
      </c>
      <c r="D10147">
        <v>1902</v>
      </c>
      <c r="E10147">
        <v>5.3400000000000003E-2</v>
      </c>
      <c r="F10147">
        <v>7.5899999999999995E-2</v>
      </c>
    </row>
    <row r="10148" spans="1:6" x14ac:dyDescent="0.3">
      <c r="A10148" t="s">
        <v>10183</v>
      </c>
      <c r="B10148" t="s">
        <v>24</v>
      </c>
      <c r="C10148">
        <v>205000</v>
      </c>
      <c r="D10148">
        <v>89747.5</v>
      </c>
      <c r="E10148">
        <v>2.58E-2</v>
      </c>
      <c r="F10148">
        <v>9.5100000000000004E-2</v>
      </c>
    </row>
    <row r="10149" spans="1:6" x14ac:dyDescent="0.3">
      <c r="A10149" t="s">
        <v>10184</v>
      </c>
      <c r="B10149" t="s">
        <v>26</v>
      </c>
      <c r="C10149">
        <v>335000</v>
      </c>
      <c r="D10149">
        <v>16887.900000000001</v>
      </c>
      <c r="E10149">
        <v>5.2600000000000001E-2</v>
      </c>
      <c r="F10149">
        <v>9.3799999999999994E-2</v>
      </c>
    </row>
    <row r="10150" spans="1:6" x14ac:dyDescent="0.3">
      <c r="A10150" t="s">
        <v>10185</v>
      </c>
      <c r="B10150" t="s">
        <v>81</v>
      </c>
      <c r="C10150">
        <v>172000</v>
      </c>
      <c r="D10150">
        <v>10229.299999999999</v>
      </c>
      <c r="E10150">
        <v>1.2699999999999999E-2</v>
      </c>
      <c r="F10150">
        <v>4.6199999999999998E-2</v>
      </c>
    </row>
    <row r="10151" spans="1:6" x14ac:dyDescent="0.3">
      <c r="A10151" t="s">
        <v>10186</v>
      </c>
      <c r="B10151" t="s">
        <v>28</v>
      </c>
      <c r="C10151">
        <v>484000</v>
      </c>
      <c r="D10151">
        <v>2272.5</v>
      </c>
      <c r="E10151">
        <v>6.8999999999999999E-3</v>
      </c>
      <c r="F10151">
        <v>6.54E-2</v>
      </c>
    </row>
    <row r="10152" spans="1:6" x14ac:dyDescent="0.3">
      <c r="A10152" t="s">
        <v>10187</v>
      </c>
      <c r="B10152" t="s">
        <v>88</v>
      </c>
      <c r="C10152">
        <v>141000</v>
      </c>
      <c r="D10152">
        <v>1502.3</v>
      </c>
      <c r="E10152">
        <v>1.7899999999999999E-2</v>
      </c>
      <c r="F10152">
        <v>8.5400000000000004E-2</v>
      </c>
    </row>
    <row r="10153" spans="1:6" x14ac:dyDescent="0.3">
      <c r="A10153" t="s">
        <v>10188</v>
      </c>
      <c r="B10153" t="s">
        <v>26</v>
      </c>
      <c r="C10153">
        <v>152000</v>
      </c>
      <c r="D10153">
        <v>218161</v>
      </c>
      <c r="E10153">
        <v>1.9199999999999998E-2</v>
      </c>
      <c r="F10153">
        <v>5.8500000000000003E-2</v>
      </c>
    </row>
    <row r="10154" spans="1:6" x14ac:dyDescent="0.3">
      <c r="A10154" t="s">
        <v>10189</v>
      </c>
      <c r="B10154" t="s">
        <v>24</v>
      </c>
      <c r="C10154">
        <v>142000</v>
      </c>
      <c r="D10154">
        <v>1248.2</v>
      </c>
      <c r="F10154">
        <v>5.0999999999999997E-2</v>
      </c>
    </row>
    <row r="10155" spans="1:6" x14ac:dyDescent="0.3">
      <c r="A10155" t="s">
        <v>10190</v>
      </c>
      <c r="B10155" t="s">
        <v>81</v>
      </c>
      <c r="C10155">
        <v>139000</v>
      </c>
      <c r="D10155">
        <v>1271.9000000000001</v>
      </c>
      <c r="E10155">
        <v>1.8599999999999998E-2</v>
      </c>
      <c r="F10155">
        <v>7.2599999999999998E-2</v>
      </c>
    </row>
    <row r="10156" spans="1:6" x14ac:dyDescent="0.3">
      <c r="A10156" t="s">
        <v>10191</v>
      </c>
      <c r="B10156" t="s">
        <v>88</v>
      </c>
      <c r="C10156">
        <v>180000</v>
      </c>
      <c r="D10156">
        <v>1244.4000000000001</v>
      </c>
      <c r="E10156">
        <v>1.7299999999999999E-2</v>
      </c>
      <c r="F10156">
        <v>0.1067</v>
      </c>
    </row>
    <row r="10157" spans="1:6" x14ac:dyDescent="0.3">
      <c r="A10157" t="s">
        <v>10192</v>
      </c>
      <c r="B10157" t="s">
        <v>53</v>
      </c>
      <c r="C10157">
        <v>138000</v>
      </c>
      <c r="D10157">
        <v>65.099999999999994</v>
      </c>
      <c r="E10157">
        <v>7.2999999999999995E-2</v>
      </c>
      <c r="F10157">
        <v>0.56999999999999995</v>
      </c>
    </row>
    <row r="10158" spans="1:6" x14ac:dyDescent="0.3">
      <c r="A10158" t="s">
        <v>10193</v>
      </c>
      <c r="B10158" t="s">
        <v>24</v>
      </c>
      <c r="C10158">
        <v>238000</v>
      </c>
      <c r="D10158">
        <v>13274.2</v>
      </c>
      <c r="E10158">
        <v>2.7699999999999999E-2</v>
      </c>
      <c r="F10158">
        <v>9.5100000000000004E-2</v>
      </c>
    </row>
    <row r="10159" spans="1:6" x14ac:dyDescent="0.3">
      <c r="A10159" t="s">
        <v>10194</v>
      </c>
      <c r="B10159" t="s">
        <v>88</v>
      </c>
      <c r="C10159">
        <v>146000</v>
      </c>
      <c r="D10159">
        <v>13423.1</v>
      </c>
      <c r="E10159">
        <v>6.2E-2</v>
      </c>
      <c r="F10159">
        <v>9.5100000000000004E-2</v>
      </c>
    </row>
    <row r="10160" spans="1:6" x14ac:dyDescent="0.3">
      <c r="A10160" t="s">
        <v>10195</v>
      </c>
      <c r="B10160" t="s">
        <v>24</v>
      </c>
      <c r="C10160">
        <v>190000</v>
      </c>
      <c r="D10160">
        <v>23734.400000000001</v>
      </c>
      <c r="E10160">
        <v>2.9399999999999999E-2</v>
      </c>
      <c r="F10160">
        <v>5.1799999999999999E-2</v>
      </c>
    </row>
    <row r="10161" spans="1:6" x14ac:dyDescent="0.3">
      <c r="A10161" t="s">
        <v>10196</v>
      </c>
      <c r="B10161" t="s">
        <v>81</v>
      </c>
      <c r="C10161">
        <v>171000</v>
      </c>
      <c r="D10161">
        <v>82018.399999999994</v>
      </c>
      <c r="E10161">
        <v>2.0799999999999999E-2</v>
      </c>
      <c r="F10161">
        <v>9.5100000000000004E-2</v>
      </c>
    </row>
    <row r="10162" spans="1:6" x14ac:dyDescent="0.3">
      <c r="A10162" t="s">
        <v>10197</v>
      </c>
      <c r="B10162" t="s">
        <v>74</v>
      </c>
      <c r="C10162">
        <v>176000</v>
      </c>
      <c r="D10162">
        <v>5041.8</v>
      </c>
      <c r="F10162">
        <v>9.5100000000000004E-2</v>
      </c>
    </row>
    <row r="10163" spans="1:6" x14ac:dyDescent="0.3">
      <c r="A10163" t="s">
        <v>10198</v>
      </c>
      <c r="B10163" t="s">
        <v>92</v>
      </c>
      <c r="C10163">
        <v>138000</v>
      </c>
      <c r="D10163">
        <v>476.9</v>
      </c>
      <c r="E10163">
        <v>3.3599999999999998E-2</v>
      </c>
      <c r="F10163">
        <v>0.11840000000000001</v>
      </c>
    </row>
    <row r="10164" spans="1:6" x14ac:dyDescent="0.3">
      <c r="A10164" t="s">
        <v>10199</v>
      </c>
      <c r="B10164" t="s">
        <v>32</v>
      </c>
      <c r="C10164">
        <v>147000</v>
      </c>
      <c r="D10164">
        <v>12662.2</v>
      </c>
      <c r="E10164">
        <v>6.0199999999999997E-2</v>
      </c>
      <c r="F10164">
        <v>9.5100000000000004E-2</v>
      </c>
    </row>
    <row r="10165" spans="1:6" x14ac:dyDescent="0.3">
      <c r="A10165" t="s">
        <v>10200</v>
      </c>
      <c r="B10165" t="s">
        <v>26</v>
      </c>
      <c r="C10165">
        <v>148000</v>
      </c>
      <c r="D10165">
        <v>12435.6</v>
      </c>
      <c r="E10165">
        <v>6.1800000000000001E-2</v>
      </c>
      <c r="F10165">
        <v>7.5899999999999995E-2</v>
      </c>
    </row>
    <row r="10166" spans="1:6" x14ac:dyDescent="0.3">
      <c r="A10166" t="s">
        <v>10201</v>
      </c>
      <c r="B10166" t="s">
        <v>35</v>
      </c>
      <c r="C10166">
        <v>419000</v>
      </c>
      <c r="D10166">
        <v>13579.3</v>
      </c>
      <c r="E10166">
        <v>1.3299999999999999E-2</v>
      </c>
      <c r="F10166">
        <v>0.6875</v>
      </c>
    </row>
    <row r="10167" spans="1:6" x14ac:dyDescent="0.3">
      <c r="A10167" t="s">
        <v>10202</v>
      </c>
      <c r="B10167" t="s">
        <v>26</v>
      </c>
      <c r="C10167">
        <v>224000</v>
      </c>
      <c r="D10167">
        <v>104275.2</v>
      </c>
      <c r="E10167">
        <v>1.8700000000000001E-2</v>
      </c>
      <c r="F10167">
        <v>8.5400000000000004E-2</v>
      </c>
    </row>
    <row r="10168" spans="1:6" x14ac:dyDescent="0.3">
      <c r="A10168" t="s">
        <v>10203</v>
      </c>
      <c r="B10168" t="s">
        <v>74</v>
      </c>
      <c r="C10168">
        <v>246000</v>
      </c>
      <c r="D10168">
        <v>858.9</v>
      </c>
      <c r="E10168">
        <v>1.84E-2</v>
      </c>
      <c r="F10168">
        <v>8.5400000000000004E-2</v>
      </c>
    </row>
    <row r="10169" spans="1:6" x14ac:dyDescent="0.3">
      <c r="A10169" t="s">
        <v>10204</v>
      </c>
      <c r="B10169" t="s">
        <v>195</v>
      </c>
      <c r="C10169">
        <v>138000</v>
      </c>
      <c r="D10169">
        <v>3420.3</v>
      </c>
      <c r="E10169">
        <v>2.3699999999999999E-2</v>
      </c>
      <c r="F10169">
        <v>9.5100000000000004E-2</v>
      </c>
    </row>
    <row r="10170" spans="1:6" x14ac:dyDescent="0.3">
      <c r="A10170" t="s">
        <v>10205</v>
      </c>
      <c r="B10170" t="s">
        <v>71</v>
      </c>
      <c r="C10170">
        <v>174000</v>
      </c>
      <c r="D10170">
        <v>1841.2</v>
      </c>
      <c r="E10170">
        <v>2.7099999999999999E-2</v>
      </c>
      <c r="F10170">
        <v>7.5899999999999995E-2</v>
      </c>
    </row>
    <row r="10171" spans="1:6" x14ac:dyDescent="0.3">
      <c r="A10171" t="s">
        <v>10206</v>
      </c>
      <c r="B10171" t="s">
        <v>26</v>
      </c>
      <c r="C10171">
        <v>145000</v>
      </c>
      <c r="D10171">
        <v>75825</v>
      </c>
      <c r="E10171">
        <v>4.8899999999999999E-2</v>
      </c>
      <c r="F10171">
        <v>5.1799999999999999E-2</v>
      </c>
    </row>
    <row r="10172" spans="1:6" x14ac:dyDescent="0.3">
      <c r="A10172" t="s">
        <v>10207</v>
      </c>
      <c r="B10172" t="s">
        <v>88</v>
      </c>
      <c r="C10172">
        <v>153000</v>
      </c>
      <c r="D10172">
        <v>1834.3</v>
      </c>
      <c r="E10172">
        <v>5.3999999999999999E-2</v>
      </c>
      <c r="F10172">
        <v>0.11700000000000001</v>
      </c>
    </row>
    <row r="10173" spans="1:6" x14ac:dyDescent="0.3">
      <c r="A10173" t="s">
        <v>10208</v>
      </c>
      <c r="B10173" t="s">
        <v>26</v>
      </c>
      <c r="C10173">
        <v>204000</v>
      </c>
      <c r="D10173">
        <v>206575.9</v>
      </c>
      <c r="E10173">
        <v>3.0599999999999999E-2</v>
      </c>
      <c r="F10173">
        <v>5.1799999999999999E-2</v>
      </c>
    </row>
    <row r="10174" spans="1:6" x14ac:dyDescent="0.3">
      <c r="A10174" t="s">
        <v>10209</v>
      </c>
      <c r="B10174" t="s">
        <v>88</v>
      </c>
      <c r="C10174">
        <v>146000</v>
      </c>
      <c r="D10174">
        <v>503.4</v>
      </c>
      <c r="E10174">
        <v>4.7500000000000001E-2</v>
      </c>
      <c r="F10174">
        <v>0.11700000000000001</v>
      </c>
    </row>
    <row r="10175" spans="1:6" x14ac:dyDescent="0.3">
      <c r="A10175" t="s">
        <v>10210</v>
      </c>
      <c r="B10175" t="s">
        <v>28</v>
      </c>
      <c r="C10175">
        <v>155000</v>
      </c>
      <c r="D10175">
        <v>6931</v>
      </c>
      <c r="E10175">
        <v>5.7999999999999996E-3</v>
      </c>
      <c r="F10175">
        <v>8.2199999999999995E-2</v>
      </c>
    </row>
    <row r="10176" spans="1:6" x14ac:dyDescent="0.3">
      <c r="A10176" t="s">
        <v>10211</v>
      </c>
      <c r="B10176" t="s">
        <v>88</v>
      </c>
      <c r="C10176">
        <v>255000</v>
      </c>
      <c r="D10176">
        <v>397.3</v>
      </c>
      <c r="E10176">
        <v>2.0899999999999998E-2</v>
      </c>
      <c r="F10176">
        <v>0.13100000000000001</v>
      </c>
    </row>
    <row r="10177" spans="1:6" x14ac:dyDescent="0.3">
      <c r="A10177" t="s">
        <v>10212</v>
      </c>
      <c r="B10177" t="s">
        <v>26</v>
      </c>
      <c r="C10177">
        <v>179000</v>
      </c>
      <c r="D10177">
        <v>2214.6999999999998</v>
      </c>
      <c r="E10177">
        <v>1.1299999999999999E-2</v>
      </c>
      <c r="F10177">
        <v>6.54E-2</v>
      </c>
    </row>
    <row r="10178" spans="1:6" x14ac:dyDescent="0.3">
      <c r="A10178" t="s">
        <v>10213</v>
      </c>
      <c r="B10178" t="s">
        <v>26</v>
      </c>
      <c r="C10178">
        <v>206000</v>
      </c>
      <c r="D10178">
        <v>48824.7</v>
      </c>
      <c r="E10178">
        <v>3.0700000000000002E-2</v>
      </c>
      <c r="F10178">
        <v>9.5100000000000004E-2</v>
      </c>
    </row>
    <row r="10179" spans="1:6" x14ac:dyDescent="0.3">
      <c r="A10179" t="s">
        <v>10214</v>
      </c>
      <c r="B10179" t="s">
        <v>24</v>
      </c>
      <c r="C10179">
        <v>215000</v>
      </c>
      <c r="D10179">
        <v>2017.5</v>
      </c>
      <c r="E10179">
        <v>2.1299999999999999E-2</v>
      </c>
      <c r="F10179">
        <v>0.13900000000000001</v>
      </c>
    </row>
    <row r="10180" spans="1:6" x14ac:dyDescent="0.3">
      <c r="A10180" t="s">
        <v>10215</v>
      </c>
      <c r="B10180" t="s">
        <v>26</v>
      </c>
      <c r="C10180">
        <v>265000</v>
      </c>
      <c r="D10180">
        <v>51644.5</v>
      </c>
      <c r="E10180">
        <v>4.7100000000000003E-2</v>
      </c>
      <c r="F10180">
        <v>5.1799999999999999E-2</v>
      </c>
    </row>
    <row r="10181" spans="1:6" x14ac:dyDescent="0.3">
      <c r="A10181" t="s">
        <v>10216</v>
      </c>
      <c r="B10181" t="s">
        <v>92</v>
      </c>
      <c r="C10181">
        <v>320000</v>
      </c>
      <c r="D10181">
        <v>95629.8</v>
      </c>
      <c r="E10181">
        <v>4.6100000000000002E-2</v>
      </c>
      <c r="F10181">
        <v>6.7199999999999996E-2</v>
      </c>
    </row>
    <row r="10182" spans="1:6" x14ac:dyDescent="0.3">
      <c r="A10182" t="s">
        <v>10217</v>
      </c>
      <c r="B10182" t="s">
        <v>88</v>
      </c>
      <c r="C10182">
        <v>185000</v>
      </c>
      <c r="D10182">
        <v>314.5</v>
      </c>
      <c r="E10182">
        <v>7.8299999999999995E-2</v>
      </c>
      <c r="F10182">
        <v>7.5899999999999995E-2</v>
      </c>
    </row>
    <row r="10183" spans="1:6" x14ac:dyDescent="0.3">
      <c r="A10183" t="s">
        <v>10218</v>
      </c>
      <c r="B10183" t="s">
        <v>32</v>
      </c>
      <c r="C10183">
        <v>170000</v>
      </c>
      <c r="D10183">
        <v>955.2</v>
      </c>
      <c r="E10183">
        <v>5.3E-3</v>
      </c>
      <c r="F10183">
        <v>8.2100000000000006E-2</v>
      </c>
    </row>
    <row r="10184" spans="1:6" x14ac:dyDescent="0.3">
      <c r="A10184" t="s">
        <v>10219</v>
      </c>
      <c r="B10184" t="s">
        <v>92</v>
      </c>
      <c r="C10184">
        <v>145000</v>
      </c>
      <c r="D10184">
        <v>119307.4</v>
      </c>
      <c r="E10184">
        <v>6.7999999999999996E-3</v>
      </c>
      <c r="F10184">
        <v>8.2199999999999995E-2</v>
      </c>
    </row>
    <row r="10185" spans="1:6" x14ac:dyDescent="0.3">
      <c r="A10185" t="s">
        <v>10220</v>
      </c>
      <c r="B10185" t="s">
        <v>21</v>
      </c>
      <c r="C10185">
        <v>147000</v>
      </c>
      <c r="D10185">
        <v>202639.1</v>
      </c>
      <c r="E10185">
        <v>3.6600000000000001E-2</v>
      </c>
      <c r="F10185">
        <v>9.5100000000000004E-2</v>
      </c>
    </row>
    <row r="10186" spans="1:6" x14ac:dyDescent="0.3">
      <c r="A10186" t="s">
        <v>10221</v>
      </c>
      <c r="B10186" t="s">
        <v>74</v>
      </c>
      <c r="C10186">
        <v>150000</v>
      </c>
      <c r="D10186">
        <v>8450.5</v>
      </c>
      <c r="E10186">
        <v>5.1799999999999999E-2</v>
      </c>
      <c r="F10186">
        <v>9.3799999999999994E-2</v>
      </c>
    </row>
    <row r="10187" spans="1:6" x14ac:dyDescent="0.3">
      <c r="A10187" t="s">
        <v>10222</v>
      </c>
      <c r="B10187" t="s">
        <v>62</v>
      </c>
      <c r="C10187">
        <v>144000</v>
      </c>
      <c r="D10187">
        <v>274.2</v>
      </c>
      <c r="E10187">
        <v>3.6900000000000002E-2</v>
      </c>
      <c r="F10187">
        <v>4.0899999999999999E-2</v>
      </c>
    </row>
    <row r="10188" spans="1:6" x14ac:dyDescent="0.3">
      <c r="A10188" t="s">
        <v>10223</v>
      </c>
      <c r="B10188" t="s">
        <v>30</v>
      </c>
      <c r="C10188">
        <v>200000</v>
      </c>
      <c r="D10188">
        <v>16951.900000000001</v>
      </c>
      <c r="E10188">
        <v>1.72E-2</v>
      </c>
      <c r="F10188">
        <v>8.5400000000000004E-2</v>
      </c>
    </row>
    <row r="10189" spans="1:6" x14ac:dyDescent="0.3">
      <c r="A10189" t="s">
        <v>10224</v>
      </c>
      <c r="B10189" t="s">
        <v>21</v>
      </c>
      <c r="C10189">
        <v>418000</v>
      </c>
      <c r="D10189">
        <v>234206</v>
      </c>
      <c r="E10189">
        <v>4.8599999999999997E-2</v>
      </c>
      <c r="F10189">
        <v>0.1226</v>
      </c>
    </row>
    <row r="10190" spans="1:6" x14ac:dyDescent="0.3">
      <c r="A10190" t="s">
        <v>10225</v>
      </c>
      <c r="B10190" t="s">
        <v>88</v>
      </c>
      <c r="C10190">
        <v>185000</v>
      </c>
      <c r="D10190">
        <v>233.3</v>
      </c>
      <c r="E10190">
        <v>4.3E-3</v>
      </c>
      <c r="F10190">
        <v>0.3029</v>
      </c>
    </row>
    <row r="10191" spans="1:6" x14ac:dyDescent="0.3">
      <c r="A10191" t="s">
        <v>10226</v>
      </c>
      <c r="B10191" t="s">
        <v>214</v>
      </c>
      <c r="C10191">
        <v>183000</v>
      </c>
      <c r="D10191">
        <v>9679.5</v>
      </c>
      <c r="F10191">
        <v>7.5899999999999995E-2</v>
      </c>
    </row>
    <row r="10192" spans="1:6" x14ac:dyDescent="0.3">
      <c r="A10192" t="s">
        <v>10227</v>
      </c>
      <c r="B10192" t="s">
        <v>88</v>
      </c>
      <c r="C10192">
        <v>267000</v>
      </c>
      <c r="D10192">
        <v>1946.4</v>
      </c>
      <c r="E10192">
        <v>4.9299999999999997E-2</v>
      </c>
      <c r="F10192">
        <v>9.3799999999999994E-2</v>
      </c>
    </row>
    <row r="10193" spans="1:6" x14ac:dyDescent="0.3">
      <c r="A10193" t="s">
        <v>10228</v>
      </c>
      <c r="B10193" t="s">
        <v>21</v>
      </c>
      <c r="C10193">
        <v>143000</v>
      </c>
      <c r="D10193">
        <v>3451.8</v>
      </c>
      <c r="E10193">
        <v>6.3E-3</v>
      </c>
      <c r="F10193">
        <v>8.2199999999999995E-2</v>
      </c>
    </row>
    <row r="10194" spans="1:6" x14ac:dyDescent="0.3">
      <c r="A10194" t="s">
        <v>10229</v>
      </c>
      <c r="B10194" t="s">
        <v>88</v>
      </c>
      <c r="C10194">
        <v>284000</v>
      </c>
      <c r="D10194">
        <v>11164.1</v>
      </c>
      <c r="E10194">
        <v>4.1799999999999997E-2</v>
      </c>
      <c r="F10194">
        <v>7.5899999999999995E-2</v>
      </c>
    </row>
    <row r="10195" spans="1:6" x14ac:dyDescent="0.3">
      <c r="A10195" t="s">
        <v>10230</v>
      </c>
      <c r="B10195" t="s">
        <v>26</v>
      </c>
      <c r="C10195">
        <v>179000</v>
      </c>
      <c r="D10195">
        <v>1901.6</v>
      </c>
      <c r="E10195">
        <v>8.77E-2</v>
      </c>
      <c r="F10195">
        <v>7.5899999999999995E-2</v>
      </c>
    </row>
    <row r="10196" spans="1:6" x14ac:dyDescent="0.3">
      <c r="A10196" t="s">
        <v>10231</v>
      </c>
      <c r="B10196" t="s">
        <v>26</v>
      </c>
      <c r="C10196">
        <v>145000</v>
      </c>
      <c r="D10196">
        <v>3411.7</v>
      </c>
      <c r="E10196">
        <v>9.3100000000000002E-2</v>
      </c>
      <c r="F10196">
        <v>7.5899999999999995E-2</v>
      </c>
    </row>
    <row r="10197" spans="1:6" x14ac:dyDescent="0.3">
      <c r="A10197" t="s">
        <v>10232</v>
      </c>
      <c r="B10197" t="s">
        <v>74</v>
      </c>
      <c r="C10197">
        <v>167000</v>
      </c>
      <c r="D10197">
        <v>22515.9</v>
      </c>
      <c r="E10197">
        <v>2.2499999999999999E-2</v>
      </c>
      <c r="F10197">
        <v>4.6199999999999998E-2</v>
      </c>
    </row>
    <row r="10198" spans="1:6" x14ac:dyDescent="0.3">
      <c r="A10198" t="s">
        <v>10233</v>
      </c>
      <c r="B10198" t="s">
        <v>92</v>
      </c>
      <c r="C10198">
        <v>142000</v>
      </c>
      <c r="D10198">
        <v>232.3</v>
      </c>
      <c r="E10198">
        <v>1.9800000000000002E-2</v>
      </c>
      <c r="F10198">
        <v>0.1067</v>
      </c>
    </row>
    <row r="10199" spans="1:6" x14ac:dyDescent="0.3">
      <c r="A10199" t="s">
        <v>10234</v>
      </c>
      <c r="B10199" t="s">
        <v>41</v>
      </c>
      <c r="C10199">
        <v>178000</v>
      </c>
      <c r="D10199">
        <v>770.5</v>
      </c>
      <c r="E10199">
        <v>2.7699999999999999E-2</v>
      </c>
      <c r="F10199">
        <v>0.30099999999999999</v>
      </c>
    </row>
    <row r="10200" spans="1:6" x14ac:dyDescent="0.3">
      <c r="A10200" t="s">
        <v>10235</v>
      </c>
      <c r="B10200" t="s">
        <v>214</v>
      </c>
      <c r="C10200">
        <v>144000</v>
      </c>
      <c r="D10200">
        <v>1680.8</v>
      </c>
      <c r="E10200">
        <v>2.98E-2</v>
      </c>
      <c r="F10200">
        <v>7.5899999999999995E-2</v>
      </c>
    </row>
    <row r="10201" spans="1:6" x14ac:dyDescent="0.3">
      <c r="A10201" t="s">
        <v>10236</v>
      </c>
      <c r="B10201" t="s">
        <v>287</v>
      </c>
      <c r="C10201">
        <v>148000</v>
      </c>
      <c r="D10201">
        <v>778.5</v>
      </c>
      <c r="E10201">
        <v>2.0500000000000001E-2</v>
      </c>
      <c r="F10201">
        <v>9.2200000000000004E-2</v>
      </c>
    </row>
    <row r="10202" spans="1:6" x14ac:dyDescent="0.3">
      <c r="A10202" t="s">
        <v>10237</v>
      </c>
      <c r="B10202" t="s">
        <v>71</v>
      </c>
      <c r="C10202">
        <v>206000</v>
      </c>
      <c r="D10202">
        <v>5659.2</v>
      </c>
      <c r="E10202">
        <v>2.8899999999999999E-2</v>
      </c>
      <c r="F10202">
        <v>9.5100000000000004E-2</v>
      </c>
    </row>
    <row r="10203" spans="1:6" x14ac:dyDescent="0.3">
      <c r="A10203" t="s">
        <v>10238</v>
      </c>
      <c r="B10203" t="s">
        <v>41</v>
      </c>
      <c r="C10203">
        <v>141000</v>
      </c>
      <c r="D10203">
        <v>769.6</v>
      </c>
      <c r="E10203">
        <v>4.6899999999999997E-2</v>
      </c>
      <c r="F10203">
        <v>0.1535</v>
      </c>
    </row>
    <row r="10204" spans="1:6" x14ac:dyDescent="0.3">
      <c r="A10204" t="s">
        <v>10239</v>
      </c>
      <c r="B10204" t="s">
        <v>287</v>
      </c>
      <c r="C10204">
        <v>146000</v>
      </c>
      <c r="D10204">
        <v>17082.5</v>
      </c>
      <c r="E10204">
        <v>2.5700000000000001E-2</v>
      </c>
      <c r="F10204">
        <v>7.5899999999999995E-2</v>
      </c>
    </row>
    <row r="10205" spans="1:6" x14ac:dyDescent="0.3">
      <c r="A10205" t="s">
        <v>10240</v>
      </c>
      <c r="B10205" t="s">
        <v>92</v>
      </c>
      <c r="C10205">
        <v>159000</v>
      </c>
      <c r="D10205">
        <v>2906</v>
      </c>
      <c r="E10205">
        <v>7.6E-3</v>
      </c>
      <c r="F10205">
        <v>8.2199999999999995E-2</v>
      </c>
    </row>
    <row r="10206" spans="1:6" x14ac:dyDescent="0.3">
      <c r="A10206" t="s">
        <v>10241</v>
      </c>
      <c r="B10206" t="s">
        <v>74</v>
      </c>
      <c r="C10206">
        <v>142000</v>
      </c>
      <c r="D10206">
        <v>525.70000000000005</v>
      </c>
      <c r="E10206">
        <v>1.5599999999999999E-2</v>
      </c>
      <c r="F10206">
        <v>0.1457</v>
      </c>
    </row>
    <row r="10207" spans="1:6" x14ac:dyDescent="0.3">
      <c r="A10207" t="s">
        <v>10242</v>
      </c>
      <c r="B10207" t="s">
        <v>214</v>
      </c>
      <c r="C10207">
        <v>247000</v>
      </c>
      <c r="D10207">
        <v>26539.8</v>
      </c>
      <c r="E10207">
        <v>3.3599999999999998E-2</v>
      </c>
      <c r="F10207">
        <v>9.5100000000000004E-2</v>
      </c>
    </row>
    <row r="10208" spans="1:6" x14ac:dyDescent="0.3">
      <c r="A10208" t="s">
        <v>10243</v>
      </c>
      <c r="B10208" t="s">
        <v>26</v>
      </c>
      <c r="C10208">
        <v>138000</v>
      </c>
      <c r="D10208">
        <v>396.6</v>
      </c>
      <c r="E10208">
        <v>2.0500000000000001E-2</v>
      </c>
      <c r="F10208">
        <v>0.3301</v>
      </c>
    </row>
    <row r="10209" spans="1:6" x14ac:dyDescent="0.3">
      <c r="A10209" t="s">
        <v>10244</v>
      </c>
      <c r="B10209" t="s">
        <v>26</v>
      </c>
      <c r="C10209">
        <v>174000</v>
      </c>
      <c r="D10209">
        <v>11214.4</v>
      </c>
      <c r="E10209">
        <v>4.9000000000000002E-2</v>
      </c>
      <c r="F10209">
        <v>9.5100000000000004E-2</v>
      </c>
    </row>
    <row r="10210" spans="1:6" x14ac:dyDescent="0.3">
      <c r="A10210" t="s">
        <v>10245</v>
      </c>
      <c r="B10210" t="s">
        <v>195</v>
      </c>
      <c r="C10210">
        <v>203000</v>
      </c>
      <c r="D10210">
        <v>236400.4</v>
      </c>
      <c r="E10210">
        <v>1.5800000000000002E-2</v>
      </c>
      <c r="F10210">
        <v>4.6199999999999998E-2</v>
      </c>
    </row>
    <row r="10211" spans="1:6" x14ac:dyDescent="0.3">
      <c r="A10211" t="s">
        <v>10246</v>
      </c>
      <c r="B10211" t="s">
        <v>81</v>
      </c>
      <c r="C10211">
        <v>467000</v>
      </c>
      <c r="D10211">
        <v>174424.5</v>
      </c>
      <c r="E10211">
        <v>1.37E-2</v>
      </c>
      <c r="F10211">
        <v>0.42030000000000001</v>
      </c>
    </row>
    <row r="10212" spans="1:6" x14ac:dyDescent="0.3">
      <c r="A10212" t="s">
        <v>10247</v>
      </c>
      <c r="B10212" t="s">
        <v>53</v>
      </c>
      <c r="C10212">
        <v>170000</v>
      </c>
      <c r="D10212">
        <v>52152</v>
      </c>
      <c r="E10212">
        <v>4.4200000000000003E-2</v>
      </c>
      <c r="F10212">
        <v>7.5899999999999995E-2</v>
      </c>
    </row>
    <row r="10213" spans="1:6" x14ac:dyDescent="0.3">
      <c r="A10213" t="s">
        <v>10248</v>
      </c>
      <c r="B10213" t="s">
        <v>71</v>
      </c>
      <c r="C10213">
        <v>137000</v>
      </c>
      <c r="D10213">
        <v>6107.4</v>
      </c>
      <c r="E10213">
        <v>4.1700000000000001E-2</v>
      </c>
      <c r="F10213">
        <v>9.5100000000000004E-2</v>
      </c>
    </row>
    <row r="10214" spans="1:6" x14ac:dyDescent="0.3">
      <c r="A10214" t="s">
        <v>10249</v>
      </c>
      <c r="B10214" t="s">
        <v>92</v>
      </c>
      <c r="C10214">
        <v>155000</v>
      </c>
      <c r="D10214">
        <v>133059.5</v>
      </c>
      <c r="E10214">
        <v>3.49E-2</v>
      </c>
      <c r="F10214">
        <v>9.5100000000000004E-2</v>
      </c>
    </row>
    <row r="10215" spans="1:6" x14ac:dyDescent="0.3">
      <c r="A10215" t="s">
        <v>10250</v>
      </c>
      <c r="B10215" t="s">
        <v>21</v>
      </c>
      <c r="C10215">
        <v>276000</v>
      </c>
      <c r="D10215">
        <v>160545.5</v>
      </c>
      <c r="E10215">
        <v>4.9599999999999998E-2</v>
      </c>
      <c r="F10215">
        <v>4.3200000000000002E-2</v>
      </c>
    </row>
    <row r="10216" spans="1:6" x14ac:dyDescent="0.3">
      <c r="A10216" t="s">
        <v>10251</v>
      </c>
      <c r="B10216" t="s">
        <v>26</v>
      </c>
      <c r="C10216">
        <v>367000</v>
      </c>
      <c r="D10216">
        <v>17780.900000000001</v>
      </c>
      <c r="E10216">
        <v>2.5600000000000001E-2</v>
      </c>
      <c r="F10216">
        <v>7.5899999999999995E-2</v>
      </c>
    </row>
    <row r="10217" spans="1:6" x14ac:dyDescent="0.3">
      <c r="A10217" t="s">
        <v>10252</v>
      </c>
      <c r="B10217" t="s">
        <v>21</v>
      </c>
      <c r="C10217">
        <v>708000</v>
      </c>
      <c r="D10217">
        <v>370871</v>
      </c>
      <c r="E10217">
        <v>8.7900000000000006E-2</v>
      </c>
      <c r="F10217">
        <v>9.5100000000000004E-2</v>
      </c>
    </row>
    <row r="10218" spans="1:6" x14ac:dyDescent="0.3">
      <c r="A10218" t="s">
        <v>10253</v>
      </c>
      <c r="B10218" t="s">
        <v>24</v>
      </c>
      <c r="C10218">
        <v>139000</v>
      </c>
      <c r="D10218">
        <v>32513.7</v>
      </c>
      <c r="E10218">
        <v>1.4999999999999999E-2</v>
      </c>
      <c r="F10218">
        <v>5.8500000000000003E-2</v>
      </c>
    </row>
    <row r="10219" spans="1:6" x14ac:dyDescent="0.3">
      <c r="A10219" t="s">
        <v>10254</v>
      </c>
      <c r="B10219" t="s">
        <v>32</v>
      </c>
      <c r="C10219">
        <v>144000</v>
      </c>
      <c r="D10219">
        <v>376617.9</v>
      </c>
      <c r="E10219">
        <v>1.5299999999999999E-2</v>
      </c>
      <c r="F10219">
        <v>5.8500000000000003E-2</v>
      </c>
    </row>
    <row r="10220" spans="1:6" x14ac:dyDescent="0.3">
      <c r="A10220" t="s">
        <v>10255</v>
      </c>
      <c r="B10220" t="s">
        <v>26</v>
      </c>
      <c r="C10220">
        <v>174000</v>
      </c>
      <c r="D10220">
        <v>27403.3</v>
      </c>
      <c r="E10220">
        <v>4.3900000000000002E-2</v>
      </c>
      <c r="F10220">
        <v>7.5899999999999995E-2</v>
      </c>
    </row>
    <row r="10221" spans="1:6" x14ac:dyDescent="0.3">
      <c r="A10221" t="s">
        <v>10256</v>
      </c>
      <c r="B10221" t="s">
        <v>88</v>
      </c>
      <c r="C10221">
        <v>171000</v>
      </c>
      <c r="D10221">
        <v>35.5</v>
      </c>
      <c r="E10221">
        <v>0.1087</v>
      </c>
      <c r="F10221">
        <v>0.13589999999999999</v>
      </c>
    </row>
    <row r="10222" spans="1:6" x14ac:dyDescent="0.3">
      <c r="A10222" t="s">
        <v>10257</v>
      </c>
      <c r="B10222" t="s">
        <v>26</v>
      </c>
      <c r="C10222">
        <v>351000</v>
      </c>
      <c r="D10222">
        <v>12913.3</v>
      </c>
      <c r="E10222">
        <v>5.2200000000000003E-2</v>
      </c>
      <c r="F10222">
        <v>9.3799999999999994E-2</v>
      </c>
    </row>
    <row r="10223" spans="1:6" x14ac:dyDescent="0.3">
      <c r="A10223" t="s">
        <v>10258</v>
      </c>
      <c r="B10223" t="s">
        <v>62</v>
      </c>
      <c r="C10223">
        <v>146000</v>
      </c>
      <c r="D10223">
        <v>7069.8</v>
      </c>
      <c r="E10223">
        <v>2.1700000000000001E-2</v>
      </c>
      <c r="F10223">
        <v>4.0899999999999999E-2</v>
      </c>
    </row>
    <row r="10224" spans="1:6" x14ac:dyDescent="0.3">
      <c r="A10224" t="s">
        <v>10259</v>
      </c>
      <c r="B10224" t="s">
        <v>32</v>
      </c>
      <c r="C10224">
        <v>233000</v>
      </c>
      <c r="D10224">
        <v>30900.6</v>
      </c>
      <c r="E10224">
        <v>1.2999999999999999E-2</v>
      </c>
      <c r="F10224">
        <v>4.6199999999999998E-2</v>
      </c>
    </row>
    <row r="10225" spans="1:6" x14ac:dyDescent="0.3">
      <c r="A10225" t="s">
        <v>10260</v>
      </c>
      <c r="B10225" t="s">
        <v>88</v>
      </c>
      <c r="C10225">
        <v>139000</v>
      </c>
      <c r="D10225">
        <v>7601.3</v>
      </c>
      <c r="F10225">
        <v>5.1799999999999999E-2</v>
      </c>
    </row>
    <row r="10226" spans="1:6" x14ac:dyDescent="0.3">
      <c r="A10226" t="s">
        <v>10261</v>
      </c>
      <c r="B10226" t="s">
        <v>74</v>
      </c>
      <c r="C10226">
        <v>139000</v>
      </c>
      <c r="D10226">
        <v>35493.1</v>
      </c>
      <c r="E10226">
        <v>4.7500000000000001E-2</v>
      </c>
      <c r="F10226">
        <v>9.5100000000000004E-2</v>
      </c>
    </row>
    <row r="10227" spans="1:6" x14ac:dyDescent="0.3">
      <c r="A10227" t="s">
        <v>10262</v>
      </c>
      <c r="B10227" t="s">
        <v>26</v>
      </c>
      <c r="C10227">
        <v>888000</v>
      </c>
      <c r="D10227">
        <v>81731.7</v>
      </c>
      <c r="E10227">
        <v>5.6000000000000001E-2</v>
      </c>
      <c r="F10227">
        <v>7.5899999999999995E-2</v>
      </c>
    </row>
    <row r="10228" spans="1:6" x14ac:dyDescent="0.3">
      <c r="A10228" t="s">
        <v>10263</v>
      </c>
      <c r="B10228" t="s">
        <v>88</v>
      </c>
      <c r="C10228">
        <v>158000</v>
      </c>
      <c r="D10228">
        <v>2913.1</v>
      </c>
      <c r="E10228">
        <v>3.5099999999999999E-2</v>
      </c>
      <c r="F10228">
        <v>7.5899999999999995E-2</v>
      </c>
    </row>
    <row r="10229" spans="1:6" x14ac:dyDescent="0.3">
      <c r="A10229" t="s">
        <v>10264</v>
      </c>
      <c r="B10229" t="s">
        <v>26</v>
      </c>
      <c r="C10229">
        <v>138000</v>
      </c>
      <c r="D10229">
        <v>22328.6</v>
      </c>
      <c r="E10229">
        <v>4.99E-2</v>
      </c>
      <c r="F10229">
        <v>9.5100000000000004E-2</v>
      </c>
    </row>
    <row r="10230" spans="1:6" x14ac:dyDescent="0.3">
      <c r="A10230" t="s">
        <v>10265</v>
      </c>
      <c r="B10230" t="s">
        <v>26</v>
      </c>
      <c r="C10230">
        <v>139000</v>
      </c>
      <c r="D10230">
        <v>501.2</v>
      </c>
      <c r="E10230">
        <v>1.2699999999999999E-2</v>
      </c>
      <c r="F10230">
        <v>0.21829999999999999</v>
      </c>
    </row>
    <row r="10231" spans="1:6" x14ac:dyDescent="0.3">
      <c r="A10231" t="s">
        <v>10266</v>
      </c>
      <c r="B10231" t="s">
        <v>26</v>
      </c>
      <c r="C10231">
        <v>144000</v>
      </c>
      <c r="D10231">
        <v>3207.8</v>
      </c>
      <c r="E10231">
        <v>1.1599999999999999E-2</v>
      </c>
      <c r="F10231">
        <v>8.2100000000000006E-2</v>
      </c>
    </row>
    <row r="10232" spans="1:6" x14ac:dyDescent="0.3">
      <c r="A10232" t="s">
        <v>10267</v>
      </c>
      <c r="B10232" t="s">
        <v>214</v>
      </c>
      <c r="C10232">
        <v>147000</v>
      </c>
      <c r="D10232">
        <v>1296.9000000000001</v>
      </c>
      <c r="E10232">
        <v>1.54E-2</v>
      </c>
      <c r="F10232">
        <v>0.1067</v>
      </c>
    </row>
    <row r="10233" spans="1:6" x14ac:dyDescent="0.3">
      <c r="A10233" t="s">
        <v>10268</v>
      </c>
      <c r="B10233" t="s">
        <v>62</v>
      </c>
      <c r="C10233">
        <v>136000</v>
      </c>
      <c r="D10233">
        <v>65.599999999999994</v>
      </c>
      <c r="E10233">
        <v>1.2999999999999999E-3</v>
      </c>
      <c r="F10233">
        <v>0.223</v>
      </c>
    </row>
    <row r="10234" spans="1:6" x14ac:dyDescent="0.3">
      <c r="A10234" t="s">
        <v>10269</v>
      </c>
      <c r="B10234" t="s">
        <v>92</v>
      </c>
      <c r="C10234">
        <v>137000</v>
      </c>
      <c r="D10234">
        <v>864.6</v>
      </c>
      <c r="E10234">
        <v>4.4699999999999997E-2</v>
      </c>
      <c r="F10234">
        <v>9.5100000000000004E-2</v>
      </c>
    </row>
    <row r="10235" spans="1:6" x14ac:dyDescent="0.3">
      <c r="A10235" t="s">
        <v>10270</v>
      </c>
      <c r="B10235" t="s">
        <v>50</v>
      </c>
      <c r="C10235">
        <v>131000</v>
      </c>
      <c r="D10235">
        <v>2388.9</v>
      </c>
      <c r="F10235">
        <v>9.5100000000000004E-2</v>
      </c>
    </row>
    <row r="10236" spans="1:6" x14ac:dyDescent="0.3">
      <c r="A10236" t="s">
        <v>10271</v>
      </c>
      <c r="B10236" t="s">
        <v>41</v>
      </c>
      <c r="C10236">
        <v>229000</v>
      </c>
      <c r="D10236">
        <v>2382.4</v>
      </c>
      <c r="E10236">
        <v>0.03</v>
      </c>
      <c r="F10236">
        <v>9.3799999999999994E-2</v>
      </c>
    </row>
    <row r="10237" spans="1:6" x14ac:dyDescent="0.3">
      <c r="A10237" t="s">
        <v>10272</v>
      </c>
      <c r="B10237" t="s">
        <v>214</v>
      </c>
      <c r="C10237">
        <v>141000</v>
      </c>
      <c r="D10237">
        <v>3619031.2</v>
      </c>
      <c r="E10237">
        <v>3.6999999999999998E-2</v>
      </c>
      <c r="F10237">
        <v>9.5100000000000004E-2</v>
      </c>
    </row>
    <row r="10238" spans="1:6" x14ac:dyDescent="0.3">
      <c r="A10238" t="s">
        <v>10273</v>
      </c>
      <c r="B10238" t="s">
        <v>74</v>
      </c>
      <c r="C10238">
        <v>131000</v>
      </c>
      <c r="D10238">
        <v>58958.5</v>
      </c>
      <c r="E10238">
        <v>0.13320000000000001</v>
      </c>
      <c r="F10238">
        <v>9.5100000000000004E-2</v>
      </c>
    </row>
    <row r="10239" spans="1:6" x14ac:dyDescent="0.3">
      <c r="A10239" t="s">
        <v>10274</v>
      </c>
      <c r="B10239" t="s">
        <v>214</v>
      </c>
      <c r="C10239">
        <v>269000</v>
      </c>
      <c r="D10239">
        <v>1958</v>
      </c>
      <c r="E10239">
        <v>1.14E-2</v>
      </c>
      <c r="F10239">
        <v>6.54E-2</v>
      </c>
    </row>
    <row r="10240" spans="1:6" x14ac:dyDescent="0.3">
      <c r="A10240" t="s">
        <v>10275</v>
      </c>
      <c r="B10240" t="s">
        <v>26</v>
      </c>
      <c r="C10240">
        <v>148000</v>
      </c>
      <c r="D10240">
        <v>13805.2</v>
      </c>
      <c r="E10240">
        <v>9.2999999999999992E-3</v>
      </c>
      <c r="F10240">
        <v>0.14710000000000001</v>
      </c>
    </row>
    <row r="10241" spans="1:6" x14ac:dyDescent="0.3">
      <c r="A10241" t="s">
        <v>10276</v>
      </c>
      <c r="B10241" t="s">
        <v>88</v>
      </c>
      <c r="C10241">
        <v>171000</v>
      </c>
      <c r="D10241">
        <v>1493.5</v>
      </c>
      <c r="E10241">
        <v>7.6799999999999993E-2</v>
      </c>
      <c r="F10241">
        <v>7.5899999999999995E-2</v>
      </c>
    </row>
    <row r="10242" spans="1:6" x14ac:dyDescent="0.3">
      <c r="A10242" t="s">
        <v>10277</v>
      </c>
      <c r="B10242" t="s">
        <v>26</v>
      </c>
      <c r="C10242">
        <v>196000</v>
      </c>
      <c r="D10242">
        <v>42766.400000000001</v>
      </c>
      <c r="E10242">
        <v>9.4000000000000004E-3</v>
      </c>
      <c r="F10242">
        <v>8.2199999999999995E-2</v>
      </c>
    </row>
    <row r="10243" spans="1:6" x14ac:dyDescent="0.3">
      <c r="A10243" t="s">
        <v>10278</v>
      </c>
      <c r="B10243" t="s">
        <v>26</v>
      </c>
      <c r="C10243">
        <v>216000</v>
      </c>
      <c r="D10243">
        <v>1293.3</v>
      </c>
      <c r="F10243">
        <v>5.1799999999999999E-2</v>
      </c>
    </row>
    <row r="10244" spans="1:6" x14ac:dyDescent="0.3">
      <c r="A10244" t="s">
        <v>10279</v>
      </c>
      <c r="B10244" t="s">
        <v>74</v>
      </c>
      <c r="C10244">
        <v>173000</v>
      </c>
      <c r="D10244">
        <v>1888.5</v>
      </c>
      <c r="E10244">
        <v>4.3099999999999999E-2</v>
      </c>
      <c r="F10244">
        <v>7.5899999999999995E-2</v>
      </c>
    </row>
    <row r="10245" spans="1:6" x14ac:dyDescent="0.3">
      <c r="A10245" t="s">
        <v>10280</v>
      </c>
      <c r="B10245" t="s">
        <v>74</v>
      </c>
      <c r="C10245">
        <v>185000</v>
      </c>
      <c r="D10245">
        <v>366.4</v>
      </c>
      <c r="E10245">
        <v>5.5899999999999998E-2</v>
      </c>
      <c r="F10245">
        <v>9.3799999999999994E-2</v>
      </c>
    </row>
    <row r="10246" spans="1:6" x14ac:dyDescent="0.3">
      <c r="A10246" t="s">
        <v>10281</v>
      </c>
      <c r="B10246" t="s">
        <v>287</v>
      </c>
      <c r="C10246">
        <v>194000</v>
      </c>
      <c r="D10246">
        <v>20937.7</v>
      </c>
      <c r="E10246">
        <v>2.2800000000000001E-2</v>
      </c>
      <c r="F10246">
        <v>5.1799999999999999E-2</v>
      </c>
    </row>
    <row r="10247" spans="1:6" x14ac:dyDescent="0.3">
      <c r="A10247" t="s">
        <v>10282</v>
      </c>
      <c r="B10247" t="s">
        <v>53</v>
      </c>
      <c r="C10247">
        <v>281000</v>
      </c>
      <c r="D10247">
        <v>47836.5</v>
      </c>
      <c r="E10247">
        <v>3.3799999999999997E-2</v>
      </c>
      <c r="F10247">
        <v>7.5899999999999995E-2</v>
      </c>
    </row>
    <row r="10248" spans="1:6" x14ac:dyDescent="0.3">
      <c r="A10248" t="s">
        <v>10283</v>
      </c>
      <c r="B10248" t="s">
        <v>81</v>
      </c>
      <c r="C10248">
        <v>142000</v>
      </c>
      <c r="D10248">
        <v>40833.4</v>
      </c>
      <c r="E10248">
        <v>2.64E-2</v>
      </c>
      <c r="F10248">
        <v>9.5100000000000004E-2</v>
      </c>
    </row>
    <row r="10249" spans="1:6" x14ac:dyDescent="0.3">
      <c r="A10249" t="s">
        <v>10284</v>
      </c>
      <c r="B10249" t="s">
        <v>21</v>
      </c>
      <c r="C10249">
        <v>228000</v>
      </c>
      <c r="D10249">
        <v>17402.3</v>
      </c>
      <c r="E10249">
        <v>2.24E-2</v>
      </c>
      <c r="F10249">
        <v>0.11700000000000001</v>
      </c>
    </row>
    <row r="10250" spans="1:6" x14ac:dyDescent="0.3">
      <c r="A10250" t="s">
        <v>10285</v>
      </c>
      <c r="B10250" t="s">
        <v>41</v>
      </c>
      <c r="C10250">
        <v>157000</v>
      </c>
      <c r="D10250">
        <v>1967.3</v>
      </c>
      <c r="E10250">
        <v>1.8700000000000001E-2</v>
      </c>
      <c r="F10250">
        <v>0.1119</v>
      </c>
    </row>
    <row r="10251" spans="1:6" x14ac:dyDescent="0.3">
      <c r="A10251" t="s">
        <v>10286</v>
      </c>
      <c r="B10251" t="s">
        <v>26</v>
      </c>
      <c r="C10251">
        <v>156000</v>
      </c>
      <c r="D10251">
        <v>2375.5</v>
      </c>
      <c r="E10251">
        <v>5.67E-2</v>
      </c>
      <c r="F10251">
        <v>9.5100000000000004E-2</v>
      </c>
    </row>
    <row r="10252" spans="1:6" x14ac:dyDescent="0.3">
      <c r="A10252" t="s">
        <v>10287</v>
      </c>
      <c r="B10252" t="s">
        <v>88</v>
      </c>
      <c r="C10252">
        <v>130000</v>
      </c>
      <c r="D10252">
        <v>736.3</v>
      </c>
      <c r="E10252">
        <v>4.5100000000000001E-2</v>
      </c>
      <c r="F10252">
        <v>0.11700000000000001</v>
      </c>
    </row>
    <row r="10253" spans="1:6" x14ac:dyDescent="0.3">
      <c r="A10253" t="s">
        <v>10288</v>
      </c>
      <c r="B10253" t="s">
        <v>41</v>
      </c>
      <c r="C10253">
        <v>141000</v>
      </c>
      <c r="D10253">
        <v>408.4</v>
      </c>
      <c r="E10253">
        <v>1.4E-2</v>
      </c>
      <c r="F10253">
        <v>0.33279999999999998</v>
      </c>
    </row>
    <row r="10254" spans="1:6" x14ac:dyDescent="0.3">
      <c r="A10254" t="s">
        <v>10289</v>
      </c>
      <c r="B10254" t="s">
        <v>74</v>
      </c>
      <c r="C10254">
        <v>168000</v>
      </c>
      <c r="D10254">
        <v>2743.1</v>
      </c>
      <c r="E10254">
        <v>2.0500000000000001E-2</v>
      </c>
      <c r="F10254">
        <v>9.5100000000000004E-2</v>
      </c>
    </row>
    <row r="10255" spans="1:6" x14ac:dyDescent="0.3">
      <c r="A10255" t="s">
        <v>10290</v>
      </c>
      <c r="B10255" t="s">
        <v>92</v>
      </c>
      <c r="C10255">
        <v>140000</v>
      </c>
      <c r="D10255">
        <v>624.6</v>
      </c>
      <c r="E10255">
        <v>2.9399999999999999E-2</v>
      </c>
      <c r="F10255">
        <v>9.5100000000000004E-2</v>
      </c>
    </row>
    <row r="10256" spans="1:6" x14ac:dyDescent="0.3">
      <c r="A10256" t="s">
        <v>10291</v>
      </c>
      <c r="B10256" t="s">
        <v>74</v>
      </c>
      <c r="C10256">
        <v>135000</v>
      </c>
      <c r="D10256">
        <v>232.6</v>
      </c>
      <c r="E10256">
        <v>1.9599999999999999E-2</v>
      </c>
      <c r="F10256">
        <v>0.1067</v>
      </c>
    </row>
    <row r="10257" spans="1:6" x14ac:dyDescent="0.3">
      <c r="A10257" t="s">
        <v>10292</v>
      </c>
      <c r="B10257" t="s">
        <v>41</v>
      </c>
      <c r="C10257">
        <v>252000</v>
      </c>
      <c r="D10257">
        <v>78.900000000000006</v>
      </c>
      <c r="E10257">
        <v>6.2600000000000003E-2</v>
      </c>
      <c r="F10257">
        <v>0.7208</v>
      </c>
    </row>
    <row r="10258" spans="1:6" x14ac:dyDescent="0.3">
      <c r="A10258" t="s">
        <v>10293</v>
      </c>
      <c r="B10258" t="s">
        <v>214</v>
      </c>
      <c r="C10258">
        <v>210000</v>
      </c>
      <c r="D10258">
        <v>8436.5</v>
      </c>
      <c r="E10258">
        <v>1.2800000000000001E-2</v>
      </c>
      <c r="F10258">
        <v>6.1600000000000002E-2</v>
      </c>
    </row>
    <row r="10259" spans="1:6" x14ac:dyDescent="0.3">
      <c r="A10259" t="s">
        <v>10294</v>
      </c>
      <c r="B10259" t="s">
        <v>71</v>
      </c>
      <c r="C10259">
        <v>164000</v>
      </c>
      <c r="D10259">
        <v>4027.8</v>
      </c>
      <c r="E10259">
        <v>0.02</v>
      </c>
      <c r="F10259">
        <v>8.5400000000000004E-2</v>
      </c>
    </row>
    <row r="10260" spans="1:6" x14ac:dyDescent="0.3">
      <c r="A10260" t="s">
        <v>10295</v>
      </c>
      <c r="B10260" t="s">
        <v>35</v>
      </c>
      <c r="C10260">
        <v>471000</v>
      </c>
      <c r="D10260">
        <v>66059.199999999997</v>
      </c>
      <c r="E10260">
        <v>1.3599999999999999E-2</v>
      </c>
      <c r="F10260">
        <v>0.1187</v>
      </c>
    </row>
    <row r="10261" spans="1:6" x14ac:dyDescent="0.3">
      <c r="A10261" t="s">
        <v>10296</v>
      </c>
      <c r="B10261" t="s">
        <v>74</v>
      </c>
      <c r="C10261">
        <v>145000</v>
      </c>
      <c r="D10261">
        <v>12629.1</v>
      </c>
      <c r="E10261">
        <v>1.7299999999999999E-2</v>
      </c>
      <c r="F10261">
        <v>0.1067</v>
      </c>
    </row>
    <row r="10262" spans="1:6" x14ac:dyDescent="0.3">
      <c r="A10262" t="s">
        <v>10297</v>
      </c>
      <c r="B10262" t="s">
        <v>74</v>
      </c>
      <c r="C10262">
        <v>153000</v>
      </c>
      <c r="D10262">
        <v>1283.3</v>
      </c>
      <c r="E10262">
        <v>2.2599999999999999E-2</v>
      </c>
      <c r="F10262">
        <v>5.1799999999999999E-2</v>
      </c>
    </row>
    <row r="10263" spans="1:6" x14ac:dyDescent="0.3">
      <c r="A10263" t="s">
        <v>10298</v>
      </c>
      <c r="B10263" t="s">
        <v>81</v>
      </c>
      <c r="C10263">
        <v>179000</v>
      </c>
      <c r="D10263">
        <v>9758.2999999999993</v>
      </c>
      <c r="E10263">
        <v>2.1299999999999999E-2</v>
      </c>
      <c r="F10263">
        <v>8.5400000000000004E-2</v>
      </c>
    </row>
    <row r="10264" spans="1:6" x14ac:dyDescent="0.3">
      <c r="A10264" t="s">
        <v>10299</v>
      </c>
      <c r="B10264" t="s">
        <v>88</v>
      </c>
      <c r="C10264">
        <v>218000</v>
      </c>
      <c r="D10264">
        <v>7467.7</v>
      </c>
      <c r="E10264">
        <v>3.2599999999999997E-2</v>
      </c>
      <c r="F10264">
        <v>6.7199999999999996E-2</v>
      </c>
    </row>
    <row r="10265" spans="1:6" x14ac:dyDescent="0.3">
      <c r="A10265" t="s">
        <v>10300</v>
      </c>
      <c r="B10265" t="s">
        <v>26</v>
      </c>
      <c r="C10265">
        <v>187000</v>
      </c>
      <c r="D10265">
        <v>110.5</v>
      </c>
      <c r="E10265">
        <v>3.09E-2</v>
      </c>
      <c r="F10265">
        <v>7.5899999999999995E-2</v>
      </c>
    </row>
    <row r="10266" spans="1:6" x14ac:dyDescent="0.3">
      <c r="A10266" t="s">
        <v>10301</v>
      </c>
      <c r="B10266" t="s">
        <v>287</v>
      </c>
      <c r="C10266">
        <v>143000</v>
      </c>
      <c r="D10266">
        <v>110.8</v>
      </c>
      <c r="E10266">
        <v>3.78E-2</v>
      </c>
      <c r="F10266">
        <v>9.5100000000000004E-2</v>
      </c>
    </row>
    <row r="10267" spans="1:6" x14ac:dyDescent="0.3">
      <c r="A10267" t="s">
        <v>10302</v>
      </c>
      <c r="B10267" t="s">
        <v>35</v>
      </c>
      <c r="C10267">
        <v>510000</v>
      </c>
      <c r="D10267">
        <v>162365.29999999999</v>
      </c>
      <c r="E10267">
        <v>3.0599999999999999E-2</v>
      </c>
      <c r="F10267">
        <v>7.5899999999999995E-2</v>
      </c>
    </row>
    <row r="10268" spans="1:6" x14ac:dyDescent="0.3">
      <c r="A10268" t="s">
        <v>10303</v>
      </c>
      <c r="B10268" t="s">
        <v>32</v>
      </c>
      <c r="C10268">
        <v>294000</v>
      </c>
      <c r="D10268">
        <v>5109750.8</v>
      </c>
      <c r="E10268">
        <v>1.21E-2</v>
      </c>
      <c r="F10268">
        <v>7.3599999999999999E-2</v>
      </c>
    </row>
    <row r="10269" spans="1:6" x14ac:dyDescent="0.3">
      <c r="A10269" t="s">
        <v>10304</v>
      </c>
      <c r="B10269" t="s">
        <v>26</v>
      </c>
      <c r="C10269">
        <v>230000</v>
      </c>
      <c r="D10269">
        <v>25472.3</v>
      </c>
      <c r="E10269">
        <v>2.9600000000000001E-2</v>
      </c>
      <c r="F10269">
        <v>4.3200000000000002E-2</v>
      </c>
    </row>
    <row r="10270" spans="1:6" x14ac:dyDescent="0.3">
      <c r="A10270" t="s">
        <v>10305</v>
      </c>
      <c r="B10270" t="s">
        <v>24</v>
      </c>
      <c r="C10270">
        <v>156000</v>
      </c>
      <c r="D10270">
        <v>4179.3</v>
      </c>
      <c r="E10270">
        <v>3.4099999999999998E-2</v>
      </c>
      <c r="F10270">
        <v>9.3799999999999994E-2</v>
      </c>
    </row>
    <row r="10271" spans="1:6" x14ac:dyDescent="0.3">
      <c r="A10271" t="s">
        <v>10306</v>
      </c>
      <c r="B10271" t="s">
        <v>88</v>
      </c>
      <c r="C10271">
        <v>387000</v>
      </c>
      <c r="D10271">
        <v>211.7</v>
      </c>
      <c r="E10271">
        <v>3.39E-2</v>
      </c>
      <c r="F10271">
        <v>7.5899999999999995E-2</v>
      </c>
    </row>
    <row r="10272" spans="1:6" x14ac:dyDescent="0.3">
      <c r="A10272" t="s">
        <v>10307</v>
      </c>
      <c r="B10272" t="s">
        <v>53</v>
      </c>
      <c r="C10272">
        <v>161000</v>
      </c>
      <c r="D10272">
        <v>23860.799999999999</v>
      </c>
      <c r="E10272">
        <v>2.7199999999999998E-2</v>
      </c>
      <c r="F10272">
        <v>9.5100000000000004E-2</v>
      </c>
    </row>
    <row r="10273" spans="1:6" x14ac:dyDescent="0.3">
      <c r="A10273" t="s">
        <v>10308</v>
      </c>
      <c r="B10273" t="s">
        <v>41</v>
      </c>
      <c r="C10273">
        <v>178000</v>
      </c>
      <c r="D10273">
        <v>3928.1</v>
      </c>
      <c r="E10273">
        <v>1.47E-2</v>
      </c>
      <c r="F10273">
        <v>0.1067</v>
      </c>
    </row>
    <row r="10274" spans="1:6" x14ac:dyDescent="0.3">
      <c r="A10274" t="s">
        <v>10309</v>
      </c>
      <c r="B10274" t="s">
        <v>81</v>
      </c>
      <c r="C10274">
        <v>156000</v>
      </c>
      <c r="D10274">
        <v>2426.5</v>
      </c>
      <c r="E10274">
        <v>2.1000000000000001E-2</v>
      </c>
      <c r="F10274">
        <v>7.5899999999999995E-2</v>
      </c>
    </row>
    <row r="10275" spans="1:6" x14ac:dyDescent="0.3">
      <c r="A10275" t="s">
        <v>10310</v>
      </c>
      <c r="B10275" t="s">
        <v>88</v>
      </c>
      <c r="C10275">
        <v>158000</v>
      </c>
      <c r="D10275">
        <v>1784.2</v>
      </c>
      <c r="E10275">
        <v>3.39E-2</v>
      </c>
      <c r="F10275">
        <v>9.3799999999999994E-2</v>
      </c>
    </row>
    <row r="10276" spans="1:6" x14ac:dyDescent="0.3">
      <c r="A10276" t="s">
        <v>10311</v>
      </c>
      <c r="B10276" t="s">
        <v>30</v>
      </c>
      <c r="C10276">
        <v>156000</v>
      </c>
      <c r="D10276">
        <v>21281.1</v>
      </c>
      <c r="E10276">
        <v>3.1800000000000002E-2</v>
      </c>
      <c r="F10276">
        <v>7.5899999999999995E-2</v>
      </c>
    </row>
    <row r="10277" spans="1:6" x14ac:dyDescent="0.3">
      <c r="A10277" t="s">
        <v>10312</v>
      </c>
      <c r="B10277" t="s">
        <v>81</v>
      </c>
      <c r="C10277">
        <v>166000</v>
      </c>
      <c r="D10277">
        <v>7269.8</v>
      </c>
      <c r="F10277">
        <v>7.5899999999999995E-2</v>
      </c>
    </row>
    <row r="10278" spans="1:6" x14ac:dyDescent="0.3">
      <c r="A10278" t="s">
        <v>10313</v>
      </c>
      <c r="B10278" t="s">
        <v>88</v>
      </c>
      <c r="C10278">
        <v>232000</v>
      </c>
      <c r="D10278">
        <v>1254.4000000000001</v>
      </c>
      <c r="E10278">
        <v>3.4299999999999997E-2</v>
      </c>
      <c r="F10278">
        <v>4.8599999999999997E-2</v>
      </c>
    </row>
    <row r="10279" spans="1:6" x14ac:dyDescent="0.3">
      <c r="A10279" t="s">
        <v>10314</v>
      </c>
      <c r="B10279" t="s">
        <v>26</v>
      </c>
      <c r="C10279">
        <v>158000</v>
      </c>
      <c r="D10279">
        <v>741.1</v>
      </c>
      <c r="E10279">
        <v>1.7399999999999999E-2</v>
      </c>
      <c r="F10279">
        <v>4.6199999999999998E-2</v>
      </c>
    </row>
    <row r="10280" spans="1:6" x14ac:dyDescent="0.3">
      <c r="A10280" t="s">
        <v>10315</v>
      </c>
      <c r="B10280" t="s">
        <v>24</v>
      </c>
      <c r="C10280">
        <v>1040000</v>
      </c>
      <c r="D10280">
        <v>30493.7</v>
      </c>
      <c r="E10280">
        <v>5.2499999999999998E-2</v>
      </c>
      <c r="F10280">
        <v>9.3799999999999994E-2</v>
      </c>
    </row>
    <row r="10281" spans="1:6" x14ac:dyDescent="0.3">
      <c r="A10281" t="s">
        <v>10316</v>
      </c>
      <c r="B10281" t="s">
        <v>88</v>
      </c>
      <c r="C10281">
        <v>231000</v>
      </c>
      <c r="D10281">
        <v>1687.3</v>
      </c>
      <c r="E10281">
        <v>4.1000000000000002E-2</v>
      </c>
      <c r="F10281">
        <v>0.1226</v>
      </c>
    </row>
    <row r="10282" spans="1:6" x14ac:dyDescent="0.3">
      <c r="A10282" t="s">
        <v>10317</v>
      </c>
      <c r="B10282" t="s">
        <v>62</v>
      </c>
      <c r="C10282">
        <v>143000</v>
      </c>
      <c r="D10282">
        <v>698.7</v>
      </c>
      <c r="E10282">
        <v>8.0000000000000002E-3</v>
      </c>
      <c r="F10282">
        <v>0.10150000000000001</v>
      </c>
    </row>
    <row r="10283" spans="1:6" x14ac:dyDescent="0.3">
      <c r="A10283" t="s">
        <v>10318</v>
      </c>
      <c r="B10283" t="s">
        <v>32</v>
      </c>
      <c r="C10283">
        <v>173000</v>
      </c>
      <c r="D10283">
        <v>149517.4</v>
      </c>
      <c r="E10283">
        <v>1.9699999999999999E-2</v>
      </c>
      <c r="F10283">
        <v>8.4500000000000006E-2</v>
      </c>
    </row>
    <row r="10284" spans="1:6" x14ac:dyDescent="0.3">
      <c r="A10284" t="s">
        <v>10319</v>
      </c>
      <c r="B10284" t="s">
        <v>88</v>
      </c>
      <c r="C10284">
        <v>170000</v>
      </c>
      <c r="D10284">
        <v>1065.5</v>
      </c>
      <c r="E10284">
        <v>2.5899999999999999E-2</v>
      </c>
      <c r="F10284">
        <v>0.13869999999999999</v>
      </c>
    </row>
    <row r="10285" spans="1:6" x14ac:dyDescent="0.3">
      <c r="A10285" t="s">
        <v>10320</v>
      </c>
      <c r="B10285" t="s">
        <v>62</v>
      </c>
      <c r="C10285">
        <v>250000</v>
      </c>
      <c r="D10285">
        <v>4477.1000000000004</v>
      </c>
      <c r="E10285">
        <v>4.5199999999999997E-2</v>
      </c>
      <c r="F10285">
        <v>7.5899999999999995E-2</v>
      </c>
    </row>
    <row r="10286" spans="1:6" x14ac:dyDescent="0.3">
      <c r="A10286" t="s">
        <v>10321</v>
      </c>
      <c r="B10286" t="s">
        <v>81</v>
      </c>
      <c r="C10286">
        <v>192000</v>
      </c>
      <c r="D10286">
        <v>1182</v>
      </c>
      <c r="E10286">
        <v>3.1800000000000002E-2</v>
      </c>
      <c r="F10286">
        <v>9.3799999999999994E-2</v>
      </c>
    </row>
    <row r="10287" spans="1:6" x14ac:dyDescent="0.3">
      <c r="A10287" t="s">
        <v>10322</v>
      </c>
      <c r="B10287" t="s">
        <v>287</v>
      </c>
      <c r="C10287">
        <v>166000</v>
      </c>
      <c r="D10287">
        <v>2968</v>
      </c>
      <c r="E10287">
        <v>5.9700000000000003E-2</v>
      </c>
      <c r="F10287">
        <v>9.5100000000000004E-2</v>
      </c>
    </row>
    <row r="10288" spans="1:6" x14ac:dyDescent="0.3">
      <c r="A10288" t="s">
        <v>10323</v>
      </c>
      <c r="B10288" t="s">
        <v>88</v>
      </c>
      <c r="C10288">
        <v>200000</v>
      </c>
      <c r="D10288">
        <v>1255.5999999999999</v>
      </c>
      <c r="E10288">
        <v>0.1119</v>
      </c>
      <c r="F10288">
        <v>9.3799999999999994E-2</v>
      </c>
    </row>
    <row r="10289" spans="1:6" x14ac:dyDescent="0.3">
      <c r="A10289" t="s">
        <v>10324</v>
      </c>
      <c r="B10289" t="s">
        <v>26</v>
      </c>
      <c r="C10289">
        <v>146000</v>
      </c>
      <c r="D10289">
        <v>249368.6</v>
      </c>
      <c r="E10289">
        <v>2.23E-2</v>
      </c>
      <c r="F10289">
        <v>9.5100000000000004E-2</v>
      </c>
    </row>
    <row r="10290" spans="1:6" x14ac:dyDescent="0.3">
      <c r="A10290" t="s">
        <v>10325</v>
      </c>
      <c r="B10290" t="s">
        <v>214</v>
      </c>
      <c r="C10290">
        <v>150000</v>
      </c>
      <c r="D10290">
        <v>4242.7</v>
      </c>
      <c r="E10290">
        <v>2.2800000000000001E-2</v>
      </c>
      <c r="F10290">
        <v>7.5899999999999995E-2</v>
      </c>
    </row>
    <row r="10291" spans="1:6" x14ac:dyDescent="0.3">
      <c r="A10291" t="s">
        <v>10326</v>
      </c>
      <c r="B10291" t="s">
        <v>88</v>
      </c>
      <c r="C10291">
        <v>177000</v>
      </c>
      <c r="D10291">
        <v>960.4</v>
      </c>
      <c r="E10291">
        <v>2.6599999999999999E-2</v>
      </c>
      <c r="F10291">
        <v>7.5899999999999995E-2</v>
      </c>
    </row>
    <row r="10292" spans="1:6" x14ac:dyDescent="0.3">
      <c r="A10292" t="s">
        <v>10327</v>
      </c>
      <c r="B10292" t="s">
        <v>88</v>
      </c>
      <c r="C10292">
        <v>223000</v>
      </c>
      <c r="D10292">
        <v>971.1</v>
      </c>
      <c r="E10292">
        <v>7.4999999999999997E-2</v>
      </c>
      <c r="F10292">
        <v>9.3799999999999994E-2</v>
      </c>
    </row>
    <row r="10293" spans="1:6" x14ac:dyDescent="0.3">
      <c r="A10293" t="s">
        <v>10328</v>
      </c>
      <c r="B10293" t="s">
        <v>26</v>
      </c>
      <c r="C10293">
        <v>194000</v>
      </c>
      <c r="D10293">
        <v>28234.6</v>
      </c>
      <c r="E10293">
        <v>1.9800000000000002E-2</v>
      </c>
      <c r="F10293">
        <v>8.5400000000000004E-2</v>
      </c>
    </row>
    <row r="10294" spans="1:6" x14ac:dyDescent="0.3">
      <c r="A10294" t="s">
        <v>10329</v>
      </c>
      <c r="B10294" t="s">
        <v>74</v>
      </c>
      <c r="C10294">
        <v>141000</v>
      </c>
      <c r="D10294">
        <v>1346</v>
      </c>
      <c r="E10294">
        <v>9.1499999999999998E-2</v>
      </c>
      <c r="F10294">
        <v>9.5100000000000004E-2</v>
      </c>
    </row>
    <row r="10295" spans="1:6" x14ac:dyDescent="0.3">
      <c r="A10295" t="s">
        <v>10330</v>
      </c>
      <c r="B10295" t="s">
        <v>24</v>
      </c>
      <c r="C10295">
        <v>221000</v>
      </c>
      <c r="D10295">
        <v>2743.5</v>
      </c>
      <c r="E10295">
        <v>5.6500000000000002E-2</v>
      </c>
      <c r="F10295">
        <v>7.5899999999999995E-2</v>
      </c>
    </row>
    <row r="10296" spans="1:6" x14ac:dyDescent="0.3">
      <c r="A10296" t="s">
        <v>10331</v>
      </c>
      <c r="B10296" t="s">
        <v>62</v>
      </c>
      <c r="C10296">
        <v>136000</v>
      </c>
      <c r="D10296">
        <v>1351.5</v>
      </c>
      <c r="E10296">
        <v>6.0499999999999998E-2</v>
      </c>
      <c r="F10296">
        <v>9.5100000000000004E-2</v>
      </c>
    </row>
    <row r="10297" spans="1:6" x14ac:dyDescent="0.3">
      <c r="A10297" t="s">
        <v>10332</v>
      </c>
      <c r="B10297" t="s">
        <v>21</v>
      </c>
      <c r="C10297">
        <v>146000</v>
      </c>
      <c r="D10297">
        <v>9538.7999999999993</v>
      </c>
      <c r="E10297">
        <v>3.9100000000000003E-2</v>
      </c>
      <c r="F10297">
        <v>7.5899999999999995E-2</v>
      </c>
    </row>
    <row r="10298" spans="1:6" x14ac:dyDescent="0.3">
      <c r="A10298" t="s">
        <v>10333</v>
      </c>
      <c r="B10298" t="s">
        <v>88</v>
      </c>
      <c r="C10298">
        <v>147000</v>
      </c>
      <c r="D10298">
        <v>3160.6</v>
      </c>
      <c r="E10298">
        <v>2.87E-2</v>
      </c>
      <c r="F10298">
        <v>9.5100000000000004E-2</v>
      </c>
    </row>
    <row r="10299" spans="1:6" x14ac:dyDescent="0.3">
      <c r="A10299" t="s">
        <v>10334</v>
      </c>
      <c r="B10299" t="s">
        <v>81</v>
      </c>
      <c r="C10299">
        <v>204000</v>
      </c>
      <c r="D10299">
        <v>56890.7</v>
      </c>
      <c r="E10299">
        <v>3.7900000000000003E-2</v>
      </c>
      <c r="F10299">
        <v>0.1241</v>
      </c>
    </row>
    <row r="10300" spans="1:6" x14ac:dyDescent="0.3">
      <c r="A10300" t="s">
        <v>10335</v>
      </c>
      <c r="B10300" t="s">
        <v>35</v>
      </c>
      <c r="C10300">
        <v>133000</v>
      </c>
      <c r="D10300">
        <v>2793.3</v>
      </c>
      <c r="E10300">
        <v>4.1799999999999997E-2</v>
      </c>
      <c r="F10300">
        <v>9.5100000000000004E-2</v>
      </c>
    </row>
    <row r="10301" spans="1:6" x14ac:dyDescent="0.3">
      <c r="A10301" t="s">
        <v>10336</v>
      </c>
      <c r="B10301" t="s">
        <v>26</v>
      </c>
      <c r="C10301">
        <v>137000</v>
      </c>
      <c r="D10301">
        <v>2397.4</v>
      </c>
      <c r="E10301">
        <v>3.6999999999999998E-2</v>
      </c>
      <c r="F10301">
        <v>9.5100000000000004E-2</v>
      </c>
    </row>
    <row r="10302" spans="1:6" x14ac:dyDescent="0.3">
      <c r="A10302" t="s">
        <v>10337</v>
      </c>
      <c r="B10302" t="s">
        <v>35</v>
      </c>
      <c r="C10302">
        <v>414000</v>
      </c>
      <c r="D10302">
        <v>84268.800000000003</v>
      </c>
      <c r="E10302">
        <v>3.1E-2</v>
      </c>
      <c r="F10302">
        <v>7.5899999999999995E-2</v>
      </c>
    </row>
    <row r="10303" spans="1:6" x14ac:dyDescent="0.3">
      <c r="A10303" t="s">
        <v>10338</v>
      </c>
      <c r="B10303" t="s">
        <v>41</v>
      </c>
      <c r="C10303">
        <v>169000</v>
      </c>
      <c r="D10303">
        <v>3388.8</v>
      </c>
      <c r="E10303">
        <v>1.15E-2</v>
      </c>
      <c r="F10303">
        <v>8.1100000000000005E-2</v>
      </c>
    </row>
    <row r="10304" spans="1:6" x14ac:dyDescent="0.3">
      <c r="A10304" t="s">
        <v>10339</v>
      </c>
      <c r="B10304" t="s">
        <v>88</v>
      </c>
      <c r="C10304">
        <v>137000</v>
      </c>
      <c r="D10304">
        <v>8094.8</v>
      </c>
      <c r="E10304">
        <v>4.19E-2</v>
      </c>
      <c r="F10304">
        <v>9.5100000000000004E-2</v>
      </c>
    </row>
    <row r="10305" spans="1:6" x14ac:dyDescent="0.3">
      <c r="A10305" t="s">
        <v>10340</v>
      </c>
      <c r="B10305" t="s">
        <v>74</v>
      </c>
      <c r="C10305">
        <v>151000</v>
      </c>
      <c r="D10305">
        <v>234.7</v>
      </c>
      <c r="E10305">
        <v>3.8899999999999997E-2</v>
      </c>
      <c r="F10305">
        <v>4.0899999999999999E-2</v>
      </c>
    </row>
    <row r="10306" spans="1:6" x14ac:dyDescent="0.3">
      <c r="A10306" t="s">
        <v>10341</v>
      </c>
      <c r="B10306" t="s">
        <v>26</v>
      </c>
      <c r="C10306">
        <v>531000</v>
      </c>
      <c r="D10306">
        <v>6134</v>
      </c>
      <c r="E10306">
        <v>1.06E-2</v>
      </c>
      <c r="F10306">
        <v>7.3599999999999999E-2</v>
      </c>
    </row>
    <row r="10307" spans="1:6" x14ac:dyDescent="0.3">
      <c r="A10307" t="s">
        <v>10342</v>
      </c>
      <c r="B10307" t="s">
        <v>88</v>
      </c>
      <c r="C10307">
        <v>262000</v>
      </c>
      <c r="D10307">
        <v>1057.5</v>
      </c>
      <c r="E10307">
        <v>2.5700000000000001E-2</v>
      </c>
      <c r="F10307">
        <v>9.3799999999999994E-2</v>
      </c>
    </row>
    <row r="10308" spans="1:6" x14ac:dyDescent="0.3">
      <c r="A10308" t="s">
        <v>10343</v>
      </c>
      <c r="B10308" t="s">
        <v>30</v>
      </c>
      <c r="C10308">
        <v>148000</v>
      </c>
      <c r="D10308">
        <v>5537.6</v>
      </c>
      <c r="E10308">
        <v>3.39E-2</v>
      </c>
      <c r="F10308">
        <v>5.1799999999999999E-2</v>
      </c>
    </row>
    <row r="10309" spans="1:6" x14ac:dyDescent="0.3">
      <c r="A10309" t="s">
        <v>10344</v>
      </c>
      <c r="B10309" t="s">
        <v>26</v>
      </c>
      <c r="C10309">
        <v>157000</v>
      </c>
      <c r="D10309">
        <v>800.1</v>
      </c>
      <c r="E10309">
        <v>4.36E-2</v>
      </c>
      <c r="F10309">
        <v>7.5899999999999995E-2</v>
      </c>
    </row>
    <row r="10310" spans="1:6" x14ac:dyDescent="0.3">
      <c r="A10310" t="s">
        <v>10345</v>
      </c>
      <c r="B10310" t="s">
        <v>81</v>
      </c>
      <c r="C10310">
        <v>167000</v>
      </c>
      <c r="D10310">
        <v>1255.9000000000001</v>
      </c>
      <c r="E10310">
        <v>2.8500000000000001E-2</v>
      </c>
      <c r="F10310">
        <v>7.5899999999999995E-2</v>
      </c>
    </row>
    <row r="10311" spans="1:6" x14ac:dyDescent="0.3">
      <c r="A10311" t="s">
        <v>10346</v>
      </c>
      <c r="B10311" t="s">
        <v>88</v>
      </c>
      <c r="C10311">
        <v>378000</v>
      </c>
      <c r="D10311">
        <v>378.4</v>
      </c>
      <c r="F10311">
        <v>5.0999999999999997E-2</v>
      </c>
    </row>
    <row r="10312" spans="1:6" x14ac:dyDescent="0.3">
      <c r="A10312" t="s">
        <v>10347</v>
      </c>
      <c r="B10312" t="s">
        <v>24</v>
      </c>
      <c r="C10312">
        <v>238000</v>
      </c>
      <c r="D10312">
        <v>488.8</v>
      </c>
      <c r="E10312">
        <v>2.6499999999999999E-2</v>
      </c>
      <c r="F10312">
        <v>0.35599999999999998</v>
      </c>
    </row>
    <row r="10313" spans="1:6" x14ac:dyDescent="0.3">
      <c r="A10313" t="s">
        <v>10348</v>
      </c>
      <c r="B10313" t="s">
        <v>195</v>
      </c>
      <c r="C10313">
        <v>312000</v>
      </c>
      <c r="D10313">
        <v>143</v>
      </c>
      <c r="E10313">
        <v>0.13339999999999999</v>
      </c>
      <c r="F10313">
        <v>0.13589999999999999</v>
      </c>
    </row>
    <row r="10314" spans="1:6" x14ac:dyDescent="0.3">
      <c r="A10314" t="s">
        <v>10349</v>
      </c>
      <c r="B10314" t="s">
        <v>62</v>
      </c>
      <c r="C10314">
        <v>185000</v>
      </c>
      <c r="D10314">
        <v>4008.2</v>
      </c>
      <c r="E10314">
        <v>2.23E-2</v>
      </c>
      <c r="F10314">
        <v>8.5400000000000004E-2</v>
      </c>
    </row>
    <row r="10315" spans="1:6" x14ac:dyDescent="0.3">
      <c r="A10315" t="s">
        <v>10350</v>
      </c>
      <c r="B10315" t="s">
        <v>92</v>
      </c>
      <c r="C10315">
        <v>186000</v>
      </c>
      <c r="D10315">
        <v>5608.8</v>
      </c>
      <c r="E10315">
        <v>1.37E-2</v>
      </c>
      <c r="F10315">
        <v>5.8500000000000003E-2</v>
      </c>
    </row>
    <row r="10316" spans="1:6" x14ac:dyDescent="0.3">
      <c r="A10316" t="s">
        <v>10351</v>
      </c>
      <c r="B10316" t="s">
        <v>74</v>
      </c>
      <c r="C10316">
        <v>135000</v>
      </c>
      <c r="D10316">
        <v>425.4</v>
      </c>
      <c r="E10316">
        <v>1.61E-2</v>
      </c>
      <c r="F10316">
        <v>5.8500000000000003E-2</v>
      </c>
    </row>
    <row r="10317" spans="1:6" x14ac:dyDescent="0.3">
      <c r="A10317" t="s">
        <v>10352</v>
      </c>
      <c r="B10317" t="s">
        <v>214</v>
      </c>
      <c r="C10317">
        <v>137000</v>
      </c>
      <c r="D10317">
        <v>1864.9</v>
      </c>
      <c r="E10317">
        <v>8.2000000000000007E-3</v>
      </c>
      <c r="F10317">
        <v>8.2199999999999995E-2</v>
      </c>
    </row>
    <row r="10318" spans="1:6" x14ac:dyDescent="0.3">
      <c r="A10318" t="s">
        <v>10353</v>
      </c>
      <c r="B10318" t="s">
        <v>26</v>
      </c>
      <c r="C10318">
        <v>188000</v>
      </c>
      <c r="D10318">
        <v>17633.599999999999</v>
      </c>
      <c r="E10318">
        <v>2.2700000000000001E-2</v>
      </c>
      <c r="F10318">
        <v>0.1053</v>
      </c>
    </row>
    <row r="10319" spans="1:6" x14ac:dyDescent="0.3">
      <c r="A10319" t="s">
        <v>10354</v>
      </c>
      <c r="B10319" t="s">
        <v>214</v>
      </c>
      <c r="C10319">
        <v>138000</v>
      </c>
      <c r="D10319">
        <v>99.7</v>
      </c>
      <c r="E10319">
        <v>7.1000000000000004E-3</v>
      </c>
      <c r="F10319">
        <v>0.41880000000000001</v>
      </c>
    </row>
    <row r="10320" spans="1:6" x14ac:dyDescent="0.3">
      <c r="A10320" t="s">
        <v>10355</v>
      </c>
      <c r="B10320" t="s">
        <v>26</v>
      </c>
      <c r="C10320">
        <v>166000</v>
      </c>
      <c r="D10320">
        <v>6395.3</v>
      </c>
      <c r="E10320">
        <v>4.8800000000000003E-2</v>
      </c>
      <c r="F10320">
        <v>9.5100000000000004E-2</v>
      </c>
    </row>
    <row r="10321" spans="1:6" x14ac:dyDescent="0.3">
      <c r="A10321" t="s">
        <v>10356</v>
      </c>
      <c r="B10321" t="s">
        <v>26</v>
      </c>
      <c r="C10321">
        <v>136000</v>
      </c>
      <c r="D10321">
        <v>337.3</v>
      </c>
      <c r="E10321">
        <v>2.3E-2</v>
      </c>
      <c r="F10321">
        <v>0.17100000000000001</v>
      </c>
    </row>
    <row r="10322" spans="1:6" x14ac:dyDescent="0.3">
      <c r="A10322" t="s">
        <v>10357</v>
      </c>
      <c r="B10322" t="s">
        <v>26</v>
      </c>
      <c r="C10322">
        <v>134000</v>
      </c>
      <c r="D10322">
        <v>7281.6</v>
      </c>
      <c r="E10322">
        <v>9.8100000000000007E-2</v>
      </c>
      <c r="F10322">
        <v>9.5100000000000004E-2</v>
      </c>
    </row>
    <row r="10323" spans="1:6" x14ac:dyDescent="0.3">
      <c r="A10323" t="s">
        <v>10358</v>
      </c>
      <c r="B10323" t="s">
        <v>74</v>
      </c>
      <c r="C10323">
        <v>139000</v>
      </c>
      <c r="D10323">
        <v>1845.3</v>
      </c>
      <c r="E10323">
        <v>5.74E-2</v>
      </c>
      <c r="F10323">
        <v>9.5100000000000004E-2</v>
      </c>
    </row>
    <row r="10324" spans="1:6" x14ac:dyDescent="0.3">
      <c r="A10324" t="s">
        <v>10359</v>
      </c>
      <c r="B10324" t="s">
        <v>26</v>
      </c>
      <c r="C10324">
        <v>156000</v>
      </c>
      <c r="D10324">
        <v>4565.8</v>
      </c>
      <c r="E10324">
        <v>3.95E-2</v>
      </c>
      <c r="F10324">
        <v>9.5100000000000004E-2</v>
      </c>
    </row>
    <row r="10325" spans="1:6" x14ac:dyDescent="0.3">
      <c r="A10325" t="s">
        <v>10360</v>
      </c>
      <c r="B10325" t="s">
        <v>30</v>
      </c>
      <c r="C10325">
        <v>182000</v>
      </c>
      <c r="D10325">
        <v>6102.8</v>
      </c>
      <c r="E10325">
        <v>1.67E-2</v>
      </c>
      <c r="F10325">
        <v>0.1469</v>
      </c>
    </row>
    <row r="10326" spans="1:6" x14ac:dyDescent="0.3">
      <c r="A10326" t="s">
        <v>10361</v>
      </c>
      <c r="B10326" t="s">
        <v>88</v>
      </c>
      <c r="C10326">
        <v>179000</v>
      </c>
      <c r="D10326">
        <v>707.2</v>
      </c>
      <c r="E10326">
        <v>5.62E-2</v>
      </c>
      <c r="F10326">
        <v>7.5899999999999995E-2</v>
      </c>
    </row>
    <row r="10327" spans="1:6" x14ac:dyDescent="0.3">
      <c r="A10327" t="s">
        <v>10362</v>
      </c>
      <c r="B10327" t="s">
        <v>88</v>
      </c>
      <c r="C10327">
        <v>310000</v>
      </c>
      <c r="D10327">
        <v>23432.9</v>
      </c>
      <c r="E10327">
        <v>3.7100000000000001E-2</v>
      </c>
      <c r="F10327">
        <v>4.0899999999999999E-2</v>
      </c>
    </row>
    <row r="10328" spans="1:6" x14ac:dyDescent="0.3">
      <c r="A10328" t="s">
        <v>10363</v>
      </c>
      <c r="B10328" t="s">
        <v>24</v>
      </c>
      <c r="C10328">
        <v>136000</v>
      </c>
      <c r="D10328">
        <v>5804.2</v>
      </c>
      <c r="E10328">
        <v>4.6100000000000002E-2</v>
      </c>
      <c r="F10328">
        <v>9.5100000000000004E-2</v>
      </c>
    </row>
    <row r="10329" spans="1:6" x14ac:dyDescent="0.3">
      <c r="A10329" t="s">
        <v>10364</v>
      </c>
      <c r="B10329" t="s">
        <v>26</v>
      </c>
      <c r="C10329">
        <v>191000</v>
      </c>
      <c r="D10329">
        <v>3799.4</v>
      </c>
      <c r="E10329">
        <v>6.9000000000000006E-2</v>
      </c>
      <c r="F10329">
        <v>7.5899999999999995E-2</v>
      </c>
    </row>
    <row r="10330" spans="1:6" x14ac:dyDescent="0.3">
      <c r="A10330" t="s">
        <v>10365</v>
      </c>
      <c r="B10330" t="s">
        <v>92</v>
      </c>
      <c r="C10330">
        <v>154000</v>
      </c>
      <c r="D10330">
        <v>1653.8</v>
      </c>
      <c r="E10330">
        <v>9.2999999999999992E-3</v>
      </c>
      <c r="F10330">
        <v>8.2199999999999995E-2</v>
      </c>
    </row>
    <row r="10331" spans="1:6" x14ac:dyDescent="0.3">
      <c r="A10331" t="s">
        <v>10366</v>
      </c>
      <c r="B10331" t="s">
        <v>88</v>
      </c>
      <c r="C10331">
        <v>144000</v>
      </c>
      <c r="D10331">
        <v>740.4</v>
      </c>
      <c r="E10331">
        <v>8.5400000000000004E-2</v>
      </c>
      <c r="F10331">
        <v>9.5100000000000004E-2</v>
      </c>
    </row>
    <row r="10332" spans="1:6" x14ac:dyDescent="0.3">
      <c r="A10332" t="s">
        <v>10367</v>
      </c>
      <c r="B10332" t="s">
        <v>30</v>
      </c>
      <c r="C10332">
        <v>250000</v>
      </c>
      <c r="D10332">
        <v>4779.5</v>
      </c>
      <c r="E10332">
        <v>3.8199999999999998E-2</v>
      </c>
      <c r="F10332">
        <v>9.5100000000000004E-2</v>
      </c>
    </row>
    <row r="10333" spans="1:6" x14ac:dyDescent="0.3">
      <c r="A10333" t="s">
        <v>10368</v>
      </c>
      <c r="B10333" t="s">
        <v>81</v>
      </c>
      <c r="C10333">
        <v>183000</v>
      </c>
      <c r="D10333">
        <v>8535.5</v>
      </c>
      <c r="E10333">
        <v>2.3699999999999999E-2</v>
      </c>
      <c r="F10333">
        <v>0.13250000000000001</v>
      </c>
    </row>
    <row r="10334" spans="1:6" x14ac:dyDescent="0.3">
      <c r="A10334" t="s">
        <v>10369</v>
      </c>
      <c r="B10334" t="s">
        <v>26</v>
      </c>
      <c r="C10334">
        <v>237000</v>
      </c>
      <c r="D10334">
        <v>9024.7000000000007</v>
      </c>
      <c r="F10334">
        <v>5.1799999999999999E-2</v>
      </c>
    </row>
    <row r="10335" spans="1:6" x14ac:dyDescent="0.3">
      <c r="A10335" t="s">
        <v>10370</v>
      </c>
      <c r="B10335" t="s">
        <v>214</v>
      </c>
      <c r="C10335">
        <v>179000</v>
      </c>
      <c r="D10335">
        <v>102.3</v>
      </c>
      <c r="E10335">
        <v>1.84E-2</v>
      </c>
      <c r="F10335">
        <v>5.7599999999999998E-2</v>
      </c>
    </row>
    <row r="10336" spans="1:6" x14ac:dyDescent="0.3">
      <c r="A10336" t="s">
        <v>10371</v>
      </c>
      <c r="B10336" t="s">
        <v>88</v>
      </c>
      <c r="C10336">
        <v>156000</v>
      </c>
      <c r="D10336">
        <v>659.7</v>
      </c>
      <c r="E10336">
        <v>0.1003</v>
      </c>
      <c r="F10336">
        <v>9.3799999999999994E-2</v>
      </c>
    </row>
    <row r="10337" spans="1:6" x14ac:dyDescent="0.3">
      <c r="A10337" t="s">
        <v>10372</v>
      </c>
      <c r="B10337" t="s">
        <v>21</v>
      </c>
      <c r="C10337">
        <v>241000</v>
      </c>
      <c r="D10337">
        <v>810.3</v>
      </c>
      <c r="E10337">
        <v>1.2699999999999999E-2</v>
      </c>
      <c r="F10337">
        <v>7.3599999999999999E-2</v>
      </c>
    </row>
    <row r="10338" spans="1:6" x14ac:dyDescent="0.3">
      <c r="A10338" t="s">
        <v>10373</v>
      </c>
      <c r="B10338" t="s">
        <v>88</v>
      </c>
      <c r="C10338">
        <v>186000</v>
      </c>
      <c r="D10338">
        <v>4862.8</v>
      </c>
      <c r="E10338">
        <v>2.3099999999999999E-2</v>
      </c>
      <c r="F10338">
        <v>9.5100000000000004E-2</v>
      </c>
    </row>
    <row r="10339" spans="1:6" x14ac:dyDescent="0.3">
      <c r="A10339" t="s">
        <v>10374</v>
      </c>
      <c r="B10339" t="s">
        <v>53</v>
      </c>
      <c r="C10339">
        <v>160000</v>
      </c>
      <c r="D10339">
        <v>127.7</v>
      </c>
      <c r="E10339">
        <v>2.06E-2</v>
      </c>
      <c r="F10339">
        <v>0.13900000000000001</v>
      </c>
    </row>
    <row r="10340" spans="1:6" x14ac:dyDescent="0.3">
      <c r="A10340" t="s">
        <v>10375</v>
      </c>
      <c r="B10340" t="s">
        <v>88</v>
      </c>
      <c r="C10340">
        <v>482000</v>
      </c>
      <c r="D10340">
        <v>39509.4</v>
      </c>
      <c r="E10340">
        <v>5.5E-2</v>
      </c>
      <c r="F10340">
        <v>7.5899999999999995E-2</v>
      </c>
    </row>
    <row r="10341" spans="1:6" x14ac:dyDescent="0.3">
      <c r="A10341" t="s">
        <v>10376</v>
      </c>
      <c r="B10341" t="s">
        <v>287</v>
      </c>
      <c r="C10341">
        <v>237000</v>
      </c>
      <c r="D10341">
        <v>1322.7</v>
      </c>
      <c r="E10341">
        <v>8.3999999999999995E-3</v>
      </c>
      <c r="F10341">
        <v>6.54E-2</v>
      </c>
    </row>
    <row r="10342" spans="1:6" x14ac:dyDescent="0.3">
      <c r="A10342" t="s">
        <v>10377</v>
      </c>
      <c r="B10342" t="s">
        <v>490</v>
      </c>
      <c r="C10342">
        <v>140000</v>
      </c>
      <c r="D10342">
        <v>58867.5</v>
      </c>
      <c r="E10342">
        <v>2.4199999999999999E-2</v>
      </c>
      <c r="F10342">
        <v>5.1799999999999999E-2</v>
      </c>
    </row>
    <row r="10343" spans="1:6" x14ac:dyDescent="0.3">
      <c r="A10343" t="s">
        <v>10378</v>
      </c>
      <c r="B10343" t="s">
        <v>92</v>
      </c>
      <c r="C10343">
        <v>136000</v>
      </c>
      <c r="D10343">
        <v>2545.4</v>
      </c>
      <c r="E10343">
        <v>9.9000000000000008E-3</v>
      </c>
      <c r="F10343">
        <v>8.2199999999999995E-2</v>
      </c>
    </row>
    <row r="10344" spans="1:6" x14ac:dyDescent="0.3">
      <c r="A10344" t="s">
        <v>10379</v>
      </c>
      <c r="B10344" t="s">
        <v>195</v>
      </c>
      <c r="C10344">
        <v>188000</v>
      </c>
      <c r="D10344">
        <v>1157.5</v>
      </c>
      <c r="E10344">
        <v>1.2500000000000001E-2</v>
      </c>
      <c r="F10344">
        <v>6.8900000000000003E-2</v>
      </c>
    </row>
    <row r="10345" spans="1:6" x14ac:dyDescent="0.3">
      <c r="A10345" t="s">
        <v>10380</v>
      </c>
      <c r="B10345" t="s">
        <v>32</v>
      </c>
      <c r="C10345">
        <v>139000</v>
      </c>
      <c r="D10345">
        <v>8874</v>
      </c>
      <c r="E10345">
        <v>2.7799999999999998E-2</v>
      </c>
      <c r="F10345">
        <v>9.5100000000000004E-2</v>
      </c>
    </row>
    <row r="10346" spans="1:6" x14ac:dyDescent="0.3">
      <c r="A10346" t="s">
        <v>10381</v>
      </c>
      <c r="B10346" t="s">
        <v>287</v>
      </c>
      <c r="C10346">
        <v>163000</v>
      </c>
      <c r="D10346">
        <v>1122.0999999999999</v>
      </c>
      <c r="E10346">
        <v>3.1E-2</v>
      </c>
      <c r="F10346">
        <v>7.5899999999999995E-2</v>
      </c>
    </row>
    <row r="10347" spans="1:6" x14ac:dyDescent="0.3">
      <c r="A10347" t="s">
        <v>10382</v>
      </c>
      <c r="B10347" t="s">
        <v>53</v>
      </c>
      <c r="C10347">
        <v>151000</v>
      </c>
      <c r="D10347">
        <v>288.2</v>
      </c>
      <c r="E10347">
        <v>2.7000000000000001E-3</v>
      </c>
      <c r="F10347">
        <v>0.13819999999999999</v>
      </c>
    </row>
    <row r="10348" spans="1:6" x14ac:dyDescent="0.3">
      <c r="A10348" t="s">
        <v>10383</v>
      </c>
      <c r="B10348" t="s">
        <v>62</v>
      </c>
      <c r="C10348">
        <v>147000</v>
      </c>
      <c r="D10348">
        <v>1087.3</v>
      </c>
      <c r="E10348">
        <v>1.9599999999999999E-2</v>
      </c>
      <c r="F10348">
        <v>4.6199999999999998E-2</v>
      </c>
    </row>
    <row r="10349" spans="1:6" x14ac:dyDescent="0.3">
      <c r="A10349" t="s">
        <v>10384</v>
      </c>
      <c r="B10349" t="s">
        <v>35</v>
      </c>
      <c r="C10349">
        <v>145000</v>
      </c>
      <c r="D10349">
        <v>3739.1</v>
      </c>
      <c r="E10349">
        <v>2.1299999999999999E-2</v>
      </c>
      <c r="F10349">
        <v>4.0899999999999999E-2</v>
      </c>
    </row>
    <row r="10350" spans="1:6" x14ac:dyDescent="0.3">
      <c r="A10350" t="s">
        <v>10385</v>
      </c>
      <c r="B10350" t="s">
        <v>50</v>
      </c>
      <c r="C10350">
        <v>130000</v>
      </c>
      <c r="D10350">
        <v>2986.3</v>
      </c>
      <c r="F10350">
        <v>9.5100000000000004E-2</v>
      </c>
    </row>
    <row r="10351" spans="1:6" x14ac:dyDescent="0.3">
      <c r="A10351" t="s">
        <v>10386</v>
      </c>
      <c r="B10351" t="s">
        <v>88</v>
      </c>
      <c r="C10351">
        <v>189000</v>
      </c>
      <c r="D10351">
        <v>490</v>
      </c>
      <c r="E10351">
        <v>8.6400000000000005E-2</v>
      </c>
      <c r="F10351">
        <v>5.1700000000000003E-2</v>
      </c>
    </row>
    <row r="10352" spans="1:6" x14ac:dyDescent="0.3">
      <c r="A10352" t="s">
        <v>10387</v>
      </c>
      <c r="B10352" t="s">
        <v>41</v>
      </c>
      <c r="C10352">
        <v>145000</v>
      </c>
      <c r="D10352">
        <v>1879</v>
      </c>
      <c r="E10352">
        <v>2.9000000000000001E-2</v>
      </c>
      <c r="F10352">
        <v>9.3799999999999994E-2</v>
      </c>
    </row>
    <row r="10353" spans="1:6" x14ac:dyDescent="0.3">
      <c r="A10353" t="s">
        <v>10388</v>
      </c>
      <c r="B10353" t="s">
        <v>24</v>
      </c>
      <c r="C10353">
        <v>399000</v>
      </c>
      <c r="D10353">
        <v>3193.5</v>
      </c>
      <c r="F10353">
        <v>7.5899999999999995E-2</v>
      </c>
    </row>
    <row r="10354" spans="1:6" x14ac:dyDescent="0.3">
      <c r="A10354" t="s">
        <v>10389</v>
      </c>
      <c r="B10354" t="s">
        <v>88</v>
      </c>
      <c r="C10354">
        <v>238000</v>
      </c>
      <c r="D10354">
        <v>3313.9</v>
      </c>
      <c r="E10354">
        <v>2.58E-2</v>
      </c>
      <c r="F10354">
        <v>7.5899999999999995E-2</v>
      </c>
    </row>
    <row r="10355" spans="1:6" x14ac:dyDescent="0.3">
      <c r="A10355" t="s">
        <v>10390</v>
      </c>
      <c r="B10355" t="s">
        <v>26</v>
      </c>
      <c r="C10355">
        <v>160000</v>
      </c>
      <c r="D10355">
        <v>733.9</v>
      </c>
      <c r="E10355">
        <v>5.1999999999999998E-2</v>
      </c>
      <c r="F10355">
        <v>7.5899999999999995E-2</v>
      </c>
    </row>
    <row r="10356" spans="1:6" x14ac:dyDescent="0.3">
      <c r="A10356" t="s">
        <v>10391</v>
      </c>
      <c r="B10356" t="s">
        <v>41</v>
      </c>
      <c r="C10356">
        <v>306000</v>
      </c>
      <c r="D10356">
        <v>1528.5</v>
      </c>
      <c r="E10356">
        <v>1.52E-2</v>
      </c>
      <c r="F10356">
        <v>0.16900000000000001</v>
      </c>
    </row>
    <row r="10357" spans="1:6" x14ac:dyDescent="0.3">
      <c r="A10357" t="s">
        <v>10392</v>
      </c>
      <c r="B10357" t="s">
        <v>81</v>
      </c>
      <c r="C10357">
        <v>137000</v>
      </c>
      <c r="D10357">
        <v>2305.3000000000002</v>
      </c>
      <c r="E10357">
        <v>7.9000000000000008E-3</v>
      </c>
      <c r="F10357">
        <v>6.54E-2</v>
      </c>
    </row>
    <row r="10358" spans="1:6" x14ac:dyDescent="0.3">
      <c r="A10358" t="s">
        <v>10393</v>
      </c>
      <c r="B10358" t="s">
        <v>26</v>
      </c>
      <c r="C10358">
        <v>193000</v>
      </c>
      <c r="D10358">
        <v>4602.8999999999996</v>
      </c>
      <c r="E10358">
        <v>8.2000000000000007E-3</v>
      </c>
      <c r="F10358">
        <v>0.11269999999999999</v>
      </c>
    </row>
    <row r="10359" spans="1:6" x14ac:dyDescent="0.3">
      <c r="A10359" t="s">
        <v>10394</v>
      </c>
      <c r="B10359" t="s">
        <v>214</v>
      </c>
      <c r="C10359">
        <v>156000</v>
      </c>
      <c r="D10359">
        <v>5805.6</v>
      </c>
      <c r="E10359">
        <v>6.3600000000000004E-2</v>
      </c>
      <c r="F10359">
        <v>9.5100000000000004E-2</v>
      </c>
    </row>
    <row r="10360" spans="1:6" x14ac:dyDescent="0.3">
      <c r="A10360" t="s">
        <v>10395</v>
      </c>
      <c r="B10360" t="s">
        <v>62</v>
      </c>
      <c r="C10360">
        <v>131000</v>
      </c>
      <c r="D10360">
        <v>1225.5999999999999</v>
      </c>
      <c r="E10360">
        <v>1.5699999999999999E-2</v>
      </c>
      <c r="F10360">
        <v>0.22939999999999999</v>
      </c>
    </row>
    <row r="10361" spans="1:6" x14ac:dyDescent="0.3">
      <c r="A10361" t="s">
        <v>10396</v>
      </c>
      <c r="B10361" t="s">
        <v>26</v>
      </c>
      <c r="C10361">
        <v>129000</v>
      </c>
      <c r="D10361">
        <v>4100.5</v>
      </c>
      <c r="F10361">
        <v>4.0899999999999999E-2</v>
      </c>
    </row>
    <row r="10362" spans="1:6" x14ac:dyDescent="0.3">
      <c r="A10362" t="s">
        <v>10397</v>
      </c>
      <c r="B10362" t="s">
        <v>26</v>
      </c>
      <c r="C10362">
        <v>156000</v>
      </c>
      <c r="D10362">
        <v>4530.6000000000004</v>
      </c>
      <c r="E10362">
        <v>4.8000000000000001E-2</v>
      </c>
      <c r="F10362">
        <v>9.3799999999999994E-2</v>
      </c>
    </row>
    <row r="10363" spans="1:6" x14ac:dyDescent="0.3">
      <c r="A10363" t="s">
        <v>10398</v>
      </c>
      <c r="B10363" t="s">
        <v>26</v>
      </c>
      <c r="C10363">
        <v>140000</v>
      </c>
      <c r="D10363">
        <v>28954.9</v>
      </c>
      <c r="E10363">
        <v>2.52E-2</v>
      </c>
      <c r="F10363">
        <v>7.5899999999999995E-2</v>
      </c>
    </row>
    <row r="10364" spans="1:6" x14ac:dyDescent="0.3">
      <c r="A10364" t="s">
        <v>10399</v>
      </c>
      <c r="B10364" t="s">
        <v>74</v>
      </c>
      <c r="C10364">
        <v>126000</v>
      </c>
      <c r="D10364">
        <v>2148.6999999999998</v>
      </c>
      <c r="E10364">
        <v>1.6500000000000001E-2</v>
      </c>
      <c r="F10364">
        <v>5.8500000000000003E-2</v>
      </c>
    </row>
    <row r="10365" spans="1:6" x14ac:dyDescent="0.3">
      <c r="A10365" t="s">
        <v>10400</v>
      </c>
      <c r="B10365" t="s">
        <v>88</v>
      </c>
      <c r="C10365">
        <v>131000</v>
      </c>
      <c r="D10365">
        <v>65809.2</v>
      </c>
      <c r="E10365">
        <v>1.5900000000000001E-2</v>
      </c>
      <c r="F10365">
        <v>7.2599999999999998E-2</v>
      </c>
    </row>
    <row r="10366" spans="1:6" x14ac:dyDescent="0.3">
      <c r="A10366" t="s">
        <v>10401</v>
      </c>
      <c r="B10366" t="s">
        <v>88</v>
      </c>
      <c r="C10366">
        <v>150000</v>
      </c>
      <c r="D10366">
        <v>724.9</v>
      </c>
      <c r="E10366">
        <v>2.63E-2</v>
      </c>
      <c r="F10366">
        <v>0.1226</v>
      </c>
    </row>
    <row r="10367" spans="1:6" x14ac:dyDescent="0.3">
      <c r="A10367" t="s">
        <v>10402</v>
      </c>
      <c r="B10367" t="s">
        <v>26</v>
      </c>
      <c r="C10367">
        <v>134000</v>
      </c>
      <c r="D10367">
        <v>7221.7</v>
      </c>
      <c r="E10367">
        <v>3.44E-2</v>
      </c>
      <c r="F10367">
        <v>9.5100000000000004E-2</v>
      </c>
    </row>
    <row r="10368" spans="1:6" x14ac:dyDescent="0.3">
      <c r="A10368" t="s">
        <v>10403</v>
      </c>
      <c r="B10368" t="s">
        <v>214</v>
      </c>
      <c r="C10368">
        <v>139000</v>
      </c>
      <c r="D10368">
        <v>1525.2</v>
      </c>
      <c r="E10368">
        <v>1.61E-2</v>
      </c>
      <c r="F10368">
        <v>6.1600000000000002E-2</v>
      </c>
    </row>
    <row r="10369" spans="1:6" x14ac:dyDescent="0.3">
      <c r="A10369" t="s">
        <v>10404</v>
      </c>
      <c r="B10369" t="s">
        <v>41</v>
      </c>
      <c r="C10369">
        <v>142000</v>
      </c>
      <c r="D10369">
        <v>8061.8</v>
      </c>
      <c r="E10369">
        <v>3.27E-2</v>
      </c>
      <c r="F10369">
        <v>9.3799999999999994E-2</v>
      </c>
    </row>
    <row r="10370" spans="1:6" x14ac:dyDescent="0.3">
      <c r="A10370" t="s">
        <v>10405</v>
      </c>
      <c r="B10370" t="s">
        <v>26</v>
      </c>
      <c r="C10370">
        <v>183000</v>
      </c>
      <c r="D10370">
        <v>986.1</v>
      </c>
      <c r="E10370">
        <v>0.1232</v>
      </c>
      <c r="F10370">
        <v>7.5899999999999995E-2</v>
      </c>
    </row>
    <row r="10371" spans="1:6" x14ac:dyDescent="0.3">
      <c r="A10371" t="s">
        <v>10406</v>
      </c>
      <c r="B10371" t="s">
        <v>26</v>
      </c>
      <c r="C10371">
        <v>186000</v>
      </c>
      <c r="D10371">
        <v>657.4</v>
      </c>
      <c r="E10371">
        <v>2.5899999999999999E-2</v>
      </c>
      <c r="F10371">
        <v>0.13869999999999999</v>
      </c>
    </row>
    <row r="10372" spans="1:6" x14ac:dyDescent="0.3">
      <c r="A10372" t="s">
        <v>10407</v>
      </c>
      <c r="B10372" t="s">
        <v>214</v>
      </c>
      <c r="C10372">
        <v>149000</v>
      </c>
      <c r="D10372">
        <v>4934.2</v>
      </c>
      <c r="E10372">
        <v>3.32E-2</v>
      </c>
      <c r="F10372">
        <v>9.5100000000000004E-2</v>
      </c>
    </row>
    <row r="10373" spans="1:6" x14ac:dyDescent="0.3">
      <c r="A10373" t="s">
        <v>10408</v>
      </c>
      <c r="B10373" t="s">
        <v>35</v>
      </c>
      <c r="C10373">
        <v>133000</v>
      </c>
      <c r="D10373">
        <v>434.1</v>
      </c>
      <c r="E10373">
        <v>1.8599999999999998E-2</v>
      </c>
      <c r="F10373">
        <v>7.3499999999999996E-2</v>
      </c>
    </row>
    <row r="10374" spans="1:6" x14ac:dyDescent="0.3">
      <c r="A10374" t="s">
        <v>10409</v>
      </c>
      <c r="B10374" t="s">
        <v>195</v>
      </c>
      <c r="C10374">
        <v>184000</v>
      </c>
      <c r="D10374">
        <v>624</v>
      </c>
      <c r="E10374">
        <v>4.9799999999999997E-2</v>
      </c>
      <c r="F10374">
        <v>0.23089999999999999</v>
      </c>
    </row>
    <row r="10375" spans="1:6" x14ac:dyDescent="0.3">
      <c r="A10375" t="s">
        <v>10410</v>
      </c>
      <c r="B10375" t="s">
        <v>88</v>
      </c>
      <c r="C10375">
        <v>154000</v>
      </c>
      <c r="D10375">
        <v>1071.9000000000001</v>
      </c>
      <c r="E10375">
        <v>2.8000000000000001E-2</v>
      </c>
      <c r="F10375">
        <v>9.5100000000000004E-2</v>
      </c>
    </row>
    <row r="10376" spans="1:6" x14ac:dyDescent="0.3">
      <c r="A10376" t="s">
        <v>10411</v>
      </c>
      <c r="B10376" t="s">
        <v>92</v>
      </c>
      <c r="C10376">
        <v>163000</v>
      </c>
      <c r="D10376">
        <v>707.8</v>
      </c>
      <c r="E10376">
        <v>4.0599999999999997E-2</v>
      </c>
      <c r="F10376">
        <v>9.98E-2</v>
      </c>
    </row>
    <row r="10377" spans="1:6" x14ac:dyDescent="0.3">
      <c r="A10377" t="s">
        <v>10412</v>
      </c>
      <c r="B10377" t="s">
        <v>50</v>
      </c>
      <c r="C10377">
        <v>132000</v>
      </c>
      <c r="D10377">
        <v>806.4</v>
      </c>
      <c r="E10377">
        <v>1.03E-2</v>
      </c>
      <c r="F10377">
        <v>8.2199999999999995E-2</v>
      </c>
    </row>
    <row r="10378" spans="1:6" x14ac:dyDescent="0.3">
      <c r="A10378" t="s">
        <v>10413</v>
      </c>
      <c r="B10378" t="s">
        <v>53</v>
      </c>
      <c r="C10378">
        <v>179000</v>
      </c>
      <c r="D10378">
        <v>10997.3</v>
      </c>
      <c r="E10378">
        <v>7.3000000000000001E-3</v>
      </c>
      <c r="F10378">
        <v>0.1013</v>
      </c>
    </row>
    <row r="10379" spans="1:6" x14ac:dyDescent="0.3">
      <c r="A10379" t="s">
        <v>10414</v>
      </c>
      <c r="B10379" t="s">
        <v>74</v>
      </c>
      <c r="C10379">
        <v>510000</v>
      </c>
      <c r="D10379">
        <v>59.3</v>
      </c>
      <c r="E10379">
        <v>1.49E-2</v>
      </c>
      <c r="F10379">
        <v>4.6199999999999998E-2</v>
      </c>
    </row>
    <row r="10380" spans="1:6" x14ac:dyDescent="0.3">
      <c r="A10380" t="s">
        <v>10415</v>
      </c>
      <c r="B10380" t="s">
        <v>41</v>
      </c>
      <c r="C10380">
        <v>261000</v>
      </c>
      <c r="D10380">
        <v>5185.5</v>
      </c>
      <c r="E10380">
        <v>0.04</v>
      </c>
      <c r="F10380">
        <v>9.3799999999999994E-2</v>
      </c>
    </row>
    <row r="10381" spans="1:6" x14ac:dyDescent="0.3">
      <c r="A10381" t="s">
        <v>10416</v>
      </c>
      <c r="B10381" t="s">
        <v>41</v>
      </c>
      <c r="C10381">
        <v>156000</v>
      </c>
      <c r="D10381">
        <v>2507.6</v>
      </c>
      <c r="E10381">
        <v>3.5000000000000003E-2</v>
      </c>
      <c r="F10381">
        <v>9.3799999999999994E-2</v>
      </c>
    </row>
    <row r="10382" spans="1:6" x14ac:dyDescent="0.3">
      <c r="A10382" t="s">
        <v>10417</v>
      </c>
      <c r="B10382" t="s">
        <v>53</v>
      </c>
      <c r="C10382">
        <v>216000</v>
      </c>
      <c r="D10382">
        <v>23612.799999999999</v>
      </c>
      <c r="E10382">
        <v>4.1200000000000001E-2</v>
      </c>
      <c r="F10382">
        <v>9.3799999999999994E-2</v>
      </c>
    </row>
    <row r="10383" spans="1:6" x14ac:dyDescent="0.3">
      <c r="A10383" t="s">
        <v>10418</v>
      </c>
      <c r="B10383" t="s">
        <v>41</v>
      </c>
      <c r="C10383">
        <v>169000</v>
      </c>
      <c r="D10383">
        <v>8989.6</v>
      </c>
      <c r="E10383">
        <v>1.95E-2</v>
      </c>
      <c r="F10383">
        <v>0.1067</v>
      </c>
    </row>
    <row r="10384" spans="1:6" x14ac:dyDescent="0.3">
      <c r="A10384" t="s">
        <v>10419</v>
      </c>
      <c r="B10384" t="s">
        <v>88</v>
      </c>
      <c r="C10384">
        <v>220000</v>
      </c>
      <c r="D10384">
        <v>1202.2</v>
      </c>
      <c r="E10384">
        <v>6.4500000000000002E-2</v>
      </c>
      <c r="F10384">
        <v>9.3799999999999994E-2</v>
      </c>
    </row>
    <row r="10385" spans="1:6" x14ac:dyDescent="0.3">
      <c r="A10385" t="s">
        <v>10420</v>
      </c>
      <c r="B10385" t="s">
        <v>88</v>
      </c>
      <c r="C10385">
        <v>132000</v>
      </c>
      <c r="D10385">
        <v>81.7</v>
      </c>
      <c r="E10385">
        <v>3.2300000000000002E-2</v>
      </c>
      <c r="F10385">
        <v>9.98E-2</v>
      </c>
    </row>
    <row r="10386" spans="1:6" x14ac:dyDescent="0.3">
      <c r="A10386" t="s">
        <v>10421</v>
      </c>
      <c r="B10386" t="s">
        <v>195</v>
      </c>
      <c r="C10386">
        <v>197000</v>
      </c>
      <c r="D10386">
        <v>1449.8</v>
      </c>
      <c r="F10386">
        <v>4.3200000000000002E-2</v>
      </c>
    </row>
    <row r="10387" spans="1:6" x14ac:dyDescent="0.3">
      <c r="A10387" t="s">
        <v>10422</v>
      </c>
      <c r="B10387" t="s">
        <v>26</v>
      </c>
      <c r="C10387">
        <v>177000</v>
      </c>
      <c r="D10387">
        <v>27604.1</v>
      </c>
      <c r="E10387">
        <v>1.5100000000000001E-2</v>
      </c>
      <c r="F10387">
        <v>8.5400000000000004E-2</v>
      </c>
    </row>
    <row r="10388" spans="1:6" x14ac:dyDescent="0.3">
      <c r="A10388" t="s">
        <v>10423</v>
      </c>
      <c r="B10388" t="s">
        <v>26</v>
      </c>
      <c r="C10388">
        <v>130000</v>
      </c>
      <c r="D10388">
        <v>4379.8</v>
      </c>
      <c r="E10388">
        <v>0.12839999999999999</v>
      </c>
      <c r="F10388">
        <v>9.5100000000000004E-2</v>
      </c>
    </row>
    <row r="10389" spans="1:6" x14ac:dyDescent="0.3">
      <c r="A10389" t="s">
        <v>10424</v>
      </c>
      <c r="B10389" t="s">
        <v>26</v>
      </c>
      <c r="C10389">
        <v>132000</v>
      </c>
      <c r="D10389">
        <v>2928</v>
      </c>
      <c r="E10389">
        <v>4.07E-2</v>
      </c>
      <c r="F10389">
        <v>9.5100000000000004E-2</v>
      </c>
    </row>
    <row r="10390" spans="1:6" x14ac:dyDescent="0.3">
      <c r="A10390" t="s">
        <v>10425</v>
      </c>
      <c r="B10390" t="s">
        <v>26</v>
      </c>
      <c r="C10390">
        <v>132000</v>
      </c>
      <c r="D10390">
        <v>2363.6999999999998</v>
      </c>
      <c r="F10390">
        <v>9.3799999999999994E-2</v>
      </c>
    </row>
    <row r="10391" spans="1:6" x14ac:dyDescent="0.3">
      <c r="A10391" t="s">
        <v>10426</v>
      </c>
      <c r="B10391" t="s">
        <v>81</v>
      </c>
      <c r="C10391">
        <v>161000</v>
      </c>
      <c r="D10391">
        <v>1190.0999999999999</v>
      </c>
      <c r="E10391">
        <v>1.12E-2</v>
      </c>
      <c r="F10391">
        <v>7.2599999999999998E-2</v>
      </c>
    </row>
    <row r="10392" spans="1:6" x14ac:dyDescent="0.3">
      <c r="A10392" t="s">
        <v>10427</v>
      </c>
      <c r="B10392" t="s">
        <v>41</v>
      </c>
      <c r="C10392">
        <v>566000</v>
      </c>
      <c r="D10392">
        <v>21767.4</v>
      </c>
      <c r="E10392">
        <v>3.39E-2</v>
      </c>
      <c r="F10392">
        <v>0.1168</v>
      </c>
    </row>
    <row r="10393" spans="1:6" x14ac:dyDescent="0.3">
      <c r="A10393" t="s">
        <v>10428</v>
      </c>
      <c r="B10393" t="s">
        <v>35</v>
      </c>
      <c r="C10393">
        <v>142000</v>
      </c>
      <c r="D10393">
        <v>13108.3</v>
      </c>
      <c r="E10393">
        <v>2.8500000000000001E-2</v>
      </c>
      <c r="F10393">
        <v>9.5100000000000004E-2</v>
      </c>
    </row>
    <row r="10394" spans="1:6" x14ac:dyDescent="0.3">
      <c r="A10394" t="s">
        <v>10429</v>
      </c>
      <c r="B10394" t="s">
        <v>26</v>
      </c>
      <c r="C10394">
        <v>207000</v>
      </c>
      <c r="D10394">
        <v>12357</v>
      </c>
      <c r="E10394">
        <v>2.0899999999999998E-2</v>
      </c>
      <c r="F10394">
        <v>4.6199999999999998E-2</v>
      </c>
    </row>
    <row r="10395" spans="1:6" x14ac:dyDescent="0.3">
      <c r="A10395" t="s">
        <v>10430</v>
      </c>
      <c r="B10395" t="s">
        <v>81</v>
      </c>
      <c r="C10395">
        <v>209000</v>
      </c>
      <c r="D10395">
        <v>3579.2</v>
      </c>
      <c r="E10395">
        <v>1.3299999999999999E-2</v>
      </c>
      <c r="F10395">
        <v>7.5700000000000003E-2</v>
      </c>
    </row>
    <row r="10396" spans="1:6" x14ac:dyDescent="0.3">
      <c r="A10396" t="s">
        <v>10431</v>
      </c>
      <c r="B10396" t="s">
        <v>71</v>
      </c>
      <c r="C10396">
        <v>147000</v>
      </c>
      <c r="D10396">
        <v>1068.7</v>
      </c>
      <c r="E10396">
        <v>1.7500000000000002E-2</v>
      </c>
      <c r="F10396">
        <v>0.1067</v>
      </c>
    </row>
    <row r="10397" spans="1:6" x14ac:dyDescent="0.3">
      <c r="A10397" t="s">
        <v>10432</v>
      </c>
      <c r="B10397" t="s">
        <v>32</v>
      </c>
      <c r="C10397">
        <v>137000</v>
      </c>
      <c r="D10397">
        <v>13594.3</v>
      </c>
      <c r="E10397">
        <v>2.47E-2</v>
      </c>
      <c r="F10397">
        <v>9.5100000000000004E-2</v>
      </c>
    </row>
    <row r="10398" spans="1:6" x14ac:dyDescent="0.3">
      <c r="A10398" t="s">
        <v>10433</v>
      </c>
      <c r="B10398" t="s">
        <v>50</v>
      </c>
      <c r="C10398">
        <v>244000</v>
      </c>
      <c r="D10398">
        <v>8698.1</v>
      </c>
      <c r="E10398">
        <v>2.7099999999999999E-2</v>
      </c>
      <c r="F10398">
        <v>7.5899999999999995E-2</v>
      </c>
    </row>
    <row r="10399" spans="1:6" x14ac:dyDescent="0.3">
      <c r="A10399" t="s">
        <v>10434</v>
      </c>
      <c r="B10399" t="s">
        <v>50</v>
      </c>
      <c r="C10399">
        <v>157000</v>
      </c>
      <c r="D10399">
        <v>14024.1</v>
      </c>
      <c r="E10399">
        <v>7.5200000000000003E-2</v>
      </c>
      <c r="F10399">
        <v>7.5899999999999995E-2</v>
      </c>
    </row>
    <row r="10400" spans="1:6" x14ac:dyDescent="0.3">
      <c r="A10400" t="s">
        <v>10435</v>
      </c>
      <c r="B10400" t="s">
        <v>41</v>
      </c>
      <c r="C10400">
        <v>142000</v>
      </c>
      <c r="D10400">
        <v>1455.8</v>
      </c>
      <c r="E10400">
        <v>2.1299999999999999E-2</v>
      </c>
      <c r="F10400">
        <v>9.3799999999999994E-2</v>
      </c>
    </row>
    <row r="10401" spans="1:6" x14ac:dyDescent="0.3">
      <c r="A10401" t="s">
        <v>10436</v>
      </c>
      <c r="B10401" t="s">
        <v>88</v>
      </c>
      <c r="C10401">
        <v>181000</v>
      </c>
      <c r="D10401">
        <v>2157.5</v>
      </c>
      <c r="E10401">
        <v>3.49E-2</v>
      </c>
      <c r="F10401">
        <v>7.5899999999999995E-2</v>
      </c>
    </row>
    <row r="10402" spans="1:6" x14ac:dyDescent="0.3">
      <c r="A10402" t="s">
        <v>10437</v>
      </c>
      <c r="B10402" t="s">
        <v>81</v>
      </c>
      <c r="C10402">
        <v>169000</v>
      </c>
      <c r="D10402">
        <v>4419.5</v>
      </c>
      <c r="E10402">
        <v>2.1999999999999999E-2</v>
      </c>
      <c r="F10402">
        <v>7.5899999999999995E-2</v>
      </c>
    </row>
    <row r="10403" spans="1:6" x14ac:dyDescent="0.3">
      <c r="A10403" t="s">
        <v>10438</v>
      </c>
      <c r="B10403" t="s">
        <v>30</v>
      </c>
      <c r="C10403">
        <v>131000</v>
      </c>
      <c r="F10403">
        <v>7.5899999999999995E-2</v>
      </c>
    </row>
    <row r="10404" spans="1:6" x14ac:dyDescent="0.3">
      <c r="A10404" t="s">
        <v>10439</v>
      </c>
      <c r="B10404" t="s">
        <v>74</v>
      </c>
      <c r="C10404">
        <v>155000</v>
      </c>
      <c r="D10404">
        <v>618.4</v>
      </c>
      <c r="E10404">
        <v>2.5600000000000001E-2</v>
      </c>
      <c r="F10404">
        <v>9.5100000000000004E-2</v>
      </c>
    </row>
    <row r="10405" spans="1:6" x14ac:dyDescent="0.3">
      <c r="A10405" t="s">
        <v>10440</v>
      </c>
      <c r="B10405" t="s">
        <v>88</v>
      </c>
      <c r="C10405">
        <v>131000</v>
      </c>
      <c r="D10405">
        <v>977.6</v>
      </c>
      <c r="E10405">
        <v>3.9E-2</v>
      </c>
      <c r="F10405">
        <v>9.5100000000000004E-2</v>
      </c>
    </row>
    <row r="10406" spans="1:6" x14ac:dyDescent="0.3">
      <c r="A10406" t="s">
        <v>10441</v>
      </c>
      <c r="B10406" t="s">
        <v>26</v>
      </c>
      <c r="C10406">
        <v>156000</v>
      </c>
      <c r="D10406">
        <v>1841.1</v>
      </c>
      <c r="E10406">
        <v>3.3000000000000002E-2</v>
      </c>
      <c r="F10406">
        <v>7.5899999999999995E-2</v>
      </c>
    </row>
    <row r="10407" spans="1:6" x14ac:dyDescent="0.3">
      <c r="A10407" t="s">
        <v>10442</v>
      </c>
      <c r="B10407" t="s">
        <v>21</v>
      </c>
      <c r="C10407">
        <v>187000</v>
      </c>
      <c r="D10407">
        <v>1060.0999999999999</v>
      </c>
      <c r="E10407">
        <v>1.67E-2</v>
      </c>
      <c r="F10407">
        <v>7.2599999999999998E-2</v>
      </c>
    </row>
    <row r="10408" spans="1:6" x14ac:dyDescent="0.3">
      <c r="A10408" t="s">
        <v>10443</v>
      </c>
      <c r="B10408" t="s">
        <v>24</v>
      </c>
      <c r="C10408">
        <v>456000</v>
      </c>
      <c r="D10408">
        <v>5009.3</v>
      </c>
      <c r="E10408">
        <v>3.95E-2</v>
      </c>
      <c r="F10408">
        <v>7.5899999999999995E-2</v>
      </c>
    </row>
    <row r="10409" spans="1:6" x14ac:dyDescent="0.3">
      <c r="A10409" t="s">
        <v>10444</v>
      </c>
      <c r="B10409" t="s">
        <v>88</v>
      </c>
      <c r="C10409">
        <v>182000</v>
      </c>
      <c r="D10409">
        <v>243.8</v>
      </c>
      <c r="E10409">
        <v>9.4999999999999998E-3</v>
      </c>
      <c r="F10409">
        <v>6.54E-2</v>
      </c>
    </row>
    <row r="10410" spans="1:6" x14ac:dyDescent="0.3">
      <c r="A10410" t="s">
        <v>10445</v>
      </c>
      <c r="B10410" t="s">
        <v>74</v>
      </c>
      <c r="C10410">
        <v>129000</v>
      </c>
      <c r="D10410">
        <v>387.4</v>
      </c>
      <c r="E10410">
        <v>2.1499999999999998E-2</v>
      </c>
      <c r="F10410">
        <v>0.17100000000000001</v>
      </c>
    </row>
    <row r="10411" spans="1:6" x14ac:dyDescent="0.3">
      <c r="A10411" t="s">
        <v>10446</v>
      </c>
      <c r="B10411" t="s">
        <v>26</v>
      </c>
      <c r="C10411">
        <v>164000</v>
      </c>
      <c r="D10411">
        <v>3148.8</v>
      </c>
      <c r="E10411">
        <v>3.85E-2</v>
      </c>
      <c r="F10411">
        <v>9.3799999999999994E-2</v>
      </c>
    </row>
    <row r="10412" spans="1:6" x14ac:dyDescent="0.3">
      <c r="A10412" t="s">
        <v>10447</v>
      </c>
      <c r="B10412" t="s">
        <v>81</v>
      </c>
      <c r="C10412">
        <v>187000</v>
      </c>
      <c r="D10412">
        <v>1292.8</v>
      </c>
      <c r="E10412">
        <v>1.52E-2</v>
      </c>
      <c r="F10412">
        <v>6.4699999999999994E-2</v>
      </c>
    </row>
    <row r="10413" spans="1:6" x14ac:dyDescent="0.3">
      <c r="A10413" t="s">
        <v>10448</v>
      </c>
      <c r="B10413" t="s">
        <v>92</v>
      </c>
      <c r="C10413">
        <v>139000</v>
      </c>
      <c r="D10413">
        <v>4265.1000000000004</v>
      </c>
      <c r="E10413">
        <v>3.4000000000000002E-2</v>
      </c>
      <c r="F10413">
        <v>4.0899999999999999E-2</v>
      </c>
    </row>
    <row r="10414" spans="1:6" x14ac:dyDescent="0.3">
      <c r="A10414" t="s">
        <v>10449</v>
      </c>
      <c r="B10414" t="s">
        <v>41</v>
      </c>
      <c r="C10414">
        <v>586000</v>
      </c>
      <c r="D10414">
        <v>231.7</v>
      </c>
      <c r="E10414">
        <v>6.0900000000000003E-2</v>
      </c>
      <c r="F10414">
        <v>0.15160000000000001</v>
      </c>
    </row>
    <row r="10415" spans="1:6" x14ac:dyDescent="0.3">
      <c r="A10415" t="s">
        <v>10450</v>
      </c>
      <c r="B10415" t="s">
        <v>74</v>
      </c>
      <c r="C10415">
        <v>167000</v>
      </c>
      <c r="D10415">
        <v>384.3</v>
      </c>
      <c r="E10415">
        <v>4.7199999999999999E-2</v>
      </c>
      <c r="F10415">
        <v>9.3799999999999994E-2</v>
      </c>
    </row>
    <row r="10416" spans="1:6" x14ac:dyDescent="0.3">
      <c r="A10416" t="s">
        <v>10451</v>
      </c>
      <c r="B10416" t="s">
        <v>92</v>
      </c>
      <c r="C10416">
        <v>146000</v>
      </c>
      <c r="D10416">
        <v>3541.6</v>
      </c>
      <c r="E10416">
        <v>9.7000000000000003E-3</v>
      </c>
      <c r="F10416">
        <v>0.1187</v>
      </c>
    </row>
    <row r="10417" spans="1:6" x14ac:dyDescent="0.3">
      <c r="A10417" t="s">
        <v>10452</v>
      </c>
      <c r="B10417" t="s">
        <v>21</v>
      </c>
      <c r="C10417">
        <v>132000</v>
      </c>
      <c r="D10417">
        <v>565.5</v>
      </c>
      <c r="E10417">
        <v>1.6500000000000001E-2</v>
      </c>
      <c r="F10417">
        <v>0.18729999999999999</v>
      </c>
    </row>
    <row r="10418" spans="1:6" x14ac:dyDescent="0.3">
      <c r="A10418" t="s">
        <v>10453</v>
      </c>
      <c r="B10418" t="s">
        <v>71</v>
      </c>
      <c r="C10418">
        <v>129000</v>
      </c>
      <c r="D10418">
        <v>453.4</v>
      </c>
      <c r="E10418">
        <v>1.2800000000000001E-2</v>
      </c>
      <c r="F10418">
        <v>0.16170000000000001</v>
      </c>
    </row>
    <row r="10419" spans="1:6" x14ac:dyDescent="0.3">
      <c r="A10419" t="s">
        <v>10454</v>
      </c>
      <c r="B10419" t="s">
        <v>74</v>
      </c>
      <c r="C10419">
        <v>167000</v>
      </c>
      <c r="D10419">
        <v>17793.099999999999</v>
      </c>
      <c r="E10419">
        <v>0.10580000000000001</v>
      </c>
      <c r="F10419">
        <v>7.5899999999999995E-2</v>
      </c>
    </row>
    <row r="10420" spans="1:6" x14ac:dyDescent="0.3">
      <c r="A10420" t="s">
        <v>10455</v>
      </c>
      <c r="B10420" t="s">
        <v>62</v>
      </c>
      <c r="C10420">
        <v>132000</v>
      </c>
      <c r="D10420">
        <v>4038.1</v>
      </c>
      <c r="E10420">
        <v>2.53E-2</v>
      </c>
      <c r="F10420">
        <v>5.1799999999999999E-2</v>
      </c>
    </row>
    <row r="10421" spans="1:6" x14ac:dyDescent="0.3">
      <c r="A10421" t="s">
        <v>10456</v>
      </c>
      <c r="B10421" t="s">
        <v>26</v>
      </c>
      <c r="C10421">
        <v>228000</v>
      </c>
      <c r="D10421">
        <v>6206</v>
      </c>
      <c r="E10421">
        <v>2.7000000000000001E-3</v>
      </c>
      <c r="F10421">
        <v>6.54E-2</v>
      </c>
    </row>
    <row r="10422" spans="1:6" x14ac:dyDescent="0.3">
      <c r="A10422" t="s">
        <v>10457</v>
      </c>
      <c r="B10422" t="s">
        <v>53</v>
      </c>
      <c r="C10422">
        <v>135000</v>
      </c>
      <c r="D10422">
        <v>133.80000000000001</v>
      </c>
      <c r="E10422">
        <v>2.8299999999999999E-2</v>
      </c>
      <c r="F10422">
        <v>9.3799999999999994E-2</v>
      </c>
    </row>
    <row r="10423" spans="1:6" x14ac:dyDescent="0.3">
      <c r="A10423" t="s">
        <v>10458</v>
      </c>
      <c r="B10423" t="s">
        <v>26</v>
      </c>
      <c r="C10423">
        <v>608000</v>
      </c>
      <c r="D10423">
        <v>61864.1</v>
      </c>
      <c r="E10423">
        <v>0.1091</v>
      </c>
      <c r="F10423">
        <v>7.5899999999999995E-2</v>
      </c>
    </row>
    <row r="10424" spans="1:6" x14ac:dyDescent="0.3">
      <c r="A10424" t="s">
        <v>10459</v>
      </c>
      <c r="B10424" t="s">
        <v>88</v>
      </c>
      <c r="C10424">
        <v>230000</v>
      </c>
      <c r="D10424">
        <v>3758.1</v>
      </c>
      <c r="E10424">
        <v>3.3500000000000002E-2</v>
      </c>
      <c r="F10424">
        <v>9.3799999999999994E-2</v>
      </c>
    </row>
    <row r="10425" spans="1:6" x14ac:dyDescent="0.3">
      <c r="A10425" t="s">
        <v>10460</v>
      </c>
      <c r="B10425" t="s">
        <v>71</v>
      </c>
      <c r="C10425">
        <v>151000</v>
      </c>
      <c r="D10425">
        <v>189.2</v>
      </c>
      <c r="E10425">
        <v>9.1000000000000004E-3</v>
      </c>
      <c r="F10425">
        <v>7.2599999999999998E-2</v>
      </c>
    </row>
    <row r="10426" spans="1:6" x14ac:dyDescent="0.3">
      <c r="A10426" t="s">
        <v>10461</v>
      </c>
      <c r="B10426" t="s">
        <v>26</v>
      </c>
      <c r="C10426">
        <v>150000</v>
      </c>
      <c r="D10426">
        <v>2543.8000000000002</v>
      </c>
      <c r="E10426">
        <v>2.1899999999999999E-2</v>
      </c>
      <c r="F10426">
        <v>8.5400000000000004E-2</v>
      </c>
    </row>
    <row r="10427" spans="1:6" x14ac:dyDescent="0.3">
      <c r="A10427" t="s">
        <v>10462</v>
      </c>
      <c r="B10427" t="s">
        <v>287</v>
      </c>
      <c r="C10427">
        <v>189000</v>
      </c>
      <c r="D10427">
        <v>4404.2</v>
      </c>
      <c r="E10427">
        <v>1.89E-2</v>
      </c>
      <c r="F10427">
        <v>0.1053</v>
      </c>
    </row>
    <row r="10428" spans="1:6" x14ac:dyDescent="0.3">
      <c r="A10428" t="s">
        <v>10463</v>
      </c>
      <c r="B10428" t="s">
        <v>50</v>
      </c>
      <c r="C10428">
        <v>139000</v>
      </c>
      <c r="D10428">
        <v>110681.9</v>
      </c>
      <c r="E10428">
        <v>3.0300000000000001E-2</v>
      </c>
      <c r="F10428">
        <v>9.5100000000000004E-2</v>
      </c>
    </row>
    <row r="10429" spans="1:6" x14ac:dyDescent="0.3">
      <c r="A10429" t="s">
        <v>10464</v>
      </c>
      <c r="B10429" t="s">
        <v>41</v>
      </c>
      <c r="C10429">
        <v>150000</v>
      </c>
      <c r="D10429">
        <v>16093.3</v>
      </c>
      <c r="E10429">
        <v>1.0699999999999999E-2</v>
      </c>
      <c r="F10429">
        <v>8.4900000000000003E-2</v>
      </c>
    </row>
    <row r="10430" spans="1:6" x14ac:dyDescent="0.3">
      <c r="A10430" t="s">
        <v>10465</v>
      </c>
      <c r="B10430" t="s">
        <v>53</v>
      </c>
      <c r="C10430">
        <v>415000</v>
      </c>
      <c r="D10430">
        <v>3779.4</v>
      </c>
      <c r="E10430">
        <v>1.5900000000000001E-2</v>
      </c>
      <c r="F10430">
        <v>5.8500000000000003E-2</v>
      </c>
    </row>
    <row r="10431" spans="1:6" x14ac:dyDescent="0.3">
      <c r="A10431" t="s">
        <v>10466</v>
      </c>
      <c r="B10431" t="s">
        <v>26</v>
      </c>
      <c r="C10431">
        <v>158000</v>
      </c>
      <c r="D10431">
        <v>9602.5</v>
      </c>
      <c r="E10431">
        <v>3.0800000000000001E-2</v>
      </c>
      <c r="F10431">
        <v>7.5899999999999995E-2</v>
      </c>
    </row>
    <row r="10432" spans="1:6" x14ac:dyDescent="0.3">
      <c r="A10432" t="s">
        <v>10467</v>
      </c>
      <c r="B10432" t="s">
        <v>50</v>
      </c>
      <c r="C10432">
        <v>136000</v>
      </c>
      <c r="F10432">
        <v>7.5899999999999995E-2</v>
      </c>
    </row>
    <row r="10433" spans="1:6" x14ac:dyDescent="0.3">
      <c r="A10433" t="s">
        <v>10468</v>
      </c>
      <c r="B10433" t="s">
        <v>88</v>
      </c>
      <c r="C10433">
        <v>242000</v>
      </c>
      <c r="D10433">
        <v>219.4</v>
      </c>
      <c r="E10433">
        <v>7.4700000000000003E-2</v>
      </c>
      <c r="F10433">
        <v>9.3799999999999994E-2</v>
      </c>
    </row>
    <row r="10434" spans="1:6" x14ac:dyDescent="0.3">
      <c r="A10434" t="s">
        <v>10469</v>
      </c>
      <c r="B10434" t="s">
        <v>88</v>
      </c>
      <c r="C10434">
        <v>359000</v>
      </c>
      <c r="D10434">
        <v>15466.4</v>
      </c>
      <c r="F10434">
        <v>4.0899999999999999E-2</v>
      </c>
    </row>
    <row r="10435" spans="1:6" x14ac:dyDescent="0.3">
      <c r="A10435" t="s">
        <v>10470</v>
      </c>
      <c r="B10435" t="s">
        <v>490</v>
      </c>
      <c r="C10435">
        <v>129000</v>
      </c>
      <c r="D10435">
        <v>16764.099999999999</v>
      </c>
      <c r="E10435">
        <v>3.0499999999999999E-2</v>
      </c>
      <c r="F10435">
        <v>9.5100000000000004E-2</v>
      </c>
    </row>
    <row r="10436" spans="1:6" x14ac:dyDescent="0.3">
      <c r="A10436" t="s">
        <v>10471</v>
      </c>
      <c r="B10436" t="s">
        <v>35</v>
      </c>
      <c r="C10436">
        <v>204000</v>
      </c>
      <c r="D10436">
        <v>30082.7</v>
      </c>
      <c r="E10436">
        <v>1.8700000000000001E-2</v>
      </c>
      <c r="F10436">
        <v>8.5400000000000004E-2</v>
      </c>
    </row>
    <row r="10437" spans="1:6" x14ac:dyDescent="0.3">
      <c r="A10437" t="s">
        <v>10472</v>
      </c>
      <c r="B10437" t="s">
        <v>53</v>
      </c>
      <c r="C10437">
        <v>130000</v>
      </c>
      <c r="D10437">
        <v>5771817.0999999996</v>
      </c>
      <c r="E10437">
        <v>1.2500000000000001E-2</v>
      </c>
      <c r="F10437">
        <v>7.7499999999999999E-2</v>
      </c>
    </row>
    <row r="10438" spans="1:6" x14ac:dyDescent="0.3">
      <c r="A10438" t="s">
        <v>10473</v>
      </c>
      <c r="B10438" t="s">
        <v>88</v>
      </c>
      <c r="C10438">
        <v>385000</v>
      </c>
      <c r="D10438">
        <v>1895.3</v>
      </c>
      <c r="E10438">
        <v>2.7E-2</v>
      </c>
      <c r="F10438">
        <v>0.1053</v>
      </c>
    </row>
    <row r="10439" spans="1:6" x14ac:dyDescent="0.3">
      <c r="A10439" t="s">
        <v>10474</v>
      </c>
      <c r="B10439" t="s">
        <v>41</v>
      </c>
      <c r="C10439">
        <v>168000</v>
      </c>
      <c r="D10439">
        <v>511</v>
      </c>
      <c r="E10439">
        <v>3.0300000000000001E-2</v>
      </c>
      <c r="F10439">
        <v>5.3800000000000001E-2</v>
      </c>
    </row>
    <row r="10440" spans="1:6" x14ac:dyDescent="0.3">
      <c r="A10440" t="s">
        <v>10475</v>
      </c>
      <c r="B10440" t="s">
        <v>24</v>
      </c>
      <c r="C10440">
        <v>192000</v>
      </c>
      <c r="D10440">
        <v>17302.400000000001</v>
      </c>
      <c r="E10440">
        <v>3.3599999999999998E-2</v>
      </c>
      <c r="F10440">
        <v>7.5899999999999995E-2</v>
      </c>
    </row>
    <row r="10441" spans="1:6" x14ac:dyDescent="0.3">
      <c r="A10441" t="s">
        <v>10476</v>
      </c>
      <c r="B10441" t="s">
        <v>71</v>
      </c>
      <c r="C10441">
        <v>175000</v>
      </c>
      <c r="D10441">
        <v>32770.400000000001</v>
      </c>
      <c r="E10441">
        <v>3.0200000000000001E-2</v>
      </c>
      <c r="F10441">
        <v>9.5100000000000004E-2</v>
      </c>
    </row>
    <row r="10442" spans="1:6" x14ac:dyDescent="0.3">
      <c r="A10442" t="s">
        <v>10477</v>
      </c>
      <c r="B10442" t="s">
        <v>26</v>
      </c>
      <c r="C10442">
        <v>129000</v>
      </c>
      <c r="D10442">
        <v>1356.7</v>
      </c>
      <c r="E10442">
        <v>2.9600000000000001E-2</v>
      </c>
      <c r="F10442">
        <v>9.98E-2</v>
      </c>
    </row>
    <row r="10443" spans="1:6" x14ac:dyDescent="0.3">
      <c r="A10443" t="s">
        <v>10478</v>
      </c>
      <c r="B10443" t="s">
        <v>26</v>
      </c>
      <c r="C10443">
        <v>267000</v>
      </c>
      <c r="D10443">
        <v>6104.8</v>
      </c>
      <c r="F10443">
        <v>7.5899999999999995E-2</v>
      </c>
    </row>
    <row r="10444" spans="1:6" x14ac:dyDescent="0.3">
      <c r="A10444" t="s">
        <v>10479</v>
      </c>
      <c r="B10444" t="s">
        <v>50</v>
      </c>
      <c r="C10444">
        <v>148000</v>
      </c>
      <c r="D10444">
        <v>1439.9</v>
      </c>
      <c r="E10444">
        <v>2.1100000000000001E-2</v>
      </c>
      <c r="F10444">
        <v>9.3700000000000006E-2</v>
      </c>
    </row>
    <row r="10445" spans="1:6" x14ac:dyDescent="0.3">
      <c r="A10445" t="s">
        <v>10480</v>
      </c>
      <c r="B10445" t="s">
        <v>88</v>
      </c>
      <c r="C10445">
        <v>187000</v>
      </c>
      <c r="D10445">
        <v>2145.9</v>
      </c>
      <c r="E10445">
        <v>4.65E-2</v>
      </c>
      <c r="F10445">
        <v>9.5100000000000004E-2</v>
      </c>
    </row>
    <row r="10446" spans="1:6" x14ac:dyDescent="0.3">
      <c r="A10446" t="s">
        <v>10481</v>
      </c>
      <c r="B10446" t="s">
        <v>74</v>
      </c>
      <c r="C10446">
        <v>133000</v>
      </c>
      <c r="D10446">
        <v>9584.2000000000007</v>
      </c>
      <c r="E10446">
        <v>2.5000000000000001E-2</v>
      </c>
      <c r="F10446">
        <v>9.5100000000000004E-2</v>
      </c>
    </row>
    <row r="10447" spans="1:6" x14ac:dyDescent="0.3">
      <c r="A10447" t="s">
        <v>10482</v>
      </c>
      <c r="B10447" t="s">
        <v>88</v>
      </c>
      <c r="C10447">
        <v>130000</v>
      </c>
      <c r="D10447">
        <v>1016.9</v>
      </c>
      <c r="E10447">
        <v>5.1700000000000003E-2</v>
      </c>
      <c r="F10447">
        <v>9.5100000000000004E-2</v>
      </c>
    </row>
    <row r="10448" spans="1:6" x14ac:dyDescent="0.3">
      <c r="A10448" t="s">
        <v>10483</v>
      </c>
      <c r="B10448" t="s">
        <v>74</v>
      </c>
      <c r="C10448">
        <v>124000</v>
      </c>
      <c r="D10448">
        <v>592.29999999999995</v>
      </c>
      <c r="E10448">
        <v>3.2199999999999999E-2</v>
      </c>
      <c r="F10448">
        <v>0.17100000000000001</v>
      </c>
    </row>
    <row r="10449" spans="1:6" x14ac:dyDescent="0.3">
      <c r="A10449" t="s">
        <v>10484</v>
      </c>
      <c r="B10449" t="s">
        <v>71</v>
      </c>
      <c r="C10449">
        <v>242000</v>
      </c>
      <c r="D10449">
        <v>150910</v>
      </c>
      <c r="E10449">
        <v>6.6799999999999998E-2</v>
      </c>
      <c r="F10449">
        <v>9.5100000000000004E-2</v>
      </c>
    </row>
    <row r="10450" spans="1:6" x14ac:dyDescent="0.3">
      <c r="A10450" t="s">
        <v>10485</v>
      </c>
      <c r="B10450" t="s">
        <v>92</v>
      </c>
      <c r="C10450">
        <v>152000</v>
      </c>
      <c r="D10450">
        <v>93176.4</v>
      </c>
      <c r="E10450">
        <v>5.2299999999999999E-2</v>
      </c>
      <c r="F10450">
        <v>4.0899999999999999E-2</v>
      </c>
    </row>
    <row r="10451" spans="1:6" x14ac:dyDescent="0.3">
      <c r="A10451" t="s">
        <v>10486</v>
      </c>
      <c r="B10451" t="s">
        <v>74</v>
      </c>
      <c r="C10451">
        <v>180000</v>
      </c>
      <c r="D10451">
        <v>0.7</v>
      </c>
      <c r="F10451">
        <v>9.3799999999999994E-2</v>
      </c>
    </row>
    <row r="10452" spans="1:6" x14ac:dyDescent="0.3">
      <c r="A10452" t="s">
        <v>10487</v>
      </c>
      <c r="B10452" t="s">
        <v>81</v>
      </c>
      <c r="C10452">
        <v>135000</v>
      </c>
      <c r="D10452">
        <v>1944.1</v>
      </c>
      <c r="F10452">
        <v>5.1799999999999999E-2</v>
      </c>
    </row>
    <row r="10453" spans="1:6" x14ac:dyDescent="0.3">
      <c r="A10453" t="s">
        <v>10488</v>
      </c>
      <c r="B10453" t="s">
        <v>74</v>
      </c>
      <c r="C10453">
        <v>139000</v>
      </c>
      <c r="D10453">
        <v>3248.9</v>
      </c>
      <c r="E10453">
        <v>4.2099999999999999E-2</v>
      </c>
      <c r="F10453">
        <v>7.5899999999999995E-2</v>
      </c>
    </row>
    <row r="10454" spans="1:6" x14ac:dyDescent="0.3">
      <c r="A10454" t="s">
        <v>10489</v>
      </c>
      <c r="B10454" t="s">
        <v>88</v>
      </c>
      <c r="C10454">
        <v>145000</v>
      </c>
      <c r="D10454">
        <v>227.5</v>
      </c>
      <c r="E10454">
        <v>4.1000000000000002E-2</v>
      </c>
      <c r="F10454">
        <v>9.3799999999999994E-2</v>
      </c>
    </row>
    <row r="10455" spans="1:6" x14ac:dyDescent="0.3">
      <c r="A10455" t="s">
        <v>10490</v>
      </c>
      <c r="B10455" t="s">
        <v>81</v>
      </c>
      <c r="C10455">
        <v>357000</v>
      </c>
      <c r="D10455">
        <v>48133.1</v>
      </c>
      <c r="E10455">
        <v>2.9100000000000001E-2</v>
      </c>
      <c r="F10455">
        <v>7.5899999999999995E-2</v>
      </c>
    </row>
    <row r="10456" spans="1:6" x14ac:dyDescent="0.3">
      <c r="A10456" t="s">
        <v>10491</v>
      </c>
      <c r="B10456" t="s">
        <v>26</v>
      </c>
      <c r="C10456">
        <v>136000</v>
      </c>
      <c r="D10456">
        <v>9040.7000000000007</v>
      </c>
      <c r="E10456">
        <v>4.2099999999999999E-2</v>
      </c>
      <c r="F10456">
        <v>9.3799999999999994E-2</v>
      </c>
    </row>
    <row r="10457" spans="1:6" x14ac:dyDescent="0.3">
      <c r="A10457" t="s">
        <v>10492</v>
      </c>
      <c r="B10457" t="s">
        <v>50</v>
      </c>
      <c r="C10457">
        <v>137000</v>
      </c>
      <c r="D10457">
        <v>3347.3</v>
      </c>
      <c r="E10457">
        <v>1.7500000000000002E-2</v>
      </c>
      <c r="F10457">
        <v>0.1067</v>
      </c>
    </row>
    <row r="10458" spans="1:6" x14ac:dyDescent="0.3">
      <c r="A10458" t="s">
        <v>10493</v>
      </c>
      <c r="B10458" t="s">
        <v>88</v>
      </c>
      <c r="C10458">
        <v>142000</v>
      </c>
      <c r="D10458">
        <v>121.4</v>
      </c>
      <c r="E10458">
        <v>7.9000000000000008E-3</v>
      </c>
      <c r="F10458">
        <v>0.17369999999999999</v>
      </c>
    </row>
    <row r="10459" spans="1:6" x14ac:dyDescent="0.3">
      <c r="A10459" t="s">
        <v>10494</v>
      </c>
      <c r="B10459" t="s">
        <v>41</v>
      </c>
      <c r="C10459">
        <v>225000</v>
      </c>
      <c r="D10459">
        <v>868.3</v>
      </c>
      <c r="E10459">
        <v>3.0999999999999999E-3</v>
      </c>
      <c r="F10459">
        <v>0.23549999999999999</v>
      </c>
    </row>
    <row r="10460" spans="1:6" x14ac:dyDescent="0.3">
      <c r="A10460" t="s">
        <v>10495</v>
      </c>
      <c r="B10460" t="s">
        <v>41</v>
      </c>
      <c r="C10460">
        <v>270000</v>
      </c>
      <c r="D10460">
        <v>1047.0999999999999</v>
      </c>
      <c r="E10460">
        <v>4.1999999999999997E-3</v>
      </c>
      <c r="F10460">
        <v>8.1100000000000005E-2</v>
      </c>
    </row>
    <row r="10461" spans="1:6" x14ac:dyDescent="0.3">
      <c r="A10461" t="s">
        <v>10496</v>
      </c>
      <c r="B10461" t="s">
        <v>28</v>
      </c>
      <c r="C10461">
        <v>150000</v>
      </c>
      <c r="D10461">
        <v>1070</v>
      </c>
      <c r="E10461">
        <v>3.5900000000000001E-2</v>
      </c>
      <c r="F10461">
        <v>0.14399999999999999</v>
      </c>
    </row>
    <row r="10462" spans="1:6" x14ac:dyDescent="0.3">
      <c r="A10462" t="s">
        <v>10497</v>
      </c>
      <c r="B10462" t="s">
        <v>32</v>
      </c>
      <c r="C10462">
        <v>234000</v>
      </c>
      <c r="D10462">
        <v>141224.79999999999</v>
      </c>
      <c r="E10462">
        <v>1.0500000000000001E-2</v>
      </c>
      <c r="F10462">
        <v>8.2199999999999995E-2</v>
      </c>
    </row>
    <row r="10463" spans="1:6" x14ac:dyDescent="0.3">
      <c r="A10463" t="s">
        <v>10498</v>
      </c>
      <c r="B10463" t="s">
        <v>26</v>
      </c>
      <c r="C10463">
        <v>125000</v>
      </c>
      <c r="D10463">
        <v>7302.9</v>
      </c>
      <c r="F10463">
        <v>9.5100000000000004E-2</v>
      </c>
    </row>
    <row r="10464" spans="1:6" x14ac:dyDescent="0.3">
      <c r="A10464" t="s">
        <v>10499</v>
      </c>
      <c r="B10464" t="s">
        <v>26</v>
      </c>
      <c r="C10464">
        <v>131000</v>
      </c>
      <c r="D10464">
        <v>1321.8</v>
      </c>
      <c r="E10464">
        <v>3.4200000000000001E-2</v>
      </c>
      <c r="F10464">
        <v>0.63060000000000005</v>
      </c>
    </row>
    <row r="10465" spans="1:6" x14ac:dyDescent="0.3">
      <c r="A10465" t="s">
        <v>10500</v>
      </c>
      <c r="B10465" t="s">
        <v>92</v>
      </c>
      <c r="C10465">
        <v>445000</v>
      </c>
      <c r="D10465">
        <v>9096.1</v>
      </c>
      <c r="E10465">
        <v>2.1999999999999999E-2</v>
      </c>
      <c r="F10465">
        <v>0.3301</v>
      </c>
    </row>
    <row r="10466" spans="1:6" x14ac:dyDescent="0.3">
      <c r="A10466" t="s">
        <v>10501</v>
      </c>
      <c r="B10466" t="s">
        <v>88</v>
      </c>
      <c r="C10466">
        <v>203000</v>
      </c>
      <c r="D10466">
        <v>6035.8</v>
      </c>
      <c r="E10466">
        <v>3.0499999999999999E-2</v>
      </c>
      <c r="F10466">
        <v>9.5100000000000004E-2</v>
      </c>
    </row>
    <row r="10467" spans="1:6" x14ac:dyDescent="0.3">
      <c r="A10467" t="s">
        <v>10502</v>
      </c>
      <c r="B10467" t="s">
        <v>26</v>
      </c>
      <c r="C10467">
        <v>189000</v>
      </c>
      <c r="D10467">
        <v>24854.2</v>
      </c>
      <c r="E10467">
        <v>4.19E-2</v>
      </c>
      <c r="F10467">
        <v>9.5100000000000004E-2</v>
      </c>
    </row>
    <row r="10468" spans="1:6" x14ac:dyDescent="0.3">
      <c r="A10468" t="s">
        <v>10503</v>
      </c>
      <c r="B10468" t="s">
        <v>26</v>
      </c>
      <c r="C10468">
        <v>167000</v>
      </c>
      <c r="D10468">
        <v>410249</v>
      </c>
      <c r="E10468">
        <v>5.2699999999999997E-2</v>
      </c>
      <c r="F10468">
        <v>9.5100000000000004E-2</v>
      </c>
    </row>
    <row r="10469" spans="1:6" x14ac:dyDescent="0.3">
      <c r="A10469" t="s">
        <v>10504</v>
      </c>
      <c r="B10469" t="s">
        <v>26</v>
      </c>
      <c r="C10469">
        <v>151000</v>
      </c>
      <c r="D10469">
        <v>2219.3000000000002</v>
      </c>
      <c r="E10469">
        <v>0.04</v>
      </c>
      <c r="F10469">
        <v>7.5899999999999995E-2</v>
      </c>
    </row>
    <row r="10470" spans="1:6" x14ac:dyDescent="0.3">
      <c r="A10470" t="s">
        <v>10505</v>
      </c>
      <c r="B10470" t="s">
        <v>214</v>
      </c>
      <c r="C10470">
        <v>133000</v>
      </c>
      <c r="D10470">
        <v>658.5</v>
      </c>
      <c r="E10470">
        <v>4.7999999999999996E-3</v>
      </c>
      <c r="F10470">
        <v>8.2199999999999995E-2</v>
      </c>
    </row>
    <row r="10471" spans="1:6" x14ac:dyDescent="0.3">
      <c r="A10471" t="s">
        <v>10506</v>
      </c>
      <c r="B10471" t="s">
        <v>53</v>
      </c>
      <c r="C10471">
        <v>130000</v>
      </c>
      <c r="D10471">
        <v>3268.9</v>
      </c>
      <c r="E10471">
        <v>0.1429</v>
      </c>
      <c r="F10471">
        <v>5.1799999999999999E-2</v>
      </c>
    </row>
    <row r="10472" spans="1:6" x14ac:dyDescent="0.3">
      <c r="A10472" t="s">
        <v>10507</v>
      </c>
      <c r="B10472" t="s">
        <v>71</v>
      </c>
      <c r="C10472">
        <v>303000</v>
      </c>
      <c r="D10472">
        <v>94012.5</v>
      </c>
      <c r="E10472">
        <v>5.6800000000000003E-2</v>
      </c>
      <c r="F10472">
        <v>7.5899999999999995E-2</v>
      </c>
    </row>
    <row r="10473" spans="1:6" x14ac:dyDescent="0.3">
      <c r="A10473" t="s">
        <v>10508</v>
      </c>
      <c r="B10473" t="s">
        <v>26</v>
      </c>
      <c r="C10473">
        <v>138000</v>
      </c>
      <c r="D10473">
        <v>1228.4000000000001</v>
      </c>
      <c r="E10473">
        <v>1.3100000000000001E-2</v>
      </c>
      <c r="F10473">
        <v>0.18890000000000001</v>
      </c>
    </row>
    <row r="10474" spans="1:6" x14ac:dyDescent="0.3">
      <c r="A10474" t="s">
        <v>10509</v>
      </c>
      <c r="B10474" t="s">
        <v>26</v>
      </c>
      <c r="C10474">
        <v>378000</v>
      </c>
      <c r="D10474">
        <v>9874</v>
      </c>
      <c r="E10474">
        <v>1.04E-2</v>
      </c>
      <c r="F10474">
        <v>5.8400000000000001E-2</v>
      </c>
    </row>
    <row r="10475" spans="1:6" x14ac:dyDescent="0.3">
      <c r="A10475" t="s">
        <v>10510</v>
      </c>
      <c r="B10475" t="s">
        <v>26</v>
      </c>
      <c r="C10475">
        <v>135000</v>
      </c>
      <c r="D10475">
        <v>1951.7</v>
      </c>
      <c r="E10475">
        <v>1.2500000000000001E-2</v>
      </c>
      <c r="F10475">
        <v>0.1192</v>
      </c>
    </row>
    <row r="10476" spans="1:6" x14ac:dyDescent="0.3">
      <c r="A10476" t="s">
        <v>10511</v>
      </c>
      <c r="B10476" t="s">
        <v>26</v>
      </c>
      <c r="C10476">
        <v>132000</v>
      </c>
      <c r="D10476">
        <v>16338.6</v>
      </c>
      <c r="E10476">
        <v>2.5499999999999998E-2</v>
      </c>
      <c r="F10476">
        <v>5.1799999999999999E-2</v>
      </c>
    </row>
    <row r="10477" spans="1:6" x14ac:dyDescent="0.3">
      <c r="A10477" t="s">
        <v>10512</v>
      </c>
      <c r="B10477" t="s">
        <v>214</v>
      </c>
      <c r="C10477">
        <v>142000</v>
      </c>
      <c r="D10477">
        <v>1598.3</v>
      </c>
      <c r="E10477">
        <v>1.61E-2</v>
      </c>
      <c r="F10477">
        <v>0.22939999999999999</v>
      </c>
    </row>
    <row r="10478" spans="1:6" x14ac:dyDescent="0.3">
      <c r="A10478" t="s">
        <v>10513</v>
      </c>
      <c r="B10478" t="s">
        <v>26</v>
      </c>
      <c r="C10478">
        <v>231000</v>
      </c>
      <c r="D10478">
        <v>3440</v>
      </c>
      <c r="E10478">
        <v>7.1199999999999999E-2</v>
      </c>
      <c r="F10478">
        <v>7.5899999999999995E-2</v>
      </c>
    </row>
    <row r="10479" spans="1:6" x14ac:dyDescent="0.3">
      <c r="A10479" t="s">
        <v>10514</v>
      </c>
      <c r="B10479" t="s">
        <v>490</v>
      </c>
      <c r="C10479">
        <v>157000</v>
      </c>
      <c r="D10479">
        <v>3810.9</v>
      </c>
      <c r="E10479">
        <v>1.9699999999999999E-2</v>
      </c>
      <c r="F10479">
        <v>5.7599999999999998E-2</v>
      </c>
    </row>
    <row r="10480" spans="1:6" x14ac:dyDescent="0.3">
      <c r="A10480" t="s">
        <v>10515</v>
      </c>
      <c r="B10480" t="s">
        <v>26</v>
      </c>
      <c r="C10480">
        <v>154000</v>
      </c>
      <c r="D10480">
        <v>2520.3000000000002</v>
      </c>
      <c r="E10480">
        <v>1.5900000000000001E-2</v>
      </c>
      <c r="F10480">
        <v>0.1067</v>
      </c>
    </row>
    <row r="10481" spans="1:6" x14ac:dyDescent="0.3">
      <c r="A10481" t="s">
        <v>10516</v>
      </c>
      <c r="B10481" t="s">
        <v>195</v>
      </c>
      <c r="C10481">
        <v>369000</v>
      </c>
      <c r="D10481">
        <v>12837.4</v>
      </c>
      <c r="E10481">
        <v>1.2699999999999999E-2</v>
      </c>
      <c r="F10481">
        <v>5.1999999999999998E-2</v>
      </c>
    </row>
    <row r="10482" spans="1:6" x14ac:dyDescent="0.3">
      <c r="A10482" t="s">
        <v>10517</v>
      </c>
      <c r="B10482" t="s">
        <v>62</v>
      </c>
      <c r="C10482">
        <v>147000</v>
      </c>
      <c r="D10482">
        <v>2810</v>
      </c>
      <c r="E10482">
        <v>3.7600000000000001E-2</v>
      </c>
      <c r="F10482">
        <v>6.7199999999999996E-2</v>
      </c>
    </row>
    <row r="10483" spans="1:6" x14ac:dyDescent="0.3">
      <c r="A10483" t="s">
        <v>10518</v>
      </c>
      <c r="B10483" t="s">
        <v>214</v>
      </c>
      <c r="C10483">
        <v>172000</v>
      </c>
      <c r="D10483">
        <v>3246.8</v>
      </c>
      <c r="E10483">
        <v>9.2999999999999992E-3</v>
      </c>
      <c r="F10483">
        <v>6.54E-2</v>
      </c>
    </row>
    <row r="10484" spans="1:6" x14ac:dyDescent="0.3">
      <c r="A10484" t="s">
        <v>10519</v>
      </c>
      <c r="B10484" t="s">
        <v>195</v>
      </c>
      <c r="C10484">
        <v>133000</v>
      </c>
      <c r="D10484">
        <v>5865.3</v>
      </c>
      <c r="E10484">
        <v>1.5599999999999999E-2</v>
      </c>
      <c r="F10484">
        <v>0.1192</v>
      </c>
    </row>
    <row r="10485" spans="1:6" x14ac:dyDescent="0.3">
      <c r="A10485" t="s">
        <v>10520</v>
      </c>
      <c r="B10485" t="s">
        <v>32</v>
      </c>
      <c r="C10485">
        <v>194000</v>
      </c>
      <c r="D10485">
        <v>456.9</v>
      </c>
      <c r="E10485">
        <v>2.2000000000000001E-3</v>
      </c>
      <c r="F10485">
        <v>0.1953</v>
      </c>
    </row>
    <row r="10486" spans="1:6" x14ac:dyDescent="0.3">
      <c r="A10486" t="s">
        <v>10521</v>
      </c>
      <c r="B10486" t="s">
        <v>26</v>
      </c>
      <c r="C10486">
        <v>144000</v>
      </c>
      <c r="D10486">
        <v>1021.4</v>
      </c>
      <c r="E10486">
        <v>2.7400000000000001E-2</v>
      </c>
      <c r="F10486">
        <v>7.5899999999999995E-2</v>
      </c>
    </row>
    <row r="10487" spans="1:6" x14ac:dyDescent="0.3">
      <c r="A10487" t="s">
        <v>10522</v>
      </c>
      <c r="B10487" t="s">
        <v>74</v>
      </c>
      <c r="C10487">
        <v>120000</v>
      </c>
      <c r="D10487">
        <v>46747.1</v>
      </c>
      <c r="E10487">
        <v>1.21E-2</v>
      </c>
      <c r="F10487">
        <v>0.22939999999999999</v>
      </c>
    </row>
    <row r="10488" spans="1:6" x14ac:dyDescent="0.3">
      <c r="A10488" t="s">
        <v>10523</v>
      </c>
      <c r="B10488" t="s">
        <v>214</v>
      </c>
      <c r="C10488">
        <v>134000</v>
      </c>
      <c r="D10488">
        <v>11819.2</v>
      </c>
      <c r="E10488">
        <v>2.4799999999999999E-2</v>
      </c>
      <c r="F10488">
        <v>9.5100000000000004E-2</v>
      </c>
    </row>
    <row r="10489" spans="1:6" x14ac:dyDescent="0.3">
      <c r="A10489" t="s">
        <v>10524</v>
      </c>
      <c r="B10489" t="s">
        <v>88</v>
      </c>
      <c r="C10489">
        <v>219000</v>
      </c>
      <c r="D10489">
        <v>32379.9</v>
      </c>
      <c r="E10489">
        <v>1.9800000000000002E-2</v>
      </c>
      <c r="F10489">
        <v>8.5400000000000004E-2</v>
      </c>
    </row>
    <row r="10490" spans="1:6" x14ac:dyDescent="0.3">
      <c r="A10490" t="s">
        <v>10525</v>
      </c>
      <c r="B10490" t="s">
        <v>41</v>
      </c>
      <c r="C10490">
        <v>143000</v>
      </c>
      <c r="D10490">
        <v>10142.4</v>
      </c>
      <c r="E10490">
        <v>2.8199999999999999E-2</v>
      </c>
      <c r="F10490">
        <v>5.4600000000000003E-2</v>
      </c>
    </row>
    <row r="10491" spans="1:6" x14ac:dyDescent="0.3">
      <c r="A10491" t="s">
        <v>10526</v>
      </c>
      <c r="B10491" t="s">
        <v>26</v>
      </c>
      <c r="C10491">
        <v>148000</v>
      </c>
      <c r="D10491">
        <v>24416.400000000001</v>
      </c>
      <c r="E10491">
        <v>5.6399999999999999E-2</v>
      </c>
      <c r="F10491">
        <v>4.0899999999999999E-2</v>
      </c>
    </row>
    <row r="10492" spans="1:6" x14ac:dyDescent="0.3">
      <c r="A10492" t="s">
        <v>10527</v>
      </c>
      <c r="B10492" t="s">
        <v>24</v>
      </c>
      <c r="C10492">
        <v>130000</v>
      </c>
      <c r="D10492">
        <v>1061.2</v>
      </c>
      <c r="E10492">
        <v>6.1000000000000004E-3</v>
      </c>
      <c r="F10492">
        <v>8.2199999999999995E-2</v>
      </c>
    </row>
    <row r="10493" spans="1:6" x14ac:dyDescent="0.3">
      <c r="A10493" t="s">
        <v>10528</v>
      </c>
      <c r="B10493" t="s">
        <v>53</v>
      </c>
      <c r="C10493">
        <v>189000</v>
      </c>
      <c r="D10493">
        <v>39939.300000000003</v>
      </c>
      <c r="F10493">
        <v>4.0899999999999999E-2</v>
      </c>
    </row>
    <row r="10494" spans="1:6" x14ac:dyDescent="0.3">
      <c r="A10494" t="s">
        <v>10529</v>
      </c>
      <c r="B10494" t="s">
        <v>26</v>
      </c>
      <c r="C10494">
        <v>129000</v>
      </c>
      <c r="D10494">
        <v>1502.6</v>
      </c>
      <c r="E10494">
        <v>2.5100000000000001E-2</v>
      </c>
      <c r="F10494">
        <v>5.1799999999999999E-2</v>
      </c>
    </row>
    <row r="10495" spans="1:6" x14ac:dyDescent="0.3">
      <c r="A10495" t="s">
        <v>10530</v>
      </c>
      <c r="B10495" t="s">
        <v>62</v>
      </c>
      <c r="C10495">
        <v>198000</v>
      </c>
      <c r="D10495">
        <v>1026.0999999999999</v>
      </c>
      <c r="E10495">
        <v>2.3900000000000001E-2</v>
      </c>
      <c r="F10495">
        <v>9.3799999999999994E-2</v>
      </c>
    </row>
    <row r="10496" spans="1:6" x14ac:dyDescent="0.3">
      <c r="A10496" t="s">
        <v>10531</v>
      </c>
      <c r="B10496" t="s">
        <v>26</v>
      </c>
      <c r="C10496">
        <v>157000</v>
      </c>
      <c r="D10496">
        <v>49681</v>
      </c>
      <c r="E10496">
        <v>3.5900000000000001E-2</v>
      </c>
      <c r="F10496">
        <v>9.5100000000000004E-2</v>
      </c>
    </row>
    <row r="10497" spans="1:6" x14ac:dyDescent="0.3">
      <c r="A10497" t="s">
        <v>10532</v>
      </c>
      <c r="B10497" t="s">
        <v>81</v>
      </c>
      <c r="C10497">
        <v>156000</v>
      </c>
      <c r="D10497">
        <v>1037.0999999999999</v>
      </c>
      <c r="E10497">
        <v>4.5499999999999999E-2</v>
      </c>
      <c r="F10497">
        <v>7.5899999999999995E-2</v>
      </c>
    </row>
    <row r="10498" spans="1:6" x14ac:dyDescent="0.3">
      <c r="A10498" t="s">
        <v>10533</v>
      </c>
      <c r="B10498" t="s">
        <v>92</v>
      </c>
      <c r="C10498">
        <v>360000</v>
      </c>
      <c r="D10498">
        <v>6500.8</v>
      </c>
      <c r="E10498">
        <v>1.2200000000000001E-2</v>
      </c>
      <c r="F10498">
        <v>9.4899999999999998E-2</v>
      </c>
    </row>
    <row r="10499" spans="1:6" x14ac:dyDescent="0.3">
      <c r="A10499" t="s">
        <v>10534</v>
      </c>
      <c r="B10499" t="s">
        <v>26</v>
      </c>
      <c r="C10499">
        <v>160000</v>
      </c>
      <c r="D10499">
        <v>679.3</v>
      </c>
      <c r="E10499">
        <v>8.0000000000000002E-3</v>
      </c>
      <c r="F10499">
        <v>8.2199999999999995E-2</v>
      </c>
    </row>
    <row r="10500" spans="1:6" x14ac:dyDescent="0.3">
      <c r="A10500" t="s">
        <v>10535</v>
      </c>
      <c r="B10500" t="s">
        <v>214</v>
      </c>
      <c r="C10500">
        <v>138000</v>
      </c>
      <c r="D10500">
        <v>4585.8999999999996</v>
      </c>
      <c r="E10500">
        <v>2.4400000000000002E-2</v>
      </c>
      <c r="F10500">
        <v>9.5100000000000004E-2</v>
      </c>
    </row>
    <row r="10501" spans="1:6" x14ac:dyDescent="0.3">
      <c r="A10501" t="s">
        <v>10536</v>
      </c>
      <c r="B10501" t="s">
        <v>30</v>
      </c>
      <c r="C10501">
        <v>517000</v>
      </c>
      <c r="D10501">
        <v>210311.9</v>
      </c>
      <c r="E10501">
        <v>4.1999999999999997E-3</v>
      </c>
      <c r="F10501">
        <v>6.54E-2</v>
      </c>
    </row>
    <row r="10502" spans="1:6" x14ac:dyDescent="0.3">
      <c r="A10502" t="s">
        <v>10537</v>
      </c>
      <c r="B10502" t="s">
        <v>32</v>
      </c>
      <c r="C10502">
        <v>181000</v>
      </c>
      <c r="D10502">
        <v>1680</v>
      </c>
      <c r="E10502">
        <v>2.92E-2</v>
      </c>
      <c r="F10502">
        <v>7.5899999999999995E-2</v>
      </c>
    </row>
    <row r="10503" spans="1:6" x14ac:dyDescent="0.3">
      <c r="A10503" t="s">
        <v>10538</v>
      </c>
      <c r="B10503" t="s">
        <v>26</v>
      </c>
      <c r="C10503">
        <v>154000</v>
      </c>
      <c r="D10503">
        <v>86279.8</v>
      </c>
      <c r="E10503">
        <v>6.5000000000000002E-2</v>
      </c>
      <c r="F10503">
        <v>7.5899999999999995E-2</v>
      </c>
    </row>
    <row r="10504" spans="1:6" x14ac:dyDescent="0.3">
      <c r="A10504" t="s">
        <v>10539</v>
      </c>
      <c r="B10504" t="s">
        <v>214</v>
      </c>
      <c r="C10504">
        <v>247000</v>
      </c>
      <c r="D10504">
        <v>485.2</v>
      </c>
      <c r="F10504">
        <v>4.0899999999999999E-2</v>
      </c>
    </row>
    <row r="10505" spans="1:6" x14ac:dyDescent="0.3">
      <c r="A10505" t="s">
        <v>10540</v>
      </c>
      <c r="B10505" t="s">
        <v>214</v>
      </c>
      <c r="C10505">
        <v>331000</v>
      </c>
      <c r="D10505">
        <v>17661.3</v>
      </c>
      <c r="E10505">
        <v>1.4800000000000001E-2</v>
      </c>
      <c r="F10505">
        <v>7.2999999999999995E-2</v>
      </c>
    </row>
    <row r="10506" spans="1:6" x14ac:dyDescent="0.3">
      <c r="A10506" t="s">
        <v>10541</v>
      </c>
      <c r="B10506" t="s">
        <v>71</v>
      </c>
      <c r="C10506">
        <v>129000</v>
      </c>
      <c r="D10506">
        <v>4131.3</v>
      </c>
      <c r="E10506">
        <v>2.5499999999999998E-2</v>
      </c>
      <c r="F10506">
        <v>9.5100000000000004E-2</v>
      </c>
    </row>
    <row r="10507" spans="1:6" x14ac:dyDescent="0.3">
      <c r="A10507" t="s">
        <v>10542</v>
      </c>
      <c r="B10507" t="s">
        <v>81</v>
      </c>
      <c r="C10507">
        <v>145000</v>
      </c>
      <c r="D10507">
        <v>1929</v>
      </c>
      <c r="E10507">
        <v>1.7100000000000001E-2</v>
      </c>
      <c r="F10507">
        <v>0.15359999999999999</v>
      </c>
    </row>
    <row r="10508" spans="1:6" x14ac:dyDescent="0.3">
      <c r="A10508" t="s">
        <v>10543</v>
      </c>
      <c r="B10508" t="s">
        <v>35</v>
      </c>
      <c r="C10508">
        <v>133000</v>
      </c>
      <c r="D10508">
        <v>1088.4000000000001</v>
      </c>
      <c r="E10508">
        <v>1.17E-2</v>
      </c>
      <c r="F10508">
        <v>7.3599999999999999E-2</v>
      </c>
    </row>
    <row r="10509" spans="1:6" x14ac:dyDescent="0.3">
      <c r="A10509" t="s">
        <v>10544</v>
      </c>
      <c r="B10509" t="s">
        <v>214</v>
      </c>
      <c r="C10509">
        <v>129000</v>
      </c>
      <c r="D10509">
        <v>18232.099999999999</v>
      </c>
      <c r="E10509">
        <v>3.7699999999999997E-2</v>
      </c>
      <c r="F10509">
        <v>9.5100000000000004E-2</v>
      </c>
    </row>
    <row r="10510" spans="1:6" x14ac:dyDescent="0.3">
      <c r="A10510" t="s">
        <v>10545</v>
      </c>
      <c r="B10510" t="s">
        <v>50</v>
      </c>
      <c r="C10510">
        <v>139000</v>
      </c>
      <c r="D10510">
        <v>899.9</v>
      </c>
      <c r="E10510">
        <v>2.7400000000000001E-2</v>
      </c>
      <c r="F10510">
        <v>9.5100000000000004E-2</v>
      </c>
    </row>
    <row r="10511" spans="1:6" x14ac:dyDescent="0.3">
      <c r="A10511" t="s">
        <v>10546</v>
      </c>
      <c r="B10511" t="s">
        <v>195</v>
      </c>
      <c r="C10511">
        <v>220000</v>
      </c>
      <c r="D10511">
        <v>24327.5</v>
      </c>
      <c r="E10511">
        <v>1.7299999999999999E-2</v>
      </c>
      <c r="F10511">
        <v>8.5400000000000004E-2</v>
      </c>
    </row>
    <row r="10512" spans="1:6" x14ac:dyDescent="0.3">
      <c r="A10512" t="s">
        <v>10547</v>
      </c>
      <c r="B10512" t="s">
        <v>92</v>
      </c>
      <c r="C10512">
        <v>160000</v>
      </c>
      <c r="D10512">
        <v>111.5</v>
      </c>
      <c r="E10512">
        <v>5.6300000000000003E-2</v>
      </c>
      <c r="F10512">
        <v>0.2747</v>
      </c>
    </row>
    <row r="10513" spans="1:6" x14ac:dyDescent="0.3">
      <c r="A10513" t="s">
        <v>10548</v>
      </c>
      <c r="B10513" t="s">
        <v>88</v>
      </c>
      <c r="C10513">
        <v>128000</v>
      </c>
      <c r="D10513">
        <v>462.2</v>
      </c>
      <c r="E10513">
        <v>6.4000000000000003E-3</v>
      </c>
      <c r="F10513">
        <v>8.2199999999999995E-2</v>
      </c>
    </row>
    <row r="10514" spans="1:6" x14ac:dyDescent="0.3">
      <c r="A10514" t="s">
        <v>10549</v>
      </c>
      <c r="B10514" t="s">
        <v>26</v>
      </c>
      <c r="C10514">
        <v>353000</v>
      </c>
      <c r="D10514">
        <v>787.8</v>
      </c>
      <c r="E10514">
        <v>2.0299999999999999E-2</v>
      </c>
      <c r="F10514">
        <v>9.0899999999999995E-2</v>
      </c>
    </row>
    <row r="10515" spans="1:6" x14ac:dyDescent="0.3">
      <c r="A10515" t="s">
        <v>10550</v>
      </c>
      <c r="B10515" t="s">
        <v>26</v>
      </c>
      <c r="C10515">
        <v>185000</v>
      </c>
      <c r="D10515">
        <v>652416.69999999995</v>
      </c>
      <c r="E10515">
        <v>4.8899999999999999E-2</v>
      </c>
      <c r="F10515">
        <v>6.7199999999999996E-2</v>
      </c>
    </row>
    <row r="10516" spans="1:6" x14ac:dyDescent="0.3">
      <c r="A10516" t="s">
        <v>10551</v>
      </c>
      <c r="B10516" t="s">
        <v>71</v>
      </c>
      <c r="C10516">
        <v>129000</v>
      </c>
      <c r="D10516">
        <v>4076.5</v>
      </c>
      <c r="E10516">
        <v>1.7600000000000001E-2</v>
      </c>
      <c r="F10516">
        <v>5.8500000000000003E-2</v>
      </c>
    </row>
    <row r="10517" spans="1:6" x14ac:dyDescent="0.3">
      <c r="A10517" t="s">
        <v>10552</v>
      </c>
      <c r="B10517" t="s">
        <v>26</v>
      </c>
      <c r="C10517">
        <v>144000</v>
      </c>
      <c r="D10517">
        <v>8632.4</v>
      </c>
      <c r="F10517">
        <v>9.3799999999999994E-2</v>
      </c>
    </row>
    <row r="10518" spans="1:6" x14ac:dyDescent="0.3">
      <c r="A10518" t="s">
        <v>10553</v>
      </c>
      <c r="B10518" t="s">
        <v>81</v>
      </c>
      <c r="C10518">
        <v>168000</v>
      </c>
      <c r="D10518">
        <v>3411.6</v>
      </c>
      <c r="E10518">
        <v>2.4799999999999999E-2</v>
      </c>
      <c r="F10518">
        <v>9.3799999999999994E-2</v>
      </c>
    </row>
    <row r="10519" spans="1:6" x14ac:dyDescent="0.3">
      <c r="A10519" t="s">
        <v>10554</v>
      </c>
      <c r="B10519" t="s">
        <v>71</v>
      </c>
      <c r="C10519">
        <v>144000</v>
      </c>
      <c r="D10519">
        <v>110.1</v>
      </c>
      <c r="E10519">
        <v>1.15E-2</v>
      </c>
      <c r="F10519">
        <v>7.3599999999999999E-2</v>
      </c>
    </row>
    <row r="10520" spans="1:6" x14ac:dyDescent="0.3">
      <c r="A10520" t="s">
        <v>10555</v>
      </c>
      <c r="B10520" t="s">
        <v>32</v>
      </c>
      <c r="C10520">
        <v>137000</v>
      </c>
      <c r="D10520">
        <v>4063</v>
      </c>
      <c r="E10520">
        <v>0.12870000000000001</v>
      </c>
      <c r="F10520">
        <v>0.58189999999999997</v>
      </c>
    </row>
    <row r="10521" spans="1:6" x14ac:dyDescent="0.3">
      <c r="A10521" t="s">
        <v>10556</v>
      </c>
      <c r="B10521" t="s">
        <v>74</v>
      </c>
      <c r="C10521">
        <v>183000</v>
      </c>
      <c r="D10521">
        <v>8.8000000000000007</v>
      </c>
      <c r="E10521">
        <v>0.02</v>
      </c>
      <c r="F10521">
        <v>0.25580000000000003</v>
      </c>
    </row>
    <row r="10522" spans="1:6" x14ac:dyDescent="0.3">
      <c r="A10522" t="s">
        <v>10557</v>
      </c>
      <c r="B10522" t="s">
        <v>74</v>
      </c>
      <c r="C10522">
        <v>130000</v>
      </c>
      <c r="D10522">
        <v>235.7</v>
      </c>
      <c r="F10522">
        <v>5.0999999999999997E-2</v>
      </c>
    </row>
    <row r="10523" spans="1:6" x14ac:dyDescent="0.3">
      <c r="A10523" t="s">
        <v>10558</v>
      </c>
      <c r="B10523" t="s">
        <v>50</v>
      </c>
      <c r="C10523">
        <v>152000</v>
      </c>
      <c r="D10523">
        <v>11804.2</v>
      </c>
      <c r="E10523">
        <v>2.2100000000000002E-2</v>
      </c>
      <c r="F10523">
        <v>9.5100000000000004E-2</v>
      </c>
    </row>
    <row r="10524" spans="1:6" x14ac:dyDescent="0.3">
      <c r="A10524" t="s">
        <v>10559</v>
      </c>
      <c r="B10524" t="s">
        <v>41</v>
      </c>
      <c r="C10524">
        <v>277000</v>
      </c>
      <c r="D10524">
        <v>680.8</v>
      </c>
      <c r="E10524">
        <v>4.1999999999999997E-3</v>
      </c>
      <c r="F10524">
        <v>8.1100000000000005E-2</v>
      </c>
    </row>
    <row r="10525" spans="1:6" x14ac:dyDescent="0.3">
      <c r="A10525" t="s">
        <v>10560</v>
      </c>
      <c r="B10525" t="s">
        <v>21</v>
      </c>
      <c r="C10525">
        <v>226000</v>
      </c>
      <c r="D10525">
        <v>14757.1</v>
      </c>
      <c r="E10525">
        <v>5.3600000000000002E-2</v>
      </c>
      <c r="F10525">
        <v>7.5899999999999995E-2</v>
      </c>
    </row>
    <row r="10526" spans="1:6" x14ac:dyDescent="0.3">
      <c r="A10526" t="s">
        <v>10561</v>
      </c>
      <c r="B10526" t="s">
        <v>24</v>
      </c>
      <c r="C10526">
        <v>144000</v>
      </c>
      <c r="D10526">
        <v>3968.9</v>
      </c>
      <c r="E10526">
        <v>2.87E-2</v>
      </c>
      <c r="F10526">
        <v>5.1799999999999999E-2</v>
      </c>
    </row>
    <row r="10527" spans="1:6" x14ac:dyDescent="0.3">
      <c r="A10527" t="s">
        <v>10562</v>
      </c>
      <c r="B10527" t="s">
        <v>74</v>
      </c>
      <c r="C10527">
        <v>153000</v>
      </c>
      <c r="D10527">
        <v>17235.599999999999</v>
      </c>
      <c r="E10527">
        <v>3.2399999999999998E-2</v>
      </c>
      <c r="F10527">
        <v>9.5100000000000004E-2</v>
      </c>
    </row>
    <row r="10528" spans="1:6" x14ac:dyDescent="0.3">
      <c r="A10528" t="s">
        <v>10563</v>
      </c>
      <c r="B10528" t="s">
        <v>41</v>
      </c>
      <c r="C10528">
        <v>127000</v>
      </c>
      <c r="D10528">
        <v>1689.6</v>
      </c>
      <c r="E10528">
        <v>2.2700000000000001E-2</v>
      </c>
      <c r="F10528">
        <v>0.1067</v>
      </c>
    </row>
    <row r="10529" spans="1:6" x14ac:dyDescent="0.3">
      <c r="A10529" t="s">
        <v>10564</v>
      </c>
      <c r="B10529" t="s">
        <v>71</v>
      </c>
      <c r="C10529">
        <v>159000</v>
      </c>
      <c r="D10529">
        <v>3005.2</v>
      </c>
      <c r="E10529">
        <v>5.0900000000000001E-2</v>
      </c>
      <c r="F10529">
        <v>7.5899999999999995E-2</v>
      </c>
    </row>
    <row r="10530" spans="1:6" x14ac:dyDescent="0.3">
      <c r="A10530" t="s">
        <v>10565</v>
      </c>
      <c r="B10530" t="s">
        <v>81</v>
      </c>
      <c r="C10530">
        <v>143000</v>
      </c>
      <c r="D10530">
        <v>2979.1</v>
      </c>
      <c r="E10530">
        <v>3.8E-3</v>
      </c>
      <c r="F10530">
        <v>8.1100000000000005E-2</v>
      </c>
    </row>
    <row r="10531" spans="1:6" x14ac:dyDescent="0.3">
      <c r="A10531" t="s">
        <v>10566</v>
      </c>
      <c r="B10531" t="s">
        <v>71</v>
      </c>
      <c r="C10531">
        <v>137000</v>
      </c>
      <c r="D10531">
        <v>121</v>
      </c>
      <c r="E10531">
        <v>6.0999999999999999E-2</v>
      </c>
      <c r="F10531">
        <v>9.5000000000000001E-2</v>
      </c>
    </row>
    <row r="10532" spans="1:6" x14ac:dyDescent="0.3">
      <c r="A10532" t="s">
        <v>10567</v>
      </c>
      <c r="B10532" t="s">
        <v>50</v>
      </c>
      <c r="C10532">
        <v>144000</v>
      </c>
      <c r="D10532">
        <v>584</v>
      </c>
      <c r="E10532">
        <v>6.0699999999999997E-2</v>
      </c>
      <c r="F10532">
        <v>7.5899999999999995E-2</v>
      </c>
    </row>
    <row r="10533" spans="1:6" x14ac:dyDescent="0.3">
      <c r="A10533" t="s">
        <v>10568</v>
      </c>
      <c r="B10533" t="s">
        <v>26</v>
      </c>
      <c r="C10533">
        <v>160000</v>
      </c>
      <c r="D10533">
        <v>21097</v>
      </c>
      <c r="E10533">
        <v>1.8E-3</v>
      </c>
      <c r="F10533">
        <v>8.2199999999999995E-2</v>
      </c>
    </row>
    <row r="10534" spans="1:6" x14ac:dyDescent="0.3">
      <c r="A10534" t="s">
        <v>10569</v>
      </c>
      <c r="B10534" t="s">
        <v>88</v>
      </c>
      <c r="C10534">
        <v>164000</v>
      </c>
      <c r="D10534">
        <v>2440.1999999999998</v>
      </c>
      <c r="E10534">
        <v>1.49E-2</v>
      </c>
      <c r="F10534">
        <v>0.13159999999999999</v>
      </c>
    </row>
    <row r="10535" spans="1:6" x14ac:dyDescent="0.3">
      <c r="A10535" t="s">
        <v>10570</v>
      </c>
      <c r="B10535" t="s">
        <v>74</v>
      </c>
      <c r="C10535">
        <v>242000</v>
      </c>
      <c r="D10535">
        <v>12889.1</v>
      </c>
      <c r="E10535">
        <v>5.4100000000000002E-2</v>
      </c>
      <c r="F10535">
        <v>7.5899999999999995E-2</v>
      </c>
    </row>
    <row r="10536" spans="1:6" x14ac:dyDescent="0.3">
      <c r="A10536" t="s">
        <v>10571</v>
      </c>
      <c r="B10536" t="s">
        <v>26</v>
      </c>
      <c r="C10536">
        <v>124000</v>
      </c>
      <c r="D10536">
        <v>6610.5</v>
      </c>
      <c r="E10536">
        <v>5.5300000000000002E-2</v>
      </c>
      <c r="F10536">
        <v>9.5100000000000004E-2</v>
      </c>
    </row>
    <row r="10537" spans="1:6" x14ac:dyDescent="0.3">
      <c r="A10537" t="s">
        <v>10572</v>
      </c>
      <c r="B10537" t="s">
        <v>88</v>
      </c>
      <c r="C10537">
        <v>213000</v>
      </c>
      <c r="D10537">
        <v>5586.6</v>
      </c>
      <c r="E10537">
        <v>4.7899999999999998E-2</v>
      </c>
      <c r="F10537">
        <v>9.3799999999999994E-2</v>
      </c>
    </row>
    <row r="10538" spans="1:6" x14ac:dyDescent="0.3">
      <c r="A10538" t="s">
        <v>10573</v>
      </c>
      <c r="B10538" t="s">
        <v>287</v>
      </c>
      <c r="C10538">
        <v>126000</v>
      </c>
      <c r="D10538">
        <v>1169.8</v>
      </c>
      <c r="E10538">
        <v>0.1608</v>
      </c>
      <c r="F10538">
        <v>9.5100000000000004E-2</v>
      </c>
    </row>
    <row r="10539" spans="1:6" x14ac:dyDescent="0.3">
      <c r="A10539" t="s">
        <v>10574</v>
      </c>
      <c r="B10539" t="s">
        <v>30</v>
      </c>
      <c r="C10539">
        <v>209000</v>
      </c>
      <c r="D10539">
        <v>9589</v>
      </c>
      <c r="F10539">
        <v>5.1799999999999999E-2</v>
      </c>
    </row>
    <row r="10540" spans="1:6" x14ac:dyDescent="0.3">
      <c r="A10540" t="s">
        <v>10575</v>
      </c>
      <c r="B10540" t="s">
        <v>88</v>
      </c>
      <c r="C10540">
        <v>145000</v>
      </c>
      <c r="D10540">
        <v>521.4</v>
      </c>
      <c r="E10540">
        <v>2.98E-2</v>
      </c>
      <c r="F10540">
        <v>0.15140000000000001</v>
      </c>
    </row>
    <row r="10541" spans="1:6" x14ac:dyDescent="0.3">
      <c r="A10541" t="s">
        <v>10576</v>
      </c>
      <c r="B10541" t="s">
        <v>26</v>
      </c>
      <c r="C10541">
        <v>3430000</v>
      </c>
      <c r="D10541">
        <v>9621.5</v>
      </c>
      <c r="E10541">
        <v>1.7100000000000001E-2</v>
      </c>
      <c r="F10541">
        <v>4.6199999999999998E-2</v>
      </c>
    </row>
    <row r="10542" spans="1:6" x14ac:dyDescent="0.3">
      <c r="A10542" t="s">
        <v>10577</v>
      </c>
      <c r="B10542" t="s">
        <v>26</v>
      </c>
      <c r="C10542">
        <v>133000</v>
      </c>
      <c r="D10542">
        <v>76.8</v>
      </c>
      <c r="F10542">
        <v>4.0899999999999999E-2</v>
      </c>
    </row>
    <row r="10543" spans="1:6" x14ac:dyDescent="0.3">
      <c r="A10543" t="s">
        <v>10578</v>
      </c>
      <c r="B10543" t="s">
        <v>88</v>
      </c>
      <c r="C10543">
        <v>172000</v>
      </c>
      <c r="D10543">
        <v>1582.1</v>
      </c>
      <c r="E10543">
        <v>1.18E-2</v>
      </c>
      <c r="F10543">
        <v>0.1053</v>
      </c>
    </row>
    <row r="10544" spans="1:6" x14ac:dyDescent="0.3">
      <c r="A10544" t="s">
        <v>10579</v>
      </c>
      <c r="B10544" t="s">
        <v>41</v>
      </c>
      <c r="C10544">
        <v>144000</v>
      </c>
      <c r="D10544">
        <v>8760.5</v>
      </c>
      <c r="E10544">
        <v>6.1000000000000004E-3</v>
      </c>
      <c r="F10544">
        <v>0.14710000000000001</v>
      </c>
    </row>
    <row r="10545" spans="1:6" x14ac:dyDescent="0.3">
      <c r="A10545" t="s">
        <v>10580</v>
      </c>
      <c r="B10545" t="s">
        <v>30</v>
      </c>
      <c r="C10545">
        <v>237000</v>
      </c>
      <c r="D10545">
        <v>37836.400000000001</v>
      </c>
      <c r="E10545">
        <v>9.9000000000000008E-3</v>
      </c>
      <c r="F10545">
        <v>8.2199999999999995E-2</v>
      </c>
    </row>
    <row r="10546" spans="1:6" x14ac:dyDescent="0.3">
      <c r="A10546" t="s">
        <v>10581</v>
      </c>
      <c r="B10546" t="s">
        <v>195</v>
      </c>
      <c r="C10546">
        <v>134000</v>
      </c>
      <c r="D10546">
        <v>5188.3</v>
      </c>
      <c r="E10546">
        <v>4.65E-2</v>
      </c>
      <c r="F10546">
        <v>7.5899999999999995E-2</v>
      </c>
    </row>
    <row r="10547" spans="1:6" x14ac:dyDescent="0.3">
      <c r="A10547" t="s">
        <v>10582</v>
      </c>
      <c r="B10547" t="s">
        <v>92</v>
      </c>
      <c r="C10547">
        <v>132000</v>
      </c>
      <c r="D10547">
        <v>1252.5</v>
      </c>
      <c r="E10547">
        <v>1.0699999999999999E-2</v>
      </c>
      <c r="F10547">
        <v>6.54E-2</v>
      </c>
    </row>
    <row r="10548" spans="1:6" x14ac:dyDescent="0.3">
      <c r="A10548" t="s">
        <v>10583</v>
      </c>
      <c r="B10548" t="s">
        <v>74</v>
      </c>
      <c r="C10548">
        <v>926000</v>
      </c>
      <c r="D10548">
        <v>1078.5999999999999</v>
      </c>
      <c r="E10548">
        <v>1.1599999999999999E-2</v>
      </c>
      <c r="F10548">
        <v>0.2051</v>
      </c>
    </row>
    <row r="10549" spans="1:6" x14ac:dyDescent="0.3">
      <c r="A10549" t="s">
        <v>10584</v>
      </c>
      <c r="B10549" t="s">
        <v>26</v>
      </c>
      <c r="C10549">
        <v>156000</v>
      </c>
      <c r="D10549">
        <v>11364.3</v>
      </c>
      <c r="E10549">
        <v>1.44E-2</v>
      </c>
      <c r="F10549">
        <v>8.5400000000000004E-2</v>
      </c>
    </row>
    <row r="10550" spans="1:6" x14ac:dyDescent="0.3">
      <c r="A10550" t="s">
        <v>10585</v>
      </c>
      <c r="B10550" t="s">
        <v>26</v>
      </c>
      <c r="C10550">
        <v>128000</v>
      </c>
      <c r="D10550">
        <v>732.1</v>
      </c>
      <c r="E10550">
        <v>5.3100000000000001E-2</v>
      </c>
      <c r="F10550">
        <v>9.5100000000000004E-2</v>
      </c>
    </row>
    <row r="10551" spans="1:6" x14ac:dyDescent="0.3">
      <c r="A10551" t="s">
        <v>10586</v>
      </c>
      <c r="B10551" t="s">
        <v>214</v>
      </c>
      <c r="C10551">
        <v>153000</v>
      </c>
      <c r="D10551">
        <v>323.2</v>
      </c>
      <c r="E10551">
        <v>1.55E-2</v>
      </c>
      <c r="F10551">
        <v>0.21129999999999999</v>
      </c>
    </row>
    <row r="10552" spans="1:6" x14ac:dyDescent="0.3">
      <c r="A10552" t="s">
        <v>10587</v>
      </c>
      <c r="B10552" t="s">
        <v>30</v>
      </c>
      <c r="C10552">
        <v>172000</v>
      </c>
      <c r="D10552">
        <v>83128.3</v>
      </c>
      <c r="E10552">
        <v>1.5800000000000002E-2</v>
      </c>
      <c r="F10552">
        <v>8.5400000000000004E-2</v>
      </c>
    </row>
    <row r="10553" spans="1:6" x14ac:dyDescent="0.3">
      <c r="A10553" t="s">
        <v>10588</v>
      </c>
      <c r="B10553" t="s">
        <v>26</v>
      </c>
      <c r="C10553">
        <v>135000</v>
      </c>
      <c r="D10553">
        <v>5587.2</v>
      </c>
      <c r="E10553">
        <v>4.0500000000000001E-2</v>
      </c>
      <c r="F10553">
        <v>9.5100000000000004E-2</v>
      </c>
    </row>
    <row r="10554" spans="1:6" x14ac:dyDescent="0.3">
      <c r="A10554" t="s">
        <v>10589</v>
      </c>
      <c r="B10554" t="s">
        <v>26</v>
      </c>
      <c r="C10554">
        <v>144000</v>
      </c>
      <c r="D10554">
        <v>2926</v>
      </c>
      <c r="E10554">
        <v>7.8700000000000006E-2</v>
      </c>
      <c r="F10554">
        <v>7.5899999999999995E-2</v>
      </c>
    </row>
    <row r="10555" spans="1:6" x14ac:dyDescent="0.3">
      <c r="A10555" t="s">
        <v>10590</v>
      </c>
      <c r="B10555" t="s">
        <v>24</v>
      </c>
      <c r="C10555">
        <v>172000</v>
      </c>
      <c r="D10555">
        <v>37513.599999999999</v>
      </c>
      <c r="E10555">
        <v>2.0899999999999998E-2</v>
      </c>
      <c r="F10555">
        <v>5.4600000000000003E-2</v>
      </c>
    </row>
    <row r="10556" spans="1:6" x14ac:dyDescent="0.3">
      <c r="A10556" t="s">
        <v>10591</v>
      </c>
      <c r="B10556" t="s">
        <v>62</v>
      </c>
      <c r="C10556">
        <v>158000</v>
      </c>
      <c r="D10556">
        <v>1957.9</v>
      </c>
      <c r="E10556">
        <v>2.1399999999999999E-2</v>
      </c>
      <c r="F10556">
        <v>7.5899999999999995E-2</v>
      </c>
    </row>
    <row r="10557" spans="1:6" x14ac:dyDescent="0.3">
      <c r="A10557" t="s">
        <v>10592</v>
      </c>
      <c r="B10557" t="s">
        <v>88</v>
      </c>
      <c r="C10557">
        <v>144000</v>
      </c>
      <c r="D10557">
        <v>1144.3</v>
      </c>
      <c r="E10557">
        <v>3.5999999999999997E-2</v>
      </c>
      <c r="F10557">
        <v>7.5899999999999995E-2</v>
      </c>
    </row>
    <row r="10558" spans="1:6" x14ac:dyDescent="0.3">
      <c r="A10558" t="s">
        <v>10593</v>
      </c>
      <c r="B10558" t="s">
        <v>21</v>
      </c>
      <c r="C10558">
        <v>139000</v>
      </c>
      <c r="D10558">
        <v>186.4</v>
      </c>
      <c r="E10558">
        <v>3.3700000000000001E-2</v>
      </c>
      <c r="F10558">
        <v>8.4500000000000006E-2</v>
      </c>
    </row>
    <row r="10559" spans="1:6" x14ac:dyDescent="0.3">
      <c r="A10559" t="s">
        <v>10594</v>
      </c>
      <c r="B10559" t="s">
        <v>26</v>
      </c>
      <c r="C10559">
        <v>130000</v>
      </c>
      <c r="D10559">
        <v>1455.6</v>
      </c>
      <c r="E10559">
        <v>3.3399999999999999E-2</v>
      </c>
      <c r="F10559">
        <v>9.5100000000000004E-2</v>
      </c>
    </row>
    <row r="10560" spans="1:6" x14ac:dyDescent="0.3">
      <c r="A10560" t="s">
        <v>10595</v>
      </c>
      <c r="B10560" t="s">
        <v>26</v>
      </c>
      <c r="C10560">
        <v>169000</v>
      </c>
      <c r="D10560">
        <v>70</v>
      </c>
      <c r="E10560">
        <v>0.1207</v>
      </c>
      <c r="F10560">
        <v>9.5100000000000004E-2</v>
      </c>
    </row>
    <row r="10561" spans="1:6" x14ac:dyDescent="0.3">
      <c r="A10561" t="s">
        <v>10596</v>
      </c>
      <c r="B10561" t="s">
        <v>214</v>
      </c>
      <c r="C10561">
        <v>298000</v>
      </c>
      <c r="D10561">
        <v>164175.79999999999</v>
      </c>
      <c r="E10561">
        <v>9.9000000000000008E-3</v>
      </c>
      <c r="F10561">
        <v>8.2199999999999995E-2</v>
      </c>
    </row>
    <row r="10562" spans="1:6" x14ac:dyDescent="0.3">
      <c r="A10562" t="s">
        <v>10597</v>
      </c>
      <c r="B10562" t="s">
        <v>26</v>
      </c>
      <c r="C10562">
        <v>133000</v>
      </c>
      <c r="D10562">
        <v>3805.9</v>
      </c>
      <c r="E10562">
        <v>3.0300000000000001E-2</v>
      </c>
      <c r="F10562">
        <v>7.5899999999999995E-2</v>
      </c>
    </row>
    <row r="10563" spans="1:6" x14ac:dyDescent="0.3">
      <c r="A10563" t="s">
        <v>10598</v>
      </c>
      <c r="B10563" t="s">
        <v>74</v>
      </c>
      <c r="C10563">
        <v>146000</v>
      </c>
      <c r="D10563">
        <v>16076.4</v>
      </c>
      <c r="E10563">
        <v>9.4700000000000006E-2</v>
      </c>
      <c r="F10563">
        <v>7.5899999999999995E-2</v>
      </c>
    </row>
    <row r="10564" spans="1:6" x14ac:dyDescent="0.3">
      <c r="A10564" t="s">
        <v>10599</v>
      </c>
      <c r="B10564" t="s">
        <v>287</v>
      </c>
      <c r="C10564">
        <v>353000</v>
      </c>
      <c r="D10564">
        <v>232198.6</v>
      </c>
      <c r="E10564">
        <v>2.1999999999999999E-2</v>
      </c>
      <c r="F10564">
        <v>4.0899999999999999E-2</v>
      </c>
    </row>
    <row r="10565" spans="1:6" x14ac:dyDescent="0.3">
      <c r="A10565" t="s">
        <v>10600</v>
      </c>
      <c r="B10565" t="s">
        <v>41</v>
      </c>
      <c r="C10565">
        <v>166000</v>
      </c>
      <c r="D10565">
        <v>10922.3</v>
      </c>
      <c r="E10565">
        <v>3.9800000000000002E-2</v>
      </c>
      <c r="F10565">
        <v>9.5000000000000001E-2</v>
      </c>
    </row>
    <row r="10566" spans="1:6" x14ac:dyDescent="0.3">
      <c r="A10566" t="s">
        <v>10601</v>
      </c>
      <c r="B10566" t="s">
        <v>53</v>
      </c>
      <c r="C10566">
        <v>126000</v>
      </c>
      <c r="D10566">
        <v>568</v>
      </c>
      <c r="E10566">
        <v>4.5199999999999997E-2</v>
      </c>
      <c r="F10566">
        <v>9.5100000000000004E-2</v>
      </c>
    </row>
    <row r="10567" spans="1:6" x14ac:dyDescent="0.3">
      <c r="A10567" t="s">
        <v>10602</v>
      </c>
      <c r="B10567" t="s">
        <v>26</v>
      </c>
      <c r="C10567">
        <v>123000</v>
      </c>
      <c r="D10567">
        <v>824.9</v>
      </c>
      <c r="E10567">
        <v>2.53E-2</v>
      </c>
      <c r="F10567">
        <v>7.3499999999999996E-2</v>
      </c>
    </row>
    <row r="10568" spans="1:6" x14ac:dyDescent="0.3">
      <c r="A10568" t="s">
        <v>10603</v>
      </c>
      <c r="B10568" t="s">
        <v>53</v>
      </c>
      <c r="C10568">
        <v>131000</v>
      </c>
      <c r="D10568">
        <v>5502.3</v>
      </c>
      <c r="E10568">
        <v>1.2699999999999999E-2</v>
      </c>
      <c r="F10568">
        <v>0.1187</v>
      </c>
    </row>
    <row r="10569" spans="1:6" x14ac:dyDescent="0.3">
      <c r="A10569" t="s">
        <v>10604</v>
      </c>
      <c r="B10569" t="s">
        <v>490</v>
      </c>
      <c r="C10569">
        <v>152000</v>
      </c>
      <c r="D10569">
        <v>9790.5</v>
      </c>
      <c r="E10569">
        <v>3.5499999999999997E-2</v>
      </c>
      <c r="F10569">
        <v>4.1200000000000001E-2</v>
      </c>
    </row>
    <row r="10570" spans="1:6" x14ac:dyDescent="0.3">
      <c r="A10570" t="s">
        <v>10605</v>
      </c>
      <c r="B10570" t="s">
        <v>62</v>
      </c>
      <c r="C10570">
        <v>152000</v>
      </c>
      <c r="D10570">
        <v>857.3</v>
      </c>
      <c r="E10570">
        <v>2.75E-2</v>
      </c>
      <c r="F10570">
        <v>0.15329999999999999</v>
      </c>
    </row>
    <row r="10571" spans="1:6" x14ac:dyDescent="0.3">
      <c r="A10571" t="s">
        <v>10606</v>
      </c>
      <c r="B10571" t="s">
        <v>74</v>
      </c>
      <c r="C10571">
        <v>124000</v>
      </c>
      <c r="D10571">
        <v>488</v>
      </c>
      <c r="E10571">
        <v>6.4399999999999999E-2</v>
      </c>
      <c r="F10571">
        <v>4.0899999999999999E-2</v>
      </c>
    </row>
    <row r="10572" spans="1:6" x14ac:dyDescent="0.3">
      <c r="A10572" t="s">
        <v>10607</v>
      </c>
      <c r="B10572" t="s">
        <v>88</v>
      </c>
      <c r="C10572">
        <v>203000</v>
      </c>
      <c r="D10572">
        <v>10756.8</v>
      </c>
      <c r="E10572">
        <v>1.9400000000000001E-2</v>
      </c>
      <c r="F10572">
        <v>0.22670000000000001</v>
      </c>
    </row>
    <row r="10573" spans="1:6" x14ac:dyDescent="0.3">
      <c r="A10573" t="s">
        <v>10608</v>
      </c>
      <c r="B10573" t="s">
        <v>26</v>
      </c>
      <c r="C10573">
        <v>122000</v>
      </c>
      <c r="D10573">
        <v>15414.8</v>
      </c>
      <c r="E10573">
        <v>1.6299999999999999E-2</v>
      </c>
      <c r="F10573">
        <v>0.22939999999999999</v>
      </c>
    </row>
    <row r="10574" spans="1:6" x14ac:dyDescent="0.3">
      <c r="A10574" t="s">
        <v>10609</v>
      </c>
      <c r="B10574" t="s">
        <v>71</v>
      </c>
      <c r="C10574">
        <v>126000</v>
      </c>
      <c r="D10574">
        <v>6691.3</v>
      </c>
      <c r="E10574">
        <v>6.3500000000000001E-2</v>
      </c>
      <c r="F10574">
        <v>9.5100000000000004E-2</v>
      </c>
    </row>
    <row r="10575" spans="1:6" x14ac:dyDescent="0.3">
      <c r="A10575" t="s">
        <v>10610</v>
      </c>
      <c r="B10575" t="s">
        <v>26</v>
      </c>
      <c r="C10575">
        <v>135000</v>
      </c>
      <c r="D10575">
        <v>23512.3</v>
      </c>
      <c r="E10575">
        <v>5.5999999999999999E-3</v>
      </c>
      <c r="F10575">
        <v>8.2199999999999995E-2</v>
      </c>
    </row>
    <row r="10576" spans="1:6" x14ac:dyDescent="0.3">
      <c r="A10576" t="s">
        <v>10611</v>
      </c>
      <c r="B10576" t="s">
        <v>26</v>
      </c>
      <c r="C10576">
        <v>132000</v>
      </c>
      <c r="D10576">
        <v>297.2</v>
      </c>
      <c r="E10576">
        <v>4.07E-2</v>
      </c>
      <c r="F10576">
        <v>0.1862</v>
      </c>
    </row>
    <row r="10577" spans="1:6" x14ac:dyDescent="0.3">
      <c r="A10577" t="s">
        <v>10612</v>
      </c>
      <c r="B10577" t="s">
        <v>88</v>
      </c>
      <c r="C10577">
        <v>126000</v>
      </c>
      <c r="D10577">
        <v>785.9</v>
      </c>
      <c r="F10577">
        <v>0.11700000000000001</v>
      </c>
    </row>
    <row r="10578" spans="1:6" x14ac:dyDescent="0.3">
      <c r="A10578" t="s">
        <v>10613</v>
      </c>
      <c r="B10578" t="s">
        <v>88</v>
      </c>
      <c r="C10578">
        <v>130000</v>
      </c>
      <c r="D10578">
        <v>1.3</v>
      </c>
      <c r="E10578">
        <v>2.86E-2</v>
      </c>
      <c r="F10578">
        <v>0.22800000000000001</v>
      </c>
    </row>
    <row r="10579" spans="1:6" x14ac:dyDescent="0.3">
      <c r="A10579" t="s">
        <v>10614</v>
      </c>
      <c r="B10579" t="s">
        <v>41</v>
      </c>
      <c r="C10579">
        <v>137000</v>
      </c>
      <c r="D10579">
        <v>609.1</v>
      </c>
      <c r="E10579">
        <v>6.9099999999999995E-2</v>
      </c>
      <c r="F10579">
        <v>9.5100000000000004E-2</v>
      </c>
    </row>
    <row r="10580" spans="1:6" x14ac:dyDescent="0.3">
      <c r="A10580" t="s">
        <v>10615</v>
      </c>
      <c r="B10580" t="s">
        <v>30</v>
      </c>
      <c r="C10580">
        <v>399000</v>
      </c>
      <c r="D10580">
        <v>300236.59999999998</v>
      </c>
      <c r="E10580">
        <v>2.9100000000000001E-2</v>
      </c>
      <c r="F10580">
        <v>5.0999999999999997E-2</v>
      </c>
    </row>
    <row r="10581" spans="1:6" x14ac:dyDescent="0.3">
      <c r="A10581" t="s">
        <v>10616</v>
      </c>
      <c r="B10581" t="s">
        <v>26</v>
      </c>
      <c r="C10581">
        <v>126000</v>
      </c>
      <c r="D10581">
        <v>2171.3000000000002</v>
      </c>
      <c r="E10581">
        <v>5.3400000000000003E-2</v>
      </c>
      <c r="F10581">
        <v>9.5100000000000004E-2</v>
      </c>
    </row>
    <row r="10582" spans="1:6" x14ac:dyDescent="0.3">
      <c r="A10582" t="s">
        <v>10617</v>
      </c>
      <c r="B10582" t="s">
        <v>88</v>
      </c>
      <c r="C10582">
        <v>143000</v>
      </c>
      <c r="D10582">
        <v>1641.1</v>
      </c>
      <c r="F10582">
        <v>9.3799999999999994E-2</v>
      </c>
    </row>
    <row r="10583" spans="1:6" x14ac:dyDescent="0.3">
      <c r="A10583" t="s">
        <v>10618</v>
      </c>
      <c r="B10583" t="s">
        <v>21</v>
      </c>
      <c r="C10583">
        <v>155000</v>
      </c>
      <c r="D10583">
        <v>148908.9</v>
      </c>
      <c r="E10583">
        <v>3.3099999999999997E-2</v>
      </c>
      <c r="F10583">
        <v>9.5100000000000004E-2</v>
      </c>
    </row>
    <row r="10584" spans="1:6" x14ac:dyDescent="0.3">
      <c r="A10584" t="s">
        <v>10619</v>
      </c>
      <c r="B10584" t="s">
        <v>26</v>
      </c>
      <c r="C10584">
        <v>133000</v>
      </c>
      <c r="D10584">
        <v>1803.3</v>
      </c>
      <c r="E10584">
        <v>3.3000000000000002E-2</v>
      </c>
      <c r="F10584">
        <v>7.5899999999999995E-2</v>
      </c>
    </row>
    <row r="10585" spans="1:6" x14ac:dyDescent="0.3">
      <c r="A10585" t="s">
        <v>10620</v>
      </c>
      <c r="B10585" t="s">
        <v>32</v>
      </c>
      <c r="C10585">
        <v>144000</v>
      </c>
      <c r="D10585">
        <v>1731.2</v>
      </c>
      <c r="E10585">
        <v>3.39E-2</v>
      </c>
      <c r="F10585">
        <v>0.12429999999999999</v>
      </c>
    </row>
    <row r="10586" spans="1:6" x14ac:dyDescent="0.3">
      <c r="A10586" t="s">
        <v>10621</v>
      </c>
      <c r="B10586" t="s">
        <v>26</v>
      </c>
      <c r="C10586">
        <v>207000</v>
      </c>
      <c r="D10586">
        <v>78713.600000000006</v>
      </c>
      <c r="E10586">
        <v>7.7999999999999996E-3</v>
      </c>
      <c r="F10586">
        <v>6.54E-2</v>
      </c>
    </row>
    <row r="10587" spans="1:6" x14ac:dyDescent="0.3">
      <c r="A10587" t="s">
        <v>10622</v>
      </c>
      <c r="B10587" t="s">
        <v>81</v>
      </c>
      <c r="C10587">
        <v>154000</v>
      </c>
      <c r="D10587">
        <v>1374.8</v>
      </c>
      <c r="E10587">
        <v>4.1000000000000002E-2</v>
      </c>
      <c r="F10587">
        <v>0.1241</v>
      </c>
    </row>
    <row r="10588" spans="1:6" x14ac:dyDescent="0.3">
      <c r="A10588" t="s">
        <v>10623</v>
      </c>
      <c r="B10588" t="s">
        <v>214</v>
      </c>
      <c r="C10588">
        <v>175000</v>
      </c>
      <c r="D10588">
        <v>12385.4</v>
      </c>
      <c r="E10588">
        <v>2.5000000000000001E-3</v>
      </c>
      <c r="F10588">
        <v>8.2199999999999995E-2</v>
      </c>
    </row>
    <row r="10589" spans="1:6" x14ac:dyDescent="0.3">
      <c r="A10589" t="s">
        <v>10624</v>
      </c>
      <c r="B10589" t="s">
        <v>41</v>
      </c>
      <c r="C10589">
        <v>128000</v>
      </c>
      <c r="D10589">
        <v>3792.2</v>
      </c>
      <c r="E10589">
        <v>2.4E-2</v>
      </c>
      <c r="F10589">
        <v>0.1119</v>
      </c>
    </row>
    <row r="10590" spans="1:6" x14ac:dyDescent="0.3">
      <c r="A10590" t="s">
        <v>10625</v>
      </c>
      <c r="B10590" t="s">
        <v>88</v>
      </c>
      <c r="C10590">
        <v>149000</v>
      </c>
      <c r="D10590">
        <v>231.6</v>
      </c>
      <c r="E10590">
        <v>2.1299999999999999E-2</v>
      </c>
      <c r="F10590">
        <v>7.5899999999999995E-2</v>
      </c>
    </row>
    <row r="10591" spans="1:6" x14ac:dyDescent="0.3">
      <c r="A10591" t="s">
        <v>10626</v>
      </c>
      <c r="B10591" t="s">
        <v>88</v>
      </c>
      <c r="C10591">
        <v>131000</v>
      </c>
      <c r="D10591">
        <v>851</v>
      </c>
      <c r="E10591">
        <v>5.1000000000000004E-3</v>
      </c>
      <c r="F10591">
        <v>8.2199999999999995E-2</v>
      </c>
    </row>
    <row r="10592" spans="1:6" x14ac:dyDescent="0.3">
      <c r="A10592" t="s">
        <v>10627</v>
      </c>
      <c r="B10592" t="s">
        <v>30</v>
      </c>
      <c r="C10592">
        <v>154000</v>
      </c>
      <c r="D10592">
        <v>5965.5</v>
      </c>
      <c r="E10592">
        <v>2.3099999999999999E-2</v>
      </c>
      <c r="F10592">
        <v>8.5400000000000004E-2</v>
      </c>
    </row>
    <row r="10593" spans="1:6" x14ac:dyDescent="0.3">
      <c r="A10593" t="s">
        <v>10628</v>
      </c>
      <c r="B10593" t="s">
        <v>62</v>
      </c>
      <c r="C10593">
        <v>157000</v>
      </c>
      <c r="D10593">
        <v>1325.2</v>
      </c>
      <c r="E10593">
        <v>6.3500000000000001E-2</v>
      </c>
      <c r="F10593">
        <v>7.5899999999999995E-2</v>
      </c>
    </row>
    <row r="10594" spans="1:6" x14ac:dyDescent="0.3">
      <c r="A10594" t="s">
        <v>10629</v>
      </c>
      <c r="B10594" t="s">
        <v>28</v>
      </c>
      <c r="C10594">
        <v>208000</v>
      </c>
      <c r="D10594">
        <v>755</v>
      </c>
      <c r="E10594">
        <v>1.1599999999999999E-2</v>
      </c>
      <c r="F10594">
        <v>0.1013</v>
      </c>
    </row>
    <row r="10595" spans="1:6" x14ac:dyDescent="0.3">
      <c r="A10595" t="s">
        <v>10630</v>
      </c>
      <c r="B10595" t="s">
        <v>287</v>
      </c>
      <c r="C10595">
        <v>136000</v>
      </c>
      <c r="D10595">
        <v>76592.399999999994</v>
      </c>
      <c r="E10595">
        <v>3.3E-3</v>
      </c>
      <c r="F10595">
        <v>0.39660000000000001</v>
      </c>
    </row>
    <row r="10596" spans="1:6" x14ac:dyDescent="0.3">
      <c r="A10596" t="s">
        <v>10631</v>
      </c>
      <c r="B10596" t="s">
        <v>88</v>
      </c>
      <c r="C10596">
        <v>173000</v>
      </c>
      <c r="D10596">
        <v>4165.1000000000004</v>
      </c>
      <c r="E10596">
        <v>4.1799999999999997E-2</v>
      </c>
      <c r="F10596">
        <v>7.5899999999999995E-2</v>
      </c>
    </row>
    <row r="10597" spans="1:6" x14ac:dyDescent="0.3">
      <c r="A10597" t="s">
        <v>10632</v>
      </c>
      <c r="B10597" t="s">
        <v>92</v>
      </c>
      <c r="C10597">
        <v>140000</v>
      </c>
      <c r="D10597">
        <v>132.80000000000001</v>
      </c>
      <c r="E10597">
        <v>6.5600000000000006E-2</v>
      </c>
      <c r="F10597">
        <v>7.5899999999999995E-2</v>
      </c>
    </row>
    <row r="10598" spans="1:6" x14ac:dyDescent="0.3">
      <c r="A10598" t="s">
        <v>10633</v>
      </c>
      <c r="B10598" t="s">
        <v>92</v>
      </c>
      <c r="C10598">
        <v>285000</v>
      </c>
      <c r="D10598">
        <v>1071.7</v>
      </c>
      <c r="E10598">
        <v>5.1799999999999999E-2</v>
      </c>
      <c r="F10598">
        <v>9.5100000000000004E-2</v>
      </c>
    </row>
    <row r="10599" spans="1:6" x14ac:dyDescent="0.3">
      <c r="A10599" t="s">
        <v>10634</v>
      </c>
      <c r="B10599" t="s">
        <v>26</v>
      </c>
      <c r="C10599">
        <v>194000</v>
      </c>
      <c r="D10599">
        <v>66096.5</v>
      </c>
      <c r="E10599">
        <v>8.0000000000000002E-3</v>
      </c>
      <c r="F10599">
        <v>8.2199999999999995E-2</v>
      </c>
    </row>
    <row r="10600" spans="1:6" x14ac:dyDescent="0.3">
      <c r="A10600" t="s">
        <v>10635</v>
      </c>
      <c r="B10600" t="s">
        <v>26</v>
      </c>
      <c r="C10600">
        <v>165000</v>
      </c>
      <c r="D10600">
        <v>9225.6</v>
      </c>
      <c r="E10600">
        <v>2.18E-2</v>
      </c>
      <c r="F10600">
        <v>5.0999999999999997E-2</v>
      </c>
    </row>
    <row r="10601" spans="1:6" x14ac:dyDescent="0.3">
      <c r="A10601" t="s">
        <v>10636</v>
      </c>
      <c r="B10601" t="s">
        <v>195</v>
      </c>
      <c r="C10601">
        <v>130000</v>
      </c>
      <c r="D10601">
        <v>3701.5</v>
      </c>
      <c r="E10601">
        <v>4.7699999999999999E-2</v>
      </c>
      <c r="F10601">
        <v>7.5899999999999995E-2</v>
      </c>
    </row>
    <row r="10602" spans="1:6" x14ac:dyDescent="0.3">
      <c r="A10602" t="s">
        <v>10637</v>
      </c>
      <c r="B10602" t="s">
        <v>26</v>
      </c>
      <c r="C10602">
        <v>130000</v>
      </c>
      <c r="D10602">
        <v>945.9</v>
      </c>
      <c r="E10602">
        <v>3.6299999999999999E-2</v>
      </c>
      <c r="F10602">
        <v>0.13589999999999999</v>
      </c>
    </row>
    <row r="10603" spans="1:6" x14ac:dyDescent="0.3">
      <c r="A10603" t="s">
        <v>10638</v>
      </c>
      <c r="B10603" t="s">
        <v>214</v>
      </c>
      <c r="C10603">
        <v>149000</v>
      </c>
      <c r="D10603">
        <v>1281.2</v>
      </c>
      <c r="E10603">
        <v>3.1699999999999999E-2</v>
      </c>
      <c r="F10603">
        <v>0.12429999999999999</v>
      </c>
    </row>
    <row r="10604" spans="1:6" x14ac:dyDescent="0.3">
      <c r="A10604" t="s">
        <v>10639</v>
      </c>
      <c r="B10604" t="s">
        <v>92</v>
      </c>
      <c r="C10604">
        <v>127000</v>
      </c>
      <c r="D10604">
        <v>146027.6</v>
      </c>
      <c r="E10604">
        <v>1.23E-2</v>
      </c>
      <c r="F10604">
        <v>0.13270000000000001</v>
      </c>
    </row>
    <row r="10605" spans="1:6" x14ac:dyDescent="0.3">
      <c r="A10605" t="s">
        <v>10640</v>
      </c>
      <c r="B10605" t="s">
        <v>50</v>
      </c>
      <c r="C10605">
        <v>227000</v>
      </c>
      <c r="D10605">
        <v>3237.4</v>
      </c>
      <c r="E10605">
        <v>3.61E-2</v>
      </c>
      <c r="F10605">
        <v>9.3799999999999994E-2</v>
      </c>
    </row>
    <row r="10606" spans="1:6" x14ac:dyDescent="0.3">
      <c r="A10606" t="s">
        <v>10641</v>
      </c>
      <c r="B10606" t="s">
        <v>81</v>
      </c>
      <c r="C10606">
        <v>141000</v>
      </c>
      <c r="D10606">
        <v>1133</v>
      </c>
      <c r="E10606">
        <v>4.9799999999999997E-2</v>
      </c>
      <c r="F10606">
        <v>0.12429999999999999</v>
      </c>
    </row>
    <row r="10607" spans="1:6" x14ac:dyDescent="0.3">
      <c r="A10607" t="s">
        <v>10642</v>
      </c>
      <c r="B10607" t="s">
        <v>26</v>
      </c>
      <c r="C10607">
        <v>174000</v>
      </c>
      <c r="D10607">
        <v>598532.6</v>
      </c>
      <c r="E10607">
        <v>2.6700000000000002E-2</v>
      </c>
      <c r="F10607">
        <v>5.1799999999999999E-2</v>
      </c>
    </row>
    <row r="10608" spans="1:6" x14ac:dyDescent="0.3">
      <c r="A10608" t="s">
        <v>10643</v>
      </c>
      <c r="B10608" t="s">
        <v>71</v>
      </c>
      <c r="C10608">
        <v>133000</v>
      </c>
      <c r="D10608">
        <v>1177.5</v>
      </c>
      <c r="E10608">
        <v>1.2699999999999999E-2</v>
      </c>
      <c r="F10608">
        <v>5.8400000000000001E-2</v>
      </c>
    </row>
    <row r="10609" spans="1:6" x14ac:dyDescent="0.3">
      <c r="A10609" t="s">
        <v>10644</v>
      </c>
      <c r="B10609" t="s">
        <v>287</v>
      </c>
      <c r="C10609">
        <v>126000</v>
      </c>
      <c r="D10609">
        <v>39448.199999999997</v>
      </c>
      <c r="E10609">
        <v>1.35E-2</v>
      </c>
      <c r="F10609">
        <v>5.8500000000000003E-2</v>
      </c>
    </row>
    <row r="10610" spans="1:6" x14ac:dyDescent="0.3">
      <c r="A10610" t="s">
        <v>10645</v>
      </c>
      <c r="B10610" t="s">
        <v>74</v>
      </c>
      <c r="C10610">
        <v>183000</v>
      </c>
      <c r="D10610">
        <v>21054.9</v>
      </c>
      <c r="E10610">
        <v>7.0900000000000005E-2</v>
      </c>
      <c r="F10610">
        <v>7.5899999999999995E-2</v>
      </c>
    </row>
    <row r="10611" spans="1:6" x14ac:dyDescent="0.3">
      <c r="A10611" t="s">
        <v>10646</v>
      </c>
      <c r="B10611" t="s">
        <v>21</v>
      </c>
      <c r="C10611">
        <v>147000</v>
      </c>
      <c r="D10611">
        <v>8018.5</v>
      </c>
      <c r="E10611">
        <v>9.2999999999999992E-3</v>
      </c>
      <c r="F10611">
        <v>6.54E-2</v>
      </c>
    </row>
    <row r="10612" spans="1:6" x14ac:dyDescent="0.3">
      <c r="A10612" t="s">
        <v>10647</v>
      </c>
      <c r="B10612" t="s">
        <v>88</v>
      </c>
      <c r="C10612">
        <v>142000</v>
      </c>
      <c r="D10612">
        <v>4969.6000000000004</v>
      </c>
      <c r="E10612">
        <v>4.6199999999999998E-2</v>
      </c>
      <c r="F10612">
        <v>7.5899999999999995E-2</v>
      </c>
    </row>
    <row r="10613" spans="1:6" x14ac:dyDescent="0.3">
      <c r="A10613" t="s">
        <v>10648</v>
      </c>
      <c r="B10613" t="s">
        <v>26</v>
      </c>
      <c r="C10613">
        <v>133000</v>
      </c>
      <c r="D10613">
        <v>33422.300000000003</v>
      </c>
      <c r="E10613">
        <v>9.2700000000000005E-2</v>
      </c>
      <c r="F10613">
        <v>9.5100000000000004E-2</v>
      </c>
    </row>
    <row r="10614" spans="1:6" x14ac:dyDescent="0.3">
      <c r="A10614" t="s">
        <v>10649</v>
      </c>
      <c r="B10614" t="s">
        <v>62</v>
      </c>
      <c r="C10614">
        <v>184000</v>
      </c>
      <c r="D10614">
        <v>1655</v>
      </c>
      <c r="E10614">
        <v>1.4E-2</v>
      </c>
      <c r="F10614">
        <v>8.2199999999999995E-2</v>
      </c>
    </row>
    <row r="10615" spans="1:6" x14ac:dyDescent="0.3">
      <c r="A10615" t="s">
        <v>10650</v>
      </c>
      <c r="B10615" t="s">
        <v>81</v>
      </c>
      <c r="C10615">
        <v>158000</v>
      </c>
      <c r="D10615">
        <v>402.7</v>
      </c>
      <c r="E10615">
        <v>2.9600000000000001E-2</v>
      </c>
      <c r="F10615">
        <v>0.1226</v>
      </c>
    </row>
    <row r="10616" spans="1:6" x14ac:dyDescent="0.3">
      <c r="A10616" t="s">
        <v>10651</v>
      </c>
      <c r="B10616" t="s">
        <v>81</v>
      </c>
      <c r="C10616">
        <v>151000</v>
      </c>
      <c r="D10616">
        <v>22715.9</v>
      </c>
      <c r="E10616">
        <v>0.02</v>
      </c>
      <c r="F10616">
        <v>8.5400000000000004E-2</v>
      </c>
    </row>
    <row r="10617" spans="1:6" x14ac:dyDescent="0.3">
      <c r="A10617" t="s">
        <v>10652</v>
      </c>
      <c r="B10617" t="s">
        <v>32</v>
      </c>
      <c r="C10617">
        <v>188000</v>
      </c>
      <c r="D10617">
        <v>3044.1</v>
      </c>
      <c r="E10617">
        <v>2.06E-2</v>
      </c>
      <c r="F10617">
        <v>4.0899999999999999E-2</v>
      </c>
    </row>
    <row r="10618" spans="1:6" x14ac:dyDescent="0.3">
      <c r="A10618" t="s">
        <v>10653</v>
      </c>
      <c r="B10618" t="s">
        <v>74</v>
      </c>
      <c r="C10618">
        <v>128000</v>
      </c>
      <c r="D10618">
        <v>1224.3</v>
      </c>
      <c r="E10618">
        <v>5.8700000000000002E-2</v>
      </c>
      <c r="F10618">
        <v>7.5899999999999995E-2</v>
      </c>
    </row>
    <row r="10619" spans="1:6" x14ac:dyDescent="0.3">
      <c r="A10619" t="s">
        <v>10654</v>
      </c>
      <c r="B10619" t="s">
        <v>26</v>
      </c>
      <c r="C10619">
        <v>124000</v>
      </c>
      <c r="D10619">
        <v>293.2</v>
      </c>
      <c r="E10619">
        <v>1.9900000000000001E-2</v>
      </c>
      <c r="F10619">
        <v>5.8500000000000003E-2</v>
      </c>
    </row>
    <row r="10620" spans="1:6" x14ac:dyDescent="0.3">
      <c r="A10620" t="s">
        <v>10655</v>
      </c>
      <c r="B10620" t="s">
        <v>32</v>
      </c>
      <c r="C10620">
        <v>148000</v>
      </c>
      <c r="D10620">
        <v>558.29999999999995</v>
      </c>
      <c r="E10620">
        <v>1.9E-2</v>
      </c>
      <c r="F10620">
        <v>5.8500000000000003E-2</v>
      </c>
    </row>
    <row r="10621" spans="1:6" x14ac:dyDescent="0.3">
      <c r="A10621" t="s">
        <v>10656</v>
      </c>
      <c r="B10621" t="s">
        <v>62</v>
      </c>
      <c r="C10621">
        <v>131000</v>
      </c>
      <c r="D10621">
        <v>612.20000000000005</v>
      </c>
      <c r="E10621">
        <v>1.0800000000000001E-2</v>
      </c>
      <c r="F10621">
        <v>6.54E-2</v>
      </c>
    </row>
    <row r="10622" spans="1:6" x14ac:dyDescent="0.3">
      <c r="A10622" t="s">
        <v>10657</v>
      </c>
      <c r="B10622" t="s">
        <v>26</v>
      </c>
      <c r="C10622">
        <v>201000</v>
      </c>
      <c r="D10622">
        <v>2257.8000000000002</v>
      </c>
      <c r="E10622">
        <v>4.9299999999999997E-2</v>
      </c>
      <c r="F10622">
        <v>7.5899999999999995E-2</v>
      </c>
    </row>
    <row r="10623" spans="1:6" x14ac:dyDescent="0.3">
      <c r="A10623" t="s">
        <v>10658</v>
      </c>
      <c r="B10623" t="s">
        <v>195</v>
      </c>
      <c r="C10623">
        <v>205000</v>
      </c>
      <c r="D10623">
        <v>948.3</v>
      </c>
      <c r="E10623">
        <v>7.4000000000000003E-3</v>
      </c>
      <c r="F10623">
        <v>0.10150000000000001</v>
      </c>
    </row>
    <row r="10624" spans="1:6" x14ac:dyDescent="0.3">
      <c r="A10624" t="s">
        <v>10659</v>
      </c>
      <c r="B10624" t="s">
        <v>88</v>
      </c>
      <c r="C10624">
        <v>128000</v>
      </c>
      <c r="D10624">
        <v>261.7</v>
      </c>
      <c r="E10624">
        <v>1.77E-2</v>
      </c>
      <c r="F10624">
        <v>5.8500000000000003E-2</v>
      </c>
    </row>
    <row r="10625" spans="1:6" x14ac:dyDescent="0.3">
      <c r="A10625" t="s">
        <v>10660</v>
      </c>
      <c r="B10625" t="s">
        <v>88</v>
      </c>
      <c r="C10625">
        <v>331000</v>
      </c>
      <c r="D10625">
        <v>147087.29999999999</v>
      </c>
      <c r="E10625">
        <v>3.44E-2</v>
      </c>
      <c r="F10625">
        <v>7.5899999999999995E-2</v>
      </c>
    </row>
    <row r="10626" spans="1:6" x14ac:dyDescent="0.3">
      <c r="A10626" t="s">
        <v>10661</v>
      </c>
      <c r="B10626" t="s">
        <v>74</v>
      </c>
      <c r="C10626">
        <v>141000</v>
      </c>
      <c r="D10626">
        <v>520.29999999999995</v>
      </c>
      <c r="E10626">
        <v>0.1172</v>
      </c>
      <c r="F10626">
        <v>0.33250000000000002</v>
      </c>
    </row>
    <row r="10627" spans="1:6" x14ac:dyDescent="0.3">
      <c r="A10627" t="s">
        <v>10662</v>
      </c>
      <c r="B10627" t="s">
        <v>74</v>
      </c>
      <c r="C10627">
        <v>120000</v>
      </c>
      <c r="D10627">
        <v>1605.8</v>
      </c>
      <c r="E10627">
        <v>3.1899999999999998E-2</v>
      </c>
      <c r="F10627">
        <v>7.5899999999999995E-2</v>
      </c>
    </row>
    <row r="10628" spans="1:6" x14ac:dyDescent="0.3">
      <c r="A10628" t="s">
        <v>10663</v>
      </c>
      <c r="B10628" t="s">
        <v>74</v>
      </c>
      <c r="C10628">
        <v>142000</v>
      </c>
      <c r="D10628">
        <v>9828.7999999999993</v>
      </c>
      <c r="E10628">
        <v>6.54E-2</v>
      </c>
      <c r="F10628">
        <v>9.5100000000000004E-2</v>
      </c>
    </row>
    <row r="10629" spans="1:6" x14ac:dyDescent="0.3">
      <c r="A10629" t="s">
        <v>10664</v>
      </c>
      <c r="B10629" t="s">
        <v>26</v>
      </c>
      <c r="C10629">
        <v>486000</v>
      </c>
      <c r="D10629">
        <v>53899.8</v>
      </c>
      <c r="E10629">
        <v>9.5999999999999992E-3</v>
      </c>
      <c r="F10629">
        <v>6.54E-2</v>
      </c>
    </row>
    <row r="10630" spans="1:6" x14ac:dyDescent="0.3">
      <c r="A10630" t="s">
        <v>10665</v>
      </c>
      <c r="B10630" t="s">
        <v>28</v>
      </c>
      <c r="C10630">
        <v>151000</v>
      </c>
      <c r="D10630">
        <v>3425.3</v>
      </c>
      <c r="E10630">
        <v>1.4200000000000001E-2</v>
      </c>
      <c r="F10630">
        <v>8.5400000000000004E-2</v>
      </c>
    </row>
    <row r="10631" spans="1:6" x14ac:dyDescent="0.3">
      <c r="A10631" t="s">
        <v>10666</v>
      </c>
      <c r="B10631" t="s">
        <v>32</v>
      </c>
      <c r="C10631">
        <v>204000</v>
      </c>
      <c r="D10631">
        <v>3899.1</v>
      </c>
      <c r="E10631">
        <v>1.4500000000000001E-2</v>
      </c>
      <c r="F10631">
        <v>5.8500000000000003E-2</v>
      </c>
    </row>
    <row r="10632" spans="1:6" x14ac:dyDescent="0.3">
      <c r="A10632" t="s">
        <v>10667</v>
      </c>
      <c r="B10632" t="s">
        <v>88</v>
      </c>
      <c r="C10632">
        <v>126000</v>
      </c>
      <c r="D10632">
        <v>289.8</v>
      </c>
      <c r="E10632">
        <v>3.85E-2</v>
      </c>
      <c r="F10632">
        <v>0.12429999999999999</v>
      </c>
    </row>
    <row r="10633" spans="1:6" x14ac:dyDescent="0.3">
      <c r="A10633" t="s">
        <v>10668</v>
      </c>
      <c r="B10633" t="s">
        <v>74</v>
      </c>
      <c r="C10633">
        <v>162000</v>
      </c>
      <c r="D10633">
        <v>4510.8999999999996</v>
      </c>
      <c r="E10633">
        <v>1.8499999999999999E-2</v>
      </c>
      <c r="F10633">
        <v>0.1067</v>
      </c>
    </row>
    <row r="10634" spans="1:6" x14ac:dyDescent="0.3">
      <c r="A10634" t="s">
        <v>10669</v>
      </c>
      <c r="B10634" t="s">
        <v>214</v>
      </c>
      <c r="C10634">
        <v>144000</v>
      </c>
      <c r="D10634">
        <v>28090.6</v>
      </c>
      <c r="E10634">
        <v>6.5100000000000005E-2</v>
      </c>
      <c r="F10634">
        <v>5.1799999999999999E-2</v>
      </c>
    </row>
    <row r="10635" spans="1:6" x14ac:dyDescent="0.3">
      <c r="A10635" t="s">
        <v>10670</v>
      </c>
      <c r="B10635" t="s">
        <v>26</v>
      </c>
      <c r="C10635">
        <v>236000</v>
      </c>
      <c r="D10635">
        <v>6754.5</v>
      </c>
      <c r="E10635">
        <v>2.8199999999999999E-2</v>
      </c>
      <c r="F10635">
        <v>7.5899999999999995E-2</v>
      </c>
    </row>
    <row r="10636" spans="1:6" x14ac:dyDescent="0.3">
      <c r="A10636" t="s">
        <v>10671</v>
      </c>
      <c r="B10636" t="s">
        <v>74</v>
      </c>
      <c r="C10636">
        <v>180000</v>
      </c>
      <c r="D10636">
        <v>13899.4</v>
      </c>
      <c r="E10636">
        <v>3.5299999999999998E-2</v>
      </c>
      <c r="F10636">
        <v>6.7199999999999996E-2</v>
      </c>
    </row>
    <row r="10637" spans="1:6" x14ac:dyDescent="0.3">
      <c r="A10637" t="s">
        <v>10672</v>
      </c>
      <c r="B10637" t="s">
        <v>28</v>
      </c>
      <c r="C10637">
        <v>124000</v>
      </c>
      <c r="D10637">
        <v>6887.2</v>
      </c>
      <c r="E10637">
        <v>1.29E-2</v>
      </c>
      <c r="F10637">
        <v>0.1067</v>
      </c>
    </row>
    <row r="10638" spans="1:6" x14ac:dyDescent="0.3">
      <c r="A10638" t="s">
        <v>10673</v>
      </c>
      <c r="B10638" t="s">
        <v>287</v>
      </c>
      <c r="C10638">
        <v>159000</v>
      </c>
      <c r="D10638">
        <v>3372.1</v>
      </c>
      <c r="E10638">
        <v>6.2799999999999995E-2</v>
      </c>
      <c r="F10638">
        <v>8.4500000000000006E-2</v>
      </c>
    </row>
    <row r="10639" spans="1:6" x14ac:dyDescent="0.3">
      <c r="A10639" t="s">
        <v>10674</v>
      </c>
      <c r="B10639" t="s">
        <v>26</v>
      </c>
      <c r="C10639">
        <v>202000</v>
      </c>
      <c r="D10639">
        <v>22818.2</v>
      </c>
      <c r="E10639">
        <v>4.3499999999999997E-2</v>
      </c>
      <c r="F10639">
        <v>7.5899999999999995E-2</v>
      </c>
    </row>
    <row r="10640" spans="1:6" x14ac:dyDescent="0.3">
      <c r="A10640" t="s">
        <v>10675</v>
      </c>
      <c r="B10640" t="s">
        <v>53</v>
      </c>
      <c r="C10640">
        <v>135000</v>
      </c>
      <c r="D10640">
        <v>1696.1</v>
      </c>
      <c r="E10640">
        <v>2.3800000000000002E-2</v>
      </c>
      <c r="F10640">
        <v>7.3499999999999996E-2</v>
      </c>
    </row>
    <row r="10641" spans="1:6" x14ac:dyDescent="0.3">
      <c r="A10641" t="s">
        <v>10676</v>
      </c>
      <c r="B10641" t="s">
        <v>88</v>
      </c>
      <c r="C10641">
        <v>156000</v>
      </c>
      <c r="D10641">
        <v>2575.4</v>
      </c>
      <c r="E10641">
        <v>5.6300000000000003E-2</v>
      </c>
      <c r="F10641">
        <v>7.5899999999999995E-2</v>
      </c>
    </row>
    <row r="10642" spans="1:6" x14ac:dyDescent="0.3">
      <c r="A10642" t="s">
        <v>10677</v>
      </c>
      <c r="B10642" t="s">
        <v>62</v>
      </c>
      <c r="C10642">
        <v>155000</v>
      </c>
      <c r="D10642">
        <v>2439.5</v>
      </c>
      <c r="E10642">
        <v>2.23E-2</v>
      </c>
      <c r="F10642">
        <v>7.5899999999999995E-2</v>
      </c>
    </row>
    <row r="10643" spans="1:6" x14ac:dyDescent="0.3">
      <c r="A10643" t="s">
        <v>10678</v>
      </c>
      <c r="B10643" t="s">
        <v>81</v>
      </c>
      <c r="C10643">
        <v>151000</v>
      </c>
      <c r="D10643">
        <v>4614.3</v>
      </c>
      <c r="E10643">
        <v>9.4999999999999998E-3</v>
      </c>
      <c r="F10643">
        <v>8.1100000000000005E-2</v>
      </c>
    </row>
    <row r="10644" spans="1:6" x14ac:dyDescent="0.3">
      <c r="A10644" t="s">
        <v>10679</v>
      </c>
      <c r="B10644" t="s">
        <v>24</v>
      </c>
      <c r="C10644">
        <v>163000</v>
      </c>
      <c r="D10644">
        <v>1062.3</v>
      </c>
      <c r="E10644">
        <v>1.21E-2</v>
      </c>
      <c r="F10644">
        <v>0.14710000000000001</v>
      </c>
    </row>
    <row r="10645" spans="1:6" x14ac:dyDescent="0.3">
      <c r="A10645" t="s">
        <v>10680</v>
      </c>
      <c r="B10645" t="s">
        <v>92</v>
      </c>
      <c r="C10645">
        <v>241000</v>
      </c>
      <c r="D10645">
        <v>8427.7000000000007</v>
      </c>
      <c r="E10645">
        <v>1.03E-2</v>
      </c>
      <c r="F10645">
        <v>6.54E-2</v>
      </c>
    </row>
    <row r="10646" spans="1:6" x14ac:dyDescent="0.3">
      <c r="A10646" t="s">
        <v>10681</v>
      </c>
      <c r="B10646" t="s">
        <v>41</v>
      </c>
      <c r="C10646">
        <v>230000</v>
      </c>
      <c r="D10646">
        <v>131691.29999999999</v>
      </c>
      <c r="E10646">
        <v>6.6500000000000004E-2</v>
      </c>
      <c r="F10646">
        <v>9.5100000000000004E-2</v>
      </c>
    </row>
    <row r="10647" spans="1:6" x14ac:dyDescent="0.3">
      <c r="A10647" t="s">
        <v>10682</v>
      </c>
      <c r="B10647" t="s">
        <v>88</v>
      </c>
      <c r="C10647">
        <v>198000</v>
      </c>
      <c r="D10647">
        <v>1455.7</v>
      </c>
      <c r="E10647">
        <v>4.0399999999999998E-2</v>
      </c>
      <c r="F10647">
        <v>9.5100000000000004E-2</v>
      </c>
    </row>
    <row r="10648" spans="1:6" x14ac:dyDescent="0.3">
      <c r="A10648" t="s">
        <v>10683</v>
      </c>
      <c r="B10648" t="s">
        <v>26</v>
      </c>
      <c r="C10648">
        <v>227000</v>
      </c>
      <c r="D10648">
        <v>184.4</v>
      </c>
      <c r="E10648">
        <v>4.1000000000000003E-3</v>
      </c>
      <c r="F10648">
        <v>0.20949999999999999</v>
      </c>
    </row>
    <row r="10649" spans="1:6" x14ac:dyDescent="0.3">
      <c r="A10649" t="s">
        <v>10684</v>
      </c>
      <c r="B10649" t="s">
        <v>92</v>
      </c>
      <c r="C10649">
        <v>136000</v>
      </c>
      <c r="D10649">
        <v>1230.5</v>
      </c>
      <c r="E10649">
        <v>1.5900000000000001E-2</v>
      </c>
      <c r="F10649">
        <v>0.18859999999999999</v>
      </c>
    </row>
    <row r="10650" spans="1:6" x14ac:dyDescent="0.3">
      <c r="A10650" t="s">
        <v>10685</v>
      </c>
      <c r="B10650" t="s">
        <v>26</v>
      </c>
      <c r="C10650">
        <v>137000</v>
      </c>
      <c r="D10650">
        <v>4128.8999999999996</v>
      </c>
      <c r="E10650">
        <v>3.6600000000000001E-2</v>
      </c>
      <c r="F10650">
        <v>7.5899999999999995E-2</v>
      </c>
    </row>
    <row r="10651" spans="1:6" x14ac:dyDescent="0.3">
      <c r="A10651" t="s">
        <v>10686</v>
      </c>
      <c r="B10651" t="s">
        <v>26</v>
      </c>
      <c r="C10651">
        <v>125000</v>
      </c>
      <c r="D10651">
        <v>2008.5</v>
      </c>
      <c r="E10651">
        <v>4.0599999999999997E-2</v>
      </c>
      <c r="F10651">
        <v>9.5100000000000004E-2</v>
      </c>
    </row>
    <row r="10652" spans="1:6" x14ac:dyDescent="0.3">
      <c r="A10652" t="s">
        <v>10687</v>
      </c>
      <c r="B10652" t="s">
        <v>88</v>
      </c>
      <c r="C10652">
        <v>208000</v>
      </c>
      <c r="D10652">
        <v>1572.7</v>
      </c>
      <c r="E10652">
        <v>3.8100000000000002E-2</v>
      </c>
      <c r="F10652">
        <v>9.3799999999999994E-2</v>
      </c>
    </row>
    <row r="10653" spans="1:6" x14ac:dyDescent="0.3">
      <c r="A10653" t="s">
        <v>10688</v>
      </c>
      <c r="B10653" t="s">
        <v>74</v>
      </c>
      <c r="C10653">
        <v>542000</v>
      </c>
      <c r="D10653">
        <v>15134.9</v>
      </c>
      <c r="E10653">
        <v>4.5199999999999997E-2</v>
      </c>
      <c r="F10653">
        <v>7.5899999999999995E-2</v>
      </c>
    </row>
    <row r="10654" spans="1:6" x14ac:dyDescent="0.3">
      <c r="A10654" t="s">
        <v>10689</v>
      </c>
      <c r="B10654" t="s">
        <v>88</v>
      </c>
      <c r="C10654">
        <v>163000</v>
      </c>
      <c r="D10654">
        <v>307.8</v>
      </c>
      <c r="E10654">
        <v>4.2500000000000003E-2</v>
      </c>
      <c r="F10654">
        <v>9.5000000000000001E-2</v>
      </c>
    </row>
    <row r="10655" spans="1:6" x14ac:dyDescent="0.3">
      <c r="A10655" t="s">
        <v>10690</v>
      </c>
      <c r="B10655" t="s">
        <v>24</v>
      </c>
      <c r="C10655">
        <v>208000</v>
      </c>
      <c r="D10655">
        <v>5963.1</v>
      </c>
      <c r="E10655">
        <v>3.8399999999999997E-2</v>
      </c>
      <c r="F10655">
        <v>9.3799999999999994E-2</v>
      </c>
    </row>
    <row r="10656" spans="1:6" x14ac:dyDescent="0.3">
      <c r="A10656" t="s">
        <v>10691</v>
      </c>
      <c r="B10656" t="s">
        <v>92</v>
      </c>
      <c r="C10656">
        <v>129000</v>
      </c>
      <c r="D10656">
        <v>1177930.6000000001</v>
      </c>
      <c r="F10656">
        <v>9.5100000000000004E-2</v>
      </c>
    </row>
    <row r="10657" spans="1:6" x14ac:dyDescent="0.3">
      <c r="A10657" t="s">
        <v>10692</v>
      </c>
      <c r="B10657" t="s">
        <v>88</v>
      </c>
      <c r="C10657">
        <v>141000</v>
      </c>
      <c r="D10657">
        <v>4777</v>
      </c>
      <c r="E10657">
        <v>1.4500000000000001E-2</v>
      </c>
      <c r="F10657">
        <v>0.27289999999999998</v>
      </c>
    </row>
    <row r="10658" spans="1:6" x14ac:dyDescent="0.3">
      <c r="A10658" t="s">
        <v>10693</v>
      </c>
      <c r="B10658" t="s">
        <v>88</v>
      </c>
      <c r="C10658">
        <v>301000</v>
      </c>
      <c r="D10658">
        <v>584</v>
      </c>
      <c r="E10658">
        <v>3.78E-2</v>
      </c>
      <c r="F10658">
        <v>5.0999999999999997E-2</v>
      </c>
    </row>
    <row r="10659" spans="1:6" x14ac:dyDescent="0.3">
      <c r="A10659" t="s">
        <v>10694</v>
      </c>
      <c r="B10659" t="s">
        <v>26</v>
      </c>
      <c r="C10659">
        <v>125000</v>
      </c>
      <c r="D10659">
        <v>659.5</v>
      </c>
      <c r="E10659">
        <v>5.7999999999999996E-3</v>
      </c>
      <c r="F10659">
        <v>6.54E-2</v>
      </c>
    </row>
    <row r="10660" spans="1:6" x14ac:dyDescent="0.3">
      <c r="A10660" t="s">
        <v>10695</v>
      </c>
      <c r="B10660" t="s">
        <v>26</v>
      </c>
      <c r="C10660">
        <v>259000</v>
      </c>
      <c r="D10660">
        <v>156215.4</v>
      </c>
      <c r="E10660">
        <v>2.5100000000000001E-2</v>
      </c>
      <c r="F10660">
        <v>4.0899999999999999E-2</v>
      </c>
    </row>
    <row r="10661" spans="1:6" x14ac:dyDescent="0.3">
      <c r="A10661" t="s">
        <v>10696</v>
      </c>
      <c r="B10661" t="s">
        <v>24</v>
      </c>
      <c r="C10661">
        <v>142000</v>
      </c>
      <c r="D10661">
        <v>549.20000000000005</v>
      </c>
      <c r="E10661">
        <v>1.5100000000000001E-2</v>
      </c>
      <c r="F10661">
        <v>7.3599999999999999E-2</v>
      </c>
    </row>
    <row r="10662" spans="1:6" x14ac:dyDescent="0.3">
      <c r="A10662" t="s">
        <v>10697</v>
      </c>
      <c r="B10662" t="s">
        <v>21</v>
      </c>
      <c r="C10662">
        <v>276000</v>
      </c>
      <c r="D10662">
        <v>10728.9</v>
      </c>
      <c r="E10662">
        <v>5.0099999999999999E-2</v>
      </c>
      <c r="F10662">
        <v>9.5100000000000004E-2</v>
      </c>
    </row>
    <row r="10663" spans="1:6" x14ac:dyDescent="0.3">
      <c r="A10663" t="s">
        <v>10698</v>
      </c>
      <c r="B10663" t="s">
        <v>92</v>
      </c>
      <c r="C10663">
        <v>137000</v>
      </c>
      <c r="D10663">
        <v>2163.4</v>
      </c>
      <c r="E10663">
        <v>2.3199999999999998E-2</v>
      </c>
      <c r="F10663">
        <v>0.36749999999999999</v>
      </c>
    </row>
    <row r="10664" spans="1:6" x14ac:dyDescent="0.3">
      <c r="A10664" t="s">
        <v>10699</v>
      </c>
      <c r="B10664" t="s">
        <v>24</v>
      </c>
      <c r="C10664">
        <v>157000</v>
      </c>
      <c r="D10664">
        <v>3429.7</v>
      </c>
      <c r="E10664">
        <v>5.1200000000000002E-2</v>
      </c>
      <c r="F10664">
        <v>9.5100000000000004E-2</v>
      </c>
    </row>
    <row r="10665" spans="1:6" x14ac:dyDescent="0.3">
      <c r="A10665" t="s">
        <v>10700</v>
      </c>
      <c r="B10665" t="s">
        <v>88</v>
      </c>
      <c r="C10665">
        <v>163000</v>
      </c>
      <c r="D10665">
        <v>28890.3</v>
      </c>
      <c r="E10665">
        <v>3.6200000000000003E-2</v>
      </c>
      <c r="F10665">
        <v>9.3799999999999994E-2</v>
      </c>
    </row>
    <row r="10666" spans="1:6" x14ac:dyDescent="0.3">
      <c r="A10666" t="s">
        <v>10701</v>
      </c>
      <c r="B10666" t="s">
        <v>88</v>
      </c>
      <c r="C10666">
        <v>150000</v>
      </c>
      <c r="D10666">
        <v>670.7</v>
      </c>
      <c r="E10666">
        <v>9.11E-2</v>
      </c>
      <c r="F10666">
        <v>0.1226</v>
      </c>
    </row>
    <row r="10667" spans="1:6" x14ac:dyDescent="0.3">
      <c r="A10667" t="s">
        <v>10702</v>
      </c>
      <c r="B10667" t="s">
        <v>74</v>
      </c>
      <c r="C10667">
        <v>150000</v>
      </c>
      <c r="D10667">
        <v>1169</v>
      </c>
      <c r="E10667">
        <v>2.3300000000000001E-2</v>
      </c>
      <c r="F10667">
        <v>7.5899999999999995E-2</v>
      </c>
    </row>
    <row r="10668" spans="1:6" x14ac:dyDescent="0.3">
      <c r="A10668" t="s">
        <v>10703</v>
      </c>
      <c r="B10668" t="s">
        <v>81</v>
      </c>
      <c r="C10668">
        <v>125000</v>
      </c>
      <c r="D10668">
        <v>1448.5</v>
      </c>
      <c r="E10668">
        <v>1.46E-2</v>
      </c>
      <c r="F10668">
        <v>8.5400000000000004E-2</v>
      </c>
    </row>
    <row r="10669" spans="1:6" x14ac:dyDescent="0.3">
      <c r="A10669" t="s">
        <v>10704</v>
      </c>
      <c r="B10669" t="s">
        <v>62</v>
      </c>
      <c r="C10669">
        <v>131000</v>
      </c>
      <c r="D10669">
        <v>965.4</v>
      </c>
      <c r="E10669">
        <v>1.01E-2</v>
      </c>
      <c r="F10669">
        <v>8.2199999999999995E-2</v>
      </c>
    </row>
    <row r="10670" spans="1:6" x14ac:dyDescent="0.3">
      <c r="A10670" t="s">
        <v>10705</v>
      </c>
      <c r="B10670" t="s">
        <v>24</v>
      </c>
      <c r="C10670">
        <v>743000</v>
      </c>
      <c r="D10670">
        <v>25392.400000000001</v>
      </c>
      <c r="F10670">
        <v>7.5899999999999995E-2</v>
      </c>
    </row>
    <row r="10671" spans="1:6" x14ac:dyDescent="0.3">
      <c r="A10671" t="s">
        <v>10706</v>
      </c>
      <c r="B10671" t="s">
        <v>74</v>
      </c>
      <c r="C10671">
        <v>135000</v>
      </c>
      <c r="D10671">
        <v>1687.8</v>
      </c>
      <c r="E10671">
        <v>2.2100000000000002E-2</v>
      </c>
      <c r="F10671">
        <v>0.1067</v>
      </c>
    </row>
    <row r="10672" spans="1:6" x14ac:dyDescent="0.3">
      <c r="A10672" t="s">
        <v>10707</v>
      </c>
      <c r="B10672" t="s">
        <v>21</v>
      </c>
      <c r="C10672">
        <v>205000</v>
      </c>
      <c r="D10672">
        <v>91.7</v>
      </c>
      <c r="E10672">
        <v>1.6299999999999999E-2</v>
      </c>
      <c r="F10672">
        <v>0.1119</v>
      </c>
    </row>
    <row r="10673" spans="1:6" x14ac:dyDescent="0.3">
      <c r="A10673" t="s">
        <v>10708</v>
      </c>
      <c r="B10673" t="s">
        <v>71</v>
      </c>
      <c r="C10673">
        <v>312000</v>
      </c>
      <c r="D10673">
        <v>15267.4</v>
      </c>
      <c r="E10673">
        <v>2.3400000000000001E-2</v>
      </c>
      <c r="F10673">
        <v>7.5899999999999995E-2</v>
      </c>
    </row>
    <row r="10674" spans="1:6" x14ac:dyDescent="0.3">
      <c r="A10674" t="s">
        <v>10709</v>
      </c>
      <c r="B10674" t="s">
        <v>35</v>
      </c>
      <c r="C10674">
        <v>181000</v>
      </c>
      <c r="D10674">
        <v>6863</v>
      </c>
      <c r="E10674">
        <v>3.3300000000000003E-2</v>
      </c>
      <c r="F10674">
        <v>7.5899999999999995E-2</v>
      </c>
    </row>
    <row r="10675" spans="1:6" x14ac:dyDescent="0.3">
      <c r="A10675" t="s">
        <v>10710</v>
      </c>
      <c r="B10675" t="s">
        <v>88</v>
      </c>
      <c r="C10675">
        <v>265000</v>
      </c>
      <c r="D10675">
        <v>3071.8</v>
      </c>
      <c r="E10675">
        <v>1.24E-2</v>
      </c>
      <c r="F10675">
        <v>0.13089999999999999</v>
      </c>
    </row>
    <row r="10676" spans="1:6" x14ac:dyDescent="0.3">
      <c r="A10676" t="s">
        <v>10711</v>
      </c>
      <c r="B10676" t="s">
        <v>74</v>
      </c>
      <c r="C10676">
        <v>152000</v>
      </c>
      <c r="D10676">
        <v>4129.8</v>
      </c>
      <c r="E10676">
        <v>3.5999999999999997E-2</v>
      </c>
      <c r="F10676">
        <v>7.5899999999999995E-2</v>
      </c>
    </row>
    <row r="10677" spans="1:6" x14ac:dyDescent="0.3">
      <c r="A10677" t="s">
        <v>10712</v>
      </c>
      <c r="B10677" t="s">
        <v>88</v>
      </c>
      <c r="C10677">
        <v>169000</v>
      </c>
      <c r="D10677">
        <v>2112.5</v>
      </c>
      <c r="E10677">
        <v>2.9899999999999999E-2</v>
      </c>
      <c r="F10677">
        <v>0.2545</v>
      </c>
    </row>
    <row r="10678" spans="1:6" x14ac:dyDescent="0.3">
      <c r="A10678" t="s">
        <v>10713</v>
      </c>
      <c r="B10678" t="s">
        <v>92</v>
      </c>
      <c r="C10678">
        <v>144000</v>
      </c>
      <c r="D10678">
        <v>15969.5</v>
      </c>
      <c r="E10678">
        <v>2.9000000000000001E-2</v>
      </c>
      <c r="F10678">
        <v>5.1799999999999999E-2</v>
      </c>
    </row>
    <row r="10679" spans="1:6" x14ac:dyDescent="0.3">
      <c r="A10679" t="s">
        <v>10714</v>
      </c>
      <c r="B10679" t="s">
        <v>74</v>
      </c>
      <c r="C10679">
        <v>135000</v>
      </c>
      <c r="D10679">
        <v>10645.6</v>
      </c>
      <c r="E10679">
        <v>3.2099999999999997E-2</v>
      </c>
      <c r="F10679">
        <v>9.5100000000000004E-2</v>
      </c>
    </row>
    <row r="10680" spans="1:6" x14ac:dyDescent="0.3">
      <c r="A10680" t="s">
        <v>10715</v>
      </c>
      <c r="B10680" t="s">
        <v>71</v>
      </c>
      <c r="C10680">
        <v>224000</v>
      </c>
      <c r="D10680">
        <v>658.3</v>
      </c>
      <c r="E10680">
        <v>2.3300000000000001E-2</v>
      </c>
      <c r="F10680">
        <v>5.0999999999999997E-2</v>
      </c>
    </row>
    <row r="10681" spans="1:6" x14ac:dyDescent="0.3">
      <c r="A10681" t="s">
        <v>10716</v>
      </c>
      <c r="B10681" t="s">
        <v>88</v>
      </c>
      <c r="C10681">
        <v>129000</v>
      </c>
      <c r="D10681">
        <v>525.6</v>
      </c>
      <c r="E10681">
        <v>3.8399999999999997E-2</v>
      </c>
      <c r="F10681">
        <v>6.4399999999999999E-2</v>
      </c>
    </row>
    <row r="10682" spans="1:6" x14ac:dyDescent="0.3">
      <c r="A10682" t="s">
        <v>10717</v>
      </c>
      <c r="B10682" t="s">
        <v>81</v>
      </c>
      <c r="C10682">
        <v>125000</v>
      </c>
      <c r="D10682">
        <v>1492</v>
      </c>
      <c r="E10682">
        <v>3.3099999999999997E-2</v>
      </c>
      <c r="F10682">
        <v>9.3799999999999994E-2</v>
      </c>
    </row>
    <row r="10683" spans="1:6" x14ac:dyDescent="0.3">
      <c r="A10683" t="s">
        <v>10718</v>
      </c>
      <c r="B10683" t="s">
        <v>26</v>
      </c>
      <c r="C10683">
        <v>129000</v>
      </c>
      <c r="D10683">
        <v>6353.9</v>
      </c>
      <c r="E10683">
        <v>9.5999999999999992E-3</v>
      </c>
      <c r="F10683">
        <v>8.2199999999999995E-2</v>
      </c>
    </row>
    <row r="10684" spans="1:6" x14ac:dyDescent="0.3">
      <c r="A10684" t="s">
        <v>10719</v>
      </c>
      <c r="B10684" t="s">
        <v>26</v>
      </c>
      <c r="C10684">
        <v>167000</v>
      </c>
      <c r="D10684">
        <v>1423.6</v>
      </c>
      <c r="E10684">
        <v>3.3599999999999998E-2</v>
      </c>
      <c r="F10684">
        <v>7.5899999999999995E-2</v>
      </c>
    </row>
    <row r="10685" spans="1:6" x14ac:dyDescent="0.3">
      <c r="A10685" t="s">
        <v>10720</v>
      </c>
      <c r="B10685" t="s">
        <v>32</v>
      </c>
      <c r="C10685">
        <v>304000</v>
      </c>
      <c r="D10685">
        <v>13191.9</v>
      </c>
      <c r="E10685">
        <v>1.26E-2</v>
      </c>
      <c r="F10685">
        <v>0.13270000000000001</v>
      </c>
    </row>
    <row r="10686" spans="1:6" x14ac:dyDescent="0.3">
      <c r="A10686" t="s">
        <v>10721</v>
      </c>
      <c r="B10686" t="s">
        <v>35</v>
      </c>
      <c r="C10686">
        <v>131000</v>
      </c>
      <c r="D10686">
        <v>1105.0999999999999</v>
      </c>
      <c r="E10686">
        <v>7.4999999999999997E-3</v>
      </c>
      <c r="F10686">
        <v>6.54E-2</v>
      </c>
    </row>
    <row r="10687" spans="1:6" x14ac:dyDescent="0.3">
      <c r="A10687" t="s">
        <v>10722</v>
      </c>
      <c r="B10687" t="s">
        <v>88</v>
      </c>
      <c r="C10687">
        <v>564000</v>
      </c>
      <c r="D10687">
        <v>866.4</v>
      </c>
      <c r="E10687">
        <v>0.1118</v>
      </c>
      <c r="F10687">
        <v>9.3799999999999994E-2</v>
      </c>
    </row>
    <row r="10688" spans="1:6" x14ac:dyDescent="0.3">
      <c r="A10688" t="s">
        <v>10723</v>
      </c>
      <c r="B10688" t="s">
        <v>26</v>
      </c>
      <c r="C10688">
        <v>470000</v>
      </c>
      <c r="D10688">
        <v>243871</v>
      </c>
      <c r="F10688">
        <v>9.3799999999999994E-2</v>
      </c>
    </row>
    <row r="10689" spans="1:6" x14ac:dyDescent="0.3">
      <c r="A10689" t="s">
        <v>10724</v>
      </c>
      <c r="B10689" t="s">
        <v>71</v>
      </c>
      <c r="C10689">
        <v>124000</v>
      </c>
      <c r="D10689">
        <v>179.5</v>
      </c>
      <c r="E10689">
        <v>5.1200000000000002E-2</v>
      </c>
      <c r="F10689">
        <v>0.69110000000000005</v>
      </c>
    </row>
    <row r="10690" spans="1:6" x14ac:dyDescent="0.3">
      <c r="A10690" t="s">
        <v>10725</v>
      </c>
      <c r="B10690" t="s">
        <v>74</v>
      </c>
      <c r="C10690">
        <v>229000</v>
      </c>
      <c r="D10690">
        <v>21975.8</v>
      </c>
      <c r="E10690">
        <v>5.2499999999999998E-2</v>
      </c>
      <c r="F10690">
        <v>4.0899999999999999E-2</v>
      </c>
    </row>
    <row r="10691" spans="1:6" x14ac:dyDescent="0.3">
      <c r="A10691" t="s">
        <v>10726</v>
      </c>
      <c r="B10691" t="s">
        <v>74</v>
      </c>
      <c r="C10691">
        <v>304000</v>
      </c>
      <c r="D10691">
        <v>174524.5</v>
      </c>
      <c r="E10691">
        <v>6.4500000000000002E-2</v>
      </c>
      <c r="F10691">
        <v>0.11840000000000001</v>
      </c>
    </row>
    <row r="10692" spans="1:6" x14ac:dyDescent="0.3">
      <c r="A10692" t="s">
        <v>10727</v>
      </c>
      <c r="B10692" t="s">
        <v>21</v>
      </c>
      <c r="C10692">
        <v>193000</v>
      </c>
      <c r="D10692">
        <v>5536.1</v>
      </c>
      <c r="E10692">
        <v>1.5800000000000002E-2</v>
      </c>
      <c r="F10692">
        <v>7.7499999999999999E-2</v>
      </c>
    </row>
    <row r="10693" spans="1:6" x14ac:dyDescent="0.3">
      <c r="A10693" t="s">
        <v>10728</v>
      </c>
      <c r="B10693" t="s">
        <v>81</v>
      </c>
      <c r="C10693">
        <v>185000</v>
      </c>
      <c r="D10693">
        <v>8744.4</v>
      </c>
      <c r="E10693">
        <v>2.29E-2</v>
      </c>
      <c r="F10693">
        <v>7.5899999999999995E-2</v>
      </c>
    </row>
    <row r="10694" spans="1:6" x14ac:dyDescent="0.3">
      <c r="A10694" t="s">
        <v>10729</v>
      </c>
      <c r="B10694" t="s">
        <v>92</v>
      </c>
      <c r="C10694">
        <v>235000</v>
      </c>
      <c r="D10694">
        <v>29755.3</v>
      </c>
      <c r="E10694">
        <v>2.6200000000000001E-2</v>
      </c>
      <c r="F10694">
        <v>9.5100000000000004E-2</v>
      </c>
    </row>
    <row r="10695" spans="1:6" x14ac:dyDescent="0.3">
      <c r="A10695" t="s">
        <v>10730</v>
      </c>
      <c r="B10695" t="s">
        <v>71</v>
      </c>
      <c r="C10695">
        <v>135000</v>
      </c>
      <c r="D10695">
        <v>933.5</v>
      </c>
      <c r="E10695">
        <v>2.5499999999999998E-2</v>
      </c>
      <c r="F10695">
        <v>7.5899999999999995E-2</v>
      </c>
    </row>
    <row r="10696" spans="1:6" x14ac:dyDescent="0.3">
      <c r="A10696" t="s">
        <v>10731</v>
      </c>
      <c r="B10696" t="s">
        <v>26</v>
      </c>
      <c r="C10696">
        <v>137000</v>
      </c>
      <c r="D10696">
        <v>1375</v>
      </c>
      <c r="E10696">
        <v>2.9100000000000001E-2</v>
      </c>
      <c r="F10696">
        <v>0.57150000000000001</v>
      </c>
    </row>
    <row r="10697" spans="1:6" x14ac:dyDescent="0.3">
      <c r="A10697" t="s">
        <v>10732</v>
      </c>
      <c r="B10697" t="s">
        <v>32</v>
      </c>
      <c r="C10697">
        <v>134000</v>
      </c>
      <c r="D10697">
        <v>42220.1</v>
      </c>
      <c r="E10697">
        <v>8.2000000000000003E-2</v>
      </c>
      <c r="F10697">
        <v>9.5100000000000004E-2</v>
      </c>
    </row>
    <row r="10698" spans="1:6" x14ac:dyDescent="0.3">
      <c r="A10698" t="s">
        <v>10733</v>
      </c>
      <c r="B10698" t="s">
        <v>28</v>
      </c>
      <c r="C10698">
        <v>984000</v>
      </c>
      <c r="D10698">
        <v>8525.1</v>
      </c>
      <c r="E10698">
        <v>7.3000000000000001E-3</v>
      </c>
      <c r="F10698">
        <v>8.1100000000000005E-2</v>
      </c>
    </row>
    <row r="10699" spans="1:6" x14ac:dyDescent="0.3">
      <c r="A10699" t="s">
        <v>10734</v>
      </c>
      <c r="B10699" t="s">
        <v>26</v>
      </c>
      <c r="C10699">
        <v>194000</v>
      </c>
      <c r="D10699">
        <v>355.2</v>
      </c>
      <c r="E10699">
        <v>5.8999999999999999E-3</v>
      </c>
      <c r="F10699">
        <v>8.2199999999999995E-2</v>
      </c>
    </row>
    <row r="10700" spans="1:6" x14ac:dyDescent="0.3">
      <c r="A10700" t="s">
        <v>10735</v>
      </c>
      <c r="B10700" t="s">
        <v>41</v>
      </c>
      <c r="C10700">
        <v>170000</v>
      </c>
      <c r="D10700">
        <v>1602.7</v>
      </c>
      <c r="E10700">
        <v>1.6500000000000001E-2</v>
      </c>
      <c r="F10700">
        <v>8.5400000000000004E-2</v>
      </c>
    </row>
    <row r="10701" spans="1:6" x14ac:dyDescent="0.3">
      <c r="A10701" t="s">
        <v>10736</v>
      </c>
      <c r="B10701" t="s">
        <v>88</v>
      </c>
      <c r="C10701">
        <v>254000</v>
      </c>
      <c r="D10701">
        <v>2402.4</v>
      </c>
      <c r="E10701">
        <v>2.98E-2</v>
      </c>
      <c r="F10701">
        <v>9.3799999999999994E-2</v>
      </c>
    </row>
    <row r="10702" spans="1:6" x14ac:dyDescent="0.3">
      <c r="A10702" t="s">
        <v>10737</v>
      </c>
      <c r="B10702" t="s">
        <v>26</v>
      </c>
      <c r="C10702">
        <v>179000</v>
      </c>
      <c r="D10702">
        <v>124183.8</v>
      </c>
      <c r="E10702">
        <v>3.2099999999999997E-2</v>
      </c>
      <c r="F10702">
        <v>5.1799999999999999E-2</v>
      </c>
    </row>
    <row r="10703" spans="1:6" x14ac:dyDescent="0.3">
      <c r="A10703" t="s">
        <v>10738</v>
      </c>
      <c r="B10703" t="s">
        <v>88</v>
      </c>
      <c r="C10703">
        <v>150000</v>
      </c>
      <c r="D10703">
        <v>889.7</v>
      </c>
      <c r="E10703">
        <v>3.0300000000000001E-2</v>
      </c>
      <c r="F10703">
        <v>0.11700000000000001</v>
      </c>
    </row>
    <row r="10704" spans="1:6" x14ac:dyDescent="0.3">
      <c r="A10704" t="s">
        <v>10739</v>
      </c>
      <c r="B10704" t="s">
        <v>214</v>
      </c>
      <c r="C10704">
        <v>136000</v>
      </c>
      <c r="D10704">
        <v>4356.3999999999996</v>
      </c>
      <c r="E10704">
        <v>1.32E-2</v>
      </c>
      <c r="F10704">
        <v>0.1067</v>
      </c>
    </row>
    <row r="10705" spans="1:6" x14ac:dyDescent="0.3">
      <c r="A10705" t="s">
        <v>10740</v>
      </c>
      <c r="B10705" t="s">
        <v>26</v>
      </c>
      <c r="C10705">
        <v>148000</v>
      </c>
      <c r="D10705">
        <v>681506.8</v>
      </c>
      <c r="E10705">
        <v>2.87E-2</v>
      </c>
      <c r="F10705">
        <v>5.1799999999999999E-2</v>
      </c>
    </row>
    <row r="10706" spans="1:6" x14ac:dyDescent="0.3">
      <c r="A10706" t="s">
        <v>10741</v>
      </c>
      <c r="B10706" t="s">
        <v>26</v>
      </c>
      <c r="C10706">
        <v>176000</v>
      </c>
      <c r="D10706">
        <v>81465</v>
      </c>
      <c r="E10706">
        <v>4.4299999999999999E-2</v>
      </c>
      <c r="F10706">
        <v>7.5899999999999995E-2</v>
      </c>
    </row>
    <row r="10707" spans="1:6" x14ac:dyDescent="0.3">
      <c r="A10707" t="s">
        <v>10742</v>
      </c>
      <c r="B10707" t="s">
        <v>26</v>
      </c>
      <c r="C10707">
        <v>187000</v>
      </c>
      <c r="D10707">
        <v>16595.5</v>
      </c>
      <c r="E10707">
        <v>2.8799999999999999E-2</v>
      </c>
      <c r="F10707">
        <v>7.5899999999999995E-2</v>
      </c>
    </row>
    <row r="10708" spans="1:6" x14ac:dyDescent="0.3">
      <c r="A10708" t="s">
        <v>10743</v>
      </c>
      <c r="B10708" t="s">
        <v>88</v>
      </c>
      <c r="C10708">
        <v>255000</v>
      </c>
      <c r="D10708">
        <v>845.8</v>
      </c>
      <c r="E10708">
        <v>2.1999999999999999E-2</v>
      </c>
      <c r="F10708">
        <v>4.6199999999999998E-2</v>
      </c>
    </row>
    <row r="10709" spans="1:6" x14ac:dyDescent="0.3">
      <c r="A10709" t="s">
        <v>10744</v>
      </c>
      <c r="B10709" t="s">
        <v>92</v>
      </c>
      <c r="C10709">
        <v>147000</v>
      </c>
      <c r="D10709">
        <v>4773.2</v>
      </c>
      <c r="E10709">
        <v>7.1000000000000004E-3</v>
      </c>
      <c r="F10709">
        <v>6.54E-2</v>
      </c>
    </row>
    <row r="10710" spans="1:6" x14ac:dyDescent="0.3">
      <c r="A10710" t="s">
        <v>10745</v>
      </c>
      <c r="B10710" t="s">
        <v>41</v>
      </c>
      <c r="C10710">
        <v>129000</v>
      </c>
      <c r="D10710">
        <v>583.6</v>
      </c>
      <c r="E10710">
        <v>5.5300000000000002E-2</v>
      </c>
      <c r="F10710">
        <v>9.5100000000000004E-2</v>
      </c>
    </row>
    <row r="10711" spans="1:6" x14ac:dyDescent="0.3">
      <c r="A10711" t="s">
        <v>10746</v>
      </c>
      <c r="B10711" t="s">
        <v>74</v>
      </c>
      <c r="C10711">
        <v>216000</v>
      </c>
      <c r="D10711">
        <v>63.8</v>
      </c>
      <c r="E10711">
        <v>2.8299999999999999E-2</v>
      </c>
      <c r="F10711">
        <v>0.16880000000000001</v>
      </c>
    </row>
    <row r="10712" spans="1:6" x14ac:dyDescent="0.3">
      <c r="A10712" t="s">
        <v>10747</v>
      </c>
      <c r="B10712" t="s">
        <v>26</v>
      </c>
      <c r="C10712">
        <v>231000</v>
      </c>
      <c r="D10712">
        <v>6056.5</v>
      </c>
      <c r="E10712">
        <v>4.1500000000000002E-2</v>
      </c>
      <c r="F10712">
        <v>9.3799999999999994E-2</v>
      </c>
    </row>
    <row r="10713" spans="1:6" x14ac:dyDescent="0.3">
      <c r="A10713" t="s">
        <v>10748</v>
      </c>
      <c r="B10713" t="s">
        <v>88</v>
      </c>
      <c r="C10713">
        <v>138000</v>
      </c>
      <c r="D10713">
        <v>41.7</v>
      </c>
      <c r="E10713">
        <v>1.2999999999999999E-2</v>
      </c>
      <c r="F10713">
        <v>0.15920000000000001</v>
      </c>
    </row>
    <row r="10714" spans="1:6" x14ac:dyDescent="0.3">
      <c r="A10714" t="s">
        <v>10749</v>
      </c>
      <c r="B10714" t="s">
        <v>195</v>
      </c>
      <c r="C10714">
        <v>125000</v>
      </c>
      <c r="D10714">
        <v>12814.5</v>
      </c>
      <c r="E10714">
        <v>1.29E-2</v>
      </c>
      <c r="F10714">
        <v>5.1999999999999998E-2</v>
      </c>
    </row>
    <row r="10715" spans="1:6" x14ac:dyDescent="0.3">
      <c r="A10715" t="s">
        <v>10750</v>
      </c>
      <c r="B10715" t="s">
        <v>26</v>
      </c>
      <c r="C10715">
        <v>153000</v>
      </c>
      <c r="D10715">
        <v>1944.3</v>
      </c>
      <c r="E10715">
        <v>7.0000000000000007E-2</v>
      </c>
      <c r="F10715">
        <v>7.5899999999999995E-2</v>
      </c>
    </row>
    <row r="10716" spans="1:6" x14ac:dyDescent="0.3">
      <c r="A10716" t="s">
        <v>10751</v>
      </c>
      <c r="B10716" t="s">
        <v>32</v>
      </c>
      <c r="C10716">
        <v>159000</v>
      </c>
      <c r="D10716">
        <v>946106.4</v>
      </c>
      <c r="E10716">
        <v>3.2300000000000002E-2</v>
      </c>
      <c r="F10716">
        <v>0.12429999999999999</v>
      </c>
    </row>
    <row r="10717" spans="1:6" x14ac:dyDescent="0.3">
      <c r="A10717" t="s">
        <v>10752</v>
      </c>
      <c r="B10717" t="s">
        <v>214</v>
      </c>
      <c r="C10717">
        <v>162000</v>
      </c>
      <c r="D10717">
        <v>7337.3</v>
      </c>
      <c r="E10717">
        <v>1.4200000000000001E-2</v>
      </c>
      <c r="F10717">
        <v>4.6199999999999998E-2</v>
      </c>
    </row>
    <row r="10718" spans="1:6" x14ac:dyDescent="0.3">
      <c r="A10718" t="s">
        <v>10753</v>
      </c>
      <c r="B10718" t="s">
        <v>26</v>
      </c>
      <c r="C10718">
        <v>175000</v>
      </c>
      <c r="D10718">
        <v>28365.599999999999</v>
      </c>
      <c r="E10718">
        <v>2.5000000000000001E-2</v>
      </c>
      <c r="F10718">
        <v>4.1200000000000001E-2</v>
      </c>
    </row>
    <row r="10719" spans="1:6" x14ac:dyDescent="0.3">
      <c r="A10719" t="s">
        <v>10754</v>
      </c>
      <c r="B10719" t="s">
        <v>88</v>
      </c>
      <c r="C10719">
        <v>143000</v>
      </c>
      <c r="D10719">
        <v>720.4</v>
      </c>
      <c r="E10719">
        <v>3.1399999999999997E-2</v>
      </c>
      <c r="F10719">
        <v>0.2545</v>
      </c>
    </row>
    <row r="10720" spans="1:6" x14ac:dyDescent="0.3">
      <c r="A10720" t="s">
        <v>10755</v>
      </c>
      <c r="B10720" t="s">
        <v>92</v>
      </c>
      <c r="C10720">
        <v>167000</v>
      </c>
      <c r="D10720">
        <v>86985.3</v>
      </c>
      <c r="E10720">
        <v>1.6999999999999999E-3</v>
      </c>
      <c r="F10720">
        <v>6.54E-2</v>
      </c>
    </row>
    <row r="10721" spans="1:6" x14ac:dyDescent="0.3">
      <c r="A10721" t="s">
        <v>10756</v>
      </c>
      <c r="B10721" t="s">
        <v>214</v>
      </c>
      <c r="C10721">
        <v>501000</v>
      </c>
      <c r="D10721">
        <v>3203.2</v>
      </c>
      <c r="E10721">
        <v>6.7999999999999996E-3</v>
      </c>
      <c r="F10721">
        <v>8.2199999999999995E-2</v>
      </c>
    </row>
    <row r="10722" spans="1:6" x14ac:dyDescent="0.3">
      <c r="A10722" t="s">
        <v>10757</v>
      </c>
      <c r="B10722" t="s">
        <v>88</v>
      </c>
      <c r="C10722">
        <v>264000</v>
      </c>
      <c r="D10722">
        <v>11374.3</v>
      </c>
      <c r="E10722">
        <v>2.64E-2</v>
      </c>
      <c r="F10722">
        <v>9.3799999999999994E-2</v>
      </c>
    </row>
    <row r="10723" spans="1:6" x14ac:dyDescent="0.3">
      <c r="A10723" t="s">
        <v>10758</v>
      </c>
      <c r="B10723" t="s">
        <v>88</v>
      </c>
      <c r="C10723">
        <v>126000</v>
      </c>
      <c r="D10723">
        <v>5269.5</v>
      </c>
      <c r="E10723">
        <v>9.7999999999999997E-3</v>
      </c>
      <c r="F10723">
        <v>0.14710000000000001</v>
      </c>
    </row>
    <row r="10724" spans="1:6" x14ac:dyDescent="0.3">
      <c r="A10724" t="s">
        <v>10759</v>
      </c>
      <c r="B10724" t="s">
        <v>26</v>
      </c>
      <c r="C10724">
        <v>267000</v>
      </c>
      <c r="D10724">
        <v>1004.6</v>
      </c>
      <c r="E10724">
        <v>7.3700000000000002E-2</v>
      </c>
      <c r="F10724">
        <v>7.5899999999999995E-2</v>
      </c>
    </row>
    <row r="10725" spans="1:6" x14ac:dyDescent="0.3">
      <c r="A10725" t="s">
        <v>10760</v>
      </c>
      <c r="B10725" t="s">
        <v>81</v>
      </c>
      <c r="C10725">
        <v>147000</v>
      </c>
      <c r="D10725">
        <v>494802.8</v>
      </c>
      <c r="E10725">
        <v>1.54E-2</v>
      </c>
      <c r="F10725">
        <v>5.8500000000000003E-2</v>
      </c>
    </row>
    <row r="10726" spans="1:6" x14ac:dyDescent="0.3">
      <c r="A10726" t="s">
        <v>10761</v>
      </c>
      <c r="B10726" t="s">
        <v>92</v>
      </c>
      <c r="C10726">
        <v>132000</v>
      </c>
      <c r="D10726">
        <v>5141.5</v>
      </c>
      <c r="E10726">
        <v>3.8800000000000001E-2</v>
      </c>
      <c r="F10726">
        <v>7.5899999999999995E-2</v>
      </c>
    </row>
    <row r="10727" spans="1:6" x14ac:dyDescent="0.3">
      <c r="A10727" t="s">
        <v>10762</v>
      </c>
      <c r="B10727" t="s">
        <v>26</v>
      </c>
      <c r="C10727">
        <v>142000</v>
      </c>
      <c r="D10727">
        <v>620.29999999999995</v>
      </c>
      <c r="E10727">
        <v>2.3599999999999999E-2</v>
      </c>
      <c r="F10727">
        <v>0.2089</v>
      </c>
    </row>
    <row r="10728" spans="1:6" x14ac:dyDescent="0.3">
      <c r="A10728" t="s">
        <v>10763</v>
      </c>
      <c r="B10728" t="s">
        <v>74</v>
      </c>
      <c r="C10728">
        <v>139000</v>
      </c>
      <c r="D10728">
        <v>793.5</v>
      </c>
      <c r="E10728">
        <v>1.78E-2</v>
      </c>
      <c r="F10728">
        <v>0.1053</v>
      </c>
    </row>
    <row r="10729" spans="1:6" x14ac:dyDescent="0.3">
      <c r="A10729" t="s">
        <v>10764</v>
      </c>
      <c r="B10729" t="s">
        <v>41</v>
      </c>
      <c r="C10729">
        <v>135000</v>
      </c>
      <c r="D10729">
        <v>401</v>
      </c>
      <c r="E10729">
        <v>2.0199999999999999E-2</v>
      </c>
      <c r="F10729">
        <v>0.13100000000000001</v>
      </c>
    </row>
    <row r="10730" spans="1:6" x14ac:dyDescent="0.3">
      <c r="A10730" t="s">
        <v>10765</v>
      </c>
      <c r="B10730" t="s">
        <v>35</v>
      </c>
      <c r="C10730">
        <v>151000</v>
      </c>
      <c r="D10730">
        <v>2943.7</v>
      </c>
      <c r="E10730">
        <v>1.83E-2</v>
      </c>
      <c r="F10730">
        <v>4.8800000000000003E-2</v>
      </c>
    </row>
    <row r="10731" spans="1:6" x14ac:dyDescent="0.3">
      <c r="A10731" t="s">
        <v>10766</v>
      </c>
      <c r="B10731" t="s">
        <v>30</v>
      </c>
      <c r="C10731">
        <v>132000</v>
      </c>
      <c r="D10731">
        <v>411595.2</v>
      </c>
      <c r="E10731">
        <v>3.2000000000000001E-2</v>
      </c>
      <c r="F10731">
        <v>9.5100000000000004E-2</v>
      </c>
    </row>
    <row r="10732" spans="1:6" x14ac:dyDescent="0.3">
      <c r="A10732" t="s">
        <v>10767</v>
      </c>
      <c r="B10732" t="s">
        <v>214</v>
      </c>
      <c r="C10732">
        <v>138000</v>
      </c>
      <c r="D10732">
        <v>973.5</v>
      </c>
      <c r="E10732">
        <v>2.5600000000000001E-2</v>
      </c>
      <c r="F10732">
        <v>7.3499999999999996E-2</v>
      </c>
    </row>
    <row r="10733" spans="1:6" x14ac:dyDescent="0.3">
      <c r="A10733" t="s">
        <v>10768</v>
      </c>
      <c r="B10733" t="s">
        <v>62</v>
      </c>
      <c r="C10733">
        <v>327000</v>
      </c>
      <c r="D10733">
        <v>4246.2</v>
      </c>
      <c r="E10733">
        <v>2.9899999999999999E-2</v>
      </c>
      <c r="F10733">
        <v>7.5899999999999995E-2</v>
      </c>
    </row>
    <row r="10734" spans="1:6" x14ac:dyDescent="0.3">
      <c r="A10734" t="s">
        <v>10769</v>
      </c>
      <c r="B10734" t="s">
        <v>26</v>
      </c>
      <c r="C10734">
        <v>133000</v>
      </c>
      <c r="D10734">
        <v>1439.1</v>
      </c>
      <c r="E10734">
        <v>2.3900000000000001E-2</v>
      </c>
      <c r="F10734">
        <v>6.4799999999999996E-2</v>
      </c>
    </row>
    <row r="10735" spans="1:6" x14ac:dyDescent="0.3">
      <c r="A10735" t="s">
        <v>10770</v>
      </c>
      <c r="B10735" t="s">
        <v>26</v>
      </c>
      <c r="C10735">
        <v>772000</v>
      </c>
      <c r="D10735">
        <v>1020466.9</v>
      </c>
      <c r="E10735">
        <v>1.9300000000000001E-2</v>
      </c>
      <c r="F10735">
        <v>4.6199999999999998E-2</v>
      </c>
    </row>
    <row r="10736" spans="1:6" x14ac:dyDescent="0.3">
      <c r="A10736" t="s">
        <v>10771</v>
      </c>
      <c r="B10736" t="s">
        <v>41</v>
      </c>
      <c r="C10736">
        <v>130000</v>
      </c>
      <c r="D10736">
        <v>289817.5</v>
      </c>
      <c r="E10736">
        <v>9.7000000000000003E-3</v>
      </c>
      <c r="F10736">
        <v>0.24790000000000001</v>
      </c>
    </row>
    <row r="10737" spans="1:6" x14ac:dyDescent="0.3">
      <c r="A10737" t="s">
        <v>10772</v>
      </c>
      <c r="B10737" t="s">
        <v>26</v>
      </c>
      <c r="C10737">
        <v>140000</v>
      </c>
      <c r="D10737">
        <v>13558.8</v>
      </c>
      <c r="E10737">
        <v>1.4800000000000001E-2</v>
      </c>
      <c r="F10737">
        <v>9.4899999999999998E-2</v>
      </c>
    </row>
    <row r="10738" spans="1:6" x14ac:dyDescent="0.3">
      <c r="A10738" t="s">
        <v>10773</v>
      </c>
      <c r="B10738" t="s">
        <v>28</v>
      </c>
      <c r="C10738">
        <v>122000</v>
      </c>
      <c r="D10738">
        <v>21448.9</v>
      </c>
      <c r="E10738">
        <v>2.0999999999999999E-3</v>
      </c>
      <c r="F10738">
        <v>8.2199999999999995E-2</v>
      </c>
    </row>
    <row r="10739" spans="1:6" x14ac:dyDescent="0.3">
      <c r="A10739" t="s">
        <v>10774</v>
      </c>
      <c r="B10739" t="s">
        <v>50</v>
      </c>
      <c r="C10739">
        <v>266000</v>
      </c>
      <c r="D10739">
        <v>24851.8</v>
      </c>
      <c r="E10739">
        <v>3.3099999999999997E-2</v>
      </c>
      <c r="F10739">
        <v>9.5100000000000004E-2</v>
      </c>
    </row>
    <row r="10740" spans="1:6" x14ac:dyDescent="0.3">
      <c r="A10740" t="s">
        <v>10775</v>
      </c>
      <c r="B10740" t="s">
        <v>287</v>
      </c>
      <c r="C10740">
        <v>135000</v>
      </c>
      <c r="D10740">
        <v>5788.4</v>
      </c>
      <c r="E10740">
        <v>1.3899999999999999E-2</v>
      </c>
      <c r="F10740">
        <v>5.8500000000000003E-2</v>
      </c>
    </row>
    <row r="10741" spans="1:6" x14ac:dyDescent="0.3">
      <c r="A10741" t="s">
        <v>10776</v>
      </c>
      <c r="B10741" t="s">
        <v>53</v>
      </c>
      <c r="C10741">
        <v>147000</v>
      </c>
      <c r="D10741">
        <v>26684.7</v>
      </c>
      <c r="E10741">
        <v>2.06E-2</v>
      </c>
      <c r="F10741">
        <v>5.1799999999999999E-2</v>
      </c>
    </row>
    <row r="10742" spans="1:6" x14ac:dyDescent="0.3">
      <c r="A10742" t="s">
        <v>10777</v>
      </c>
      <c r="B10742" t="s">
        <v>74</v>
      </c>
      <c r="C10742">
        <v>127000</v>
      </c>
      <c r="D10742">
        <v>458.8</v>
      </c>
      <c r="E10742">
        <v>2.12E-2</v>
      </c>
      <c r="F10742">
        <v>5.1799999999999999E-2</v>
      </c>
    </row>
    <row r="10743" spans="1:6" x14ac:dyDescent="0.3">
      <c r="A10743" t="s">
        <v>10778</v>
      </c>
      <c r="B10743" t="s">
        <v>41</v>
      </c>
      <c r="C10743">
        <v>207000</v>
      </c>
      <c r="D10743">
        <v>1063701.6000000001</v>
      </c>
      <c r="E10743">
        <v>1.8800000000000001E-2</v>
      </c>
      <c r="F10743">
        <v>9.5000000000000001E-2</v>
      </c>
    </row>
    <row r="10744" spans="1:6" x14ac:dyDescent="0.3">
      <c r="A10744" t="s">
        <v>10779</v>
      </c>
      <c r="B10744" t="s">
        <v>26</v>
      </c>
      <c r="C10744">
        <v>182000</v>
      </c>
      <c r="D10744">
        <v>42200.6</v>
      </c>
      <c r="E10744">
        <v>2.0400000000000001E-2</v>
      </c>
      <c r="F10744">
        <v>0.1067</v>
      </c>
    </row>
    <row r="10745" spans="1:6" x14ac:dyDescent="0.3">
      <c r="A10745" t="s">
        <v>10780</v>
      </c>
      <c r="B10745" t="s">
        <v>21</v>
      </c>
      <c r="C10745">
        <v>129000</v>
      </c>
      <c r="D10745">
        <v>715.9</v>
      </c>
      <c r="E10745">
        <v>5.1900000000000002E-2</v>
      </c>
      <c r="F10745">
        <v>9.3799999999999994E-2</v>
      </c>
    </row>
    <row r="10746" spans="1:6" x14ac:dyDescent="0.3">
      <c r="A10746" t="s">
        <v>10781</v>
      </c>
      <c r="B10746" t="s">
        <v>71</v>
      </c>
      <c r="C10746">
        <v>122000</v>
      </c>
      <c r="D10746">
        <v>30895443</v>
      </c>
      <c r="F10746">
        <v>9.5100000000000004E-2</v>
      </c>
    </row>
    <row r="10747" spans="1:6" x14ac:dyDescent="0.3">
      <c r="A10747" t="s">
        <v>10782</v>
      </c>
      <c r="B10747" t="s">
        <v>53</v>
      </c>
      <c r="C10747">
        <v>224000</v>
      </c>
      <c r="D10747">
        <v>18083.8</v>
      </c>
      <c r="E10747">
        <v>6.83E-2</v>
      </c>
      <c r="F10747">
        <v>9.5100000000000004E-2</v>
      </c>
    </row>
    <row r="10748" spans="1:6" x14ac:dyDescent="0.3">
      <c r="A10748" t="s">
        <v>10783</v>
      </c>
      <c r="B10748" t="s">
        <v>26</v>
      </c>
      <c r="C10748">
        <v>144000</v>
      </c>
      <c r="D10748">
        <v>1445.4</v>
      </c>
      <c r="E10748">
        <v>1.1599999999999999E-2</v>
      </c>
      <c r="F10748">
        <v>0.14710000000000001</v>
      </c>
    </row>
    <row r="10749" spans="1:6" x14ac:dyDescent="0.3">
      <c r="A10749" t="s">
        <v>10784</v>
      </c>
      <c r="B10749" t="s">
        <v>88</v>
      </c>
      <c r="C10749">
        <v>146000</v>
      </c>
      <c r="D10749">
        <v>1647.3</v>
      </c>
      <c r="E10749">
        <v>4.3499999999999997E-2</v>
      </c>
      <c r="F10749">
        <v>7.5899999999999995E-2</v>
      </c>
    </row>
    <row r="10750" spans="1:6" x14ac:dyDescent="0.3">
      <c r="A10750" t="s">
        <v>10785</v>
      </c>
      <c r="B10750" t="s">
        <v>26</v>
      </c>
      <c r="C10750">
        <v>233000</v>
      </c>
      <c r="D10750">
        <v>18289.7</v>
      </c>
      <c r="E10750">
        <v>1.4800000000000001E-2</v>
      </c>
      <c r="F10750">
        <v>5.7599999999999998E-2</v>
      </c>
    </row>
    <row r="10751" spans="1:6" x14ac:dyDescent="0.3">
      <c r="A10751" t="s">
        <v>10786</v>
      </c>
      <c r="B10751" t="s">
        <v>214</v>
      </c>
      <c r="C10751">
        <v>495000</v>
      </c>
      <c r="D10751">
        <v>19392.599999999999</v>
      </c>
      <c r="E10751">
        <v>4.4000000000000003E-3</v>
      </c>
      <c r="F10751">
        <v>6.54E-2</v>
      </c>
    </row>
    <row r="10752" spans="1:6" x14ac:dyDescent="0.3">
      <c r="A10752" t="s">
        <v>10787</v>
      </c>
      <c r="B10752" t="s">
        <v>50</v>
      </c>
      <c r="C10752">
        <v>651000</v>
      </c>
      <c r="D10752">
        <v>37625.699999999997</v>
      </c>
      <c r="F10752">
        <v>4.0899999999999999E-2</v>
      </c>
    </row>
    <row r="10753" spans="1:6" x14ac:dyDescent="0.3">
      <c r="A10753" t="s">
        <v>10788</v>
      </c>
      <c r="B10753" t="s">
        <v>26</v>
      </c>
      <c r="C10753">
        <v>130000</v>
      </c>
      <c r="D10753">
        <v>134.80000000000001</v>
      </c>
      <c r="E10753">
        <v>1.4800000000000001E-2</v>
      </c>
      <c r="F10753">
        <v>0.1525</v>
      </c>
    </row>
    <row r="10754" spans="1:6" x14ac:dyDescent="0.3">
      <c r="A10754" t="s">
        <v>10789</v>
      </c>
      <c r="B10754" t="s">
        <v>26</v>
      </c>
      <c r="C10754">
        <v>127000</v>
      </c>
      <c r="D10754">
        <v>4551</v>
      </c>
      <c r="E10754">
        <v>3.2099999999999997E-2</v>
      </c>
      <c r="F10754">
        <v>9.5100000000000004E-2</v>
      </c>
    </row>
    <row r="10755" spans="1:6" x14ac:dyDescent="0.3">
      <c r="A10755" t="s">
        <v>10790</v>
      </c>
      <c r="B10755" t="s">
        <v>71</v>
      </c>
      <c r="C10755">
        <v>147000</v>
      </c>
      <c r="D10755">
        <v>119.6</v>
      </c>
      <c r="E10755">
        <v>1.2E-2</v>
      </c>
      <c r="F10755">
        <v>5.7599999999999998E-2</v>
      </c>
    </row>
    <row r="10756" spans="1:6" x14ac:dyDescent="0.3">
      <c r="A10756" t="s">
        <v>10791</v>
      </c>
      <c r="B10756" t="s">
        <v>88</v>
      </c>
      <c r="C10756">
        <v>257000</v>
      </c>
      <c r="D10756">
        <v>374.4</v>
      </c>
      <c r="E10756">
        <v>5.3100000000000001E-2</v>
      </c>
      <c r="F10756">
        <v>9.3799999999999994E-2</v>
      </c>
    </row>
    <row r="10757" spans="1:6" x14ac:dyDescent="0.3">
      <c r="A10757" t="s">
        <v>10792</v>
      </c>
      <c r="B10757" t="s">
        <v>26</v>
      </c>
      <c r="C10757">
        <v>126000</v>
      </c>
      <c r="D10757">
        <v>6867.2</v>
      </c>
      <c r="E10757">
        <v>3.4099999999999998E-2</v>
      </c>
      <c r="F10757">
        <v>9.5100000000000004E-2</v>
      </c>
    </row>
    <row r="10758" spans="1:6" x14ac:dyDescent="0.3">
      <c r="A10758" t="s">
        <v>10793</v>
      </c>
      <c r="B10758" t="s">
        <v>26</v>
      </c>
      <c r="C10758">
        <v>673000</v>
      </c>
      <c r="D10758">
        <v>59584.2</v>
      </c>
      <c r="E10758">
        <v>1.7100000000000001E-2</v>
      </c>
      <c r="F10758">
        <v>5.7599999999999998E-2</v>
      </c>
    </row>
    <row r="10759" spans="1:6" x14ac:dyDescent="0.3">
      <c r="A10759" t="s">
        <v>10794</v>
      </c>
      <c r="B10759" t="s">
        <v>62</v>
      </c>
      <c r="C10759">
        <v>136000</v>
      </c>
      <c r="D10759">
        <v>323.2</v>
      </c>
      <c r="E10759">
        <v>5.1299999999999998E-2</v>
      </c>
      <c r="F10759">
        <v>5.1799999999999999E-2</v>
      </c>
    </row>
    <row r="10760" spans="1:6" x14ac:dyDescent="0.3">
      <c r="A10760" t="s">
        <v>10795</v>
      </c>
      <c r="B10760" t="s">
        <v>195</v>
      </c>
      <c r="C10760">
        <v>186000</v>
      </c>
      <c r="D10760">
        <v>36386.199999999997</v>
      </c>
      <c r="E10760">
        <v>2.0199999999999999E-2</v>
      </c>
      <c r="F10760">
        <v>7.5899999999999995E-2</v>
      </c>
    </row>
    <row r="10761" spans="1:6" x14ac:dyDescent="0.3">
      <c r="A10761" t="s">
        <v>10796</v>
      </c>
      <c r="B10761" t="s">
        <v>26</v>
      </c>
      <c r="C10761">
        <v>132000</v>
      </c>
      <c r="D10761">
        <v>8226.2999999999993</v>
      </c>
      <c r="E10761">
        <v>2.5899999999999999E-2</v>
      </c>
      <c r="F10761">
        <v>9.5100000000000004E-2</v>
      </c>
    </row>
    <row r="10762" spans="1:6" x14ac:dyDescent="0.3">
      <c r="A10762" t="s">
        <v>10797</v>
      </c>
      <c r="B10762" t="s">
        <v>41</v>
      </c>
      <c r="C10762">
        <v>127000</v>
      </c>
      <c r="D10762">
        <v>1001.3</v>
      </c>
      <c r="E10762">
        <v>3.5000000000000003E-2</v>
      </c>
      <c r="F10762">
        <v>9.3799999999999994E-2</v>
      </c>
    </row>
    <row r="10763" spans="1:6" x14ac:dyDescent="0.3">
      <c r="A10763" t="s">
        <v>10798</v>
      </c>
      <c r="B10763" t="s">
        <v>88</v>
      </c>
      <c r="C10763">
        <v>151000</v>
      </c>
      <c r="D10763">
        <v>422.6</v>
      </c>
      <c r="E10763">
        <v>3.85E-2</v>
      </c>
      <c r="F10763">
        <v>8.3299999999999999E-2</v>
      </c>
    </row>
    <row r="10764" spans="1:6" x14ac:dyDescent="0.3">
      <c r="A10764" t="s">
        <v>10799</v>
      </c>
      <c r="B10764" t="s">
        <v>88</v>
      </c>
      <c r="C10764">
        <v>136000</v>
      </c>
      <c r="D10764">
        <v>760.9</v>
      </c>
      <c r="E10764">
        <v>5.6800000000000003E-2</v>
      </c>
      <c r="F10764">
        <v>7.5899999999999995E-2</v>
      </c>
    </row>
    <row r="10765" spans="1:6" x14ac:dyDescent="0.3">
      <c r="A10765" t="s">
        <v>10800</v>
      </c>
      <c r="B10765" t="s">
        <v>88</v>
      </c>
      <c r="C10765">
        <v>129000</v>
      </c>
      <c r="D10765">
        <v>3828</v>
      </c>
      <c r="E10765">
        <v>1.5800000000000002E-2</v>
      </c>
      <c r="F10765">
        <v>0.1067</v>
      </c>
    </row>
    <row r="10766" spans="1:6" x14ac:dyDescent="0.3">
      <c r="A10766" t="s">
        <v>10801</v>
      </c>
      <c r="B10766" t="s">
        <v>214</v>
      </c>
      <c r="C10766">
        <v>165000</v>
      </c>
      <c r="D10766">
        <v>5893.1</v>
      </c>
      <c r="E10766">
        <v>4.3700000000000003E-2</v>
      </c>
      <c r="F10766">
        <v>7.5899999999999995E-2</v>
      </c>
    </row>
    <row r="10767" spans="1:6" x14ac:dyDescent="0.3">
      <c r="A10767" t="s">
        <v>10802</v>
      </c>
      <c r="B10767" t="s">
        <v>88</v>
      </c>
      <c r="C10767">
        <v>155000</v>
      </c>
      <c r="D10767">
        <v>56513.599999999999</v>
      </c>
      <c r="F10767">
        <v>5.1799999999999999E-2</v>
      </c>
    </row>
    <row r="10768" spans="1:6" x14ac:dyDescent="0.3">
      <c r="A10768" t="s">
        <v>10803</v>
      </c>
      <c r="B10768" t="s">
        <v>490</v>
      </c>
      <c r="C10768">
        <v>162000</v>
      </c>
      <c r="D10768">
        <v>744.4</v>
      </c>
      <c r="E10768">
        <v>2.7000000000000001E-3</v>
      </c>
      <c r="F10768">
        <v>8.2199999999999995E-2</v>
      </c>
    </row>
    <row r="10769" spans="1:6" x14ac:dyDescent="0.3">
      <c r="A10769" t="s">
        <v>10804</v>
      </c>
      <c r="B10769" t="s">
        <v>26</v>
      </c>
      <c r="C10769">
        <v>140000</v>
      </c>
      <c r="D10769">
        <v>5478.9</v>
      </c>
      <c r="E10769">
        <v>3.6200000000000003E-2</v>
      </c>
      <c r="F10769">
        <v>9.5100000000000004E-2</v>
      </c>
    </row>
    <row r="10770" spans="1:6" x14ac:dyDescent="0.3">
      <c r="A10770" t="s">
        <v>10805</v>
      </c>
      <c r="B10770" t="s">
        <v>74</v>
      </c>
      <c r="C10770">
        <v>121000</v>
      </c>
      <c r="D10770">
        <v>371.8</v>
      </c>
      <c r="E10770">
        <v>7.3999999999999996E-2</v>
      </c>
      <c r="F10770">
        <v>5.1799999999999999E-2</v>
      </c>
    </row>
    <row r="10771" spans="1:6" x14ac:dyDescent="0.3">
      <c r="A10771" t="s">
        <v>10806</v>
      </c>
      <c r="B10771" t="s">
        <v>26</v>
      </c>
      <c r="C10771">
        <v>122000</v>
      </c>
      <c r="D10771">
        <v>2175.9</v>
      </c>
      <c r="E10771">
        <v>3.39E-2</v>
      </c>
      <c r="F10771">
        <v>9.5100000000000004E-2</v>
      </c>
    </row>
    <row r="10772" spans="1:6" x14ac:dyDescent="0.3">
      <c r="A10772" t="s">
        <v>10807</v>
      </c>
      <c r="B10772" t="s">
        <v>26</v>
      </c>
      <c r="C10772">
        <v>125000</v>
      </c>
      <c r="D10772">
        <v>2005.5</v>
      </c>
      <c r="E10772">
        <v>3.3999999999999998E-3</v>
      </c>
      <c r="F10772">
        <v>6.54E-2</v>
      </c>
    </row>
    <row r="10773" spans="1:6" x14ac:dyDescent="0.3">
      <c r="A10773" t="s">
        <v>10808</v>
      </c>
      <c r="B10773" t="s">
        <v>21</v>
      </c>
      <c r="C10773">
        <v>179000</v>
      </c>
      <c r="D10773">
        <v>17081.099999999999</v>
      </c>
      <c r="E10773">
        <v>1.9099999999999999E-2</v>
      </c>
      <c r="F10773">
        <v>4.0899999999999999E-2</v>
      </c>
    </row>
    <row r="10774" spans="1:6" x14ac:dyDescent="0.3">
      <c r="A10774" t="s">
        <v>10809</v>
      </c>
      <c r="B10774" t="s">
        <v>53</v>
      </c>
      <c r="C10774">
        <v>136000</v>
      </c>
      <c r="D10774">
        <v>34889.9</v>
      </c>
      <c r="E10774">
        <v>4.3299999999999998E-2</v>
      </c>
      <c r="F10774">
        <v>9.5100000000000004E-2</v>
      </c>
    </row>
    <row r="10775" spans="1:6" x14ac:dyDescent="0.3">
      <c r="A10775" t="s">
        <v>10810</v>
      </c>
      <c r="B10775" t="s">
        <v>92</v>
      </c>
      <c r="C10775">
        <v>123000</v>
      </c>
      <c r="D10775">
        <v>534.9</v>
      </c>
      <c r="E10775">
        <v>2.12E-2</v>
      </c>
      <c r="F10775">
        <v>0.1067</v>
      </c>
    </row>
    <row r="10776" spans="1:6" x14ac:dyDescent="0.3">
      <c r="A10776" t="s">
        <v>10811</v>
      </c>
      <c r="B10776" t="s">
        <v>74</v>
      </c>
      <c r="C10776">
        <v>187000</v>
      </c>
      <c r="D10776">
        <v>3550.1</v>
      </c>
      <c r="E10776">
        <v>6.1800000000000001E-2</v>
      </c>
      <c r="F10776">
        <v>7.5899999999999995E-2</v>
      </c>
    </row>
    <row r="10777" spans="1:6" x14ac:dyDescent="0.3">
      <c r="A10777" t="s">
        <v>10812</v>
      </c>
      <c r="B10777" t="s">
        <v>214</v>
      </c>
      <c r="C10777">
        <v>129000</v>
      </c>
      <c r="D10777">
        <v>2161.5</v>
      </c>
      <c r="E10777">
        <v>1.7500000000000002E-2</v>
      </c>
      <c r="F10777">
        <v>4.1200000000000001E-2</v>
      </c>
    </row>
    <row r="10778" spans="1:6" x14ac:dyDescent="0.3">
      <c r="A10778" t="s">
        <v>10813</v>
      </c>
      <c r="B10778" t="s">
        <v>26</v>
      </c>
      <c r="C10778">
        <v>142000</v>
      </c>
      <c r="D10778">
        <v>1324.6</v>
      </c>
      <c r="E10778">
        <v>1.55E-2</v>
      </c>
      <c r="F10778">
        <v>5.7599999999999998E-2</v>
      </c>
    </row>
    <row r="10779" spans="1:6" x14ac:dyDescent="0.3">
      <c r="A10779" t="s">
        <v>10814</v>
      </c>
      <c r="B10779" t="s">
        <v>88</v>
      </c>
      <c r="C10779">
        <v>296000</v>
      </c>
      <c r="D10779">
        <v>1661.6</v>
      </c>
      <c r="E10779">
        <v>5.6300000000000003E-2</v>
      </c>
      <c r="F10779">
        <v>9.3799999999999994E-2</v>
      </c>
    </row>
    <row r="10780" spans="1:6" x14ac:dyDescent="0.3">
      <c r="A10780" t="s">
        <v>10815</v>
      </c>
      <c r="B10780" t="s">
        <v>26</v>
      </c>
      <c r="C10780">
        <v>274000</v>
      </c>
      <c r="D10780">
        <v>172.2</v>
      </c>
      <c r="E10780">
        <v>3.6999999999999998E-2</v>
      </c>
      <c r="F10780">
        <v>9.3799999999999994E-2</v>
      </c>
    </row>
    <row r="10781" spans="1:6" x14ac:dyDescent="0.3">
      <c r="A10781" t="s">
        <v>10816</v>
      </c>
      <c r="B10781" t="s">
        <v>26</v>
      </c>
      <c r="C10781">
        <v>141000</v>
      </c>
      <c r="D10781">
        <v>4155</v>
      </c>
      <c r="E10781">
        <v>1.5599999999999999E-2</v>
      </c>
      <c r="F10781">
        <v>0.22939999999999999</v>
      </c>
    </row>
    <row r="10782" spans="1:6" x14ac:dyDescent="0.3">
      <c r="A10782" t="s">
        <v>10817</v>
      </c>
      <c r="B10782" t="s">
        <v>26</v>
      </c>
      <c r="C10782">
        <v>122000</v>
      </c>
      <c r="D10782">
        <v>5877.3</v>
      </c>
      <c r="E10782">
        <v>7.1999999999999998E-3</v>
      </c>
      <c r="F10782">
        <v>0.14710000000000001</v>
      </c>
    </row>
    <row r="10783" spans="1:6" x14ac:dyDescent="0.3">
      <c r="A10783" t="s">
        <v>10818</v>
      </c>
      <c r="B10783" t="s">
        <v>92</v>
      </c>
      <c r="C10783">
        <v>123000</v>
      </c>
      <c r="D10783">
        <v>8688.9</v>
      </c>
      <c r="E10783">
        <v>5.04E-2</v>
      </c>
      <c r="F10783">
        <v>9.5100000000000004E-2</v>
      </c>
    </row>
    <row r="10784" spans="1:6" x14ac:dyDescent="0.3">
      <c r="A10784" t="s">
        <v>10819</v>
      </c>
      <c r="B10784" t="s">
        <v>53</v>
      </c>
      <c r="C10784">
        <v>190000</v>
      </c>
      <c r="D10784">
        <v>22884.5</v>
      </c>
      <c r="E10784">
        <v>3.8800000000000001E-2</v>
      </c>
      <c r="F10784">
        <v>7.5899999999999995E-2</v>
      </c>
    </row>
    <row r="10785" spans="1:6" x14ac:dyDescent="0.3">
      <c r="A10785" t="s">
        <v>10820</v>
      </c>
      <c r="B10785" t="s">
        <v>88</v>
      </c>
      <c r="C10785">
        <v>169000</v>
      </c>
      <c r="D10785">
        <v>13889.2</v>
      </c>
      <c r="E10785">
        <v>3.7100000000000001E-2</v>
      </c>
      <c r="F10785">
        <v>9.5100000000000004E-2</v>
      </c>
    </row>
    <row r="10786" spans="1:6" x14ac:dyDescent="0.3">
      <c r="A10786" t="s">
        <v>10821</v>
      </c>
      <c r="B10786" t="s">
        <v>71</v>
      </c>
      <c r="C10786">
        <v>130000</v>
      </c>
      <c r="D10786">
        <v>445.3</v>
      </c>
      <c r="E10786">
        <v>1.52E-2</v>
      </c>
      <c r="F10786">
        <v>0.1067</v>
      </c>
    </row>
    <row r="10787" spans="1:6" x14ac:dyDescent="0.3">
      <c r="A10787" t="s">
        <v>10822</v>
      </c>
      <c r="B10787" t="s">
        <v>26</v>
      </c>
      <c r="C10787">
        <v>163000</v>
      </c>
      <c r="D10787">
        <v>86611.199999999997</v>
      </c>
      <c r="E10787">
        <v>1.37E-2</v>
      </c>
      <c r="F10787">
        <v>6.1600000000000002E-2</v>
      </c>
    </row>
    <row r="10788" spans="1:6" x14ac:dyDescent="0.3">
      <c r="A10788" t="s">
        <v>10823</v>
      </c>
      <c r="B10788" t="s">
        <v>50</v>
      </c>
      <c r="C10788">
        <v>134000</v>
      </c>
      <c r="D10788">
        <v>29700.6</v>
      </c>
      <c r="E10788">
        <v>3.1899999999999998E-2</v>
      </c>
      <c r="F10788">
        <v>9.5100000000000004E-2</v>
      </c>
    </row>
    <row r="10789" spans="1:6" x14ac:dyDescent="0.3">
      <c r="A10789" t="s">
        <v>10824</v>
      </c>
      <c r="B10789" t="s">
        <v>26</v>
      </c>
      <c r="C10789">
        <v>128000</v>
      </c>
      <c r="D10789">
        <v>13243.3</v>
      </c>
      <c r="E10789">
        <v>3.7600000000000001E-2</v>
      </c>
      <c r="F10789">
        <v>9.5100000000000004E-2</v>
      </c>
    </row>
    <row r="10790" spans="1:6" x14ac:dyDescent="0.3">
      <c r="A10790" t="s">
        <v>10825</v>
      </c>
      <c r="B10790" t="s">
        <v>214</v>
      </c>
      <c r="C10790">
        <v>129000</v>
      </c>
      <c r="D10790">
        <v>3197.8</v>
      </c>
      <c r="E10790">
        <v>2.1999999999999999E-2</v>
      </c>
      <c r="F10790">
        <v>5.8500000000000003E-2</v>
      </c>
    </row>
    <row r="10791" spans="1:6" x14ac:dyDescent="0.3">
      <c r="A10791" t="s">
        <v>10826</v>
      </c>
      <c r="B10791" t="s">
        <v>214</v>
      </c>
      <c r="C10791">
        <v>122000</v>
      </c>
      <c r="D10791">
        <v>9365.4</v>
      </c>
      <c r="E10791">
        <v>1.95E-2</v>
      </c>
      <c r="F10791">
        <v>8.2400000000000001E-2</v>
      </c>
    </row>
    <row r="10792" spans="1:6" x14ac:dyDescent="0.3">
      <c r="A10792" t="s">
        <v>10827</v>
      </c>
      <c r="B10792" t="s">
        <v>53</v>
      </c>
      <c r="C10792">
        <v>136000</v>
      </c>
      <c r="D10792">
        <v>418.8</v>
      </c>
      <c r="E10792">
        <v>3.3099999999999997E-2</v>
      </c>
      <c r="F10792">
        <v>7.5899999999999995E-2</v>
      </c>
    </row>
    <row r="10793" spans="1:6" x14ac:dyDescent="0.3">
      <c r="A10793" t="s">
        <v>10828</v>
      </c>
      <c r="B10793" t="s">
        <v>41</v>
      </c>
      <c r="C10793">
        <v>289000</v>
      </c>
      <c r="D10793">
        <v>73396.899999999994</v>
      </c>
      <c r="E10793">
        <v>3.4200000000000001E-2</v>
      </c>
      <c r="F10793">
        <v>4.0899999999999999E-2</v>
      </c>
    </row>
    <row r="10794" spans="1:6" x14ac:dyDescent="0.3">
      <c r="A10794" t="s">
        <v>10829</v>
      </c>
      <c r="B10794" t="s">
        <v>88</v>
      </c>
      <c r="C10794">
        <v>145000</v>
      </c>
      <c r="D10794">
        <v>5462.2</v>
      </c>
      <c r="E10794">
        <v>5.3800000000000001E-2</v>
      </c>
      <c r="F10794">
        <v>7.5899999999999995E-2</v>
      </c>
    </row>
    <row r="10795" spans="1:6" x14ac:dyDescent="0.3">
      <c r="A10795" t="s">
        <v>10830</v>
      </c>
      <c r="B10795" t="s">
        <v>214</v>
      </c>
      <c r="C10795">
        <v>134000</v>
      </c>
      <c r="D10795">
        <v>842.2</v>
      </c>
      <c r="E10795">
        <v>2.3800000000000002E-2</v>
      </c>
      <c r="F10795">
        <v>4.0899999999999999E-2</v>
      </c>
    </row>
    <row r="10796" spans="1:6" x14ac:dyDescent="0.3">
      <c r="A10796" t="s">
        <v>10831</v>
      </c>
      <c r="B10796" t="s">
        <v>287</v>
      </c>
      <c r="C10796">
        <v>163000</v>
      </c>
      <c r="D10796">
        <v>983</v>
      </c>
      <c r="E10796">
        <v>2.3099999999999999E-2</v>
      </c>
      <c r="F10796">
        <v>0.13869999999999999</v>
      </c>
    </row>
    <row r="10797" spans="1:6" x14ac:dyDescent="0.3">
      <c r="A10797" t="s">
        <v>10832</v>
      </c>
      <c r="B10797" t="s">
        <v>214</v>
      </c>
      <c r="C10797">
        <v>140000</v>
      </c>
      <c r="D10797">
        <v>1685.8</v>
      </c>
      <c r="E10797">
        <v>1.2E-2</v>
      </c>
      <c r="F10797">
        <v>7.5700000000000003E-2</v>
      </c>
    </row>
    <row r="10798" spans="1:6" x14ac:dyDescent="0.3">
      <c r="A10798" t="s">
        <v>10833</v>
      </c>
      <c r="B10798" t="s">
        <v>26</v>
      </c>
      <c r="C10798">
        <v>120000</v>
      </c>
      <c r="D10798">
        <v>32338.5</v>
      </c>
      <c r="E10798">
        <v>3.3700000000000001E-2</v>
      </c>
      <c r="F10798">
        <v>9.5100000000000004E-2</v>
      </c>
    </row>
    <row r="10799" spans="1:6" x14ac:dyDescent="0.3">
      <c r="A10799" t="s">
        <v>10834</v>
      </c>
      <c r="B10799" t="s">
        <v>71</v>
      </c>
      <c r="C10799">
        <v>123000</v>
      </c>
      <c r="D10799">
        <v>16146.3</v>
      </c>
      <c r="E10799">
        <v>4.5699999999999998E-2</v>
      </c>
      <c r="F10799">
        <v>9.5100000000000004E-2</v>
      </c>
    </row>
    <row r="10800" spans="1:6" x14ac:dyDescent="0.3">
      <c r="A10800" t="s">
        <v>10835</v>
      </c>
      <c r="B10800" t="s">
        <v>88</v>
      </c>
      <c r="C10800">
        <v>335000</v>
      </c>
      <c r="D10800">
        <v>48336.3</v>
      </c>
      <c r="E10800">
        <v>1.44E-2</v>
      </c>
      <c r="F10800">
        <v>5.8500000000000003E-2</v>
      </c>
    </row>
    <row r="10801" spans="1:6" x14ac:dyDescent="0.3">
      <c r="A10801" t="s">
        <v>10836</v>
      </c>
      <c r="B10801" t="s">
        <v>214</v>
      </c>
      <c r="C10801">
        <v>124000</v>
      </c>
      <c r="D10801">
        <v>11909.9</v>
      </c>
      <c r="E10801">
        <v>4.5100000000000001E-2</v>
      </c>
      <c r="F10801">
        <v>9.5100000000000004E-2</v>
      </c>
    </row>
    <row r="10802" spans="1:6" x14ac:dyDescent="0.3">
      <c r="A10802" t="s">
        <v>10837</v>
      </c>
      <c r="B10802" t="s">
        <v>26</v>
      </c>
      <c r="C10802">
        <v>136000</v>
      </c>
      <c r="D10802">
        <v>17457.2</v>
      </c>
      <c r="E10802">
        <v>6.9800000000000001E-2</v>
      </c>
      <c r="F10802">
        <v>9.5100000000000004E-2</v>
      </c>
    </row>
    <row r="10803" spans="1:6" x14ac:dyDescent="0.3">
      <c r="A10803" t="s">
        <v>10838</v>
      </c>
      <c r="B10803" t="s">
        <v>26</v>
      </c>
      <c r="C10803">
        <v>433000</v>
      </c>
      <c r="D10803">
        <v>6105.8</v>
      </c>
      <c r="E10803">
        <v>4.2900000000000001E-2</v>
      </c>
      <c r="F10803">
        <v>9.3799999999999994E-2</v>
      </c>
    </row>
    <row r="10804" spans="1:6" x14ac:dyDescent="0.3">
      <c r="A10804" t="s">
        <v>10839</v>
      </c>
      <c r="B10804" t="s">
        <v>26</v>
      </c>
      <c r="C10804">
        <v>127000</v>
      </c>
      <c r="D10804">
        <v>3823.3</v>
      </c>
      <c r="E10804">
        <v>3.5000000000000003E-2</v>
      </c>
      <c r="F10804">
        <v>7.5899999999999995E-2</v>
      </c>
    </row>
    <row r="10805" spans="1:6" x14ac:dyDescent="0.3">
      <c r="A10805" t="s">
        <v>10840</v>
      </c>
      <c r="B10805" t="s">
        <v>92</v>
      </c>
      <c r="C10805">
        <v>129000</v>
      </c>
      <c r="D10805">
        <v>763.4</v>
      </c>
      <c r="E10805">
        <v>2.5700000000000001E-2</v>
      </c>
      <c r="F10805">
        <v>0.17100000000000001</v>
      </c>
    </row>
    <row r="10806" spans="1:6" x14ac:dyDescent="0.3">
      <c r="A10806" t="s">
        <v>10841</v>
      </c>
      <c r="B10806" t="s">
        <v>35</v>
      </c>
      <c r="C10806">
        <v>188000</v>
      </c>
      <c r="D10806">
        <v>24218.2</v>
      </c>
      <c r="E10806">
        <v>1.14E-2</v>
      </c>
      <c r="F10806">
        <v>0.15390000000000001</v>
      </c>
    </row>
    <row r="10807" spans="1:6" x14ac:dyDescent="0.3">
      <c r="A10807" t="s">
        <v>10842</v>
      </c>
      <c r="B10807" t="s">
        <v>24</v>
      </c>
      <c r="C10807">
        <v>152000</v>
      </c>
      <c r="D10807">
        <v>8903.7999999999993</v>
      </c>
      <c r="E10807">
        <v>5.8599999999999999E-2</v>
      </c>
      <c r="F10807">
        <v>7.5899999999999995E-2</v>
      </c>
    </row>
    <row r="10808" spans="1:6" x14ac:dyDescent="0.3">
      <c r="A10808" t="s">
        <v>10843</v>
      </c>
      <c r="B10808" t="s">
        <v>26</v>
      </c>
      <c r="C10808">
        <v>182000</v>
      </c>
      <c r="D10808">
        <v>654.9</v>
      </c>
      <c r="E10808">
        <v>2.1399999999999999E-2</v>
      </c>
      <c r="F10808">
        <v>9.3799999999999994E-2</v>
      </c>
    </row>
    <row r="10809" spans="1:6" x14ac:dyDescent="0.3">
      <c r="A10809" t="s">
        <v>10844</v>
      </c>
      <c r="B10809" t="s">
        <v>26</v>
      </c>
      <c r="C10809">
        <v>205000</v>
      </c>
      <c r="D10809">
        <v>2031.1</v>
      </c>
      <c r="E10809">
        <v>1.24E-2</v>
      </c>
      <c r="F10809">
        <v>8.2199999999999995E-2</v>
      </c>
    </row>
    <row r="10810" spans="1:6" x14ac:dyDescent="0.3">
      <c r="A10810" t="s">
        <v>10845</v>
      </c>
      <c r="B10810" t="s">
        <v>24</v>
      </c>
      <c r="C10810">
        <v>148000</v>
      </c>
      <c r="D10810">
        <v>1765.5</v>
      </c>
      <c r="E10810">
        <v>1.8800000000000001E-2</v>
      </c>
      <c r="F10810">
        <v>0.1067</v>
      </c>
    </row>
    <row r="10811" spans="1:6" x14ac:dyDescent="0.3">
      <c r="A10811" t="s">
        <v>10846</v>
      </c>
      <c r="B10811" t="s">
        <v>92</v>
      </c>
      <c r="C10811">
        <v>131000</v>
      </c>
      <c r="D10811">
        <v>83572</v>
      </c>
      <c r="E10811">
        <v>0.03</v>
      </c>
      <c r="F10811">
        <v>5.4600000000000003E-2</v>
      </c>
    </row>
    <row r="10812" spans="1:6" x14ac:dyDescent="0.3">
      <c r="A10812" t="s">
        <v>10847</v>
      </c>
      <c r="B10812" t="s">
        <v>26</v>
      </c>
      <c r="C10812">
        <v>159000</v>
      </c>
      <c r="D10812">
        <v>1735.7</v>
      </c>
      <c r="E10812">
        <v>2.9600000000000001E-2</v>
      </c>
      <c r="F10812">
        <v>9.3799999999999994E-2</v>
      </c>
    </row>
    <row r="10813" spans="1:6" x14ac:dyDescent="0.3">
      <c r="A10813" t="s">
        <v>10848</v>
      </c>
      <c r="B10813" t="s">
        <v>53</v>
      </c>
      <c r="C10813">
        <v>123000</v>
      </c>
      <c r="D10813">
        <v>12349.8</v>
      </c>
      <c r="E10813">
        <v>4.9599999999999998E-2</v>
      </c>
      <c r="F10813">
        <v>9.5100000000000004E-2</v>
      </c>
    </row>
    <row r="10814" spans="1:6" x14ac:dyDescent="0.3">
      <c r="A10814" t="s">
        <v>10849</v>
      </c>
      <c r="B10814" t="s">
        <v>50</v>
      </c>
      <c r="C10814">
        <v>135000</v>
      </c>
      <c r="D10814">
        <v>671.7</v>
      </c>
      <c r="E10814">
        <v>3.7199999999999997E-2</v>
      </c>
      <c r="F10814">
        <v>5.1700000000000003E-2</v>
      </c>
    </row>
    <row r="10815" spans="1:6" x14ac:dyDescent="0.3">
      <c r="A10815" t="s">
        <v>10850</v>
      </c>
      <c r="B10815" t="s">
        <v>26</v>
      </c>
      <c r="C10815">
        <v>123000</v>
      </c>
      <c r="D10815">
        <v>237054.8</v>
      </c>
      <c r="E10815">
        <v>8.6E-3</v>
      </c>
      <c r="F10815">
        <v>0.14710000000000001</v>
      </c>
    </row>
    <row r="10816" spans="1:6" x14ac:dyDescent="0.3">
      <c r="A10816" t="s">
        <v>10851</v>
      </c>
      <c r="B10816" t="s">
        <v>88</v>
      </c>
      <c r="C10816">
        <v>407000</v>
      </c>
      <c r="D10816">
        <v>1748.2</v>
      </c>
      <c r="E10816">
        <v>6.4299999999999996E-2</v>
      </c>
      <c r="F10816">
        <v>9.3799999999999994E-2</v>
      </c>
    </row>
    <row r="10817" spans="1:6" x14ac:dyDescent="0.3">
      <c r="A10817" t="s">
        <v>10852</v>
      </c>
      <c r="B10817" t="s">
        <v>71</v>
      </c>
      <c r="C10817">
        <v>129000</v>
      </c>
      <c r="D10817">
        <v>561.4</v>
      </c>
      <c r="E10817">
        <v>2.1499999999999998E-2</v>
      </c>
      <c r="F10817">
        <v>7.3499999999999996E-2</v>
      </c>
    </row>
    <row r="10818" spans="1:6" x14ac:dyDescent="0.3">
      <c r="A10818" t="s">
        <v>10853</v>
      </c>
      <c r="B10818" t="s">
        <v>88</v>
      </c>
      <c r="C10818">
        <v>123000</v>
      </c>
      <c r="D10818">
        <v>8804.9</v>
      </c>
      <c r="E10818">
        <v>1.1599999999999999E-2</v>
      </c>
      <c r="F10818">
        <v>0.1603</v>
      </c>
    </row>
    <row r="10819" spans="1:6" x14ac:dyDescent="0.3">
      <c r="A10819" t="s">
        <v>10854</v>
      </c>
      <c r="B10819" t="s">
        <v>41</v>
      </c>
      <c r="C10819">
        <v>122000</v>
      </c>
      <c r="D10819">
        <v>5922.3</v>
      </c>
      <c r="E10819">
        <v>1.84E-2</v>
      </c>
      <c r="F10819">
        <v>0.1067</v>
      </c>
    </row>
    <row r="10820" spans="1:6" x14ac:dyDescent="0.3">
      <c r="A10820" t="s">
        <v>10855</v>
      </c>
      <c r="B10820" t="s">
        <v>88</v>
      </c>
      <c r="C10820">
        <v>209000</v>
      </c>
      <c r="D10820">
        <v>4983.6000000000004</v>
      </c>
      <c r="E10820">
        <v>3.1E-2</v>
      </c>
      <c r="F10820">
        <v>0.11700000000000001</v>
      </c>
    </row>
    <row r="10821" spans="1:6" x14ac:dyDescent="0.3">
      <c r="A10821" t="s">
        <v>10856</v>
      </c>
      <c r="B10821" t="s">
        <v>92</v>
      </c>
      <c r="C10821">
        <v>153000</v>
      </c>
      <c r="D10821">
        <v>29107.9</v>
      </c>
      <c r="E10821">
        <v>1.7100000000000001E-2</v>
      </c>
      <c r="F10821">
        <v>5.8500000000000003E-2</v>
      </c>
    </row>
    <row r="10822" spans="1:6" x14ac:dyDescent="0.3">
      <c r="A10822" t="s">
        <v>10857</v>
      </c>
      <c r="B10822" t="s">
        <v>26</v>
      </c>
      <c r="C10822">
        <v>176000</v>
      </c>
      <c r="D10822">
        <v>73022.399999999994</v>
      </c>
      <c r="E10822">
        <v>2.5600000000000001E-2</v>
      </c>
      <c r="F10822">
        <v>9.5100000000000004E-2</v>
      </c>
    </row>
    <row r="10823" spans="1:6" x14ac:dyDescent="0.3">
      <c r="A10823" t="s">
        <v>10858</v>
      </c>
      <c r="B10823" t="s">
        <v>26</v>
      </c>
      <c r="C10823">
        <v>147000</v>
      </c>
      <c r="D10823">
        <v>41197.4</v>
      </c>
      <c r="E10823">
        <v>2.1899999999999999E-2</v>
      </c>
      <c r="F10823">
        <v>9.5100000000000004E-2</v>
      </c>
    </row>
    <row r="10824" spans="1:6" x14ac:dyDescent="0.3">
      <c r="A10824" t="s">
        <v>10859</v>
      </c>
      <c r="B10824" t="s">
        <v>195</v>
      </c>
      <c r="C10824">
        <v>121000</v>
      </c>
      <c r="D10824">
        <v>1096</v>
      </c>
      <c r="E10824">
        <v>6.4999999999999997E-3</v>
      </c>
      <c r="F10824">
        <v>8.2199999999999995E-2</v>
      </c>
    </row>
    <row r="10825" spans="1:6" x14ac:dyDescent="0.3">
      <c r="A10825" t="s">
        <v>10860</v>
      </c>
      <c r="B10825" t="s">
        <v>74</v>
      </c>
      <c r="C10825">
        <v>143000</v>
      </c>
      <c r="D10825">
        <v>1327.9</v>
      </c>
      <c r="E10825">
        <v>1.4999999999999999E-2</v>
      </c>
      <c r="F10825">
        <v>5.1999999999999998E-2</v>
      </c>
    </row>
    <row r="10826" spans="1:6" x14ac:dyDescent="0.3">
      <c r="A10826" t="s">
        <v>10861</v>
      </c>
      <c r="B10826" t="s">
        <v>26</v>
      </c>
      <c r="C10826">
        <v>123000</v>
      </c>
      <c r="D10826">
        <v>24598</v>
      </c>
      <c r="E10826">
        <v>2.5899999999999999E-2</v>
      </c>
      <c r="F10826">
        <v>0.1108</v>
      </c>
    </row>
    <row r="10827" spans="1:6" x14ac:dyDescent="0.3">
      <c r="A10827" t="s">
        <v>10862</v>
      </c>
      <c r="B10827" t="s">
        <v>24</v>
      </c>
      <c r="C10827">
        <v>168000</v>
      </c>
      <c r="D10827">
        <v>18372.900000000001</v>
      </c>
      <c r="E10827">
        <v>4.8500000000000001E-2</v>
      </c>
      <c r="F10827">
        <v>6.7199999999999996E-2</v>
      </c>
    </row>
    <row r="10828" spans="1:6" x14ac:dyDescent="0.3">
      <c r="A10828" t="s">
        <v>10863</v>
      </c>
      <c r="B10828" t="s">
        <v>214</v>
      </c>
      <c r="C10828">
        <v>121000</v>
      </c>
      <c r="D10828">
        <v>445.2</v>
      </c>
      <c r="E10828">
        <v>0.1023</v>
      </c>
      <c r="F10828">
        <v>7.5899999999999995E-2</v>
      </c>
    </row>
    <row r="10829" spans="1:6" x14ac:dyDescent="0.3">
      <c r="A10829" t="s">
        <v>10864</v>
      </c>
      <c r="B10829" t="s">
        <v>74</v>
      </c>
      <c r="C10829">
        <v>130000</v>
      </c>
      <c r="D10829">
        <v>28373.3</v>
      </c>
      <c r="E10829">
        <v>2.1600000000000001E-2</v>
      </c>
      <c r="F10829">
        <v>0.15329999999999999</v>
      </c>
    </row>
    <row r="10830" spans="1:6" x14ac:dyDescent="0.3">
      <c r="A10830" t="s">
        <v>10865</v>
      </c>
      <c r="B10830" t="s">
        <v>24</v>
      </c>
      <c r="C10830">
        <v>191000</v>
      </c>
      <c r="D10830">
        <v>7199</v>
      </c>
      <c r="E10830">
        <v>0.1333</v>
      </c>
      <c r="F10830">
        <v>8.3299999999999999E-2</v>
      </c>
    </row>
    <row r="10831" spans="1:6" x14ac:dyDescent="0.3">
      <c r="A10831" t="s">
        <v>10866</v>
      </c>
      <c r="B10831" t="s">
        <v>26</v>
      </c>
      <c r="C10831">
        <v>187000</v>
      </c>
      <c r="D10831">
        <v>22575.200000000001</v>
      </c>
      <c r="E10831">
        <v>3.7900000000000003E-2</v>
      </c>
      <c r="F10831">
        <v>7.5899999999999995E-2</v>
      </c>
    </row>
    <row r="10832" spans="1:6" x14ac:dyDescent="0.3">
      <c r="A10832" t="s">
        <v>10867</v>
      </c>
      <c r="B10832" t="s">
        <v>50</v>
      </c>
      <c r="C10832">
        <v>146000</v>
      </c>
      <c r="D10832">
        <v>5097.3999999999996</v>
      </c>
      <c r="E10832">
        <v>3.7699999999999997E-2</v>
      </c>
      <c r="F10832">
        <v>9.5100000000000004E-2</v>
      </c>
    </row>
    <row r="10833" spans="1:6" x14ac:dyDescent="0.3">
      <c r="A10833" t="s">
        <v>10868</v>
      </c>
      <c r="B10833" t="s">
        <v>41</v>
      </c>
      <c r="C10833">
        <v>136000</v>
      </c>
      <c r="D10833">
        <v>3713.5</v>
      </c>
      <c r="E10833">
        <v>6.1000000000000004E-3</v>
      </c>
      <c r="F10833">
        <v>6.54E-2</v>
      </c>
    </row>
    <row r="10834" spans="1:6" x14ac:dyDescent="0.3">
      <c r="A10834" t="s">
        <v>10869</v>
      </c>
      <c r="B10834" t="s">
        <v>26</v>
      </c>
      <c r="C10834">
        <v>131000</v>
      </c>
      <c r="D10834">
        <v>3110.3</v>
      </c>
      <c r="E10834">
        <v>3.0499999999999999E-2</v>
      </c>
      <c r="F10834">
        <v>7.5899999999999995E-2</v>
      </c>
    </row>
    <row r="10835" spans="1:6" x14ac:dyDescent="0.3">
      <c r="A10835" t="s">
        <v>10870</v>
      </c>
      <c r="B10835" t="s">
        <v>214</v>
      </c>
      <c r="C10835">
        <v>136000</v>
      </c>
      <c r="D10835">
        <v>1268</v>
      </c>
      <c r="E10835">
        <v>7.6E-3</v>
      </c>
      <c r="F10835">
        <v>8.2199999999999995E-2</v>
      </c>
    </row>
    <row r="10836" spans="1:6" x14ac:dyDescent="0.3">
      <c r="A10836" t="s">
        <v>10871</v>
      </c>
      <c r="B10836" t="s">
        <v>92</v>
      </c>
      <c r="C10836">
        <v>122000</v>
      </c>
      <c r="D10836">
        <v>1054.3</v>
      </c>
      <c r="E10836">
        <v>1.5900000000000001E-2</v>
      </c>
      <c r="F10836">
        <v>0.20760000000000001</v>
      </c>
    </row>
    <row r="10837" spans="1:6" x14ac:dyDescent="0.3">
      <c r="A10837" t="s">
        <v>10872</v>
      </c>
      <c r="B10837" t="s">
        <v>88</v>
      </c>
      <c r="C10837">
        <v>188000</v>
      </c>
      <c r="D10837">
        <v>26279.3</v>
      </c>
      <c r="E10837">
        <v>6.5299999999999997E-2</v>
      </c>
      <c r="F10837">
        <v>7.5899999999999995E-2</v>
      </c>
    </row>
    <row r="10838" spans="1:6" x14ac:dyDescent="0.3">
      <c r="A10838" t="s">
        <v>10873</v>
      </c>
      <c r="B10838" t="s">
        <v>26</v>
      </c>
      <c r="C10838">
        <v>226000</v>
      </c>
      <c r="D10838">
        <v>15792.1</v>
      </c>
      <c r="E10838">
        <v>6.1600000000000002E-2</v>
      </c>
      <c r="F10838">
        <v>7.5899999999999995E-2</v>
      </c>
    </row>
    <row r="10839" spans="1:6" x14ac:dyDescent="0.3">
      <c r="A10839" t="s">
        <v>10874</v>
      </c>
      <c r="B10839" t="s">
        <v>214</v>
      </c>
      <c r="C10839">
        <v>134000</v>
      </c>
      <c r="D10839">
        <v>941</v>
      </c>
      <c r="E10839">
        <v>2.07E-2</v>
      </c>
      <c r="F10839">
        <v>0.1053</v>
      </c>
    </row>
    <row r="10840" spans="1:6" x14ac:dyDescent="0.3">
      <c r="A10840" t="s">
        <v>10875</v>
      </c>
      <c r="B10840" t="s">
        <v>74</v>
      </c>
      <c r="C10840">
        <v>152000</v>
      </c>
      <c r="D10840">
        <v>860.7</v>
      </c>
      <c r="E10840">
        <v>2.4799999999999999E-2</v>
      </c>
      <c r="F10840">
        <v>5.0999999999999997E-2</v>
      </c>
    </row>
    <row r="10841" spans="1:6" x14ac:dyDescent="0.3">
      <c r="A10841" t="s">
        <v>10876</v>
      </c>
      <c r="B10841" t="s">
        <v>195</v>
      </c>
      <c r="C10841">
        <v>226000</v>
      </c>
      <c r="D10841">
        <v>1577.8</v>
      </c>
      <c r="E10841">
        <v>2.6700000000000002E-2</v>
      </c>
      <c r="F10841">
        <v>7.5899999999999995E-2</v>
      </c>
    </row>
    <row r="10842" spans="1:6" x14ac:dyDescent="0.3">
      <c r="A10842" t="s">
        <v>10877</v>
      </c>
      <c r="B10842" t="s">
        <v>24</v>
      </c>
      <c r="C10842">
        <v>351000</v>
      </c>
      <c r="D10842">
        <v>16838.900000000001</v>
      </c>
      <c r="E10842">
        <v>0.1183</v>
      </c>
      <c r="F10842">
        <v>9.3799999999999994E-2</v>
      </c>
    </row>
    <row r="10843" spans="1:6" x14ac:dyDescent="0.3">
      <c r="A10843" t="s">
        <v>10878</v>
      </c>
      <c r="B10843" t="s">
        <v>88</v>
      </c>
      <c r="C10843">
        <v>151000</v>
      </c>
      <c r="D10843">
        <v>1408.2</v>
      </c>
      <c r="E10843">
        <v>8.0299999999999996E-2</v>
      </c>
      <c r="F10843">
        <v>9.5100000000000004E-2</v>
      </c>
    </row>
    <row r="10844" spans="1:6" x14ac:dyDescent="0.3">
      <c r="A10844" t="s">
        <v>10879</v>
      </c>
      <c r="B10844" t="s">
        <v>71</v>
      </c>
      <c r="C10844">
        <v>153000</v>
      </c>
      <c r="D10844">
        <v>1273.8</v>
      </c>
      <c r="E10844">
        <v>1.14E-2</v>
      </c>
      <c r="F10844">
        <v>0.15390000000000001</v>
      </c>
    </row>
    <row r="10845" spans="1:6" x14ac:dyDescent="0.3">
      <c r="A10845" t="s">
        <v>10880</v>
      </c>
      <c r="B10845" t="s">
        <v>88</v>
      </c>
      <c r="C10845">
        <v>138000</v>
      </c>
      <c r="D10845">
        <v>202.7</v>
      </c>
      <c r="E10845">
        <v>8.1600000000000006E-2</v>
      </c>
      <c r="F10845">
        <v>7.5899999999999995E-2</v>
      </c>
    </row>
    <row r="10846" spans="1:6" x14ac:dyDescent="0.3">
      <c r="A10846" t="s">
        <v>10881</v>
      </c>
      <c r="B10846" t="s">
        <v>490</v>
      </c>
      <c r="C10846">
        <v>120000</v>
      </c>
      <c r="D10846">
        <v>518.5</v>
      </c>
      <c r="E10846">
        <v>3.4799999999999998E-2</v>
      </c>
      <c r="F10846">
        <v>9.5100000000000004E-2</v>
      </c>
    </row>
    <row r="10847" spans="1:6" x14ac:dyDescent="0.3">
      <c r="A10847" t="s">
        <v>10882</v>
      </c>
      <c r="B10847" t="s">
        <v>71</v>
      </c>
      <c r="C10847">
        <v>157000</v>
      </c>
      <c r="D10847">
        <v>21071.4</v>
      </c>
      <c r="E10847">
        <v>7.6399999999999996E-2</v>
      </c>
      <c r="F10847">
        <v>7.5899999999999995E-2</v>
      </c>
    </row>
    <row r="10848" spans="1:6" x14ac:dyDescent="0.3">
      <c r="A10848" t="s">
        <v>10883</v>
      </c>
      <c r="B10848" t="s">
        <v>26</v>
      </c>
      <c r="C10848">
        <v>128000</v>
      </c>
      <c r="D10848">
        <v>10310.799999999999</v>
      </c>
      <c r="E10848">
        <v>4.24E-2</v>
      </c>
      <c r="F10848">
        <v>9.5100000000000004E-2</v>
      </c>
    </row>
    <row r="10849" spans="1:6" x14ac:dyDescent="0.3">
      <c r="A10849" t="s">
        <v>10884</v>
      </c>
      <c r="B10849" t="s">
        <v>53</v>
      </c>
      <c r="C10849">
        <v>127000</v>
      </c>
      <c r="D10849">
        <v>1913.2</v>
      </c>
      <c r="E10849">
        <v>9.8500000000000004E-2</v>
      </c>
      <c r="F10849">
        <v>9.3799999999999994E-2</v>
      </c>
    </row>
    <row r="10850" spans="1:6" x14ac:dyDescent="0.3">
      <c r="A10850" t="s">
        <v>10885</v>
      </c>
      <c r="B10850" t="s">
        <v>26</v>
      </c>
      <c r="C10850">
        <v>181000</v>
      </c>
      <c r="D10850">
        <v>13126.3</v>
      </c>
      <c r="E10850">
        <v>1.1900000000000001E-2</v>
      </c>
      <c r="F10850">
        <v>7.3599999999999999E-2</v>
      </c>
    </row>
    <row r="10851" spans="1:6" x14ac:dyDescent="0.3">
      <c r="A10851" t="s">
        <v>10886</v>
      </c>
      <c r="B10851" t="s">
        <v>88</v>
      </c>
      <c r="C10851">
        <v>120000</v>
      </c>
      <c r="D10851">
        <v>672.7</v>
      </c>
      <c r="E10851">
        <v>3.8300000000000001E-2</v>
      </c>
      <c r="F10851">
        <v>9.98E-2</v>
      </c>
    </row>
    <row r="10852" spans="1:6" x14ac:dyDescent="0.3">
      <c r="A10852" t="s">
        <v>10887</v>
      </c>
      <c r="B10852" t="s">
        <v>26</v>
      </c>
      <c r="C10852">
        <v>124000</v>
      </c>
      <c r="D10852">
        <v>18209.400000000001</v>
      </c>
      <c r="E10852">
        <v>3.61E-2</v>
      </c>
      <c r="F10852">
        <v>9.5100000000000004E-2</v>
      </c>
    </row>
    <row r="10853" spans="1:6" x14ac:dyDescent="0.3">
      <c r="A10853" t="s">
        <v>10888</v>
      </c>
      <c r="B10853" t="s">
        <v>71</v>
      </c>
      <c r="C10853">
        <v>118000</v>
      </c>
      <c r="D10853">
        <v>11620.6</v>
      </c>
      <c r="E10853">
        <v>7.4000000000000003E-3</v>
      </c>
      <c r="F10853">
        <v>8.2199999999999995E-2</v>
      </c>
    </row>
    <row r="10854" spans="1:6" x14ac:dyDescent="0.3">
      <c r="A10854" t="s">
        <v>10889</v>
      </c>
      <c r="B10854" t="s">
        <v>74</v>
      </c>
      <c r="C10854">
        <v>132000</v>
      </c>
      <c r="D10854">
        <v>1453.5</v>
      </c>
      <c r="E10854">
        <v>2.2200000000000001E-2</v>
      </c>
      <c r="F10854">
        <v>5.8400000000000001E-2</v>
      </c>
    </row>
    <row r="10855" spans="1:6" x14ac:dyDescent="0.3">
      <c r="A10855" t="s">
        <v>10890</v>
      </c>
      <c r="B10855" t="s">
        <v>41</v>
      </c>
      <c r="C10855">
        <v>205000</v>
      </c>
      <c r="D10855">
        <v>8258</v>
      </c>
      <c r="E10855">
        <v>2.3199999999999998E-2</v>
      </c>
      <c r="F10855">
        <v>9.5000000000000001E-2</v>
      </c>
    </row>
    <row r="10856" spans="1:6" x14ac:dyDescent="0.3">
      <c r="A10856" t="s">
        <v>10891</v>
      </c>
      <c r="B10856" t="s">
        <v>88</v>
      </c>
      <c r="C10856">
        <v>126000</v>
      </c>
      <c r="D10856">
        <v>380.3</v>
      </c>
      <c r="E10856">
        <v>1.84E-2</v>
      </c>
      <c r="F10856">
        <v>9.5100000000000004E-2</v>
      </c>
    </row>
    <row r="10857" spans="1:6" x14ac:dyDescent="0.3">
      <c r="A10857" t="s">
        <v>10892</v>
      </c>
      <c r="B10857" t="s">
        <v>195</v>
      </c>
      <c r="C10857">
        <v>121000</v>
      </c>
      <c r="D10857">
        <v>70210</v>
      </c>
      <c r="E10857">
        <v>2.29E-2</v>
      </c>
      <c r="F10857">
        <v>5.8500000000000003E-2</v>
      </c>
    </row>
    <row r="10858" spans="1:6" x14ac:dyDescent="0.3">
      <c r="A10858" t="s">
        <v>10893</v>
      </c>
      <c r="B10858" t="s">
        <v>26</v>
      </c>
      <c r="C10858">
        <v>208000</v>
      </c>
      <c r="D10858">
        <v>22826.7</v>
      </c>
      <c r="E10858">
        <v>3.3000000000000002E-2</v>
      </c>
      <c r="F10858">
        <v>7.5899999999999995E-2</v>
      </c>
    </row>
    <row r="10859" spans="1:6" x14ac:dyDescent="0.3">
      <c r="A10859" t="s">
        <v>10894</v>
      </c>
      <c r="B10859" t="s">
        <v>26</v>
      </c>
      <c r="C10859">
        <v>139000</v>
      </c>
      <c r="D10859">
        <v>123.4</v>
      </c>
      <c r="E10859">
        <v>3.0099999999999998E-2</v>
      </c>
      <c r="F10859">
        <v>0.11609999999999999</v>
      </c>
    </row>
    <row r="10860" spans="1:6" x14ac:dyDescent="0.3">
      <c r="A10860" t="s">
        <v>10895</v>
      </c>
      <c r="B10860" t="s">
        <v>92</v>
      </c>
      <c r="C10860">
        <v>157000</v>
      </c>
      <c r="D10860">
        <v>7113.9</v>
      </c>
      <c r="E10860">
        <v>1.8800000000000001E-2</v>
      </c>
      <c r="F10860">
        <v>4.6199999999999998E-2</v>
      </c>
    </row>
    <row r="10861" spans="1:6" x14ac:dyDescent="0.3">
      <c r="A10861" t="s">
        <v>10896</v>
      </c>
      <c r="B10861" t="s">
        <v>41</v>
      </c>
      <c r="C10861">
        <v>182000</v>
      </c>
      <c r="D10861">
        <v>640.4</v>
      </c>
      <c r="E10861">
        <v>3.2399999999999998E-2</v>
      </c>
      <c r="F10861">
        <v>9.3799999999999994E-2</v>
      </c>
    </row>
    <row r="10862" spans="1:6" x14ac:dyDescent="0.3">
      <c r="A10862" t="s">
        <v>10897</v>
      </c>
      <c r="B10862" t="s">
        <v>26</v>
      </c>
      <c r="C10862">
        <v>336000</v>
      </c>
      <c r="D10862">
        <v>20012.5</v>
      </c>
      <c r="E10862">
        <v>6.7599999999999993E-2</v>
      </c>
      <c r="F10862">
        <v>9.3799999999999994E-2</v>
      </c>
    </row>
    <row r="10863" spans="1:6" x14ac:dyDescent="0.3">
      <c r="A10863" t="s">
        <v>10898</v>
      </c>
      <c r="B10863" t="s">
        <v>74</v>
      </c>
      <c r="C10863">
        <v>168000</v>
      </c>
      <c r="D10863">
        <v>3588.5</v>
      </c>
      <c r="E10863">
        <v>4.41E-2</v>
      </c>
      <c r="F10863">
        <v>7.5899999999999995E-2</v>
      </c>
    </row>
    <row r="10864" spans="1:6" x14ac:dyDescent="0.3">
      <c r="A10864" t="s">
        <v>10899</v>
      </c>
      <c r="B10864" t="s">
        <v>88</v>
      </c>
      <c r="C10864">
        <v>138000</v>
      </c>
      <c r="D10864">
        <v>4751.3</v>
      </c>
      <c r="E10864">
        <v>1.0999999999999999E-2</v>
      </c>
      <c r="F10864">
        <v>8.6599999999999996E-2</v>
      </c>
    </row>
    <row r="10865" spans="1:6" x14ac:dyDescent="0.3">
      <c r="A10865" t="s">
        <v>10900</v>
      </c>
      <c r="B10865" t="s">
        <v>81</v>
      </c>
      <c r="C10865">
        <v>212000</v>
      </c>
      <c r="D10865">
        <v>21134.9</v>
      </c>
      <c r="E10865">
        <v>2.4299999999999999E-2</v>
      </c>
      <c r="F10865">
        <v>7.5899999999999995E-2</v>
      </c>
    </row>
    <row r="10866" spans="1:6" x14ac:dyDescent="0.3">
      <c r="A10866" t="s">
        <v>10901</v>
      </c>
      <c r="B10866" t="s">
        <v>26</v>
      </c>
      <c r="C10866">
        <v>144000</v>
      </c>
      <c r="D10866">
        <v>5049.5</v>
      </c>
      <c r="E10866">
        <v>1.83E-2</v>
      </c>
      <c r="F10866">
        <v>4.0899999999999999E-2</v>
      </c>
    </row>
    <row r="10867" spans="1:6" x14ac:dyDescent="0.3">
      <c r="A10867" t="s">
        <v>10902</v>
      </c>
      <c r="B10867" t="s">
        <v>81</v>
      </c>
      <c r="C10867">
        <v>178000</v>
      </c>
      <c r="D10867">
        <v>21127</v>
      </c>
      <c r="E10867">
        <v>2.5100000000000001E-2</v>
      </c>
      <c r="F10867">
        <v>6.7199999999999996E-2</v>
      </c>
    </row>
    <row r="10868" spans="1:6" x14ac:dyDescent="0.3">
      <c r="A10868" t="s">
        <v>10903</v>
      </c>
      <c r="B10868" t="s">
        <v>92</v>
      </c>
      <c r="C10868">
        <v>305000</v>
      </c>
      <c r="D10868">
        <v>63164.3</v>
      </c>
      <c r="E10868">
        <v>1.04E-2</v>
      </c>
      <c r="F10868">
        <v>6.8900000000000003E-2</v>
      </c>
    </row>
    <row r="10869" spans="1:6" x14ac:dyDescent="0.3">
      <c r="A10869" t="s">
        <v>10904</v>
      </c>
      <c r="B10869" t="s">
        <v>26</v>
      </c>
      <c r="C10869">
        <v>165000</v>
      </c>
      <c r="D10869">
        <v>47364.7</v>
      </c>
      <c r="E10869">
        <v>4.6800000000000001E-2</v>
      </c>
      <c r="F10869">
        <v>7.5899999999999995E-2</v>
      </c>
    </row>
    <row r="10870" spans="1:6" x14ac:dyDescent="0.3">
      <c r="A10870" t="s">
        <v>10905</v>
      </c>
      <c r="B10870" t="s">
        <v>74</v>
      </c>
      <c r="C10870">
        <v>172000</v>
      </c>
      <c r="D10870">
        <v>5242.3999999999996</v>
      </c>
      <c r="E10870">
        <v>6.5799999999999997E-2</v>
      </c>
      <c r="F10870">
        <v>9.5100000000000004E-2</v>
      </c>
    </row>
    <row r="10871" spans="1:6" x14ac:dyDescent="0.3">
      <c r="A10871" t="s">
        <v>10906</v>
      </c>
      <c r="B10871" t="s">
        <v>26</v>
      </c>
      <c r="C10871">
        <v>135000</v>
      </c>
      <c r="D10871">
        <v>481559.9</v>
      </c>
      <c r="E10871">
        <v>4.2200000000000001E-2</v>
      </c>
      <c r="F10871">
        <v>9.5100000000000004E-2</v>
      </c>
    </row>
    <row r="10872" spans="1:6" x14ac:dyDescent="0.3">
      <c r="A10872" t="s">
        <v>10907</v>
      </c>
      <c r="B10872" t="s">
        <v>41</v>
      </c>
      <c r="C10872">
        <v>313000</v>
      </c>
      <c r="D10872">
        <v>137.30000000000001</v>
      </c>
      <c r="E10872">
        <v>2.4899999999999999E-2</v>
      </c>
      <c r="F10872">
        <v>0.13719999999999999</v>
      </c>
    </row>
    <row r="10873" spans="1:6" x14ac:dyDescent="0.3">
      <c r="A10873" t="s">
        <v>10908</v>
      </c>
      <c r="B10873" t="s">
        <v>81</v>
      </c>
      <c r="C10873">
        <v>202000</v>
      </c>
      <c r="D10873">
        <v>1644.9</v>
      </c>
      <c r="E10873">
        <v>4.6600000000000003E-2</v>
      </c>
      <c r="F10873">
        <v>7.5899999999999995E-2</v>
      </c>
    </row>
    <row r="10874" spans="1:6" x14ac:dyDescent="0.3">
      <c r="A10874" t="s">
        <v>10909</v>
      </c>
      <c r="B10874" t="s">
        <v>41</v>
      </c>
      <c r="C10874">
        <v>129000</v>
      </c>
      <c r="D10874">
        <v>352932.4</v>
      </c>
      <c r="F10874">
        <v>5.1799999999999999E-2</v>
      </c>
    </row>
    <row r="10875" spans="1:6" x14ac:dyDescent="0.3">
      <c r="A10875" t="s">
        <v>10910</v>
      </c>
      <c r="B10875" t="s">
        <v>74</v>
      </c>
      <c r="C10875">
        <v>124000</v>
      </c>
      <c r="D10875">
        <v>1209.5999999999999</v>
      </c>
      <c r="E10875">
        <v>0.11020000000000001</v>
      </c>
      <c r="F10875">
        <v>4.0899999999999999E-2</v>
      </c>
    </row>
    <row r="10876" spans="1:6" x14ac:dyDescent="0.3">
      <c r="A10876" t="s">
        <v>10911</v>
      </c>
      <c r="B10876" t="s">
        <v>74</v>
      </c>
      <c r="C10876">
        <v>509000</v>
      </c>
      <c r="D10876">
        <v>44741.4</v>
      </c>
      <c r="E10876">
        <v>5.4300000000000001E-2</v>
      </c>
      <c r="F10876">
        <v>7.5899999999999995E-2</v>
      </c>
    </row>
    <row r="10877" spans="1:6" x14ac:dyDescent="0.3">
      <c r="A10877" t="s">
        <v>10912</v>
      </c>
      <c r="B10877" t="s">
        <v>26</v>
      </c>
      <c r="C10877">
        <v>119000</v>
      </c>
      <c r="D10877">
        <v>373.3</v>
      </c>
      <c r="E10877">
        <v>2.9899999999999999E-2</v>
      </c>
      <c r="F10877">
        <v>9.5100000000000004E-2</v>
      </c>
    </row>
    <row r="10878" spans="1:6" x14ac:dyDescent="0.3">
      <c r="A10878" t="s">
        <v>10913</v>
      </c>
      <c r="B10878" t="s">
        <v>26</v>
      </c>
      <c r="C10878">
        <v>280000</v>
      </c>
      <c r="D10878">
        <v>5866.2</v>
      </c>
      <c r="F10878">
        <v>4.0899999999999999E-2</v>
      </c>
    </row>
    <row r="10879" spans="1:6" x14ac:dyDescent="0.3">
      <c r="A10879" t="s">
        <v>10914</v>
      </c>
      <c r="B10879" t="s">
        <v>88</v>
      </c>
      <c r="C10879">
        <v>180000</v>
      </c>
      <c r="D10879">
        <v>5075.6000000000004</v>
      </c>
      <c r="E10879">
        <v>2.6200000000000001E-2</v>
      </c>
      <c r="F10879">
        <v>9.5100000000000004E-2</v>
      </c>
    </row>
    <row r="10880" spans="1:6" x14ac:dyDescent="0.3">
      <c r="A10880" t="s">
        <v>10915</v>
      </c>
      <c r="B10880" t="s">
        <v>50</v>
      </c>
      <c r="C10880">
        <v>136000</v>
      </c>
      <c r="D10880">
        <v>9397.7000000000007</v>
      </c>
      <c r="E10880">
        <v>2.7799999999999998E-2</v>
      </c>
      <c r="F10880">
        <v>7.5899999999999995E-2</v>
      </c>
    </row>
    <row r="10881" spans="1:6" x14ac:dyDescent="0.3">
      <c r="A10881" t="s">
        <v>10916</v>
      </c>
      <c r="B10881" t="s">
        <v>71</v>
      </c>
      <c r="C10881">
        <v>120000</v>
      </c>
      <c r="D10881">
        <v>343.6</v>
      </c>
      <c r="E10881">
        <v>1.9300000000000001E-2</v>
      </c>
      <c r="F10881">
        <v>5.8500000000000003E-2</v>
      </c>
    </row>
    <row r="10882" spans="1:6" x14ac:dyDescent="0.3">
      <c r="A10882" t="s">
        <v>10917</v>
      </c>
      <c r="B10882" t="s">
        <v>88</v>
      </c>
      <c r="C10882">
        <v>138000</v>
      </c>
      <c r="D10882">
        <v>485.9</v>
      </c>
      <c r="E10882">
        <v>2.0199999999999999E-2</v>
      </c>
      <c r="F10882">
        <v>8.5400000000000004E-2</v>
      </c>
    </row>
    <row r="10883" spans="1:6" x14ac:dyDescent="0.3">
      <c r="A10883" t="s">
        <v>10918</v>
      </c>
      <c r="B10883" t="s">
        <v>26</v>
      </c>
      <c r="C10883">
        <v>133000</v>
      </c>
      <c r="D10883">
        <v>123970.8</v>
      </c>
      <c r="E10883">
        <v>2.53E-2</v>
      </c>
      <c r="F10883">
        <v>5.2200000000000003E-2</v>
      </c>
    </row>
    <row r="10884" spans="1:6" x14ac:dyDescent="0.3">
      <c r="A10884" t="s">
        <v>10919</v>
      </c>
      <c r="B10884" t="s">
        <v>195</v>
      </c>
      <c r="C10884">
        <v>124000</v>
      </c>
      <c r="D10884">
        <v>975.1</v>
      </c>
      <c r="E10884">
        <v>4.5999999999999999E-2</v>
      </c>
      <c r="F10884">
        <v>9.5100000000000004E-2</v>
      </c>
    </row>
    <row r="10885" spans="1:6" x14ac:dyDescent="0.3">
      <c r="A10885" t="s">
        <v>10920</v>
      </c>
      <c r="B10885" t="s">
        <v>214</v>
      </c>
      <c r="C10885">
        <v>163000</v>
      </c>
      <c r="D10885">
        <v>23467.4</v>
      </c>
      <c r="E10885">
        <v>1.89E-2</v>
      </c>
      <c r="F10885">
        <v>8.5400000000000004E-2</v>
      </c>
    </row>
    <row r="10886" spans="1:6" x14ac:dyDescent="0.3">
      <c r="A10886" t="s">
        <v>10921</v>
      </c>
      <c r="B10886" t="s">
        <v>214</v>
      </c>
      <c r="C10886">
        <v>126000</v>
      </c>
      <c r="D10886">
        <v>51.9</v>
      </c>
      <c r="E10886">
        <v>1.4999999999999999E-2</v>
      </c>
      <c r="F10886">
        <v>0.13900000000000001</v>
      </c>
    </row>
    <row r="10887" spans="1:6" x14ac:dyDescent="0.3">
      <c r="A10887" t="s">
        <v>10922</v>
      </c>
      <c r="B10887" t="s">
        <v>62</v>
      </c>
      <c r="C10887">
        <v>639000</v>
      </c>
      <c r="D10887">
        <v>162039.79999999999</v>
      </c>
      <c r="E10887">
        <v>2.64E-2</v>
      </c>
      <c r="F10887">
        <v>4.0899999999999999E-2</v>
      </c>
    </row>
    <row r="10888" spans="1:6" x14ac:dyDescent="0.3">
      <c r="A10888" t="s">
        <v>10923</v>
      </c>
      <c r="B10888" t="s">
        <v>287</v>
      </c>
      <c r="C10888">
        <v>126000</v>
      </c>
      <c r="D10888">
        <v>7633.7</v>
      </c>
      <c r="E10888">
        <v>2.7400000000000001E-2</v>
      </c>
      <c r="F10888">
        <v>9.5100000000000004E-2</v>
      </c>
    </row>
    <row r="10889" spans="1:6" x14ac:dyDescent="0.3">
      <c r="A10889" t="s">
        <v>10924</v>
      </c>
      <c r="B10889" t="s">
        <v>26</v>
      </c>
      <c r="C10889">
        <v>148000</v>
      </c>
      <c r="D10889">
        <v>560.29999999999995</v>
      </c>
      <c r="E10889">
        <v>2.1000000000000001E-2</v>
      </c>
      <c r="F10889">
        <v>0.1119</v>
      </c>
    </row>
    <row r="10890" spans="1:6" x14ac:dyDescent="0.3">
      <c r="A10890" t="s">
        <v>10925</v>
      </c>
      <c r="B10890" t="s">
        <v>50</v>
      </c>
      <c r="C10890">
        <v>125000</v>
      </c>
      <c r="D10890">
        <v>81198</v>
      </c>
      <c r="E10890">
        <v>5.2900000000000003E-2</v>
      </c>
      <c r="F10890">
        <v>9.5100000000000004E-2</v>
      </c>
    </row>
    <row r="10891" spans="1:6" x14ac:dyDescent="0.3">
      <c r="A10891" t="s">
        <v>10926</v>
      </c>
      <c r="B10891" t="s">
        <v>26</v>
      </c>
      <c r="C10891">
        <v>136000</v>
      </c>
      <c r="D10891">
        <v>8722.9</v>
      </c>
      <c r="E10891">
        <v>4.3299999999999998E-2</v>
      </c>
      <c r="F10891">
        <v>9.5100000000000004E-2</v>
      </c>
    </row>
    <row r="10892" spans="1:6" x14ac:dyDescent="0.3">
      <c r="A10892" t="s">
        <v>10927</v>
      </c>
      <c r="B10892" t="s">
        <v>26</v>
      </c>
      <c r="C10892">
        <v>135000</v>
      </c>
      <c r="D10892">
        <v>1763.8</v>
      </c>
      <c r="E10892">
        <v>1.9900000000000001E-2</v>
      </c>
      <c r="F10892">
        <v>0.1067</v>
      </c>
    </row>
    <row r="10893" spans="1:6" x14ac:dyDescent="0.3">
      <c r="A10893" t="s">
        <v>10928</v>
      </c>
      <c r="B10893" t="s">
        <v>50</v>
      </c>
      <c r="C10893">
        <v>185000</v>
      </c>
      <c r="D10893">
        <v>264.39999999999998</v>
      </c>
      <c r="E10893">
        <v>2.4400000000000002E-2</v>
      </c>
      <c r="F10893">
        <v>9.5100000000000004E-2</v>
      </c>
    </row>
    <row r="10894" spans="1:6" x14ac:dyDescent="0.3">
      <c r="A10894" t="s">
        <v>10929</v>
      </c>
      <c r="B10894" t="s">
        <v>50</v>
      </c>
      <c r="C10894">
        <v>126000</v>
      </c>
      <c r="D10894">
        <v>768.8</v>
      </c>
      <c r="F10894">
        <v>7.5899999999999995E-2</v>
      </c>
    </row>
    <row r="10895" spans="1:6" x14ac:dyDescent="0.3">
      <c r="A10895" t="s">
        <v>10930</v>
      </c>
      <c r="B10895" t="s">
        <v>41</v>
      </c>
      <c r="C10895">
        <v>159000</v>
      </c>
      <c r="D10895">
        <v>1342.4</v>
      </c>
      <c r="E10895">
        <v>1.46E-2</v>
      </c>
      <c r="F10895">
        <v>5.8400000000000001E-2</v>
      </c>
    </row>
    <row r="10896" spans="1:6" x14ac:dyDescent="0.3">
      <c r="A10896" t="s">
        <v>10931</v>
      </c>
      <c r="B10896" t="s">
        <v>92</v>
      </c>
      <c r="C10896">
        <v>143000</v>
      </c>
      <c r="D10896">
        <v>24597.8</v>
      </c>
      <c r="E10896">
        <v>1.95E-2</v>
      </c>
      <c r="F10896">
        <v>0.1067</v>
      </c>
    </row>
    <row r="10897" spans="1:6" x14ac:dyDescent="0.3">
      <c r="A10897" t="s">
        <v>10932</v>
      </c>
      <c r="B10897" t="s">
        <v>26</v>
      </c>
      <c r="C10897">
        <v>165000</v>
      </c>
      <c r="D10897">
        <v>17564.099999999999</v>
      </c>
      <c r="E10897">
        <v>3.2300000000000002E-2</v>
      </c>
      <c r="F10897">
        <v>7.5899999999999995E-2</v>
      </c>
    </row>
    <row r="10898" spans="1:6" x14ac:dyDescent="0.3">
      <c r="A10898" t="s">
        <v>10933</v>
      </c>
      <c r="B10898" t="s">
        <v>24</v>
      </c>
      <c r="C10898">
        <v>142000</v>
      </c>
      <c r="D10898">
        <v>3403.3</v>
      </c>
      <c r="E10898">
        <v>2.5100000000000001E-2</v>
      </c>
      <c r="F10898">
        <v>9.5100000000000004E-2</v>
      </c>
    </row>
    <row r="10899" spans="1:6" x14ac:dyDescent="0.3">
      <c r="A10899" t="s">
        <v>10934</v>
      </c>
      <c r="B10899" t="s">
        <v>74</v>
      </c>
      <c r="C10899">
        <v>122000</v>
      </c>
      <c r="D10899">
        <v>413</v>
      </c>
      <c r="F10899">
        <v>9.5100000000000004E-2</v>
      </c>
    </row>
    <row r="10900" spans="1:6" x14ac:dyDescent="0.3">
      <c r="A10900" t="s">
        <v>10935</v>
      </c>
      <c r="B10900" t="s">
        <v>53</v>
      </c>
      <c r="C10900">
        <v>143000</v>
      </c>
      <c r="D10900">
        <v>5051.1000000000004</v>
      </c>
      <c r="E10900">
        <v>8.1799999999999998E-2</v>
      </c>
      <c r="F10900">
        <v>7.5899999999999995E-2</v>
      </c>
    </row>
    <row r="10901" spans="1:6" x14ac:dyDescent="0.3">
      <c r="A10901" t="s">
        <v>10936</v>
      </c>
      <c r="B10901" t="s">
        <v>26</v>
      </c>
      <c r="C10901">
        <v>226000</v>
      </c>
      <c r="D10901">
        <v>138574.20000000001</v>
      </c>
      <c r="E10901">
        <v>2.5399999999999999E-2</v>
      </c>
      <c r="F10901">
        <v>4.0899999999999999E-2</v>
      </c>
    </row>
    <row r="10902" spans="1:6" x14ac:dyDescent="0.3">
      <c r="A10902" t="s">
        <v>10937</v>
      </c>
      <c r="B10902" t="s">
        <v>24</v>
      </c>
      <c r="C10902">
        <v>121000</v>
      </c>
      <c r="D10902">
        <v>434022</v>
      </c>
      <c r="E10902">
        <v>3.7999999999999999E-2</v>
      </c>
      <c r="F10902">
        <v>9.5100000000000004E-2</v>
      </c>
    </row>
    <row r="10903" spans="1:6" x14ac:dyDescent="0.3">
      <c r="A10903" t="s">
        <v>10938</v>
      </c>
      <c r="B10903" t="s">
        <v>26</v>
      </c>
      <c r="C10903">
        <v>133000</v>
      </c>
      <c r="D10903">
        <v>17314.400000000001</v>
      </c>
      <c r="E10903">
        <v>6.6600000000000006E-2</v>
      </c>
      <c r="F10903">
        <v>9.5100000000000004E-2</v>
      </c>
    </row>
    <row r="10904" spans="1:6" x14ac:dyDescent="0.3">
      <c r="A10904" t="s">
        <v>10939</v>
      </c>
      <c r="B10904" t="s">
        <v>88</v>
      </c>
      <c r="C10904">
        <v>119000</v>
      </c>
      <c r="D10904">
        <v>374.7</v>
      </c>
      <c r="E10904">
        <v>4.7100000000000003E-2</v>
      </c>
      <c r="F10904">
        <v>9.5100000000000004E-2</v>
      </c>
    </row>
    <row r="10905" spans="1:6" x14ac:dyDescent="0.3">
      <c r="A10905" t="s">
        <v>10940</v>
      </c>
      <c r="B10905" t="s">
        <v>26</v>
      </c>
      <c r="C10905">
        <v>137000</v>
      </c>
      <c r="D10905">
        <v>668</v>
      </c>
      <c r="E10905">
        <v>0.01</v>
      </c>
      <c r="F10905">
        <v>0.18659999999999999</v>
      </c>
    </row>
    <row r="10906" spans="1:6" x14ac:dyDescent="0.3">
      <c r="A10906" t="s">
        <v>10941</v>
      </c>
      <c r="B10906" t="s">
        <v>214</v>
      </c>
      <c r="C10906">
        <v>166000</v>
      </c>
      <c r="D10906">
        <v>30406.5</v>
      </c>
      <c r="F10906">
        <v>4.0899999999999999E-2</v>
      </c>
    </row>
    <row r="10907" spans="1:6" x14ac:dyDescent="0.3">
      <c r="A10907" t="s">
        <v>10942</v>
      </c>
      <c r="B10907" t="s">
        <v>30</v>
      </c>
      <c r="C10907">
        <v>186000</v>
      </c>
      <c r="D10907">
        <v>105053.2</v>
      </c>
      <c r="E10907">
        <v>1.29E-2</v>
      </c>
      <c r="F10907">
        <v>5.8400000000000001E-2</v>
      </c>
    </row>
    <row r="10908" spans="1:6" x14ac:dyDescent="0.3">
      <c r="A10908" t="s">
        <v>10943</v>
      </c>
      <c r="B10908" t="s">
        <v>21</v>
      </c>
      <c r="C10908">
        <v>249000</v>
      </c>
      <c r="D10908">
        <v>8860.1</v>
      </c>
      <c r="E10908">
        <v>3.2399999999999998E-2</v>
      </c>
      <c r="F10908">
        <v>9.5100000000000004E-2</v>
      </c>
    </row>
    <row r="10909" spans="1:6" x14ac:dyDescent="0.3">
      <c r="A10909" t="s">
        <v>10944</v>
      </c>
      <c r="B10909" t="s">
        <v>74</v>
      </c>
      <c r="C10909">
        <v>195000</v>
      </c>
      <c r="D10909">
        <v>9600.4</v>
      </c>
      <c r="E10909">
        <v>3.4599999999999999E-2</v>
      </c>
      <c r="F10909">
        <v>7.5899999999999995E-2</v>
      </c>
    </row>
    <row r="10910" spans="1:6" x14ac:dyDescent="0.3">
      <c r="A10910" t="s">
        <v>10945</v>
      </c>
      <c r="B10910" t="s">
        <v>287</v>
      </c>
      <c r="C10910">
        <v>122000</v>
      </c>
      <c r="D10910">
        <v>76741</v>
      </c>
      <c r="E10910">
        <v>4.58E-2</v>
      </c>
      <c r="F10910">
        <v>9.5100000000000004E-2</v>
      </c>
    </row>
    <row r="10911" spans="1:6" x14ac:dyDescent="0.3">
      <c r="A10911" t="s">
        <v>10946</v>
      </c>
      <c r="B10911" t="s">
        <v>490</v>
      </c>
      <c r="C10911">
        <v>128000</v>
      </c>
      <c r="D10911">
        <v>17753.2</v>
      </c>
      <c r="E10911">
        <v>2.0899999999999998E-2</v>
      </c>
      <c r="F10911">
        <v>5.8500000000000003E-2</v>
      </c>
    </row>
    <row r="10912" spans="1:6" x14ac:dyDescent="0.3">
      <c r="A10912" t="s">
        <v>10947</v>
      </c>
      <c r="B10912" t="s">
        <v>490</v>
      </c>
      <c r="C10912">
        <v>146000</v>
      </c>
      <c r="D10912">
        <v>741.6</v>
      </c>
      <c r="E10912">
        <v>7.0000000000000001E-3</v>
      </c>
      <c r="F10912">
        <v>8.2100000000000006E-2</v>
      </c>
    </row>
    <row r="10913" spans="1:6" x14ac:dyDescent="0.3">
      <c r="A10913" t="s">
        <v>10948</v>
      </c>
      <c r="B10913" t="s">
        <v>92</v>
      </c>
      <c r="C10913">
        <v>135000</v>
      </c>
      <c r="D10913">
        <v>5971.7</v>
      </c>
      <c r="E10913">
        <v>3.3999999999999998E-3</v>
      </c>
      <c r="F10913">
        <v>8.2199999999999995E-2</v>
      </c>
    </row>
    <row r="10914" spans="1:6" x14ac:dyDescent="0.3">
      <c r="A10914" t="s">
        <v>10949</v>
      </c>
      <c r="B10914" t="s">
        <v>195</v>
      </c>
      <c r="C10914">
        <v>199000</v>
      </c>
      <c r="D10914">
        <v>1850.4</v>
      </c>
      <c r="E10914">
        <v>1.06E-2</v>
      </c>
      <c r="F10914">
        <v>8.1100000000000005E-2</v>
      </c>
    </row>
    <row r="10915" spans="1:6" x14ac:dyDescent="0.3">
      <c r="A10915" t="s">
        <v>10950</v>
      </c>
      <c r="B10915" t="s">
        <v>81</v>
      </c>
      <c r="C10915">
        <v>125000</v>
      </c>
      <c r="D10915">
        <v>31878.1</v>
      </c>
      <c r="E10915">
        <v>2.12E-2</v>
      </c>
      <c r="F10915">
        <v>9.5100000000000004E-2</v>
      </c>
    </row>
    <row r="10916" spans="1:6" x14ac:dyDescent="0.3">
      <c r="A10916" t="s">
        <v>10951</v>
      </c>
      <c r="B10916" t="s">
        <v>195</v>
      </c>
      <c r="C10916">
        <v>126000</v>
      </c>
      <c r="D10916">
        <v>17228</v>
      </c>
      <c r="E10916">
        <v>1.6400000000000001E-2</v>
      </c>
      <c r="F10916">
        <v>5.8500000000000003E-2</v>
      </c>
    </row>
    <row r="10917" spans="1:6" x14ac:dyDescent="0.3">
      <c r="A10917" t="s">
        <v>10952</v>
      </c>
      <c r="B10917" t="s">
        <v>26</v>
      </c>
      <c r="C10917">
        <v>466000</v>
      </c>
      <c r="D10917">
        <v>179315.5</v>
      </c>
      <c r="E10917">
        <v>8.9800000000000005E-2</v>
      </c>
      <c r="F10917">
        <v>7.5899999999999995E-2</v>
      </c>
    </row>
    <row r="10918" spans="1:6" x14ac:dyDescent="0.3">
      <c r="A10918" t="s">
        <v>10953</v>
      </c>
      <c r="B10918" t="s">
        <v>62</v>
      </c>
      <c r="C10918">
        <v>119000</v>
      </c>
      <c r="D10918">
        <v>1311.3</v>
      </c>
      <c r="E10918">
        <v>1.14E-2</v>
      </c>
      <c r="F10918">
        <v>0.14710000000000001</v>
      </c>
    </row>
    <row r="10919" spans="1:6" x14ac:dyDescent="0.3">
      <c r="A10919" t="s">
        <v>10954</v>
      </c>
      <c r="B10919" t="s">
        <v>30</v>
      </c>
      <c r="C10919">
        <v>198000</v>
      </c>
      <c r="D10919">
        <v>39702.199999999997</v>
      </c>
      <c r="E10919">
        <v>3.3300000000000003E-2</v>
      </c>
      <c r="F10919">
        <v>9.5100000000000004E-2</v>
      </c>
    </row>
    <row r="10920" spans="1:6" x14ac:dyDescent="0.3">
      <c r="A10920" t="s">
        <v>10955</v>
      </c>
      <c r="B10920" t="s">
        <v>88</v>
      </c>
      <c r="C10920">
        <v>121000</v>
      </c>
      <c r="D10920">
        <v>293.2</v>
      </c>
      <c r="E10920">
        <v>1.7500000000000002E-2</v>
      </c>
      <c r="F10920">
        <v>0.1119</v>
      </c>
    </row>
    <row r="10921" spans="1:6" x14ac:dyDescent="0.3">
      <c r="A10921" t="s">
        <v>10956</v>
      </c>
      <c r="B10921" t="s">
        <v>62</v>
      </c>
      <c r="C10921">
        <v>181000</v>
      </c>
      <c r="D10921">
        <v>1328.3</v>
      </c>
      <c r="E10921">
        <v>1.9099999999999999E-2</v>
      </c>
      <c r="F10921">
        <v>0.1066</v>
      </c>
    </row>
    <row r="10922" spans="1:6" x14ac:dyDescent="0.3">
      <c r="A10922" t="s">
        <v>10957</v>
      </c>
      <c r="B10922" t="s">
        <v>287</v>
      </c>
      <c r="C10922">
        <v>996000</v>
      </c>
      <c r="D10922">
        <v>18017.900000000001</v>
      </c>
      <c r="E10922">
        <v>1.0800000000000001E-2</v>
      </c>
      <c r="F10922">
        <v>5.8400000000000001E-2</v>
      </c>
    </row>
    <row r="10923" spans="1:6" x14ac:dyDescent="0.3">
      <c r="A10923" t="s">
        <v>10958</v>
      </c>
      <c r="B10923" t="s">
        <v>71</v>
      </c>
      <c r="C10923">
        <v>122000</v>
      </c>
      <c r="D10923">
        <v>10509.4</v>
      </c>
      <c r="E10923">
        <v>1.52E-2</v>
      </c>
      <c r="F10923">
        <v>0.1067</v>
      </c>
    </row>
    <row r="10924" spans="1:6" x14ac:dyDescent="0.3">
      <c r="A10924" t="s">
        <v>10959</v>
      </c>
      <c r="B10924" t="s">
        <v>88</v>
      </c>
      <c r="C10924">
        <v>221000</v>
      </c>
      <c r="D10924">
        <v>6206</v>
      </c>
      <c r="E10924">
        <v>2.3900000000000001E-2</v>
      </c>
      <c r="F10924">
        <v>9.3799999999999994E-2</v>
      </c>
    </row>
    <row r="10925" spans="1:6" x14ac:dyDescent="0.3">
      <c r="A10925" t="s">
        <v>10960</v>
      </c>
      <c r="B10925" t="s">
        <v>81</v>
      </c>
      <c r="C10925">
        <v>122000</v>
      </c>
      <c r="D10925">
        <v>732.8</v>
      </c>
      <c r="E10925">
        <v>2.0500000000000001E-2</v>
      </c>
      <c r="F10925">
        <v>0.1067</v>
      </c>
    </row>
    <row r="10926" spans="1:6" x14ac:dyDescent="0.3">
      <c r="A10926" t="s">
        <v>10961</v>
      </c>
      <c r="B10926" t="s">
        <v>490</v>
      </c>
      <c r="C10926">
        <v>209000</v>
      </c>
      <c r="D10926">
        <v>6269.7</v>
      </c>
      <c r="E10926">
        <v>6.6E-3</v>
      </c>
      <c r="F10926">
        <v>6.54E-2</v>
      </c>
    </row>
    <row r="10927" spans="1:6" x14ac:dyDescent="0.3">
      <c r="A10927" t="s">
        <v>10962</v>
      </c>
      <c r="B10927" t="s">
        <v>92</v>
      </c>
      <c r="C10927">
        <v>133000</v>
      </c>
      <c r="D10927">
        <v>9183.6</v>
      </c>
      <c r="E10927">
        <v>1.23E-2</v>
      </c>
      <c r="F10927">
        <v>0.13270000000000001</v>
      </c>
    </row>
    <row r="10928" spans="1:6" x14ac:dyDescent="0.3">
      <c r="A10928" t="s">
        <v>10963</v>
      </c>
      <c r="B10928" t="s">
        <v>74</v>
      </c>
      <c r="C10928">
        <v>221000</v>
      </c>
      <c r="D10928">
        <v>1031.9000000000001</v>
      </c>
      <c r="E10928">
        <v>6.9000000000000006E-2</v>
      </c>
      <c r="F10928">
        <v>4.0899999999999999E-2</v>
      </c>
    </row>
    <row r="10929" spans="1:6" x14ac:dyDescent="0.3">
      <c r="A10929" t="s">
        <v>10964</v>
      </c>
      <c r="B10929" t="s">
        <v>81</v>
      </c>
      <c r="C10929">
        <v>143000</v>
      </c>
      <c r="D10929">
        <v>9079.4</v>
      </c>
      <c r="E10929">
        <v>1.23E-2</v>
      </c>
      <c r="F10929">
        <v>0.1469</v>
      </c>
    </row>
    <row r="10930" spans="1:6" x14ac:dyDescent="0.3">
      <c r="A10930" t="s">
        <v>10965</v>
      </c>
      <c r="B10930" t="s">
        <v>24</v>
      </c>
      <c r="C10930">
        <v>161000</v>
      </c>
      <c r="D10930">
        <v>446.3</v>
      </c>
      <c r="E10930">
        <v>9.4000000000000004E-3</v>
      </c>
      <c r="F10930">
        <v>0.1027</v>
      </c>
    </row>
    <row r="10931" spans="1:6" x14ac:dyDescent="0.3">
      <c r="A10931" t="s">
        <v>10966</v>
      </c>
      <c r="B10931" t="s">
        <v>92</v>
      </c>
      <c r="C10931">
        <v>121000</v>
      </c>
      <c r="D10931">
        <v>10827.3</v>
      </c>
      <c r="E10931">
        <v>1.6299999999999999E-2</v>
      </c>
      <c r="F10931">
        <v>0.1067</v>
      </c>
    </row>
    <row r="10932" spans="1:6" x14ac:dyDescent="0.3">
      <c r="A10932" t="s">
        <v>10967</v>
      </c>
      <c r="B10932" t="s">
        <v>26</v>
      </c>
      <c r="C10932">
        <v>177000</v>
      </c>
      <c r="D10932">
        <v>264.10000000000002</v>
      </c>
      <c r="E10932">
        <v>1.6299999999999999E-2</v>
      </c>
      <c r="F10932">
        <v>0.1119</v>
      </c>
    </row>
    <row r="10933" spans="1:6" x14ac:dyDescent="0.3">
      <c r="A10933" t="s">
        <v>10968</v>
      </c>
      <c r="B10933" t="s">
        <v>32</v>
      </c>
      <c r="C10933">
        <v>131000</v>
      </c>
      <c r="D10933">
        <v>251043.1</v>
      </c>
      <c r="E10933">
        <v>2.8199999999999999E-2</v>
      </c>
      <c r="F10933">
        <v>9.5100000000000004E-2</v>
      </c>
    </row>
    <row r="10934" spans="1:6" x14ac:dyDescent="0.3">
      <c r="A10934" t="s">
        <v>10969</v>
      </c>
      <c r="B10934" t="s">
        <v>287</v>
      </c>
      <c r="C10934">
        <v>121000</v>
      </c>
      <c r="D10934">
        <v>54356.800000000003</v>
      </c>
      <c r="E10934">
        <v>2.1399999999999999E-2</v>
      </c>
      <c r="F10934">
        <v>5.4600000000000003E-2</v>
      </c>
    </row>
    <row r="10935" spans="1:6" x14ac:dyDescent="0.3">
      <c r="A10935" t="s">
        <v>10970</v>
      </c>
      <c r="B10935" t="s">
        <v>26</v>
      </c>
      <c r="C10935">
        <v>137000</v>
      </c>
      <c r="D10935">
        <v>1441.6</v>
      </c>
      <c r="E10935">
        <v>4.2200000000000001E-2</v>
      </c>
      <c r="F10935">
        <v>9.5100000000000004E-2</v>
      </c>
    </row>
    <row r="10936" spans="1:6" x14ac:dyDescent="0.3">
      <c r="A10936" t="s">
        <v>10971</v>
      </c>
      <c r="B10936" t="s">
        <v>88</v>
      </c>
      <c r="C10936">
        <v>156000</v>
      </c>
      <c r="D10936">
        <v>3176.8</v>
      </c>
      <c r="E10936">
        <v>4.2500000000000003E-2</v>
      </c>
      <c r="F10936">
        <v>9.5100000000000004E-2</v>
      </c>
    </row>
    <row r="10937" spans="1:6" x14ac:dyDescent="0.3">
      <c r="A10937" t="s">
        <v>10972</v>
      </c>
      <c r="B10937" t="s">
        <v>88</v>
      </c>
      <c r="C10937">
        <v>148000</v>
      </c>
      <c r="D10937">
        <v>1156.7</v>
      </c>
      <c r="E10937">
        <v>5.8099999999999999E-2</v>
      </c>
      <c r="F10937">
        <v>0.2747</v>
      </c>
    </row>
    <row r="10938" spans="1:6" x14ac:dyDescent="0.3">
      <c r="A10938" t="s">
        <v>10973</v>
      </c>
      <c r="B10938" t="s">
        <v>71</v>
      </c>
      <c r="C10938">
        <v>145000</v>
      </c>
      <c r="D10938">
        <v>173713.4</v>
      </c>
      <c r="E10938">
        <v>5.2900000000000003E-2</v>
      </c>
      <c r="F10938">
        <v>0.11840000000000001</v>
      </c>
    </row>
    <row r="10939" spans="1:6" x14ac:dyDescent="0.3">
      <c r="A10939" t="s">
        <v>10974</v>
      </c>
      <c r="B10939" t="s">
        <v>26</v>
      </c>
      <c r="C10939">
        <v>171000</v>
      </c>
      <c r="D10939">
        <v>5325.6</v>
      </c>
      <c r="E10939">
        <v>1.4800000000000001E-2</v>
      </c>
      <c r="F10939">
        <v>7.3599999999999999E-2</v>
      </c>
    </row>
    <row r="10940" spans="1:6" x14ac:dyDescent="0.3">
      <c r="A10940" t="s">
        <v>10975</v>
      </c>
      <c r="B10940" t="s">
        <v>53</v>
      </c>
      <c r="C10940">
        <v>125000</v>
      </c>
      <c r="D10940">
        <v>25484.1</v>
      </c>
      <c r="E10940">
        <v>2.8899999999999999E-2</v>
      </c>
      <c r="F10940">
        <v>7.5899999999999995E-2</v>
      </c>
    </row>
    <row r="10941" spans="1:6" x14ac:dyDescent="0.3">
      <c r="A10941" t="s">
        <v>10976</v>
      </c>
      <c r="B10941" t="s">
        <v>26</v>
      </c>
      <c r="C10941">
        <v>139000</v>
      </c>
      <c r="D10941">
        <v>2207.1</v>
      </c>
      <c r="E10941">
        <v>3.3799999999999997E-2</v>
      </c>
      <c r="F10941">
        <v>9.5100000000000004E-2</v>
      </c>
    </row>
    <row r="10942" spans="1:6" x14ac:dyDescent="0.3">
      <c r="A10942" t="s">
        <v>10977</v>
      </c>
      <c r="B10942" t="s">
        <v>88</v>
      </c>
      <c r="C10942">
        <v>149000</v>
      </c>
      <c r="D10942">
        <v>1530.1</v>
      </c>
      <c r="E10942">
        <v>1.04E-2</v>
      </c>
      <c r="F10942">
        <v>0.10150000000000001</v>
      </c>
    </row>
    <row r="10943" spans="1:6" x14ac:dyDescent="0.3">
      <c r="A10943" t="s">
        <v>10978</v>
      </c>
      <c r="B10943" t="s">
        <v>195</v>
      </c>
      <c r="C10943">
        <v>136000</v>
      </c>
      <c r="D10943">
        <v>2512.3000000000002</v>
      </c>
      <c r="E10943">
        <v>6.4000000000000003E-3</v>
      </c>
      <c r="F10943">
        <v>6.54E-2</v>
      </c>
    </row>
    <row r="10944" spans="1:6" x14ac:dyDescent="0.3">
      <c r="A10944" t="s">
        <v>10979</v>
      </c>
      <c r="B10944" t="s">
        <v>26</v>
      </c>
      <c r="C10944">
        <v>129000</v>
      </c>
      <c r="D10944">
        <v>10968.4</v>
      </c>
      <c r="F10944">
        <v>9.5100000000000004E-2</v>
      </c>
    </row>
    <row r="10945" spans="1:6" x14ac:dyDescent="0.3">
      <c r="A10945" t="s">
        <v>10980</v>
      </c>
      <c r="B10945" t="s">
        <v>30</v>
      </c>
      <c r="C10945">
        <v>301000</v>
      </c>
      <c r="D10945">
        <v>24204.400000000001</v>
      </c>
      <c r="E10945">
        <v>5.21E-2</v>
      </c>
      <c r="F10945">
        <v>9.3799999999999994E-2</v>
      </c>
    </row>
    <row r="10946" spans="1:6" x14ac:dyDescent="0.3">
      <c r="A10946" t="s">
        <v>10981</v>
      </c>
      <c r="B10946" t="s">
        <v>24</v>
      </c>
      <c r="C10946">
        <v>998000</v>
      </c>
      <c r="D10946">
        <v>227000.9</v>
      </c>
      <c r="E10946">
        <v>2.8199999999999999E-2</v>
      </c>
      <c r="F10946">
        <v>9.3799999999999994E-2</v>
      </c>
    </row>
    <row r="10947" spans="1:6" x14ac:dyDescent="0.3">
      <c r="A10947" t="s">
        <v>10982</v>
      </c>
      <c r="B10947" t="s">
        <v>88</v>
      </c>
      <c r="C10947">
        <v>305000</v>
      </c>
      <c r="D10947">
        <v>285.3</v>
      </c>
      <c r="E10947">
        <v>6.8000000000000005E-2</v>
      </c>
      <c r="F10947">
        <v>9.3799999999999994E-2</v>
      </c>
    </row>
    <row r="10948" spans="1:6" x14ac:dyDescent="0.3">
      <c r="A10948" t="s">
        <v>10983</v>
      </c>
      <c r="B10948" t="s">
        <v>195</v>
      </c>
      <c r="C10948">
        <v>165000</v>
      </c>
      <c r="D10948">
        <v>1003317.3</v>
      </c>
      <c r="E10948">
        <v>1.43E-2</v>
      </c>
      <c r="F10948">
        <v>0.62029999999999996</v>
      </c>
    </row>
    <row r="10949" spans="1:6" x14ac:dyDescent="0.3">
      <c r="A10949" t="s">
        <v>10984</v>
      </c>
      <c r="B10949" t="s">
        <v>88</v>
      </c>
      <c r="C10949">
        <v>118000</v>
      </c>
      <c r="D10949">
        <v>732.8</v>
      </c>
      <c r="E10949">
        <v>3.0300000000000001E-2</v>
      </c>
      <c r="F10949">
        <v>5.1799999999999999E-2</v>
      </c>
    </row>
    <row r="10950" spans="1:6" x14ac:dyDescent="0.3">
      <c r="A10950" t="s">
        <v>10985</v>
      </c>
      <c r="B10950" t="s">
        <v>88</v>
      </c>
      <c r="C10950">
        <v>120000</v>
      </c>
      <c r="D10950">
        <v>515.9</v>
      </c>
      <c r="E10950">
        <v>3.2300000000000002E-2</v>
      </c>
      <c r="F10950">
        <v>0.11700000000000001</v>
      </c>
    </row>
    <row r="10951" spans="1:6" x14ac:dyDescent="0.3">
      <c r="A10951" t="s">
        <v>10986</v>
      </c>
      <c r="B10951" t="s">
        <v>88</v>
      </c>
      <c r="C10951">
        <v>118000</v>
      </c>
      <c r="D10951">
        <v>553.4</v>
      </c>
      <c r="E10951">
        <v>2.4E-2</v>
      </c>
      <c r="F10951">
        <v>0.2064</v>
      </c>
    </row>
    <row r="10952" spans="1:6" x14ac:dyDescent="0.3">
      <c r="A10952" t="s">
        <v>10987</v>
      </c>
      <c r="B10952" t="s">
        <v>92</v>
      </c>
      <c r="C10952">
        <v>148000</v>
      </c>
      <c r="D10952">
        <v>23904.1</v>
      </c>
      <c r="E10952">
        <v>1.0800000000000001E-2</v>
      </c>
      <c r="F10952">
        <v>0.14710000000000001</v>
      </c>
    </row>
    <row r="10953" spans="1:6" x14ac:dyDescent="0.3">
      <c r="A10953" t="s">
        <v>10988</v>
      </c>
      <c r="B10953" t="s">
        <v>26</v>
      </c>
      <c r="C10953">
        <v>358000</v>
      </c>
      <c r="D10953">
        <v>190377.4</v>
      </c>
      <c r="E10953">
        <v>5.7200000000000001E-2</v>
      </c>
      <c r="F10953">
        <v>4.0899999999999999E-2</v>
      </c>
    </row>
    <row r="10954" spans="1:6" x14ac:dyDescent="0.3">
      <c r="A10954" t="s">
        <v>10989</v>
      </c>
      <c r="B10954" t="s">
        <v>32</v>
      </c>
      <c r="C10954">
        <v>128000</v>
      </c>
      <c r="D10954">
        <v>3931.3</v>
      </c>
      <c r="E10954">
        <v>6.8500000000000005E-2</v>
      </c>
      <c r="F10954">
        <v>9.5100000000000004E-2</v>
      </c>
    </row>
    <row r="10955" spans="1:6" x14ac:dyDescent="0.3">
      <c r="A10955" t="s">
        <v>10990</v>
      </c>
      <c r="B10955" t="s">
        <v>26</v>
      </c>
      <c r="C10955">
        <v>115000</v>
      </c>
      <c r="D10955">
        <v>983</v>
      </c>
      <c r="E10955">
        <v>2.7E-2</v>
      </c>
      <c r="F10955">
        <v>9.5100000000000004E-2</v>
      </c>
    </row>
    <row r="10956" spans="1:6" x14ac:dyDescent="0.3">
      <c r="A10956" t="s">
        <v>10991</v>
      </c>
      <c r="B10956" t="s">
        <v>28</v>
      </c>
      <c r="C10956">
        <v>137000</v>
      </c>
      <c r="D10956">
        <v>200.8</v>
      </c>
      <c r="E10956">
        <v>1.0699999999999999E-2</v>
      </c>
      <c r="F10956">
        <v>0.22670000000000001</v>
      </c>
    </row>
    <row r="10957" spans="1:6" x14ac:dyDescent="0.3">
      <c r="A10957" t="s">
        <v>10992</v>
      </c>
      <c r="B10957" t="s">
        <v>26</v>
      </c>
      <c r="C10957">
        <v>124000</v>
      </c>
      <c r="D10957">
        <v>624.20000000000005</v>
      </c>
      <c r="E10957">
        <v>3.0499999999999999E-2</v>
      </c>
      <c r="F10957">
        <v>7.5899999999999995E-2</v>
      </c>
    </row>
    <row r="10958" spans="1:6" x14ac:dyDescent="0.3">
      <c r="A10958" t="s">
        <v>10993</v>
      </c>
      <c r="B10958" t="s">
        <v>92</v>
      </c>
      <c r="C10958">
        <v>118000</v>
      </c>
      <c r="D10958">
        <v>4616.5</v>
      </c>
      <c r="E10958">
        <v>1.3599999999999999E-2</v>
      </c>
      <c r="F10958">
        <v>6.9199999999999998E-2</v>
      </c>
    </row>
    <row r="10959" spans="1:6" x14ac:dyDescent="0.3">
      <c r="A10959" t="s">
        <v>10994</v>
      </c>
      <c r="B10959" t="s">
        <v>287</v>
      </c>
      <c r="C10959">
        <v>123000</v>
      </c>
      <c r="D10959">
        <v>1037163.2</v>
      </c>
      <c r="E10959">
        <v>5.1299999999999998E-2</v>
      </c>
      <c r="F10959">
        <v>9.98E-2</v>
      </c>
    </row>
    <row r="10960" spans="1:6" x14ac:dyDescent="0.3">
      <c r="A10960" t="s">
        <v>10995</v>
      </c>
      <c r="B10960" t="s">
        <v>88</v>
      </c>
      <c r="C10960">
        <v>266000</v>
      </c>
      <c r="D10960">
        <v>1253.3</v>
      </c>
      <c r="E10960">
        <v>8.0100000000000005E-2</v>
      </c>
      <c r="F10960">
        <v>9.3799999999999994E-2</v>
      </c>
    </row>
    <row r="10961" spans="1:6" x14ac:dyDescent="0.3">
      <c r="A10961" t="s">
        <v>10996</v>
      </c>
      <c r="B10961" t="s">
        <v>195</v>
      </c>
      <c r="C10961">
        <v>135000</v>
      </c>
      <c r="D10961">
        <v>1188.7</v>
      </c>
      <c r="E10961">
        <v>1.2E-2</v>
      </c>
      <c r="F10961">
        <v>6.54E-2</v>
      </c>
    </row>
    <row r="10962" spans="1:6" x14ac:dyDescent="0.3">
      <c r="A10962" t="s">
        <v>10997</v>
      </c>
      <c r="B10962" t="s">
        <v>50</v>
      </c>
      <c r="C10962">
        <v>124000</v>
      </c>
      <c r="D10962">
        <v>2788.8</v>
      </c>
      <c r="E10962">
        <v>9.7999999999999997E-3</v>
      </c>
      <c r="F10962">
        <v>8.2199999999999995E-2</v>
      </c>
    </row>
    <row r="10963" spans="1:6" x14ac:dyDescent="0.3">
      <c r="A10963" t="s">
        <v>10998</v>
      </c>
      <c r="B10963" t="s">
        <v>32</v>
      </c>
      <c r="C10963">
        <v>119000</v>
      </c>
      <c r="D10963">
        <v>45793.5</v>
      </c>
      <c r="E10963">
        <v>8.2400000000000001E-2</v>
      </c>
      <c r="F10963">
        <v>9.5100000000000004E-2</v>
      </c>
    </row>
    <row r="10964" spans="1:6" x14ac:dyDescent="0.3">
      <c r="A10964" t="s">
        <v>10999</v>
      </c>
      <c r="B10964" t="s">
        <v>71</v>
      </c>
      <c r="C10964">
        <v>119000</v>
      </c>
      <c r="D10964">
        <v>1527.3</v>
      </c>
      <c r="E10964">
        <v>0.02</v>
      </c>
      <c r="F10964">
        <v>0.1893</v>
      </c>
    </row>
    <row r="10965" spans="1:6" x14ac:dyDescent="0.3">
      <c r="A10965" t="s">
        <v>11000</v>
      </c>
      <c r="B10965" t="s">
        <v>41</v>
      </c>
      <c r="C10965">
        <v>372000</v>
      </c>
      <c r="D10965">
        <v>99.5</v>
      </c>
      <c r="E10965">
        <v>2.1999999999999999E-2</v>
      </c>
      <c r="F10965">
        <v>0.15920000000000001</v>
      </c>
    </row>
    <row r="10966" spans="1:6" x14ac:dyDescent="0.3">
      <c r="A10966" t="s">
        <v>11001</v>
      </c>
      <c r="B10966" t="s">
        <v>26</v>
      </c>
      <c r="C10966">
        <v>161000</v>
      </c>
      <c r="D10966">
        <v>3733.5</v>
      </c>
      <c r="E10966">
        <v>3.2099999999999997E-2</v>
      </c>
      <c r="F10966">
        <v>7.5899999999999995E-2</v>
      </c>
    </row>
    <row r="10967" spans="1:6" x14ac:dyDescent="0.3">
      <c r="A10967" t="s">
        <v>11002</v>
      </c>
      <c r="B10967" t="s">
        <v>26</v>
      </c>
      <c r="C10967">
        <v>143000</v>
      </c>
      <c r="D10967">
        <v>11933.7</v>
      </c>
      <c r="E10967">
        <v>4.7100000000000003E-2</v>
      </c>
      <c r="F10967">
        <v>9.5100000000000004E-2</v>
      </c>
    </row>
    <row r="10968" spans="1:6" x14ac:dyDescent="0.3">
      <c r="A10968" t="s">
        <v>11003</v>
      </c>
      <c r="B10968" t="s">
        <v>88</v>
      </c>
      <c r="C10968">
        <v>119000</v>
      </c>
      <c r="D10968">
        <v>260.7</v>
      </c>
      <c r="E10968">
        <v>4.3400000000000001E-2</v>
      </c>
      <c r="F10968">
        <v>0.11700000000000001</v>
      </c>
    </row>
    <row r="10969" spans="1:6" x14ac:dyDescent="0.3">
      <c r="A10969" t="s">
        <v>11004</v>
      </c>
      <c r="B10969" t="s">
        <v>88</v>
      </c>
      <c r="C10969">
        <v>136000</v>
      </c>
      <c r="D10969">
        <v>1823.7</v>
      </c>
      <c r="E10969">
        <v>1.3899999999999999E-2</v>
      </c>
      <c r="F10969">
        <v>0.1067</v>
      </c>
    </row>
    <row r="10970" spans="1:6" x14ac:dyDescent="0.3">
      <c r="A10970" t="s">
        <v>11005</v>
      </c>
      <c r="B10970" t="s">
        <v>26</v>
      </c>
      <c r="C10970">
        <v>248000</v>
      </c>
      <c r="D10970">
        <v>359.6</v>
      </c>
      <c r="E10970">
        <v>6.8400000000000002E-2</v>
      </c>
      <c r="F10970">
        <v>9.3799999999999994E-2</v>
      </c>
    </row>
    <row r="10971" spans="1:6" x14ac:dyDescent="0.3">
      <c r="A10971" t="s">
        <v>11006</v>
      </c>
      <c r="B10971" t="s">
        <v>26</v>
      </c>
      <c r="C10971">
        <v>147000</v>
      </c>
      <c r="D10971">
        <v>21639.9</v>
      </c>
      <c r="E10971">
        <v>4.58E-2</v>
      </c>
      <c r="F10971">
        <v>4.0899999999999999E-2</v>
      </c>
    </row>
    <row r="10972" spans="1:6" x14ac:dyDescent="0.3">
      <c r="A10972" t="s">
        <v>11007</v>
      </c>
      <c r="B10972" t="s">
        <v>287</v>
      </c>
      <c r="C10972">
        <v>130000</v>
      </c>
      <c r="D10972">
        <v>6787.3</v>
      </c>
      <c r="E10972">
        <v>2.4799999999999999E-2</v>
      </c>
      <c r="F10972">
        <v>7.5899999999999995E-2</v>
      </c>
    </row>
    <row r="10973" spans="1:6" x14ac:dyDescent="0.3">
      <c r="A10973" t="s">
        <v>11008</v>
      </c>
      <c r="B10973" t="s">
        <v>92</v>
      </c>
      <c r="C10973">
        <v>118000</v>
      </c>
      <c r="D10973">
        <v>18973.8</v>
      </c>
      <c r="E10973">
        <v>2.63E-2</v>
      </c>
      <c r="F10973">
        <v>9.5100000000000004E-2</v>
      </c>
    </row>
    <row r="10974" spans="1:6" x14ac:dyDescent="0.3">
      <c r="A10974" t="s">
        <v>11009</v>
      </c>
      <c r="B10974" t="s">
        <v>26</v>
      </c>
      <c r="C10974">
        <v>127000</v>
      </c>
      <c r="D10974">
        <v>742.8</v>
      </c>
      <c r="E10974">
        <v>1.6899999999999998E-2</v>
      </c>
      <c r="F10974">
        <v>6.4699999999999994E-2</v>
      </c>
    </row>
    <row r="10975" spans="1:6" x14ac:dyDescent="0.3">
      <c r="A10975" t="s">
        <v>11010</v>
      </c>
      <c r="B10975" t="s">
        <v>92</v>
      </c>
      <c r="C10975">
        <v>148000</v>
      </c>
      <c r="D10975">
        <v>48230.400000000001</v>
      </c>
      <c r="E10975">
        <v>2.5499999999999998E-2</v>
      </c>
      <c r="F10975">
        <v>7.5899999999999995E-2</v>
      </c>
    </row>
    <row r="10976" spans="1:6" x14ac:dyDescent="0.3">
      <c r="A10976" t="s">
        <v>11011</v>
      </c>
      <c r="B10976" t="s">
        <v>24</v>
      </c>
      <c r="C10976">
        <v>138000</v>
      </c>
      <c r="D10976">
        <v>38202.400000000001</v>
      </c>
      <c r="E10976">
        <v>4.4200000000000003E-2</v>
      </c>
      <c r="F10976">
        <v>9.5100000000000004E-2</v>
      </c>
    </row>
    <row r="10977" spans="1:6" x14ac:dyDescent="0.3">
      <c r="A10977" t="s">
        <v>11012</v>
      </c>
      <c r="B10977" t="s">
        <v>214</v>
      </c>
      <c r="C10977">
        <v>119000</v>
      </c>
      <c r="D10977">
        <v>1119.8</v>
      </c>
      <c r="E10977">
        <v>1.49E-2</v>
      </c>
      <c r="F10977">
        <v>5.8500000000000003E-2</v>
      </c>
    </row>
    <row r="10978" spans="1:6" x14ac:dyDescent="0.3">
      <c r="A10978" t="s">
        <v>11013</v>
      </c>
      <c r="B10978" t="s">
        <v>26</v>
      </c>
      <c r="C10978">
        <v>131000</v>
      </c>
      <c r="D10978">
        <v>39724.9</v>
      </c>
      <c r="E10978">
        <v>4.7300000000000002E-2</v>
      </c>
      <c r="F10978">
        <v>9.5100000000000004E-2</v>
      </c>
    </row>
    <row r="10979" spans="1:6" x14ac:dyDescent="0.3">
      <c r="A10979" t="s">
        <v>11014</v>
      </c>
      <c r="B10979" t="s">
        <v>88</v>
      </c>
      <c r="C10979">
        <v>130000</v>
      </c>
      <c r="D10979">
        <v>7259.8</v>
      </c>
      <c r="E10979">
        <v>4.5900000000000003E-2</v>
      </c>
      <c r="F10979">
        <v>9.5100000000000004E-2</v>
      </c>
    </row>
    <row r="10980" spans="1:6" x14ac:dyDescent="0.3">
      <c r="A10980" t="s">
        <v>11015</v>
      </c>
      <c r="B10980" t="s">
        <v>88</v>
      </c>
      <c r="C10980">
        <v>212000</v>
      </c>
      <c r="D10980">
        <v>29651.8</v>
      </c>
      <c r="E10980">
        <v>2.6700000000000002E-2</v>
      </c>
      <c r="F10980">
        <v>9.5100000000000004E-2</v>
      </c>
    </row>
    <row r="10981" spans="1:6" x14ac:dyDescent="0.3">
      <c r="A10981" t="s">
        <v>11016</v>
      </c>
      <c r="B10981" t="s">
        <v>30</v>
      </c>
      <c r="C10981">
        <v>164000</v>
      </c>
      <c r="D10981">
        <v>107200</v>
      </c>
      <c r="E10981">
        <v>3.0700000000000002E-2</v>
      </c>
      <c r="F10981">
        <v>4.0899999999999999E-2</v>
      </c>
    </row>
    <row r="10982" spans="1:6" x14ac:dyDescent="0.3">
      <c r="A10982" t="s">
        <v>11017</v>
      </c>
      <c r="B10982" t="s">
        <v>26</v>
      </c>
      <c r="C10982">
        <v>207000</v>
      </c>
      <c r="D10982">
        <v>11109.6</v>
      </c>
      <c r="E10982">
        <v>1.4200000000000001E-2</v>
      </c>
      <c r="F10982">
        <v>0.1067</v>
      </c>
    </row>
    <row r="10983" spans="1:6" x14ac:dyDescent="0.3">
      <c r="A10983" t="s">
        <v>11018</v>
      </c>
      <c r="B10983" t="s">
        <v>24</v>
      </c>
      <c r="C10983">
        <v>122000</v>
      </c>
      <c r="D10983">
        <v>2055.9</v>
      </c>
      <c r="E10983">
        <v>2.52E-2</v>
      </c>
      <c r="F10983">
        <v>7.3499999999999996E-2</v>
      </c>
    </row>
    <row r="10984" spans="1:6" x14ac:dyDescent="0.3">
      <c r="A10984" t="s">
        <v>11019</v>
      </c>
      <c r="B10984" t="s">
        <v>62</v>
      </c>
      <c r="C10984">
        <v>122000</v>
      </c>
      <c r="D10984">
        <v>234.5</v>
      </c>
      <c r="E10984">
        <v>7.4000000000000003E-3</v>
      </c>
      <c r="F10984">
        <v>0.13800000000000001</v>
      </c>
    </row>
    <row r="10985" spans="1:6" x14ac:dyDescent="0.3">
      <c r="A10985" t="s">
        <v>11020</v>
      </c>
      <c r="B10985" t="s">
        <v>74</v>
      </c>
      <c r="C10985">
        <v>136000</v>
      </c>
      <c r="D10985">
        <v>1544.3</v>
      </c>
      <c r="E10985">
        <v>5.3999999999999999E-2</v>
      </c>
      <c r="F10985">
        <v>7.5899999999999995E-2</v>
      </c>
    </row>
    <row r="10986" spans="1:6" x14ac:dyDescent="0.3">
      <c r="A10986" t="s">
        <v>11021</v>
      </c>
      <c r="B10986" t="s">
        <v>92</v>
      </c>
      <c r="C10986">
        <v>318000</v>
      </c>
      <c r="D10986">
        <v>7902.9</v>
      </c>
      <c r="E10986">
        <v>1.6400000000000001E-2</v>
      </c>
      <c r="F10986">
        <v>4.6199999999999998E-2</v>
      </c>
    </row>
    <row r="10987" spans="1:6" x14ac:dyDescent="0.3">
      <c r="A10987" t="s">
        <v>11022</v>
      </c>
      <c r="B10987" t="s">
        <v>26</v>
      </c>
      <c r="C10987">
        <v>118000</v>
      </c>
      <c r="D10987">
        <v>1438.9</v>
      </c>
      <c r="E10987">
        <v>4.1700000000000001E-2</v>
      </c>
      <c r="F10987">
        <v>9.5100000000000004E-2</v>
      </c>
    </row>
    <row r="10988" spans="1:6" x14ac:dyDescent="0.3">
      <c r="A10988" t="s">
        <v>11023</v>
      </c>
      <c r="B10988" t="s">
        <v>74</v>
      </c>
      <c r="C10988">
        <v>158000</v>
      </c>
      <c r="D10988">
        <v>69132.100000000006</v>
      </c>
      <c r="E10988">
        <v>8.3000000000000001E-3</v>
      </c>
      <c r="F10988">
        <v>6.54E-2</v>
      </c>
    </row>
    <row r="10989" spans="1:6" x14ac:dyDescent="0.3">
      <c r="A10989" t="s">
        <v>11024</v>
      </c>
      <c r="B10989" t="s">
        <v>88</v>
      </c>
      <c r="C10989">
        <v>158000</v>
      </c>
      <c r="D10989">
        <v>1632.5</v>
      </c>
      <c r="E10989">
        <v>1.95E-2</v>
      </c>
      <c r="F10989">
        <v>4.6199999999999998E-2</v>
      </c>
    </row>
    <row r="10990" spans="1:6" x14ac:dyDescent="0.3">
      <c r="A10990" t="s">
        <v>11025</v>
      </c>
      <c r="B10990" t="s">
        <v>74</v>
      </c>
      <c r="C10990">
        <v>189000</v>
      </c>
      <c r="D10990">
        <v>4417.3</v>
      </c>
      <c r="E10990">
        <v>4.6800000000000001E-2</v>
      </c>
      <c r="F10990">
        <v>7.5899999999999995E-2</v>
      </c>
    </row>
    <row r="10991" spans="1:6" x14ac:dyDescent="0.3">
      <c r="A10991" t="s">
        <v>11026</v>
      </c>
      <c r="B10991" t="s">
        <v>71</v>
      </c>
      <c r="C10991">
        <v>192000</v>
      </c>
      <c r="D10991">
        <v>8178</v>
      </c>
      <c r="E10991">
        <v>3.9300000000000002E-2</v>
      </c>
      <c r="F10991">
        <v>7.5899999999999995E-2</v>
      </c>
    </row>
    <row r="10992" spans="1:6" x14ac:dyDescent="0.3">
      <c r="A10992" t="s">
        <v>11027</v>
      </c>
      <c r="B10992" t="s">
        <v>50</v>
      </c>
      <c r="C10992">
        <v>117000</v>
      </c>
      <c r="D10992">
        <v>9019</v>
      </c>
      <c r="E10992">
        <v>5.0900000000000001E-2</v>
      </c>
      <c r="F10992">
        <v>9.5100000000000004E-2</v>
      </c>
    </row>
    <row r="10993" spans="1:6" x14ac:dyDescent="0.3">
      <c r="A10993" t="s">
        <v>11028</v>
      </c>
      <c r="B10993" t="s">
        <v>214</v>
      </c>
      <c r="C10993">
        <v>181000</v>
      </c>
      <c r="D10993">
        <v>194845.5</v>
      </c>
      <c r="E10993">
        <v>3.2000000000000001E-2</v>
      </c>
      <c r="F10993">
        <v>9.5100000000000004E-2</v>
      </c>
    </row>
    <row r="10994" spans="1:6" x14ac:dyDescent="0.3">
      <c r="A10994" t="s">
        <v>11029</v>
      </c>
      <c r="B10994" t="s">
        <v>74</v>
      </c>
      <c r="C10994">
        <v>232000</v>
      </c>
      <c r="D10994">
        <v>846.8</v>
      </c>
      <c r="E10994">
        <v>6.2799999999999995E-2</v>
      </c>
      <c r="F10994">
        <v>9.3799999999999994E-2</v>
      </c>
    </row>
    <row r="10995" spans="1:6" x14ac:dyDescent="0.3">
      <c r="A10995" t="s">
        <v>11030</v>
      </c>
      <c r="B10995" t="s">
        <v>88</v>
      </c>
      <c r="C10995">
        <v>117000</v>
      </c>
      <c r="D10995">
        <v>526.5</v>
      </c>
      <c r="E10995">
        <v>1.6299999999999999E-2</v>
      </c>
      <c r="F10995">
        <v>0.31069999999999998</v>
      </c>
    </row>
    <row r="10996" spans="1:6" x14ac:dyDescent="0.3">
      <c r="A10996" t="s">
        <v>11031</v>
      </c>
      <c r="B10996" t="s">
        <v>71</v>
      </c>
      <c r="C10996">
        <v>128000</v>
      </c>
      <c r="D10996">
        <v>295106.09999999998</v>
      </c>
      <c r="E10996">
        <v>1.2999999999999999E-3</v>
      </c>
      <c r="F10996">
        <v>6.54E-2</v>
      </c>
    </row>
    <row r="10997" spans="1:6" x14ac:dyDescent="0.3">
      <c r="A10997" t="s">
        <v>11032</v>
      </c>
      <c r="B10997" t="s">
        <v>88</v>
      </c>
      <c r="C10997">
        <v>156000</v>
      </c>
      <c r="D10997">
        <v>226.4</v>
      </c>
      <c r="E10997">
        <v>9.4399999999999998E-2</v>
      </c>
      <c r="F10997">
        <v>9.3799999999999994E-2</v>
      </c>
    </row>
    <row r="10998" spans="1:6" x14ac:dyDescent="0.3">
      <c r="A10998" t="s">
        <v>11033</v>
      </c>
      <c r="B10998" t="s">
        <v>26</v>
      </c>
      <c r="C10998">
        <v>146000</v>
      </c>
      <c r="D10998">
        <v>297.60000000000002</v>
      </c>
      <c r="E10998">
        <v>1.0999999999999999E-2</v>
      </c>
      <c r="F10998">
        <v>5.8400000000000001E-2</v>
      </c>
    </row>
    <row r="10999" spans="1:6" x14ac:dyDescent="0.3">
      <c r="A10999" t="s">
        <v>11034</v>
      </c>
      <c r="B10999" t="s">
        <v>35</v>
      </c>
      <c r="C10999">
        <v>148000</v>
      </c>
      <c r="D10999">
        <v>6802.5</v>
      </c>
      <c r="E10999">
        <v>1.95E-2</v>
      </c>
      <c r="F10999">
        <v>4.6199999999999998E-2</v>
      </c>
    </row>
    <row r="11000" spans="1:6" x14ac:dyDescent="0.3">
      <c r="A11000" t="s">
        <v>11035</v>
      </c>
      <c r="B11000" t="s">
        <v>41</v>
      </c>
      <c r="C11000">
        <v>116000</v>
      </c>
      <c r="D11000">
        <v>1988.4</v>
      </c>
      <c r="E11000">
        <v>8.4400000000000003E-2</v>
      </c>
      <c r="F11000">
        <v>9.5100000000000004E-2</v>
      </c>
    </row>
    <row r="11001" spans="1:6" x14ac:dyDescent="0.3">
      <c r="A11001" t="s">
        <v>11036</v>
      </c>
      <c r="B11001" t="s">
        <v>41</v>
      </c>
      <c r="C11001">
        <v>143000</v>
      </c>
      <c r="D11001">
        <v>1102.4000000000001</v>
      </c>
      <c r="E11001">
        <v>3.09E-2</v>
      </c>
      <c r="F11001">
        <v>9.5100000000000004E-2</v>
      </c>
    </row>
    <row r="11002" spans="1:6" x14ac:dyDescent="0.3">
      <c r="A11002" t="s">
        <v>11037</v>
      </c>
      <c r="B11002" t="s">
        <v>26</v>
      </c>
      <c r="C11002">
        <v>143000</v>
      </c>
      <c r="D11002">
        <v>6891.1</v>
      </c>
      <c r="E11002">
        <v>2.9600000000000001E-2</v>
      </c>
      <c r="F11002">
        <v>7.5899999999999995E-2</v>
      </c>
    </row>
    <row r="11003" spans="1:6" x14ac:dyDescent="0.3">
      <c r="A11003" t="s">
        <v>11038</v>
      </c>
      <c r="B11003" t="s">
        <v>81</v>
      </c>
      <c r="C11003">
        <v>177000</v>
      </c>
      <c r="D11003">
        <v>11713.6</v>
      </c>
      <c r="E11003">
        <v>2.06E-2</v>
      </c>
      <c r="F11003">
        <v>8.5400000000000004E-2</v>
      </c>
    </row>
    <row r="11004" spans="1:6" x14ac:dyDescent="0.3">
      <c r="A11004" t="s">
        <v>11039</v>
      </c>
      <c r="B11004" t="s">
        <v>92</v>
      </c>
      <c r="C11004">
        <v>745000</v>
      </c>
      <c r="D11004">
        <v>200560.5</v>
      </c>
      <c r="F11004">
        <v>4.0899999999999999E-2</v>
      </c>
    </row>
    <row r="11005" spans="1:6" x14ac:dyDescent="0.3">
      <c r="A11005" t="s">
        <v>11040</v>
      </c>
      <c r="B11005" t="s">
        <v>88</v>
      </c>
      <c r="C11005">
        <v>202000</v>
      </c>
      <c r="D11005">
        <v>261283.8</v>
      </c>
      <c r="E11005">
        <v>1.2800000000000001E-2</v>
      </c>
      <c r="F11005">
        <v>5.8500000000000003E-2</v>
      </c>
    </row>
    <row r="11006" spans="1:6" x14ac:dyDescent="0.3">
      <c r="A11006" t="s">
        <v>11041</v>
      </c>
      <c r="B11006" t="s">
        <v>74</v>
      </c>
      <c r="C11006">
        <v>150000</v>
      </c>
      <c r="D11006">
        <v>3961.3</v>
      </c>
      <c r="E11006">
        <v>4.87E-2</v>
      </c>
      <c r="F11006">
        <v>7.5899999999999995E-2</v>
      </c>
    </row>
    <row r="11007" spans="1:6" x14ac:dyDescent="0.3">
      <c r="A11007" t="s">
        <v>11042</v>
      </c>
      <c r="B11007" t="s">
        <v>74</v>
      </c>
      <c r="C11007">
        <v>198000</v>
      </c>
      <c r="D11007">
        <v>1529.3</v>
      </c>
      <c r="E11007">
        <v>4.5199999999999997E-2</v>
      </c>
      <c r="F11007">
        <v>7.5899999999999995E-2</v>
      </c>
    </row>
    <row r="11008" spans="1:6" x14ac:dyDescent="0.3">
      <c r="A11008" t="s">
        <v>11043</v>
      </c>
      <c r="B11008" t="s">
        <v>88</v>
      </c>
      <c r="C11008">
        <v>256000</v>
      </c>
      <c r="D11008">
        <v>5281</v>
      </c>
      <c r="E11008">
        <v>0.127</v>
      </c>
      <c r="F11008">
        <v>0.15160000000000001</v>
      </c>
    </row>
    <row r="11009" spans="1:6" x14ac:dyDescent="0.3">
      <c r="A11009" t="s">
        <v>11044</v>
      </c>
      <c r="B11009" t="s">
        <v>26</v>
      </c>
      <c r="C11009">
        <v>1520000</v>
      </c>
      <c r="D11009">
        <v>2636294.6</v>
      </c>
      <c r="F11009">
        <v>4.0899999999999999E-2</v>
      </c>
    </row>
    <row r="11010" spans="1:6" x14ac:dyDescent="0.3">
      <c r="A11010" t="s">
        <v>11045</v>
      </c>
      <c r="B11010" t="s">
        <v>26</v>
      </c>
      <c r="C11010">
        <v>133000</v>
      </c>
      <c r="D11010">
        <v>5357.5</v>
      </c>
      <c r="E11010">
        <v>3.9100000000000003E-2</v>
      </c>
      <c r="F11010">
        <v>9.3799999999999994E-2</v>
      </c>
    </row>
    <row r="11011" spans="1:6" x14ac:dyDescent="0.3">
      <c r="A11011" t="s">
        <v>11046</v>
      </c>
      <c r="B11011" t="s">
        <v>26</v>
      </c>
      <c r="C11011">
        <v>115000</v>
      </c>
      <c r="D11011">
        <v>254.8</v>
      </c>
      <c r="E11011">
        <v>8.9300000000000004E-2</v>
      </c>
      <c r="F11011">
        <v>9.5100000000000004E-2</v>
      </c>
    </row>
    <row r="11012" spans="1:6" x14ac:dyDescent="0.3">
      <c r="A11012" t="s">
        <v>11047</v>
      </c>
      <c r="B11012" t="s">
        <v>32</v>
      </c>
      <c r="C11012">
        <v>136000</v>
      </c>
      <c r="D11012">
        <v>16613.8</v>
      </c>
      <c r="E11012">
        <v>2.1299999999999999E-2</v>
      </c>
      <c r="F11012">
        <v>5.1799999999999999E-2</v>
      </c>
    </row>
    <row r="11013" spans="1:6" x14ac:dyDescent="0.3">
      <c r="A11013" t="s">
        <v>11048</v>
      </c>
      <c r="B11013" t="s">
        <v>26</v>
      </c>
      <c r="C11013">
        <v>174000</v>
      </c>
      <c r="D11013">
        <v>2487.8000000000002</v>
      </c>
      <c r="E11013">
        <v>2.1700000000000001E-2</v>
      </c>
      <c r="F11013">
        <v>7.5899999999999995E-2</v>
      </c>
    </row>
    <row r="11014" spans="1:6" x14ac:dyDescent="0.3">
      <c r="A11014" t="s">
        <v>11049</v>
      </c>
      <c r="B11014" t="s">
        <v>24</v>
      </c>
      <c r="C11014">
        <v>125000</v>
      </c>
      <c r="D11014">
        <v>1511.7</v>
      </c>
      <c r="E11014">
        <v>2.12E-2</v>
      </c>
      <c r="F11014">
        <v>0.13100000000000001</v>
      </c>
    </row>
    <row r="11015" spans="1:6" x14ac:dyDescent="0.3">
      <c r="A11015" t="s">
        <v>11050</v>
      </c>
      <c r="B11015" t="s">
        <v>41</v>
      </c>
      <c r="C11015">
        <v>125000</v>
      </c>
      <c r="D11015">
        <v>1810.9</v>
      </c>
      <c r="E11015">
        <v>1.0800000000000001E-2</v>
      </c>
      <c r="F11015">
        <v>8.2199999999999995E-2</v>
      </c>
    </row>
    <row r="11016" spans="1:6" x14ac:dyDescent="0.3">
      <c r="A11016" t="s">
        <v>11051</v>
      </c>
      <c r="B11016" t="s">
        <v>50</v>
      </c>
      <c r="C11016">
        <v>119000</v>
      </c>
      <c r="D11016">
        <v>11056.3</v>
      </c>
      <c r="E11016">
        <v>7.1999999999999998E-3</v>
      </c>
      <c r="F11016">
        <v>8.2199999999999995E-2</v>
      </c>
    </row>
    <row r="11017" spans="1:6" x14ac:dyDescent="0.3">
      <c r="A11017" t="s">
        <v>11052</v>
      </c>
      <c r="B11017" t="s">
        <v>74</v>
      </c>
      <c r="C11017">
        <v>213000</v>
      </c>
      <c r="D11017">
        <v>29311.3</v>
      </c>
      <c r="E11017">
        <v>0.125</v>
      </c>
      <c r="F11017">
        <v>7.5899999999999995E-2</v>
      </c>
    </row>
    <row r="11018" spans="1:6" x14ac:dyDescent="0.3">
      <c r="A11018" t="s">
        <v>11053</v>
      </c>
      <c r="B11018" t="s">
        <v>214</v>
      </c>
      <c r="C11018">
        <v>193000</v>
      </c>
      <c r="D11018">
        <v>1691.8</v>
      </c>
      <c r="E11018">
        <v>1.72E-2</v>
      </c>
      <c r="F11018">
        <v>8.5400000000000004E-2</v>
      </c>
    </row>
    <row r="11019" spans="1:6" x14ac:dyDescent="0.3">
      <c r="A11019" t="s">
        <v>11054</v>
      </c>
      <c r="B11019" t="s">
        <v>32</v>
      </c>
      <c r="C11019">
        <v>130000</v>
      </c>
      <c r="D11019">
        <v>41229.800000000003</v>
      </c>
      <c r="E11019">
        <v>2.01E-2</v>
      </c>
      <c r="F11019">
        <v>9.5000000000000001E-2</v>
      </c>
    </row>
    <row r="11020" spans="1:6" x14ac:dyDescent="0.3">
      <c r="A11020" t="s">
        <v>11055</v>
      </c>
      <c r="B11020" t="s">
        <v>26</v>
      </c>
      <c r="C11020">
        <v>150000</v>
      </c>
      <c r="D11020">
        <v>6273.6</v>
      </c>
      <c r="E11020">
        <v>7.0000000000000001E-3</v>
      </c>
      <c r="F11020">
        <v>8.2199999999999995E-2</v>
      </c>
    </row>
    <row r="11021" spans="1:6" x14ac:dyDescent="0.3">
      <c r="A11021" t="s">
        <v>11056</v>
      </c>
      <c r="B11021" t="s">
        <v>35</v>
      </c>
      <c r="C11021">
        <v>124000</v>
      </c>
      <c r="D11021">
        <v>221.6</v>
      </c>
      <c r="E11021">
        <v>2.8899999999999999E-2</v>
      </c>
      <c r="F11021">
        <v>5.0999999999999997E-2</v>
      </c>
    </row>
    <row r="11022" spans="1:6" x14ac:dyDescent="0.3">
      <c r="A11022" t="s">
        <v>11057</v>
      </c>
      <c r="B11022" t="s">
        <v>26</v>
      </c>
      <c r="C11022">
        <v>149000</v>
      </c>
      <c r="D11022">
        <v>11263</v>
      </c>
      <c r="E11022">
        <v>9.4999999999999998E-3</v>
      </c>
      <c r="F11022">
        <v>8.1100000000000005E-2</v>
      </c>
    </row>
    <row r="11023" spans="1:6" x14ac:dyDescent="0.3">
      <c r="A11023" t="s">
        <v>11058</v>
      </c>
      <c r="B11023" t="s">
        <v>214</v>
      </c>
      <c r="C11023">
        <v>165000</v>
      </c>
      <c r="D11023">
        <v>5670.8</v>
      </c>
      <c r="E11023">
        <v>3.5999999999999997E-2</v>
      </c>
      <c r="F11023">
        <v>7.5899999999999995E-2</v>
      </c>
    </row>
    <row r="11024" spans="1:6" x14ac:dyDescent="0.3">
      <c r="A11024" t="s">
        <v>11059</v>
      </c>
      <c r="B11024" t="s">
        <v>26</v>
      </c>
      <c r="C11024">
        <v>158000</v>
      </c>
      <c r="D11024">
        <v>2205.6999999999998</v>
      </c>
      <c r="E11024">
        <v>3.4099999999999998E-2</v>
      </c>
      <c r="F11024">
        <v>7.5899999999999995E-2</v>
      </c>
    </row>
    <row r="11025" spans="1:6" x14ac:dyDescent="0.3">
      <c r="A11025" t="s">
        <v>11060</v>
      </c>
      <c r="B11025" t="s">
        <v>74</v>
      </c>
      <c r="C11025">
        <v>123000</v>
      </c>
      <c r="D11025">
        <v>384.2</v>
      </c>
      <c r="E11025">
        <v>4.65E-2</v>
      </c>
      <c r="F11025">
        <v>7.5899999999999995E-2</v>
      </c>
    </row>
    <row r="11026" spans="1:6" x14ac:dyDescent="0.3">
      <c r="A11026" t="s">
        <v>11061</v>
      </c>
      <c r="B11026" t="s">
        <v>88</v>
      </c>
      <c r="C11026">
        <v>166000</v>
      </c>
      <c r="D11026">
        <v>2510.6</v>
      </c>
      <c r="E11026">
        <v>4.7899999999999998E-2</v>
      </c>
      <c r="F11026">
        <v>9.3799999999999994E-2</v>
      </c>
    </row>
    <row r="11027" spans="1:6" x14ac:dyDescent="0.3">
      <c r="A11027" t="s">
        <v>11062</v>
      </c>
      <c r="B11027" t="s">
        <v>214</v>
      </c>
      <c r="C11027">
        <v>127000</v>
      </c>
      <c r="D11027">
        <v>5735.1</v>
      </c>
      <c r="E11027">
        <v>2.69E-2</v>
      </c>
      <c r="F11027">
        <v>9.5100000000000004E-2</v>
      </c>
    </row>
    <row r="11028" spans="1:6" x14ac:dyDescent="0.3">
      <c r="A11028" t="s">
        <v>11063</v>
      </c>
      <c r="B11028" t="s">
        <v>88</v>
      </c>
      <c r="C11028">
        <v>214000</v>
      </c>
      <c r="D11028">
        <v>2432.6999999999998</v>
      </c>
      <c r="E11028">
        <v>3.3500000000000002E-2</v>
      </c>
      <c r="F11028">
        <v>9.3799999999999994E-2</v>
      </c>
    </row>
    <row r="11029" spans="1:6" x14ac:dyDescent="0.3">
      <c r="A11029" t="s">
        <v>11064</v>
      </c>
      <c r="B11029" t="s">
        <v>26</v>
      </c>
      <c r="C11029">
        <v>365000</v>
      </c>
      <c r="D11029">
        <v>4549.7</v>
      </c>
      <c r="E11029">
        <v>1.0800000000000001E-2</v>
      </c>
      <c r="F11029">
        <v>8.1100000000000005E-2</v>
      </c>
    </row>
    <row r="11030" spans="1:6" x14ac:dyDescent="0.3">
      <c r="A11030" t="s">
        <v>11065</v>
      </c>
      <c r="B11030" t="s">
        <v>50</v>
      </c>
      <c r="C11030">
        <v>142000</v>
      </c>
      <c r="D11030">
        <v>586.5</v>
      </c>
      <c r="E11030">
        <v>4.0000000000000001E-3</v>
      </c>
      <c r="F11030">
        <v>6.54E-2</v>
      </c>
    </row>
    <row r="11031" spans="1:6" x14ac:dyDescent="0.3">
      <c r="A11031" t="s">
        <v>11066</v>
      </c>
      <c r="B11031" t="s">
        <v>26</v>
      </c>
      <c r="C11031">
        <v>253000</v>
      </c>
      <c r="D11031">
        <v>13719.8</v>
      </c>
      <c r="E11031">
        <v>7.8E-2</v>
      </c>
      <c r="F11031">
        <v>7.5899999999999995E-2</v>
      </c>
    </row>
    <row r="11032" spans="1:6" x14ac:dyDescent="0.3">
      <c r="A11032" t="s">
        <v>11067</v>
      </c>
      <c r="B11032" t="s">
        <v>26</v>
      </c>
      <c r="C11032">
        <v>120000</v>
      </c>
      <c r="D11032">
        <v>1239.5</v>
      </c>
      <c r="E11032">
        <v>5.8999999999999999E-3</v>
      </c>
      <c r="F11032">
        <v>0.12089999999999999</v>
      </c>
    </row>
    <row r="11033" spans="1:6" x14ac:dyDescent="0.3">
      <c r="A11033" t="s">
        <v>11068</v>
      </c>
      <c r="B11033" t="s">
        <v>81</v>
      </c>
      <c r="C11033">
        <v>143000</v>
      </c>
      <c r="D11033">
        <v>1790.2</v>
      </c>
      <c r="E11033">
        <v>4.82E-2</v>
      </c>
      <c r="F11033">
        <v>7.5899999999999995E-2</v>
      </c>
    </row>
    <row r="11034" spans="1:6" x14ac:dyDescent="0.3">
      <c r="A11034" t="s">
        <v>11069</v>
      </c>
      <c r="B11034" t="s">
        <v>88</v>
      </c>
      <c r="C11034">
        <v>206000</v>
      </c>
      <c r="D11034">
        <v>3099.3</v>
      </c>
      <c r="E11034">
        <v>7.8200000000000006E-2</v>
      </c>
      <c r="F11034">
        <v>9.3799999999999994E-2</v>
      </c>
    </row>
    <row r="11035" spans="1:6" x14ac:dyDescent="0.3">
      <c r="A11035" t="s">
        <v>11070</v>
      </c>
      <c r="B11035" t="s">
        <v>71</v>
      </c>
      <c r="C11035">
        <v>116000</v>
      </c>
      <c r="D11035">
        <v>860.4</v>
      </c>
      <c r="E11035">
        <v>5.0099999999999999E-2</v>
      </c>
      <c r="F11035">
        <v>9.5100000000000004E-2</v>
      </c>
    </row>
    <row r="11036" spans="1:6" x14ac:dyDescent="0.3">
      <c r="A11036" t="s">
        <v>11071</v>
      </c>
      <c r="B11036" t="s">
        <v>26</v>
      </c>
      <c r="C11036">
        <v>130000</v>
      </c>
      <c r="D11036">
        <v>9349.5</v>
      </c>
      <c r="E11036">
        <v>3.4700000000000002E-2</v>
      </c>
      <c r="F11036">
        <v>9.5100000000000004E-2</v>
      </c>
    </row>
    <row r="11037" spans="1:6" x14ac:dyDescent="0.3">
      <c r="A11037" t="s">
        <v>11072</v>
      </c>
      <c r="B11037" t="s">
        <v>53</v>
      </c>
      <c r="C11037">
        <v>183000</v>
      </c>
      <c r="D11037">
        <v>84606.399999999994</v>
      </c>
      <c r="E11037">
        <v>4.2500000000000003E-2</v>
      </c>
      <c r="F11037">
        <v>9.3799999999999994E-2</v>
      </c>
    </row>
    <row r="11038" spans="1:6" x14ac:dyDescent="0.3">
      <c r="A11038" t="s">
        <v>11073</v>
      </c>
      <c r="B11038" t="s">
        <v>26</v>
      </c>
      <c r="C11038">
        <v>251000</v>
      </c>
      <c r="D11038">
        <v>308.5</v>
      </c>
      <c r="E11038">
        <v>6.4000000000000003E-3</v>
      </c>
      <c r="F11038">
        <v>0.32419999999999999</v>
      </c>
    </row>
    <row r="11039" spans="1:6" x14ac:dyDescent="0.3">
      <c r="A11039" t="s">
        <v>11074</v>
      </c>
      <c r="B11039" t="s">
        <v>74</v>
      </c>
      <c r="C11039">
        <v>226000</v>
      </c>
      <c r="D11039">
        <v>17734.400000000001</v>
      </c>
      <c r="E11039">
        <v>4.36E-2</v>
      </c>
      <c r="F11039">
        <v>7.5899999999999995E-2</v>
      </c>
    </row>
    <row r="11040" spans="1:6" x14ac:dyDescent="0.3">
      <c r="A11040" t="s">
        <v>11075</v>
      </c>
      <c r="B11040" t="s">
        <v>53</v>
      </c>
      <c r="C11040">
        <v>257000</v>
      </c>
      <c r="D11040">
        <v>31784</v>
      </c>
      <c r="E11040">
        <v>2.9399999999999999E-2</v>
      </c>
      <c r="F11040">
        <v>8.3299999999999999E-2</v>
      </c>
    </row>
    <row r="11041" spans="1:6" x14ac:dyDescent="0.3">
      <c r="A11041" t="s">
        <v>11076</v>
      </c>
      <c r="B11041" t="s">
        <v>92</v>
      </c>
      <c r="C11041">
        <v>153000</v>
      </c>
      <c r="D11041">
        <v>5980.1</v>
      </c>
      <c r="F11041">
        <v>8.4500000000000006E-2</v>
      </c>
    </row>
    <row r="11042" spans="1:6" x14ac:dyDescent="0.3">
      <c r="A11042" t="s">
        <v>11077</v>
      </c>
      <c r="B11042" t="s">
        <v>214</v>
      </c>
      <c r="C11042">
        <v>148000</v>
      </c>
      <c r="D11042">
        <v>4688.1000000000004</v>
      </c>
      <c r="E11042">
        <v>2.29E-2</v>
      </c>
      <c r="F11042">
        <v>7.5899999999999995E-2</v>
      </c>
    </row>
    <row r="11043" spans="1:6" x14ac:dyDescent="0.3">
      <c r="A11043" t="s">
        <v>11078</v>
      </c>
      <c r="B11043" t="s">
        <v>41</v>
      </c>
      <c r="C11043">
        <v>133000</v>
      </c>
      <c r="D11043">
        <v>28917.4</v>
      </c>
      <c r="E11043">
        <v>2.4400000000000002E-2</v>
      </c>
      <c r="F11043">
        <v>7.5899999999999995E-2</v>
      </c>
    </row>
    <row r="11044" spans="1:6" x14ac:dyDescent="0.3">
      <c r="A11044" t="s">
        <v>11079</v>
      </c>
      <c r="B11044" t="s">
        <v>195</v>
      </c>
      <c r="C11044">
        <v>183000</v>
      </c>
      <c r="D11044">
        <v>1468.4</v>
      </c>
      <c r="E11044">
        <v>2.8799999999999999E-2</v>
      </c>
      <c r="F11044">
        <v>4.0899999999999999E-2</v>
      </c>
    </row>
    <row r="11045" spans="1:6" x14ac:dyDescent="0.3">
      <c r="A11045" t="s">
        <v>11080</v>
      </c>
      <c r="B11045" t="s">
        <v>287</v>
      </c>
      <c r="C11045">
        <v>116000</v>
      </c>
      <c r="D11045">
        <v>1123.5999999999999</v>
      </c>
      <c r="E11045">
        <v>1.52E-2</v>
      </c>
      <c r="F11045">
        <v>0.15939999999999999</v>
      </c>
    </row>
    <row r="11046" spans="1:6" x14ac:dyDescent="0.3">
      <c r="A11046" t="s">
        <v>11081</v>
      </c>
      <c r="B11046" t="s">
        <v>26</v>
      </c>
      <c r="C11046">
        <v>161000</v>
      </c>
      <c r="D11046">
        <v>10834</v>
      </c>
      <c r="E11046">
        <v>2.9399999999999999E-2</v>
      </c>
      <c r="F11046">
        <v>7.5899999999999995E-2</v>
      </c>
    </row>
    <row r="11047" spans="1:6" x14ac:dyDescent="0.3">
      <c r="A11047" t="s">
        <v>11082</v>
      </c>
      <c r="B11047" t="s">
        <v>71</v>
      </c>
      <c r="C11047">
        <v>136000</v>
      </c>
      <c r="D11047">
        <v>5429.2</v>
      </c>
      <c r="E11047">
        <v>6.5500000000000003E-2</v>
      </c>
      <c r="F11047">
        <v>9.3799999999999994E-2</v>
      </c>
    </row>
    <row r="11048" spans="1:6" x14ac:dyDescent="0.3">
      <c r="A11048" t="s">
        <v>11083</v>
      </c>
      <c r="B11048" t="s">
        <v>26</v>
      </c>
      <c r="C11048">
        <v>134000</v>
      </c>
      <c r="D11048">
        <v>845.1</v>
      </c>
      <c r="F11048">
        <v>5.0999999999999997E-2</v>
      </c>
    </row>
    <row r="11049" spans="1:6" x14ac:dyDescent="0.3">
      <c r="A11049" t="s">
        <v>11084</v>
      </c>
      <c r="B11049" t="s">
        <v>41</v>
      </c>
      <c r="C11049">
        <v>123000</v>
      </c>
      <c r="D11049">
        <v>361.9</v>
      </c>
      <c r="E11049">
        <v>1.18E-2</v>
      </c>
      <c r="F11049">
        <v>0.18890000000000001</v>
      </c>
    </row>
    <row r="11050" spans="1:6" x14ac:dyDescent="0.3">
      <c r="A11050" t="s">
        <v>11085</v>
      </c>
      <c r="B11050" t="s">
        <v>41</v>
      </c>
      <c r="C11050">
        <v>160000</v>
      </c>
      <c r="D11050">
        <v>2503</v>
      </c>
      <c r="E11050">
        <v>4.2500000000000003E-2</v>
      </c>
      <c r="F11050">
        <v>9.5100000000000004E-2</v>
      </c>
    </row>
    <row r="11051" spans="1:6" x14ac:dyDescent="0.3">
      <c r="A11051" t="s">
        <v>11086</v>
      </c>
      <c r="B11051" t="s">
        <v>62</v>
      </c>
      <c r="C11051">
        <v>142000</v>
      </c>
      <c r="D11051">
        <v>25469.599999999999</v>
      </c>
      <c r="E11051">
        <v>1.84E-2</v>
      </c>
      <c r="F11051">
        <v>5.8500000000000003E-2</v>
      </c>
    </row>
    <row r="11052" spans="1:6" x14ac:dyDescent="0.3">
      <c r="A11052" t="s">
        <v>11087</v>
      </c>
      <c r="B11052" t="s">
        <v>26</v>
      </c>
      <c r="C11052">
        <v>124000</v>
      </c>
      <c r="D11052">
        <v>711.2</v>
      </c>
      <c r="E11052">
        <v>5.8999999999999999E-3</v>
      </c>
      <c r="F11052">
        <v>8.2199999999999995E-2</v>
      </c>
    </row>
    <row r="11053" spans="1:6" x14ac:dyDescent="0.3">
      <c r="A11053" t="s">
        <v>11088</v>
      </c>
      <c r="B11053" t="s">
        <v>53</v>
      </c>
      <c r="C11053">
        <v>310000</v>
      </c>
      <c r="D11053">
        <v>33132.199999999997</v>
      </c>
      <c r="E11053">
        <v>3.5999999999999997E-2</v>
      </c>
      <c r="F11053">
        <v>4.3200000000000002E-2</v>
      </c>
    </row>
    <row r="11054" spans="1:6" x14ac:dyDescent="0.3">
      <c r="A11054" t="s">
        <v>11089</v>
      </c>
      <c r="B11054" t="s">
        <v>26</v>
      </c>
      <c r="C11054">
        <v>110000</v>
      </c>
      <c r="D11054">
        <v>1886.8</v>
      </c>
      <c r="E11054">
        <v>2.93E-2</v>
      </c>
      <c r="F11054">
        <v>9.5100000000000004E-2</v>
      </c>
    </row>
    <row r="11055" spans="1:6" x14ac:dyDescent="0.3">
      <c r="A11055" t="s">
        <v>11090</v>
      </c>
      <c r="B11055" t="s">
        <v>53</v>
      </c>
      <c r="C11055">
        <v>134000</v>
      </c>
      <c r="D11055">
        <v>158.30000000000001</v>
      </c>
      <c r="E11055">
        <v>3.8100000000000002E-2</v>
      </c>
      <c r="F11055">
        <v>0.1226</v>
      </c>
    </row>
    <row r="11056" spans="1:6" x14ac:dyDescent="0.3">
      <c r="A11056" t="s">
        <v>11091</v>
      </c>
      <c r="B11056" t="s">
        <v>88</v>
      </c>
      <c r="C11056">
        <v>207000</v>
      </c>
      <c r="D11056">
        <v>57806.5</v>
      </c>
      <c r="E11056">
        <v>3.1600000000000003E-2</v>
      </c>
      <c r="F11056">
        <v>9.5100000000000004E-2</v>
      </c>
    </row>
    <row r="11057" spans="1:6" x14ac:dyDescent="0.3">
      <c r="A11057" t="s">
        <v>11092</v>
      </c>
      <c r="B11057" t="s">
        <v>214</v>
      </c>
      <c r="C11057">
        <v>125000</v>
      </c>
      <c r="D11057">
        <v>3010.8</v>
      </c>
      <c r="E11057">
        <v>1.41E-2</v>
      </c>
      <c r="F11057">
        <v>0.1067</v>
      </c>
    </row>
    <row r="11058" spans="1:6" x14ac:dyDescent="0.3">
      <c r="A11058" t="s">
        <v>11093</v>
      </c>
      <c r="B11058" t="s">
        <v>71</v>
      </c>
      <c r="C11058">
        <v>165000</v>
      </c>
      <c r="D11058">
        <v>2925.7</v>
      </c>
      <c r="E11058">
        <v>9.7999999999999997E-3</v>
      </c>
      <c r="F11058">
        <v>0.18859999999999999</v>
      </c>
    </row>
    <row r="11059" spans="1:6" x14ac:dyDescent="0.3">
      <c r="A11059" t="s">
        <v>11094</v>
      </c>
      <c r="B11059" t="s">
        <v>81</v>
      </c>
      <c r="C11059">
        <v>136000</v>
      </c>
      <c r="D11059">
        <v>4443.3</v>
      </c>
      <c r="E11059">
        <v>9.7999999999999997E-3</v>
      </c>
      <c r="F11059">
        <v>8.1100000000000005E-2</v>
      </c>
    </row>
    <row r="11060" spans="1:6" x14ac:dyDescent="0.3">
      <c r="A11060" t="s">
        <v>11095</v>
      </c>
      <c r="B11060" t="s">
        <v>74</v>
      </c>
      <c r="C11060">
        <v>177000</v>
      </c>
      <c r="D11060">
        <v>1323.6</v>
      </c>
      <c r="E11060">
        <v>1.52E-2</v>
      </c>
      <c r="F11060">
        <v>0.1469</v>
      </c>
    </row>
    <row r="11061" spans="1:6" x14ac:dyDescent="0.3">
      <c r="A11061" t="s">
        <v>11096</v>
      </c>
      <c r="B11061" t="s">
        <v>71</v>
      </c>
      <c r="C11061">
        <v>116000</v>
      </c>
      <c r="D11061">
        <v>93.8</v>
      </c>
      <c r="E11061">
        <v>1.03E-2</v>
      </c>
      <c r="F11061">
        <v>0.27289999999999998</v>
      </c>
    </row>
    <row r="11062" spans="1:6" x14ac:dyDescent="0.3">
      <c r="A11062" t="s">
        <v>11097</v>
      </c>
      <c r="B11062" t="s">
        <v>81</v>
      </c>
      <c r="C11062">
        <v>155000</v>
      </c>
      <c r="D11062">
        <v>21917.599999999999</v>
      </c>
      <c r="E11062">
        <v>2.1700000000000001E-2</v>
      </c>
      <c r="F11062">
        <v>9.3799999999999994E-2</v>
      </c>
    </row>
    <row r="11063" spans="1:6" x14ac:dyDescent="0.3">
      <c r="A11063" t="s">
        <v>11098</v>
      </c>
      <c r="B11063" t="s">
        <v>88</v>
      </c>
      <c r="C11063">
        <v>117000</v>
      </c>
      <c r="D11063">
        <v>86.7</v>
      </c>
      <c r="E11063">
        <v>1.7899999999999999E-2</v>
      </c>
      <c r="F11063">
        <v>0.1691</v>
      </c>
    </row>
    <row r="11064" spans="1:6" x14ac:dyDescent="0.3">
      <c r="A11064" t="s">
        <v>11099</v>
      </c>
      <c r="B11064" t="s">
        <v>88</v>
      </c>
      <c r="C11064">
        <v>147000</v>
      </c>
      <c r="D11064">
        <v>4809.8999999999996</v>
      </c>
      <c r="E11064">
        <v>3.7199999999999997E-2</v>
      </c>
      <c r="F11064">
        <v>7.5899999999999995E-2</v>
      </c>
    </row>
    <row r="11065" spans="1:6" x14ac:dyDescent="0.3">
      <c r="A11065" t="s">
        <v>11100</v>
      </c>
      <c r="B11065" t="s">
        <v>74</v>
      </c>
      <c r="C11065">
        <v>332000</v>
      </c>
      <c r="D11065">
        <v>589.4</v>
      </c>
      <c r="E11065">
        <v>4.6600000000000003E-2</v>
      </c>
      <c r="F11065">
        <v>9.3799999999999994E-2</v>
      </c>
    </row>
    <row r="11066" spans="1:6" x14ac:dyDescent="0.3">
      <c r="A11066" t="s">
        <v>11101</v>
      </c>
      <c r="B11066" t="s">
        <v>26</v>
      </c>
      <c r="C11066">
        <v>110000</v>
      </c>
      <c r="D11066">
        <v>3447.2</v>
      </c>
      <c r="E11066">
        <v>9.06E-2</v>
      </c>
      <c r="F11066">
        <v>9.5100000000000004E-2</v>
      </c>
    </row>
    <row r="11067" spans="1:6" x14ac:dyDescent="0.3">
      <c r="A11067" t="s">
        <v>11102</v>
      </c>
      <c r="B11067" t="s">
        <v>92</v>
      </c>
      <c r="C11067">
        <v>119000</v>
      </c>
      <c r="D11067">
        <v>1213.4000000000001</v>
      </c>
      <c r="E11067">
        <v>1.54E-2</v>
      </c>
      <c r="F11067">
        <v>0.1067</v>
      </c>
    </row>
    <row r="11068" spans="1:6" x14ac:dyDescent="0.3">
      <c r="A11068" t="s">
        <v>11103</v>
      </c>
      <c r="B11068" t="s">
        <v>26</v>
      </c>
      <c r="C11068">
        <v>186000</v>
      </c>
      <c r="D11068">
        <v>39650.800000000003</v>
      </c>
      <c r="E11068">
        <v>4.6300000000000001E-2</v>
      </c>
      <c r="F11068">
        <v>6.7199999999999996E-2</v>
      </c>
    </row>
    <row r="11069" spans="1:6" x14ac:dyDescent="0.3">
      <c r="A11069" t="s">
        <v>11104</v>
      </c>
      <c r="B11069" t="s">
        <v>92</v>
      </c>
      <c r="C11069">
        <v>141000</v>
      </c>
      <c r="D11069">
        <v>10762.5</v>
      </c>
      <c r="E11069">
        <v>9.4000000000000004E-3</v>
      </c>
      <c r="F11069">
        <v>0.15390000000000001</v>
      </c>
    </row>
    <row r="11070" spans="1:6" x14ac:dyDescent="0.3">
      <c r="A11070" t="s">
        <v>11105</v>
      </c>
      <c r="B11070" t="s">
        <v>74</v>
      </c>
      <c r="C11070">
        <v>116000</v>
      </c>
      <c r="D11070">
        <v>281.8</v>
      </c>
      <c r="E11070">
        <v>5.4899999999999997E-2</v>
      </c>
      <c r="F11070">
        <v>7.5899999999999995E-2</v>
      </c>
    </row>
    <row r="11071" spans="1:6" x14ac:dyDescent="0.3">
      <c r="A11071" t="s">
        <v>11106</v>
      </c>
      <c r="B11071" t="s">
        <v>92</v>
      </c>
      <c r="C11071">
        <v>150000</v>
      </c>
      <c r="D11071">
        <v>2622.3</v>
      </c>
      <c r="E11071">
        <v>1.9599999999999999E-2</v>
      </c>
      <c r="F11071">
        <v>5.8500000000000003E-2</v>
      </c>
    </row>
    <row r="11072" spans="1:6" x14ac:dyDescent="0.3">
      <c r="A11072" t="s">
        <v>11107</v>
      </c>
      <c r="B11072" t="s">
        <v>214</v>
      </c>
      <c r="C11072">
        <v>179000</v>
      </c>
      <c r="D11072">
        <v>11557.1</v>
      </c>
      <c r="F11072">
        <v>9.5100000000000004E-2</v>
      </c>
    </row>
    <row r="11073" spans="1:6" x14ac:dyDescent="0.3">
      <c r="A11073" t="s">
        <v>11108</v>
      </c>
      <c r="B11073" t="s">
        <v>92</v>
      </c>
      <c r="C11073">
        <v>166000</v>
      </c>
      <c r="D11073">
        <v>8079.6</v>
      </c>
      <c r="E11073">
        <v>5.6899999999999999E-2</v>
      </c>
      <c r="F11073">
        <v>7.5899999999999995E-2</v>
      </c>
    </row>
    <row r="11074" spans="1:6" x14ac:dyDescent="0.3">
      <c r="A11074" t="s">
        <v>11109</v>
      </c>
      <c r="B11074" t="s">
        <v>88</v>
      </c>
      <c r="C11074">
        <v>160000</v>
      </c>
      <c r="D11074">
        <v>4788.8999999999996</v>
      </c>
      <c r="E11074">
        <v>2.8000000000000001E-2</v>
      </c>
      <c r="F11074">
        <v>9.5100000000000004E-2</v>
      </c>
    </row>
    <row r="11075" spans="1:6" x14ac:dyDescent="0.3">
      <c r="A11075" t="s">
        <v>11110</v>
      </c>
      <c r="B11075" t="s">
        <v>71</v>
      </c>
      <c r="C11075">
        <v>120000</v>
      </c>
      <c r="D11075">
        <v>12130.9</v>
      </c>
      <c r="E11075">
        <v>4.4499999999999998E-2</v>
      </c>
      <c r="F11075">
        <v>9.5100000000000004E-2</v>
      </c>
    </row>
    <row r="11076" spans="1:6" x14ac:dyDescent="0.3">
      <c r="A11076" t="s">
        <v>11111</v>
      </c>
      <c r="B11076" t="s">
        <v>214</v>
      </c>
      <c r="C11076">
        <v>211000</v>
      </c>
      <c r="D11076">
        <v>57607</v>
      </c>
      <c r="E11076">
        <v>1.17E-2</v>
      </c>
      <c r="F11076">
        <v>4.6199999999999998E-2</v>
      </c>
    </row>
    <row r="11077" spans="1:6" x14ac:dyDescent="0.3">
      <c r="A11077" t="s">
        <v>11112</v>
      </c>
      <c r="B11077" t="s">
        <v>41</v>
      </c>
      <c r="C11077">
        <v>117000</v>
      </c>
      <c r="D11077">
        <v>2906.7</v>
      </c>
      <c r="E11077">
        <v>2.93E-2</v>
      </c>
      <c r="F11077">
        <v>9.5100000000000004E-2</v>
      </c>
    </row>
    <row r="11078" spans="1:6" x14ac:dyDescent="0.3">
      <c r="A11078" t="s">
        <v>11113</v>
      </c>
      <c r="B11078" t="s">
        <v>88</v>
      </c>
      <c r="C11078">
        <v>119000</v>
      </c>
      <c r="D11078">
        <v>1975.1</v>
      </c>
      <c r="E11078">
        <v>2.29E-2</v>
      </c>
      <c r="F11078">
        <v>0.1067</v>
      </c>
    </row>
    <row r="11079" spans="1:6" x14ac:dyDescent="0.3">
      <c r="A11079" t="s">
        <v>11114</v>
      </c>
      <c r="B11079" t="s">
        <v>62</v>
      </c>
      <c r="C11079">
        <v>266000</v>
      </c>
      <c r="D11079">
        <v>5453.7</v>
      </c>
      <c r="E11079">
        <v>1.2500000000000001E-2</v>
      </c>
      <c r="F11079">
        <v>0.1452</v>
      </c>
    </row>
    <row r="11080" spans="1:6" x14ac:dyDescent="0.3">
      <c r="A11080" t="s">
        <v>11115</v>
      </c>
      <c r="B11080" t="s">
        <v>92</v>
      </c>
      <c r="C11080">
        <v>134000</v>
      </c>
      <c r="D11080">
        <v>3342.2</v>
      </c>
      <c r="E11080">
        <v>1.38E-2</v>
      </c>
      <c r="F11080">
        <v>7.7499999999999999E-2</v>
      </c>
    </row>
    <row r="11081" spans="1:6" x14ac:dyDescent="0.3">
      <c r="A11081" t="s">
        <v>11116</v>
      </c>
      <c r="B11081" t="s">
        <v>88</v>
      </c>
      <c r="C11081">
        <v>116000</v>
      </c>
      <c r="D11081">
        <v>121.5</v>
      </c>
      <c r="E11081">
        <v>8.8999999999999996E-2</v>
      </c>
      <c r="F11081">
        <v>7.5899999999999995E-2</v>
      </c>
    </row>
    <row r="11082" spans="1:6" x14ac:dyDescent="0.3">
      <c r="A11082" t="s">
        <v>11117</v>
      </c>
      <c r="B11082" t="s">
        <v>50</v>
      </c>
      <c r="C11082">
        <v>344000</v>
      </c>
      <c r="D11082">
        <v>7378.4</v>
      </c>
      <c r="E11082">
        <v>5.8400000000000001E-2</v>
      </c>
      <c r="F11082">
        <v>9.3799999999999994E-2</v>
      </c>
    </row>
    <row r="11083" spans="1:6" x14ac:dyDescent="0.3">
      <c r="A11083" t="s">
        <v>11118</v>
      </c>
      <c r="B11083" t="s">
        <v>26</v>
      </c>
      <c r="C11083">
        <v>116000</v>
      </c>
      <c r="D11083">
        <v>11134.2</v>
      </c>
      <c r="E11083">
        <v>1.67E-2</v>
      </c>
      <c r="F11083">
        <v>0.1067</v>
      </c>
    </row>
    <row r="11084" spans="1:6" x14ac:dyDescent="0.3">
      <c r="A11084" t="s">
        <v>11119</v>
      </c>
      <c r="B11084" t="s">
        <v>26</v>
      </c>
      <c r="C11084">
        <v>306000</v>
      </c>
      <c r="D11084">
        <v>456.9</v>
      </c>
      <c r="E11084">
        <v>1.0699999999999999E-2</v>
      </c>
      <c r="F11084">
        <v>0.14710000000000001</v>
      </c>
    </row>
    <row r="11085" spans="1:6" x14ac:dyDescent="0.3">
      <c r="A11085" t="s">
        <v>11120</v>
      </c>
      <c r="B11085" t="s">
        <v>24</v>
      </c>
      <c r="C11085">
        <v>126000</v>
      </c>
      <c r="D11085">
        <v>12588.1</v>
      </c>
      <c r="E11085">
        <v>9.4500000000000001E-2</v>
      </c>
      <c r="F11085">
        <v>9.5100000000000004E-2</v>
      </c>
    </row>
    <row r="11086" spans="1:6" x14ac:dyDescent="0.3">
      <c r="A11086" t="s">
        <v>11121</v>
      </c>
      <c r="B11086" t="s">
        <v>74</v>
      </c>
      <c r="C11086">
        <v>167000</v>
      </c>
      <c r="F11086">
        <v>7.5899999999999995E-2</v>
      </c>
    </row>
    <row r="11087" spans="1:6" x14ac:dyDescent="0.3">
      <c r="A11087" t="s">
        <v>11122</v>
      </c>
      <c r="B11087" t="s">
        <v>88</v>
      </c>
      <c r="C11087">
        <v>131000</v>
      </c>
      <c r="D11087">
        <v>369.7</v>
      </c>
      <c r="E11087">
        <v>3.3700000000000001E-2</v>
      </c>
      <c r="F11087">
        <v>9.3799999999999994E-2</v>
      </c>
    </row>
    <row r="11088" spans="1:6" x14ac:dyDescent="0.3">
      <c r="A11088" t="s">
        <v>11123</v>
      </c>
      <c r="B11088" t="s">
        <v>214</v>
      </c>
      <c r="C11088">
        <v>124000</v>
      </c>
      <c r="D11088">
        <v>573.6</v>
      </c>
      <c r="E11088">
        <v>6.7000000000000002E-3</v>
      </c>
      <c r="F11088">
        <v>8.1100000000000005E-2</v>
      </c>
    </row>
    <row r="11089" spans="1:6" x14ac:dyDescent="0.3">
      <c r="A11089" t="s">
        <v>11124</v>
      </c>
      <c r="B11089" t="s">
        <v>35</v>
      </c>
      <c r="C11089">
        <v>130000</v>
      </c>
      <c r="D11089">
        <v>4334.1000000000004</v>
      </c>
      <c r="E11089">
        <v>5.9200000000000003E-2</v>
      </c>
      <c r="F11089">
        <v>9.5100000000000004E-2</v>
      </c>
    </row>
    <row r="11090" spans="1:6" x14ac:dyDescent="0.3">
      <c r="A11090" t="s">
        <v>11125</v>
      </c>
      <c r="B11090" t="s">
        <v>41</v>
      </c>
      <c r="C11090">
        <v>222000</v>
      </c>
      <c r="D11090">
        <v>2328.5</v>
      </c>
      <c r="E11090">
        <v>1.8100000000000002E-2</v>
      </c>
      <c r="F11090">
        <v>6.08E-2</v>
      </c>
    </row>
    <row r="11091" spans="1:6" x14ac:dyDescent="0.3">
      <c r="A11091" t="s">
        <v>11126</v>
      </c>
      <c r="B11091" t="s">
        <v>88</v>
      </c>
      <c r="C11091">
        <v>129000</v>
      </c>
      <c r="D11091">
        <v>2970.9</v>
      </c>
      <c r="E11091">
        <v>3.4299999999999997E-2</v>
      </c>
      <c r="F11091">
        <v>0.11700000000000001</v>
      </c>
    </row>
    <row r="11092" spans="1:6" x14ac:dyDescent="0.3">
      <c r="A11092" t="s">
        <v>11127</v>
      </c>
      <c r="B11092" t="s">
        <v>81</v>
      </c>
      <c r="C11092">
        <v>122000</v>
      </c>
      <c r="D11092">
        <v>2123</v>
      </c>
      <c r="F11092">
        <v>4.0899999999999999E-2</v>
      </c>
    </row>
    <row r="11093" spans="1:6" x14ac:dyDescent="0.3">
      <c r="A11093" t="s">
        <v>11128</v>
      </c>
      <c r="B11093" t="s">
        <v>50</v>
      </c>
      <c r="C11093">
        <v>117000</v>
      </c>
      <c r="D11093">
        <v>2777</v>
      </c>
      <c r="E11093">
        <v>3.1199999999999999E-2</v>
      </c>
      <c r="F11093">
        <v>9.5100000000000004E-2</v>
      </c>
    </row>
    <row r="11094" spans="1:6" x14ac:dyDescent="0.3">
      <c r="A11094" t="s">
        <v>11129</v>
      </c>
      <c r="B11094" t="s">
        <v>88</v>
      </c>
      <c r="C11094">
        <v>127000</v>
      </c>
      <c r="D11094">
        <v>407.4</v>
      </c>
      <c r="E11094">
        <v>2.7099999999999999E-2</v>
      </c>
      <c r="F11094">
        <v>9.3799999999999994E-2</v>
      </c>
    </row>
    <row r="11095" spans="1:6" x14ac:dyDescent="0.3">
      <c r="A11095" t="s">
        <v>11130</v>
      </c>
      <c r="B11095" t="s">
        <v>88</v>
      </c>
      <c r="C11095">
        <v>138000</v>
      </c>
      <c r="D11095">
        <v>14165.6</v>
      </c>
      <c r="E11095">
        <v>1.83E-2</v>
      </c>
      <c r="F11095">
        <v>0.1067</v>
      </c>
    </row>
    <row r="11096" spans="1:6" x14ac:dyDescent="0.3">
      <c r="A11096" t="s">
        <v>11131</v>
      </c>
      <c r="B11096" t="s">
        <v>92</v>
      </c>
      <c r="C11096">
        <v>271000</v>
      </c>
      <c r="D11096">
        <v>6743.2</v>
      </c>
      <c r="F11096">
        <v>5.1799999999999999E-2</v>
      </c>
    </row>
    <row r="11097" spans="1:6" x14ac:dyDescent="0.3">
      <c r="A11097" t="s">
        <v>11132</v>
      </c>
      <c r="B11097" t="s">
        <v>30</v>
      </c>
      <c r="C11097">
        <v>508000</v>
      </c>
      <c r="D11097">
        <v>68947.5</v>
      </c>
      <c r="E11097">
        <v>6.4000000000000003E-3</v>
      </c>
      <c r="F11097">
        <v>6.54E-2</v>
      </c>
    </row>
    <row r="11098" spans="1:6" x14ac:dyDescent="0.3">
      <c r="A11098" t="s">
        <v>11133</v>
      </c>
      <c r="B11098" t="s">
        <v>88</v>
      </c>
      <c r="C11098">
        <v>154000</v>
      </c>
      <c r="D11098">
        <v>2927.8</v>
      </c>
      <c r="E11098">
        <v>5.62E-2</v>
      </c>
      <c r="F11098">
        <v>7.5899999999999995E-2</v>
      </c>
    </row>
    <row r="11099" spans="1:6" x14ac:dyDescent="0.3">
      <c r="A11099" t="s">
        <v>11134</v>
      </c>
      <c r="B11099" t="s">
        <v>26</v>
      </c>
      <c r="C11099">
        <v>286000</v>
      </c>
      <c r="D11099">
        <v>12550.1</v>
      </c>
      <c r="E11099">
        <v>3.1E-2</v>
      </c>
      <c r="F11099">
        <v>7.5899999999999995E-2</v>
      </c>
    </row>
    <row r="11100" spans="1:6" x14ac:dyDescent="0.3">
      <c r="A11100" t="s">
        <v>11135</v>
      </c>
      <c r="B11100" t="s">
        <v>26</v>
      </c>
      <c r="C11100">
        <v>112000</v>
      </c>
      <c r="D11100">
        <v>42913</v>
      </c>
      <c r="E11100">
        <v>0.17119999999999999</v>
      </c>
      <c r="F11100">
        <v>9.5100000000000004E-2</v>
      </c>
    </row>
    <row r="11101" spans="1:6" x14ac:dyDescent="0.3">
      <c r="A11101" t="s">
        <v>11136</v>
      </c>
      <c r="B11101" t="s">
        <v>88</v>
      </c>
      <c r="C11101">
        <v>120000</v>
      </c>
      <c r="D11101">
        <v>180.3</v>
      </c>
      <c r="E11101">
        <v>3.8800000000000001E-2</v>
      </c>
      <c r="F11101">
        <v>9.5100000000000004E-2</v>
      </c>
    </row>
    <row r="11102" spans="1:6" x14ac:dyDescent="0.3">
      <c r="A11102" t="s">
        <v>11137</v>
      </c>
      <c r="B11102" t="s">
        <v>214</v>
      </c>
      <c r="C11102">
        <v>121000</v>
      </c>
      <c r="D11102">
        <v>1797.9</v>
      </c>
      <c r="E11102">
        <v>8.0000000000000002E-3</v>
      </c>
      <c r="F11102">
        <v>6.59E-2</v>
      </c>
    </row>
    <row r="11103" spans="1:6" x14ac:dyDescent="0.3">
      <c r="A11103" t="s">
        <v>11138</v>
      </c>
      <c r="B11103" t="s">
        <v>74</v>
      </c>
      <c r="C11103">
        <v>138000</v>
      </c>
      <c r="D11103">
        <v>49115.3</v>
      </c>
      <c r="E11103">
        <v>4.3099999999999999E-2</v>
      </c>
      <c r="F11103">
        <v>9.5100000000000004E-2</v>
      </c>
    </row>
    <row r="11104" spans="1:6" x14ac:dyDescent="0.3">
      <c r="A11104" t="s">
        <v>11139</v>
      </c>
      <c r="B11104" t="s">
        <v>53</v>
      </c>
      <c r="C11104">
        <v>124000</v>
      </c>
      <c r="D11104">
        <v>47355.1</v>
      </c>
      <c r="E11104">
        <v>2.5000000000000001E-2</v>
      </c>
      <c r="F11104">
        <v>5.1799999999999999E-2</v>
      </c>
    </row>
    <row r="11105" spans="1:6" x14ac:dyDescent="0.3">
      <c r="A11105" t="s">
        <v>11140</v>
      </c>
      <c r="B11105" t="s">
        <v>26</v>
      </c>
      <c r="C11105">
        <v>115000</v>
      </c>
      <c r="D11105">
        <v>388.4</v>
      </c>
      <c r="E11105">
        <v>5.1900000000000002E-2</v>
      </c>
      <c r="F11105">
        <v>0.30109999999999998</v>
      </c>
    </row>
    <row r="11106" spans="1:6" x14ac:dyDescent="0.3">
      <c r="A11106" t="s">
        <v>11141</v>
      </c>
      <c r="B11106" t="s">
        <v>71</v>
      </c>
      <c r="C11106">
        <v>140000</v>
      </c>
      <c r="D11106">
        <v>4394.1000000000004</v>
      </c>
      <c r="E11106">
        <v>1.9800000000000002E-2</v>
      </c>
      <c r="F11106">
        <v>0.1067</v>
      </c>
    </row>
    <row r="11107" spans="1:6" x14ac:dyDescent="0.3">
      <c r="A11107" t="s">
        <v>11142</v>
      </c>
      <c r="B11107" t="s">
        <v>88</v>
      </c>
      <c r="C11107">
        <v>115000</v>
      </c>
      <c r="D11107">
        <v>5113</v>
      </c>
      <c r="E11107">
        <v>5.0000000000000001E-3</v>
      </c>
      <c r="F11107">
        <v>8.2199999999999995E-2</v>
      </c>
    </row>
    <row r="11108" spans="1:6" x14ac:dyDescent="0.3">
      <c r="A11108" t="s">
        <v>11143</v>
      </c>
      <c r="B11108" t="s">
        <v>26</v>
      </c>
      <c r="C11108">
        <v>126000</v>
      </c>
      <c r="D11108">
        <v>2638.1</v>
      </c>
      <c r="E11108">
        <v>2.3199999999999998E-2</v>
      </c>
      <c r="F11108">
        <v>9.5100000000000004E-2</v>
      </c>
    </row>
    <row r="11109" spans="1:6" x14ac:dyDescent="0.3">
      <c r="A11109" t="s">
        <v>11144</v>
      </c>
      <c r="B11109" t="s">
        <v>92</v>
      </c>
      <c r="C11109">
        <v>165000</v>
      </c>
      <c r="D11109">
        <v>7706.8</v>
      </c>
      <c r="E11109">
        <v>6.3E-3</v>
      </c>
      <c r="F11109">
        <v>8.2199999999999995E-2</v>
      </c>
    </row>
    <row r="11110" spans="1:6" x14ac:dyDescent="0.3">
      <c r="A11110" t="s">
        <v>11145</v>
      </c>
      <c r="B11110" t="s">
        <v>26</v>
      </c>
      <c r="C11110">
        <v>204000</v>
      </c>
      <c r="D11110">
        <v>69703</v>
      </c>
      <c r="F11110">
        <v>9.5100000000000004E-2</v>
      </c>
    </row>
    <row r="11111" spans="1:6" x14ac:dyDescent="0.3">
      <c r="A11111" t="s">
        <v>11146</v>
      </c>
      <c r="B11111" t="s">
        <v>26</v>
      </c>
      <c r="C11111">
        <v>146000</v>
      </c>
      <c r="D11111">
        <v>8074.2</v>
      </c>
      <c r="E11111">
        <v>1.9800000000000002E-2</v>
      </c>
      <c r="F11111">
        <v>4.6199999999999998E-2</v>
      </c>
    </row>
    <row r="11112" spans="1:6" x14ac:dyDescent="0.3">
      <c r="A11112" t="s">
        <v>11147</v>
      </c>
      <c r="B11112" t="s">
        <v>26</v>
      </c>
      <c r="C11112">
        <v>109000</v>
      </c>
      <c r="D11112">
        <v>403.6</v>
      </c>
      <c r="E11112">
        <v>2.63E-2</v>
      </c>
      <c r="F11112">
        <v>9.5100000000000004E-2</v>
      </c>
    </row>
    <row r="11113" spans="1:6" x14ac:dyDescent="0.3">
      <c r="A11113" t="s">
        <v>11148</v>
      </c>
      <c r="B11113" t="s">
        <v>26</v>
      </c>
      <c r="C11113">
        <v>114000</v>
      </c>
      <c r="F11113">
        <v>7.5899999999999995E-2</v>
      </c>
    </row>
    <row r="11114" spans="1:6" x14ac:dyDescent="0.3">
      <c r="A11114" t="s">
        <v>11149</v>
      </c>
      <c r="B11114" t="s">
        <v>32</v>
      </c>
      <c r="C11114">
        <v>128000</v>
      </c>
      <c r="D11114">
        <v>1013202</v>
      </c>
      <c r="E11114">
        <v>1.4800000000000001E-2</v>
      </c>
      <c r="F11114">
        <v>5.8500000000000003E-2</v>
      </c>
    </row>
    <row r="11115" spans="1:6" x14ac:dyDescent="0.3">
      <c r="A11115" t="s">
        <v>11150</v>
      </c>
      <c r="B11115" t="s">
        <v>62</v>
      </c>
      <c r="C11115">
        <v>146000</v>
      </c>
      <c r="D11115">
        <v>13322.9</v>
      </c>
      <c r="E11115">
        <v>4.7300000000000002E-2</v>
      </c>
      <c r="F11115">
        <v>4.0899999999999999E-2</v>
      </c>
    </row>
    <row r="11116" spans="1:6" x14ac:dyDescent="0.3">
      <c r="A11116" t="s">
        <v>11151</v>
      </c>
      <c r="B11116" t="s">
        <v>26</v>
      </c>
      <c r="C11116">
        <v>127000</v>
      </c>
      <c r="D11116">
        <v>2136.8000000000002</v>
      </c>
      <c r="E11116">
        <v>4.0399999999999998E-2</v>
      </c>
      <c r="F11116">
        <v>7.5899999999999995E-2</v>
      </c>
    </row>
    <row r="11117" spans="1:6" x14ac:dyDescent="0.3">
      <c r="A11117" t="s">
        <v>11152</v>
      </c>
      <c r="B11117" t="s">
        <v>214</v>
      </c>
      <c r="C11117">
        <v>172000</v>
      </c>
      <c r="D11117">
        <v>2415</v>
      </c>
      <c r="E11117">
        <v>1.5699999999999999E-2</v>
      </c>
      <c r="F11117">
        <v>0.57699999999999996</v>
      </c>
    </row>
    <row r="11118" spans="1:6" x14ac:dyDescent="0.3">
      <c r="A11118" t="s">
        <v>11153</v>
      </c>
      <c r="B11118" t="s">
        <v>62</v>
      </c>
      <c r="C11118">
        <v>286000</v>
      </c>
      <c r="D11118">
        <v>42569.9</v>
      </c>
      <c r="E11118">
        <v>2.2200000000000001E-2</v>
      </c>
      <c r="F11118">
        <v>7.5899999999999995E-2</v>
      </c>
    </row>
    <row r="11119" spans="1:6" x14ac:dyDescent="0.3">
      <c r="A11119" t="s">
        <v>11154</v>
      </c>
      <c r="B11119" t="s">
        <v>53</v>
      </c>
      <c r="C11119">
        <v>161000</v>
      </c>
      <c r="D11119">
        <v>25204.6</v>
      </c>
      <c r="E11119">
        <v>4.0399999999999998E-2</v>
      </c>
      <c r="F11119">
        <v>9.5100000000000004E-2</v>
      </c>
    </row>
    <row r="11120" spans="1:6" x14ac:dyDescent="0.3">
      <c r="A11120" t="s">
        <v>11155</v>
      </c>
      <c r="B11120" t="s">
        <v>62</v>
      </c>
      <c r="C11120">
        <v>730000</v>
      </c>
      <c r="D11120">
        <v>20366.7</v>
      </c>
      <c r="E11120">
        <v>1.37E-2</v>
      </c>
      <c r="F11120">
        <v>0.1053</v>
      </c>
    </row>
    <row r="11121" spans="1:6" x14ac:dyDescent="0.3">
      <c r="A11121" t="s">
        <v>11156</v>
      </c>
      <c r="B11121" t="s">
        <v>92</v>
      </c>
      <c r="C11121">
        <v>158000</v>
      </c>
      <c r="D11121">
        <v>1455.3</v>
      </c>
      <c r="E11121">
        <v>8.9999999999999998E-4</v>
      </c>
      <c r="F11121">
        <v>8.1100000000000005E-2</v>
      </c>
    </row>
    <row r="11122" spans="1:6" x14ac:dyDescent="0.3">
      <c r="A11122" t="s">
        <v>11157</v>
      </c>
      <c r="B11122" t="s">
        <v>92</v>
      </c>
      <c r="C11122">
        <v>130000</v>
      </c>
      <c r="D11122">
        <v>1095.0999999999999</v>
      </c>
      <c r="E11122">
        <v>2.7300000000000001E-2</v>
      </c>
      <c r="F11122">
        <v>9.5100000000000004E-2</v>
      </c>
    </row>
    <row r="11123" spans="1:6" x14ac:dyDescent="0.3">
      <c r="A11123" t="s">
        <v>11158</v>
      </c>
      <c r="B11123" t="s">
        <v>88</v>
      </c>
      <c r="C11123">
        <v>112000</v>
      </c>
      <c r="D11123">
        <v>26.8</v>
      </c>
      <c r="E11123">
        <v>6.8999999999999999E-3</v>
      </c>
      <c r="F11123">
        <v>0.35830000000000001</v>
      </c>
    </row>
    <row r="11124" spans="1:6" x14ac:dyDescent="0.3">
      <c r="A11124" t="s">
        <v>11159</v>
      </c>
      <c r="B11124" t="s">
        <v>88</v>
      </c>
      <c r="C11124">
        <v>142000</v>
      </c>
      <c r="D11124">
        <v>929.9</v>
      </c>
      <c r="E11124">
        <v>5.0900000000000001E-2</v>
      </c>
      <c r="F11124">
        <v>7.5899999999999995E-2</v>
      </c>
    </row>
    <row r="11125" spans="1:6" x14ac:dyDescent="0.3">
      <c r="A11125" t="s">
        <v>11160</v>
      </c>
      <c r="B11125" t="s">
        <v>88</v>
      </c>
      <c r="C11125">
        <v>127000</v>
      </c>
      <c r="D11125">
        <v>530.79999999999995</v>
      </c>
      <c r="E11125">
        <v>1.2800000000000001E-2</v>
      </c>
      <c r="F11125">
        <v>0.18859999999999999</v>
      </c>
    </row>
    <row r="11126" spans="1:6" x14ac:dyDescent="0.3">
      <c r="A11126" t="s">
        <v>11161</v>
      </c>
      <c r="B11126" t="s">
        <v>88</v>
      </c>
      <c r="C11126">
        <v>191000</v>
      </c>
      <c r="D11126">
        <v>153.69999999999999</v>
      </c>
      <c r="E11126">
        <v>8.0999999999999996E-3</v>
      </c>
      <c r="F11126">
        <v>6.54E-2</v>
      </c>
    </row>
    <row r="11127" spans="1:6" x14ac:dyDescent="0.3">
      <c r="A11127" t="s">
        <v>11162</v>
      </c>
      <c r="B11127" t="s">
        <v>26</v>
      </c>
      <c r="C11127">
        <v>212000</v>
      </c>
      <c r="D11127">
        <v>854.7</v>
      </c>
      <c r="F11127">
        <v>9.3799999999999994E-2</v>
      </c>
    </row>
    <row r="11128" spans="1:6" x14ac:dyDescent="0.3">
      <c r="A11128" t="s">
        <v>11163</v>
      </c>
      <c r="B11128" t="s">
        <v>195</v>
      </c>
      <c r="C11128">
        <v>132000</v>
      </c>
      <c r="D11128">
        <v>335.6</v>
      </c>
      <c r="E11128">
        <v>2.2599999999999999E-2</v>
      </c>
      <c r="F11128">
        <v>0.1053</v>
      </c>
    </row>
    <row r="11129" spans="1:6" x14ac:dyDescent="0.3">
      <c r="A11129" t="s">
        <v>11164</v>
      </c>
      <c r="B11129" t="s">
        <v>81</v>
      </c>
      <c r="C11129">
        <v>228000</v>
      </c>
      <c r="D11129">
        <v>22120.2</v>
      </c>
      <c r="E11129">
        <v>2.5499999999999998E-2</v>
      </c>
      <c r="F11129">
        <v>7.5899999999999995E-2</v>
      </c>
    </row>
    <row r="11130" spans="1:6" x14ac:dyDescent="0.3">
      <c r="A11130" t="s">
        <v>11165</v>
      </c>
      <c r="B11130" t="s">
        <v>53</v>
      </c>
      <c r="C11130">
        <v>166000</v>
      </c>
      <c r="D11130">
        <v>42180.4</v>
      </c>
      <c r="E11130">
        <v>5.8999999999999999E-3</v>
      </c>
      <c r="F11130">
        <v>6.54E-2</v>
      </c>
    </row>
    <row r="11131" spans="1:6" x14ac:dyDescent="0.3">
      <c r="A11131" t="s">
        <v>11166</v>
      </c>
      <c r="B11131" t="s">
        <v>24</v>
      </c>
      <c r="C11131">
        <v>127000</v>
      </c>
      <c r="D11131">
        <v>1895.2</v>
      </c>
      <c r="E11131">
        <v>3.7600000000000001E-2</v>
      </c>
      <c r="F11131">
        <v>0.1226</v>
      </c>
    </row>
    <row r="11132" spans="1:6" x14ac:dyDescent="0.3">
      <c r="A11132" t="s">
        <v>11167</v>
      </c>
      <c r="B11132" t="s">
        <v>26</v>
      </c>
      <c r="C11132">
        <v>121000</v>
      </c>
      <c r="D11132">
        <v>18401.2</v>
      </c>
      <c r="E11132">
        <v>2.93E-2</v>
      </c>
      <c r="F11132">
        <v>4.0899999999999999E-2</v>
      </c>
    </row>
    <row r="11133" spans="1:6" x14ac:dyDescent="0.3">
      <c r="A11133" t="s">
        <v>11168</v>
      </c>
      <c r="B11133" t="s">
        <v>26</v>
      </c>
      <c r="C11133">
        <v>683000</v>
      </c>
      <c r="D11133">
        <v>9343</v>
      </c>
      <c r="E11133">
        <v>3.5799999999999998E-2</v>
      </c>
      <c r="F11133">
        <v>5.0999999999999997E-2</v>
      </c>
    </row>
    <row r="11134" spans="1:6" x14ac:dyDescent="0.3">
      <c r="A11134" t="s">
        <v>11169</v>
      </c>
      <c r="B11134" t="s">
        <v>53</v>
      </c>
      <c r="C11134">
        <v>113000</v>
      </c>
      <c r="D11134">
        <v>1182.0999999999999</v>
      </c>
      <c r="E11134">
        <v>2.23E-2</v>
      </c>
      <c r="F11134">
        <v>5.8500000000000003E-2</v>
      </c>
    </row>
    <row r="11135" spans="1:6" x14ac:dyDescent="0.3">
      <c r="A11135" t="s">
        <v>11170</v>
      </c>
      <c r="B11135" t="s">
        <v>88</v>
      </c>
      <c r="C11135">
        <v>112000</v>
      </c>
      <c r="D11135">
        <v>1706</v>
      </c>
      <c r="E11135">
        <v>3.4500000000000003E-2</v>
      </c>
      <c r="F11135">
        <v>0.11700000000000001</v>
      </c>
    </row>
    <row r="11136" spans="1:6" x14ac:dyDescent="0.3">
      <c r="A11136" t="s">
        <v>11171</v>
      </c>
      <c r="B11136" t="s">
        <v>41</v>
      </c>
      <c r="C11136">
        <v>112000</v>
      </c>
      <c r="D11136">
        <v>601</v>
      </c>
      <c r="E11136">
        <v>1.2800000000000001E-2</v>
      </c>
      <c r="F11136">
        <v>0.13100000000000001</v>
      </c>
    </row>
    <row r="11137" spans="1:6" x14ac:dyDescent="0.3">
      <c r="A11137" t="s">
        <v>11172</v>
      </c>
      <c r="B11137" t="s">
        <v>71</v>
      </c>
      <c r="C11137">
        <v>139000</v>
      </c>
      <c r="D11137">
        <v>18300.900000000001</v>
      </c>
      <c r="E11137">
        <v>5.45E-2</v>
      </c>
      <c r="F11137">
        <v>7.5899999999999995E-2</v>
      </c>
    </row>
    <row r="11138" spans="1:6" x14ac:dyDescent="0.3">
      <c r="A11138" t="s">
        <v>11173</v>
      </c>
      <c r="B11138" t="s">
        <v>88</v>
      </c>
      <c r="C11138">
        <v>111000</v>
      </c>
      <c r="D11138">
        <v>131.4</v>
      </c>
      <c r="E11138">
        <v>2.23E-2</v>
      </c>
      <c r="F11138">
        <v>5.8500000000000003E-2</v>
      </c>
    </row>
    <row r="11139" spans="1:6" x14ac:dyDescent="0.3">
      <c r="A11139" t="s">
        <v>11174</v>
      </c>
      <c r="B11139" t="s">
        <v>26</v>
      </c>
      <c r="C11139">
        <v>117000</v>
      </c>
      <c r="D11139">
        <v>165.5</v>
      </c>
      <c r="F11139">
        <v>7.5899999999999995E-2</v>
      </c>
    </row>
    <row r="11140" spans="1:6" x14ac:dyDescent="0.3">
      <c r="A11140" t="s">
        <v>11175</v>
      </c>
      <c r="B11140" t="s">
        <v>26</v>
      </c>
      <c r="C11140">
        <v>169000</v>
      </c>
      <c r="D11140">
        <v>5341.6</v>
      </c>
      <c r="E11140">
        <v>3.8399999999999997E-2</v>
      </c>
      <c r="F11140">
        <v>6.7199999999999996E-2</v>
      </c>
    </row>
    <row r="11141" spans="1:6" x14ac:dyDescent="0.3">
      <c r="A11141" t="s">
        <v>11176</v>
      </c>
      <c r="B11141" t="s">
        <v>53</v>
      </c>
      <c r="C11141">
        <v>112000</v>
      </c>
      <c r="D11141">
        <v>888</v>
      </c>
      <c r="E11141">
        <v>0.04</v>
      </c>
      <c r="F11141">
        <v>9.5100000000000004E-2</v>
      </c>
    </row>
    <row r="11142" spans="1:6" x14ac:dyDescent="0.3">
      <c r="A11142" t="s">
        <v>11177</v>
      </c>
      <c r="B11142" t="s">
        <v>71</v>
      </c>
      <c r="C11142">
        <v>112000</v>
      </c>
      <c r="D11142">
        <v>18407.5</v>
      </c>
      <c r="E11142">
        <v>5.3100000000000001E-2</v>
      </c>
      <c r="F11142">
        <v>9.5100000000000004E-2</v>
      </c>
    </row>
    <row r="11143" spans="1:6" x14ac:dyDescent="0.3">
      <c r="A11143" t="s">
        <v>11178</v>
      </c>
      <c r="B11143" t="s">
        <v>71</v>
      </c>
      <c r="C11143">
        <v>116000</v>
      </c>
      <c r="D11143">
        <v>135037.1</v>
      </c>
      <c r="E11143">
        <v>2.4500000000000001E-2</v>
      </c>
      <c r="F11143">
        <v>5.1799999999999999E-2</v>
      </c>
    </row>
    <row r="11144" spans="1:6" x14ac:dyDescent="0.3">
      <c r="A11144" t="s">
        <v>11179</v>
      </c>
      <c r="B11144" t="s">
        <v>81</v>
      </c>
      <c r="C11144">
        <v>149000</v>
      </c>
      <c r="D11144">
        <v>1937.2</v>
      </c>
      <c r="E11144">
        <v>3.2800000000000003E-2</v>
      </c>
      <c r="F11144">
        <v>7.5899999999999995E-2</v>
      </c>
    </row>
    <row r="11145" spans="1:6" x14ac:dyDescent="0.3">
      <c r="A11145" t="s">
        <v>11180</v>
      </c>
      <c r="B11145" t="s">
        <v>88</v>
      </c>
      <c r="C11145">
        <v>128000</v>
      </c>
      <c r="D11145">
        <v>124.1</v>
      </c>
      <c r="E11145">
        <v>1.84E-2</v>
      </c>
      <c r="F11145">
        <v>0.13719999999999999</v>
      </c>
    </row>
    <row r="11146" spans="1:6" x14ac:dyDescent="0.3">
      <c r="A11146" t="s">
        <v>11181</v>
      </c>
      <c r="B11146" t="s">
        <v>26</v>
      </c>
      <c r="C11146">
        <v>116000</v>
      </c>
      <c r="D11146">
        <v>2811.4</v>
      </c>
      <c r="E11146">
        <v>2.4799999999999999E-2</v>
      </c>
      <c r="F11146">
        <v>9.5100000000000004E-2</v>
      </c>
    </row>
    <row r="11147" spans="1:6" x14ac:dyDescent="0.3">
      <c r="A11147" t="s">
        <v>11182</v>
      </c>
      <c r="B11147" t="s">
        <v>62</v>
      </c>
      <c r="C11147">
        <v>137000</v>
      </c>
      <c r="D11147">
        <v>80446</v>
      </c>
      <c r="E11147">
        <v>2.5399999999999999E-2</v>
      </c>
      <c r="F11147">
        <v>5.1799999999999999E-2</v>
      </c>
    </row>
    <row r="11148" spans="1:6" x14ac:dyDescent="0.3">
      <c r="A11148" t="s">
        <v>11183</v>
      </c>
      <c r="B11148" t="s">
        <v>92</v>
      </c>
      <c r="C11148">
        <v>116000</v>
      </c>
      <c r="D11148">
        <v>1235.0999999999999</v>
      </c>
      <c r="E11148">
        <v>9.4000000000000004E-3</v>
      </c>
      <c r="F11148">
        <v>0.14710000000000001</v>
      </c>
    </row>
    <row r="11149" spans="1:6" x14ac:dyDescent="0.3">
      <c r="A11149" t="s">
        <v>11184</v>
      </c>
      <c r="B11149" t="s">
        <v>26</v>
      </c>
      <c r="C11149">
        <v>143000</v>
      </c>
      <c r="D11149">
        <v>6006.1</v>
      </c>
      <c r="E11149">
        <v>1.6E-2</v>
      </c>
      <c r="F11149">
        <v>8.5400000000000004E-2</v>
      </c>
    </row>
    <row r="11150" spans="1:6" x14ac:dyDescent="0.3">
      <c r="A11150" t="s">
        <v>11185</v>
      </c>
      <c r="B11150" t="s">
        <v>50</v>
      </c>
      <c r="C11150">
        <v>256000</v>
      </c>
      <c r="D11150">
        <v>2759.3</v>
      </c>
      <c r="E11150">
        <v>1.1599999999999999E-2</v>
      </c>
      <c r="F11150">
        <v>4.6199999999999998E-2</v>
      </c>
    </row>
    <row r="11151" spans="1:6" x14ac:dyDescent="0.3">
      <c r="A11151" t="s">
        <v>11186</v>
      </c>
      <c r="B11151" t="s">
        <v>74</v>
      </c>
      <c r="C11151">
        <v>117000</v>
      </c>
      <c r="D11151">
        <v>2225.6</v>
      </c>
      <c r="E11151">
        <v>4.7199999999999999E-2</v>
      </c>
      <c r="F11151">
        <v>7.5899999999999995E-2</v>
      </c>
    </row>
    <row r="11152" spans="1:6" x14ac:dyDescent="0.3">
      <c r="A11152" t="s">
        <v>11187</v>
      </c>
      <c r="B11152" t="s">
        <v>74</v>
      </c>
      <c r="C11152">
        <v>137000</v>
      </c>
      <c r="D11152">
        <v>17145.099999999999</v>
      </c>
      <c r="E11152">
        <v>7.4800000000000005E-2</v>
      </c>
      <c r="F11152">
        <v>7.5899999999999995E-2</v>
      </c>
    </row>
    <row r="11153" spans="1:6" x14ac:dyDescent="0.3">
      <c r="A11153" t="s">
        <v>11188</v>
      </c>
      <c r="B11153" t="s">
        <v>88</v>
      </c>
      <c r="C11153">
        <v>360000</v>
      </c>
      <c r="D11153">
        <v>2859.4</v>
      </c>
      <c r="E11153">
        <v>4.1200000000000001E-2</v>
      </c>
      <c r="F11153">
        <v>5.0999999999999997E-2</v>
      </c>
    </row>
    <row r="11154" spans="1:6" x14ac:dyDescent="0.3">
      <c r="A11154" t="s">
        <v>11189</v>
      </c>
      <c r="B11154" t="s">
        <v>26</v>
      </c>
      <c r="C11154">
        <v>129000</v>
      </c>
      <c r="D11154">
        <v>36353.800000000003</v>
      </c>
      <c r="E11154">
        <v>1.4500000000000001E-2</v>
      </c>
      <c r="F11154">
        <v>8.5400000000000004E-2</v>
      </c>
    </row>
    <row r="11155" spans="1:6" x14ac:dyDescent="0.3">
      <c r="A11155" t="s">
        <v>11190</v>
      </c>
      <c r="B11155" t="s">
        <v>62</v>
      </c>
      <c r="C11155">
        <v>190000</v>
      </c>
      <c r="D11155">
        <v>21485.599999999999</v>
      </c>
      <c r="E11155">
        <v>7.9200000000000007E-2</v>
      </c>
      <c r="F11155">
        <v>7.5899999999999995E-2</v>
      </c>
    </row>
    <row r="11156" spans="1:6" x14ac:dyDescent="0.3">
      <c r="A11156" t="s">
        <v>11191</v>
      </c>
      <c r="B11156" t="s">
        <v>26</v>
      </c>
      <c r="C11156">
        <v>127000</v>
      </c>
      <c r="D11156">
        <v>544.29999999999995</v>
      </c>
      <c r="E11156">
        <v>3.9899999999999998E-2</v>
      </c>
      <c r="F11156">
        <v>0.1241</v>
      </c>
    </row>
    <row r="11157" spans="1:6" x14ac:dyDescent="0.3">
      <c r="A11157" t="s">
        <v>11192</v>
      </c>
      <c r="B11157" t="s">
        <v>92</v>
      </c>
      <c r="C11157">
        <v>172000</v>
      </c>
      <c r="D11157">
        <v>11105.3</v>
      </c>
      <c r="E11157">
        <v>5.1999999999999998E-3</v>
      </c>
      <c r="F11157">
        <v>8.1100000000000005E-2</v>
      </c>
    </row>
    <row r="11158" spans="1:6" x14ac:dyDescent="0.3">
      <c r="A11158" t="s">
        <v>11193</v>
      </c>
      <c r="B11158" t="s">
        <v>26</v>
      </c>
      <c r="C11158">
        <v>117000</v>
      </c>
      <c r="D11158">
        <v>2961.6</v>
      </c>
      <c r="E11158">
        <v>3.8300000000000001E-2</v>
      </c>
      <c r="F11158">
        <v>9.5100000000000004E-2</v>
      </c>
    </row>
    <row r="11159" spans="1:6" x14ac:dyDescent="0.3">
      <c r="A11159" t="s">
        <v>11194</v>
      </c>
      <c r="B11159" t="s">
        <v>26</v>
      </c>
      <c r="C11159">
        <v>120000</v>
      </c>
      <c r="D11159">
        <v>24752.3</v>
      </c>
      <c r="E11159">
        <v>3.7600000000000001E-2</v>
      </c>
      <c r="F11159">
        <v>5.1799999999999999E-2</v>
      </c>
    </row>
    <row r="11160" spans="1:6" x14ac:dyDescent="0.3">
      <c r="A11160" t="s">
        <v>11195</v>
      </c>
      <c r="B11160" t="s">
        <v>88</v>
      </c>
      <c r="C11160">
        <v>134000</v>
      </c>
      <c r="D11160">
        <v>3294.3</v>
      </c>
      <c r="E11160">
        <v>3.8600000000000002E-2</v>
      </c>
      <c r="F11160">
        <v>9.5100000000000004E-2</v>
      </c>
    </row>
    <row r="11161" spans="1:6" x14ac:dyDescent="0.3">
      <c r="A11161" t="s">
        <v>11196</v>
      </c>
      <c r="B11161" t="s">
        <v>26</v>
      </c>
      <c r="C11161">
        <v>173000</v>
      </c>
      <c r="D11161">
        <v>84021</v>
      </c>
      <c r="E11161">
        <v>1.7999999999999999E-2</v>
      </c>
      <c r="F11161">
        <v>4.6199999999999998E-2</v>
      </c>
    </row>
    <row r="11162" spans="1:6" x14ac:dyDescent="0.3">
      <c r="A11162" t="s">
        <v>11197</v>
      </c>
      <c r="B11162" t="s">
        <v>74</v>
      </c>
      <c r="C11162">
        <v>114000</v>
      </c>
      <c r="D11162">
        <v>16241</v>
      </c>
      <c r="E11162">
        <v>2.1999999999999999E-2</v>
      </c>
      <c r="F11162">
        <v>9.5100000000000004E-2</v>
      </c>
    </row>
    <row r="11163" spans="1:6" x14ac:dyDescent="0.3">
      <c r="A11163" t="s">
        <v>11198</v>
      </c>
      <c r="B11163" t="s">
        <v>26</v>
      </c>
      <c r="C11163">
        <v>113000</v>
      </c>
      <c r="D11163">
        <v>3197.7</v>
      </c>
      <c r="E11163">
        <v>1.18E-2</v>
      </c>
      <c r="F11163">
        <v>8.2199999999999995E-2</v>
      </c>
    </row>
    <row r="11164" spans="1:6" x14ac:dyDescent="0.3">
      <c r="A11164" t="s">
        <v>11199</v>
      </c>
      <c r="B11164" t="s">
        <v>195</v>
      </c>
      <c r="C11164">
        <v>149000</v>
      </c>
      <c r="D11164">
        <v>13689.7</v>
      </c>
      <c r="E11164">
        <v>1.8700000000000001E-2</v>
      </c>
      <c r="F11164">
        <v>0.1067</v>
      </c>
    </row>
    <row r="11165" spans="1:6" x14ac:dyDescent="0.3">
      <c r="A11165" t="s">
        <v>11200</v>
      </c>
      <c r="B11165" t="s">
        <v>26</v>
      </c>
      <c r="C11165">
        <v>116000</v>
      </c>
      <c r="D11165">
        <v>1318.1</v>
      </c>
      <c r="E11165">
        <v>2.1000000000000001E-2</v>
      </c>
      <c r="F11165">
        <v>0.15429999999999999</v>
      </c>
    </row>
    <row r="11166" spans="1:6" x14ac:dyDescent="0.3">
      <c r="A11166" t="s">
        <v>11201</v>
      </c>
      <c r="B11166" t="s">
        <v>26</v>
      </c>
      <c r="C11166">
        <v>154000</v>
      </c>
      <c r="D11166">
        <v>363793</v>
      </c>
      <c r="E11166">
        <v>7.3899999999999993E-2</v>
      </c>
      <c r="F11166">
        <v>7.5899999999999995E-2</v>
      </c>
    </row>
    <row r="11167" spans="1:6" x14ac:dyDescent="0.3">
      <c r="A11167" t="s">
        <v>11202</v>
      </c>
      <c r="B11167" t="s">
        <v>26</v>
      </c>
      <c r="C11167">
        <v>470000</v>
      </c>
      <c r="D11167">
        <v>346170.2</v>
      </c>
      <c r="E11167">
        <v>2.9399999999999999E-2</v>
      </c>
      <c r="F11167">
        <v>4.0899999999999999E-2</v>
      </c>
    </row>
    <row r="11168" spans="1:6" x14ac:dyDescent="0.3">
      <c r="A11168" t="s">
        <v>11203</v>
      </c>
      <c r="B11168" t="s">
        <v>26</v>
      </c>
      <c r="C11168">
        <v>146000</v>
      </c>
      <c r="D11168">
        <v>98.6</v>
      </c>
      <c r="E11168">
        <v>5.04E-2</v>
      </c>
      <c r="F11168">
        <v>0.1241</v>
      </c>
    </row>
    <row r="11169" spans="1:6" x14ac:dyDescent="0.3">
      <c r="A11169" t="s">
        <v>11204</v>
      </c>
      <c r="B11169" t="s">
        <v>81</v>
      </c>
      <c r="C11169">
        <v>115000</v>
      </c>
      <c r="D11169">
        <v>13701.9</v>
      </c>
      <c r="E11169">
        <v>2.3400000000000001E-2</v>
      </c>
      <c r="F11169">
        <v>9.5100000000000004E-2</v>
      </c>
    </row>
    <row r="11170" spans="1:6" x14ac:dyDescent="0.3">
      <c r="A11170" t="s">
        <v>11205</v>
      </c>
      <c r="B11170" t="s">
        <v>41</v>
      </c>
      <c r="C11170">
        <v>118000</v>
      </c>
      <c r="D11170">
        <v>105.1</v>
      </c>
      <c r="E11170">
        <v>3.8100000000000002E-2</v>
      </c>
      <c r="F11170">
        <v>0.54190000000000005</v>
      </c>
    </row>
    <row r="11171" spans="1:6" x14ac:dyDescent="0.3">
      <c r="A11171" t="s">
        <v>11206</v>
      </c>
      <c r="B11171" t="s">
        <v>50</v>
      </c>
      <c r="C11171">
        <v>192000</v>
      </c>
      <c r="D11171">
        <v>2241.8000000000002</v>
      </c>
      <c r="E11171">
        <v>1.55E-2</v>
      </c>
      <c r="F11171">
        <v>5.8500000000000003E-2</v>
      </c>
    </row>
    <row r="11172" spans="1:6" x14ac:dyDescent="0.3">
      <c r="A11172" t="s">
        <v>11207</v>
      </c>
      <c r="B11172" t="s">
        <v>32</v>
      </c>
      <c r="C11172">
        <v>397000</v>
      </c>
      <c r="D11172">
        <v>198.2</v>
      </c>
      <c r="E11172">
        <v>1.6299999999999999E-2</v>
      </c>
      <c r="F11172">
        <v>5.7599999999999998E-2</v>
      </c>
    </row>
    <row r="11173" spans="1:6" x14ac:dyDescent="0.3">
      <c r="A11173" t="s">
        <v>11208</v>
      </c>
      <c r="B11173" t="s">
        <v>53</v>
      </c>
      <c r="C11173">
        <v>109000</v>
      </c>
      <c r="D11173">
        <v>307.89999999999998</v>
      </c>
      <c r="E11173">
        <v>8.0299999999999996E-2</v>
      </c>
      <c r="F11173">
        <v>0.45200000000000001</v>
      </c>
    </row>
    <row r="11174" spans="1:6" x14ac:dyDescent="0.3">
      <c r="A11174" t="s">
        <v>11209</v>
      </c>
      <c r="B11174" t="s">
        <v>214</v>
      </c>
      <c r="C11174">
        <v>231000</v>
      </c>
      <c r="D11174">
        <v>6936.4</v>
      </c>
      <c r="E11174">
        <v>9.1000000000000004E-3</v>
      </c>
      <c r="F11174">
        <v>6.54E-2</v>
      </c>
    </row>
    <row r="11175" spans="1:6" x14ac:dyDescent="0.3">
      <c r="A11175" t="s">
        <v>11210</v>
      </c>
      <c r="B11175" t="s">
        <v>32</v>
      </c>
      <c r="C11175">
        <v>115000</v>
      </c>
      <c r="D11175">
        <v>96</v>
      </c>
      <c r="E11175">
        <v>0.1125</v>
      </c>
      <c r="F11175">
        <v>7.5899999999999995E-2</v>
      </c>
    </row>
    <row r="11176" spans="1:6" x14ac:dyDescent="0.3">
      <c r="A11176" t="s">
        <v>11211</v>
      </c>
      <c r="B11176" t="s">
        <v>26</v>
      </c>
      <c r="C11176">
        <v>1720000</v>
      </c>
      <c r="D11176">
        <v>2094514.4</v>
      </c>
      <c r="E11176">
        <v>4.6399999999999997E-2</v>
      </c>
      <c r="F11176">
        <v>4.0899999999999999E-2</v>
      </c>
    </row>
    <row r="11177" spans="1:6" x14ac:dyDescent="0.3">
      <c r="A11177" t="s">
        <v>11212</v>
      </c>
      <c r="B11177" t="s">
        <v>88</v>
      </c>
      <c r="C11177">
        <v>168000</v>
      </c>
      <c r="D11177">
        <v>2166.8000000000002</v>
      </c>
      <c r="E11177">
        <v>3.0800000000000001E-2</v>
      </c>
      <c r="F11177">
        <v>9.3799999999999994E-2</v>
      </c>
    </row>
    <row r="11178" spans="1:6" x14ac:dyDescent="0.3">
      <c r="A11178" t="s">
        <v>11213</v>
      </c>
      <c r="B11178" t="s">
        <v>88</v>
      </c>
      <c r="C11178">
        <v>512000</v>
      </c>
      <c r="D11178">
        <v>11995.5</v>
      </c>
      <c r="E11178">
        <v>2.9499999999999998E-2</v>
      </c>
      <c r="F11178">
        <v>0.1226</v>
      </c>
    </row>
    <row r="11179" spans="1:6" x14ac:dyDescent="0.3">
      <c r="A11179" t="s">
        <v>11214</v>
      </c>
      <c r="B11179" t="s">
        <v>71</v>
      </c>
      <c r="C11179">
        <v>118000</v>
      </c>
      <c r="D11179">
        <v>25095.599999999999</v>
      </c>
      <c r="E11179">
        <v>1.9699999999999999E-2</v>
      </c>
      <c r="F11179">
        <v>0.1067</v>
      </c>
    </row>
    <row r="11180" spans="1:6" x14ac:dyDescent="0.3">
      <c r="A11180" t="s">
        <v>11215</v>
      </c>
      <c r="B11180" t="s">
        <v>88</v>
      </c>
      <c r="C11180">
        <v>112000</v>
      </c>
      <c r="D11180">
        <v>3511.4</v>
      </c>
      <c r="E11180">
        <v>1.6400000000000001E-2</v>
      </c>
      <c r="F11180">
        <v>0.18859999999999999</v>
      </c>
    </row>
    <row r="11181" spans="1:6" x14ac:dyDescent="0.3">
      <c r="A11181" t="s">
        <v>11216</v>
      </c>
      <c r="B11181" t="s">
        <v>50</v>
      </c>
      <c r="C11181">
        <v>157000</v>
      </c>
      <c r="D11181">
        <v>23938.9</v>
      </c>
      <c r="E11181">
        <v>5.7599999999999998E-2</v>
      </c>
      <c r="F11181">
        <v>9.5100000000000004E-2</v>
      </c>
    </row>
    <row r="11182" spans="1:6" x14ac:dyDescent="0.3">
      <c r="A11182" t="s">
        <v>11217</v>
      </c>
      <c r="B11182" t="s">
        <v>92</v>
      </c>
      <c r="C11182">
        <v>122000</v>
      </c>
      <c r="D11182">
        <v>12646.4</v>
      </c>
      <c r="E11182">
        <v>3.1199999999999999E-2</v>
      </c>
      <c r="F11182">
        <v>9.5100000000000004E-2</v>
      </c>
    </row>
    <row r="11183" spans="1:6" x14ac:dyDescent="0.3">
      <c r="A11183" t="s">
        <v>11218</v>
      </c>
      <c r="B11183" t="s">
        <v>35</v>
      </c>
      <c r="C11183">
        <v>222000</v>
      </c>
      <c r="D11183">
        <v>233825.8</v>
      </c>
      <c r="E11183">
        <v>1.8200000000000001E-2</v>
      </c>
      <c r="F11183">
        <v>8.5400000000000004E-2</v>
      </c>
    </row>
    <row r="11184" spans="1:6" x14ac:dyDescent="0.3">
      <c r="A11184" t="s">
        <v>11219</v>
      </c>
      <c r="B11184" t="s">
        <v>26</v>
      </c>
      <c r="C11184">
        <v>113000</v>
      </c>
      <c r="D11184">
        <v>302040.90000000002</v>
      </c>
      <c r="E11184">
        <v>7.7000000000000002E-3</v>
      </c>
      <c r="F11184">
        <v>8.2199999999999995E-2</v>
      </c>
    </row>
    <row r="11185" spans="1:6" x14ac:dyDescent="0.3">
      <c r="A11185" t="s">
        <v>11220</v>
      </c>
      <c r="B11185" t="s">
        <v>88</v>
      </c>
      <c r="C11185">
        <v>116000</v>
      </c>
      <c r="D11185">
        <v>582314.9</v>
      </c>
      <c r="E11185">
        <v>6.8999999999999999E-3</v>
      </c>
      <c r="F11185">
        <v>8.1100000000000005E-2</v>
      </c>
    </row>
    <row r="11186" spans="1:6" x14ac:dyDescent="0.3">
      <c r="A11186" t="s">
        <v>11221</v>
      </c>
      <c r="B11186" t="s">
        <v>24</v>
      </c>
      <c r="C11186">
        <v>185000</v>
      </c>
      <c r="D11186">
        <v>284.2</v>
      </c>
      <c r="E11186">
        <v>9.5999999999999992E-3</v>
      </c>
      <c r="F11186">
        <v>0.33279999999999998</v>
      </c>
    </row>
    <row r="11187" spans="1:6" x14ac:dyDescent="0.3">
      <c r="A11187" t="s">
        <v>11222</v>
      </c>
      <c r="B11187" t="s">
        <v>32</v>
      </c>
      <c r="C11187">
        <v>110000</v>
      </c>
      <c r="D11187">
        <v>256.8</v>
      </c>
      <c r="E11187">
        <v>1.0800000000000001E-2</v>
      </c>
      <c r="F11187">
        <v>8.2199999999999995E-2</v>
      </c>
    </row>
    <row r="11188" spans="1:6" x14ac:dyDescent="0.3">
      <c r="A11188" t="s">
        <v>11223</v>
      </c>
      <c r="B11188" t="s">
        <v>214</v>
      </c>
      <c r="C11188">
        <v>129000</v>
      </c>
      <c r="D11188">
        <v>1166.8</v>
      </c>
      <c r="E11188">
        <v>1.5699999999999999E-2</v>
      </c>
      <c r="F11188">
        <v>0.15229999999999999</v>
      </c>
    </row>
    <row r="11189" spans="1:6" x14ac:dyDescent="0.3">
      <c r="A11189" t="s">
        <v>11224</v>
      </c>
      <c r="B11189" t="s">
        <v>490</v>
      </c>
      <c r="C11189">
        <v>117000</v>
      </c>
      <c r="D11189">
        <v>768.1</v>
      </c>
      <c r="E11189">
        <v>1.1299999999999999E-2</v>
      </c>
      <c r="F11189">
        <v>6.54E-2</v>
      </c>
    </row>
    <row r="11190" spans="1:6" x14ac:dyDescent="0.3">
      <c r="A11190" t="s">
        <v>11225</v>
      </c>
      <c r="B11190" t="s">
        <v>26</v>
      </c>
      <c r="C11190">
        <v>122000</v>
      </c>
      <c r="D11190">
        <v>6790.8</v>
      </c>
      <c r="E11190">
        <v>5.0299999999999997E-2</v>
      </c>
      <c r="F11190">
        <v>7.5899999999999995E-2</v>
      </c>
    </row>
    <row r="11191" spans="1:6" x14ac:dyDescent="0.3">
      <c r="A11191" t="s">
        <v>11226</v>
      </c>
      <c r="B11191" t="s">
        <v>26</v>
      </c>
      <c r="C11191">
        <v>153000</v>
      </c>
      <c r="D11191">
        <v>306592.09999999998</v>
      </c>
      <c r="E11191">
        <v>9.1000000000000004E-3</v>
      </c>
      <c r="F11191">
        <v>8.2199999999999995E-2</v>
      </c>
    </row>
    <row r="11192" spans="1:6" x14ac:dyDescent="0.3">
      <c r="A11192" t="s">
        <v>11227</v>
      </c>
      <c r="B11192" t="s">
        <v>26</v>
      </c>
      <c r="C11192">
        <v>170000</v>
      </c>
      <c r="D11192">
        <v>112101.9</v>
      </c>
      <c r="E11192">
        <v>2.1399999999999999E-2</v>
      </c>
      <c r="F11192">
        <v>5.1799999999999999E-2</v>
      </c>
    </row>
    <row r="11193" spans="1:6" x14ac:dyDescent="0.3">
      <c r="A11193" t="s">
        <v>11228</v>
      </c>
      <c r="B11193" t="s">
        <v>88</v>
      </c>
      <c r="C11193">
        <v>130000</v>
      </c>
      <c r="D11193">
        <v>188.7</v>
      </c>
      <c r="E11193">
        <v>5.5500000000000001E-2</v>
      </c>
      <c r="F11193">
        <v>9.3799999999999994E-2</v>
      </c>
    </row>
    <row r="11194" spans="1:6" x14ac:dyDescent="0.3">
      <c r="A11194" t="s">
        <v>11229</v>
      </c>
      <c r="B11194" t="s">
        <v>74</v>
      </c>
      <c r="C11194">
        <v>168000</v>
      </c>
      <c r="D11194">
        <v>8444.6</v>
      </c>
      <c r="E11194">
        <v>1.9300000000000001E-2</v>
      </c>
      <c r="F11194">
        <v>0.1053</v>
      </c>
    </row>
    <row r="11195" spans="1:6" x14ac:dyDescent="0.3">
      <c r="A11195" t="s">
        <v>11230</v>
      </c>
      <c r="B11195" t="s">
        <v>21</v>
      </c>
      <c r="C11195">
        <v>144000</v>
      </c>
      <c r="D11195">
        <v>49761.8</v>
      </c>
      <c r="E11195">
        <v>3.6999999999999998E-2</v>
      </c>
      <c r="F11195">
        <v>9.5100000000000004E-2</v>
      </c>
    </row>
    <row r="11196" spans="1:6" x14ac:dyDescent="0.3">
      <c r="A11196" t="s">
        <v>11231</v>
      </c>
      <c r="B11196" t="s">
        <v>41</v>
      </c>
      <c r="C11196">
        <v>126000</v>
      </c>
      <c r="D11196">
        <v>19071.900000000001</v>
      </c>
      <c r="E11196">
        <v>4.9700000000000001E-2</v>
      </c>
      <c r="F11196">
        <v>8.3299999999999999E-2</v>
      </c>
    </row>
    <row r="11197" spans="1:6" x14ac:dyDescent="0.3">
      <c r="A11197" t="s">
        <v>11232</v>
      </c>
      <c r="B11197" t="s">
        <v>62</v>
      </c>
      <c r="C11197">
        <v>132000</v>
      </c>
      <c r="D11197">
        <v>9132</v>
      </c>
      <c r="E11197">
        <v>3.8100000000000002E-2</v>
      </c>
      <c r="F11197">
        <v>5.1799999999999999E-2</v>
      </c>
    </row>
    <row r="11198" spans="1:6" x14ac:dyDescent="0.3">
      <c r="A11198" t="s">
        <v>11233</v>
      </c>
      <c r="B11198" t="s">
        <v>41</v>
      </c>
      <c r="C11198">
        <v>188000</v>
      </c>
      <c r="D11198">
        <v>99.2</v>
      </c>
      <c r="E11198">
        <v>5.8999999999999999E-3</v>
      </c>
      <c r="F11198">
        <v>0.16800000000000001</v>
      </c>
    </row>
    <row r="11199" spans="1:6" x14ac:dyDescent="0.3">
      <c r="A11199" t="s">
        <v>11234</v>
      </c>
      <c r="B11199" t="s">
        <v>24</v>
      </c>
      <c r="C11199">
        <v>185000</v>
      </c>
      <c r="D11199">
        <v>898.4</v>
      </c>
      <c r="E11199">
        <v>5.6399999999999999E-2</v>
      </c>
      <c r="F11199">
        <v>7.5899999999999995E-2</v>
      </c>
    </row>
    <row r="11200" spans="1:6" x14ac:dyDescent="0.3">
      <c r="A11200" t="s">
        <v>11235</v>
      </c>
      <c r="B11200" t="s">
        <v>74</v>
      </c>
      <c r="C11200">
        <v>231000</v>
      </c>
      <c r="D11200">
        <v>1599.2</v>
      </c>
      <c r="E11200">
        <v>7.1800000000000003E-2</v>
      </c>
      <c r="F11200">
        <v>9.3799999999999994E-2</v>
      </c>
    </row>
    <row r="11201" spans="1:6" x14ac:dyDescent="0.3">
      <c r="A11201" t="s">
        <v>11236</v>
      </c>
      <c r="B11201" t="s">
        <v>28</v>
      </c>
      <c r="C11201">
        <v>113000</v>
      </c>
      <c r="D11201">
        <v>752.3</v>
      </c>
      <c r="E11201">
        <v>2.0899999999999998E-2</v>
      </c>
      <c r="F11201">
        <v>9.5100000000000004E-2</v>
      </c>
    </row>
    <row r="11202" spans="1:6" x14ac:dyDescent="0.3">
      <c r="A11202" t="s">
        <v>11237</v>
      </c>
      <c r="B11202" t="s">
        <v>74</v>
      </c>
      <c r="C11202">
        <v>221000</v>
      </c>
      <c r="D11202">
        <v>12727.3</v>
      </c>
      <c r="E11202">
        <v>2.8500000000000001E-2</v>
      </c>
      <c r="F11202">
        <v>7.5899999999999995E-2</v>
      </c>
    </row>
    <row r="11203" spans="1:6" x14ac:dyDescent="0.3">
      <c r="A11203" t="s">
        <v>11238</v>
      </c>
      <c r="B11203" t="s">
        <v>24</v>
      </c>
      <c r="C11203">
        <v>137000</v>
      </c>
      <c r="D11203">
        <v>5741.4</v>
      </c>
      <c r="E11203">
        <v>1.4200000000000001E-2</v>
      </c>
      <c r="F11203">
        <v>4.6199999999999998E-2</v>
      </c>
    </row>
    <row r="11204" spans="1:6" x14ac:dyDescent="0.3">
      <c r="A11204" t="s">
        <v>11239</v>
      </c>
      <c r="B11204" t="s">
        <v>26</v>
      </c>
      <c r="C11204">
        <v>178000</v>
      </c>
      <c r="D11204">
        <v>85829.3</v>
      </c>
      <c r="E11204">
        <v>5.6500000000000002E-2</v>
      </c>
      <c r="F11204">
        <v>5.1799999999999999E-2</v>
      </c>
    </row>
    <row r="11205" spans="1:6" x14ac:dyDescent="0.3">
      <c r="A11205" t="s">
        <v>11240</v>
      </c>
      <c r="B11205" t="s">
        <v>88</v>
      </c>
      <c r="C11205">
        <v>201000</v>
      </c>
      <c r="D11205">
        <v>13502.5</v>
      </c>
      <c r="E11205">
        <v>2.7099999999999999E-2</v>
      </c>
      <c r="F11205">
        <v>0.11700000000000001</v>
      </c>
    </row>
    <row r="11206" spans="1:6" x14ac:dyDescent="0.3">
      <c r="A11206" t="s">
        <v>11241</v>
      </c>
      <c r="B11206" t="s">
        <v>214</v>
      </c>
      <c r="C11206">
        <v>139000</v>
      </c>
      <c r="D11206">
        <v>8603.6</v>
      </c>
      <c r="E11206">
        <v>9.5999999999999992E-3</v>
      </c>
      <c r="F11206">
        <v>0.14710000000000001</v>
      </c>
    </row>
    <row r="11207" spans="1:6" x14ac:dyDescent="0.3">
      <c r="A11207" t="s">
        <v>11242</v>
      </c>
      <c r="B11207" t="s">
        <v>92</v>
      </c>
      <c r="C11207">
        <v>171000</v>
      </c>
      <c r="D11207">
        <v>17845.400000000001</v>
      </c>
      <c r="E11207">
        <v>3.3300000000000003E-2</v>
      </c>
      <c r="F11207">
        <v>9.5100000000000004E-2</v>
      </c>
    </row>
    <row r="11208" spans="1:6" x14ac:dyDescent="0.3">
      <c r="A11208" t="s">
        <v>11243</v>
      </c>
      <c r="B11208" t="s">
        <v>26</v>
      </c>
      <c r="C11208">
        <v>112000</v>
      </c>
      <c r="D11208">
        <v>2814.2</v>
      </c>
      <c r="E11208">
        <v>2.76E-2</v>
      </c>
      <c r="F11208">
        <v>9.5100000000000004E-2</v>
      </c>
    </row>
    <row r="11209" spans="1:6" x14ac:dyDescent="0.3">
      <c r="A11209" t="s">
        <v>11244</v>
      </c>
      <c r="B11209" t="s">
        <v>53</v>
      </c>
      <c r="C11209">
        <v>113000</v>
      </c>
      <c r="D11209">
        <v>15526.9</v>
      </c>
      <c r="E11209">
        <v>4.8300000000000003E-2</v>
      </c>
      <c r="F11209">
        <v>7.5899999999999995E-2</v>
      </c>
    </row>
    <row r="11210" spans="1:6" x14ac:dyDescent="0.3">
      <c r="A11210" t="s">
        <v>11245</v>
      </c>
      <c r="B11210" t="s">
        <v>62</v>
      </c>
      <c r="C11210">
        <v>110000</v>
      </c>
      <c r="D11210">
        <v>1478.8</v>
      </c>
      <c r="E11210">
        <v>1.2500000000000001E-2</v>
      </c>
      <c r="F11210">
        <v>7.3599999999999999E-2</v>
      </c>
    </row>
    <row r="11211" spans="1:6" x14ac:dyDescent="0.3">
      <c r="A11211" t="s">
        <v>11246</v>
      </c>
      <c r="B11211" t="s">
        <v>41</v>
      </c>
      <c r="C11211">
        <v>235000</v>
      </c>
      <c r="D11211">
        <v>17588.5</v>
      </c>
      <c r="E11211">
        <v>4.2500000000000003E-2</v>
      </c>
      <c r="F11211">
        <v>5.1799999999999999E-2</v>
      </c>
    </row>
    <row r="11212" spans="1:6" x14ac:dyDescent="0.3">
      <c r="A11212" t="s">
        <v>11247</v>
      </c>
      <c r="B11212" t="s">
        <v>30</v>
      </c>
      <c r="C11212">
        <v>125000</v>
      </c>
      <c r="D11212">
        <v>2132.9</v>
      </c>
      <c r="E11212">
        <v>9.4000000000000004E-3</v>
      </c>
      <c r="F11212">
        <v>0.31890000000000002</v>
      </c>
    </row>
    <row r="11213" spans="1:6" x14ac:dyDescent="0.3">
      <c r="A11213" t="s">
        <v>11248</v>
      </c>
      <c r="B11213" t="s">
        <v>32</v>
      </c>
      <c r="C11213">
        <v>130000</v>
      </c>
      <c r="D11213">
        <v>905627.5</v>
      </c>
      <c r="E11213">
        <v>9.7999999999999997E-3</v>
      </c>
      <c r="F11213">
        <v>8.2199999999999995E-2</v>
      </c>
    </row>
    <row r="11214" spans="1:6" x14ac:dyDescent="0.3">
      <c r="A11214" t="s">
        <v>11249</v>
      </c>
      <c r="B11214" t="s">
        <v>41</v>
      </c>
      <c r="C11214">
        <v>123000</v>
      </c>
      <c r="D11214">
        <v>581.29999999999995</v>
      </c>
      <c r="E11214">
        <v>2.3300000000000001E-2</v>
      </c>
      <c r="F11214">
        <v>0.11700000000000001</v>
      </c>
    </row>
    <row r="11215" spans="1:6" x14ac:dyDescent="0.3">
      <c r="A11215" t="s">
        <v>11250</v>
      </c>
      <c r="B11215" t="s">
        <v>26</v>
      </c>
      <c r="C11215">
        <v>119000</v>
      </c>
      <c r="D11215">
        <v>619.1</v>
      </c>
      <c r="E11215">
        <v>6.9500000000000006E-2</v>
      </c>
      <c r="F11215">
        <v>9.3799999999999994E-2</v>
      </c>
    </row>
    <row r="11216" spans="1:6" x14ac:dyDescent="0.3">
      <c r="A11216" t="s">
        <v>11251</v>
      </c>
      <c r="B11216" t="s">
        <v>24</v>
      </c>
      <c r="C11216">
        <v>147000</v>
      </c>
      <c r="D11216">
        <v>8973.7999999999993</v>
      </c>
      <c r="E11216">
        <v>5.11E-2</v>
      </c>
      <c r="F11216">
        <v>5.1799999999999999E-2</v>
      </c>
    </row>
    <row r="11217" spans="1:6" x14ac:dyDescent="0.3">
      <c r="A11217" t="s">
        <v>11252</v>
      </c>
      <c r="B11217" t="s">
        <v>88</v>
      </c>
      <c r="C11217">
        <v>144000</v>
      </c>
      <c r="D11217">
        <v>1249.8</v>
      </c>
      <c r="E11217">
        <v>3.49E-2</v>
      </c>
      <c r="F11217">
        <v>9.5100000000000004E-2</v>
      </c>
    </row>
    <row r="11218" spans="1:6" x14ac:dyDescent="0.3">
      <c r="A11218" t="s">
        <v>11253</v>
      </c>
      <c r="B11218" t="s">
        <v>35</v>
      </c>
      <c r="C11218">
        <v>167000</v>
      </c>
      <c r="D11218">
        <v>44463.199999999997</v>
      </c>
      <c r="E11218">
        <v>1.8700000000000001E-2</v>
      </c>
      <c r="F11218">
        <v>0.1067</v>
      </c>
    </row>
    <row r="11219" spans="1:6" x14ac:dyDescent="0.3">
      <c r="A11219" t="s">
        <v>11254</v>
      </c>
      <c r="B11219" t="s">
        <v>50</v>
      </c>
      <c r="C11219">
        <v>245000</v>
      </c>
      <c r="D11219">
        <v>2215.6999999999998</v>
      </c>
      <c r="E11219">
        <v>0.1176</v>
      </c>
      <c r="F11219">
        <v>9.3799999999999994E-2</v>
      </c>
    </row>
    <row r="11220" spans="1:6" x14ac:dyDescent="0.3">
      <c r="A11220" t="s">
        <v>11255</v>
      </c>
      <c r="B11220" t="s">
        <v>28</v>
      </c>
      <c r="C11220">
        <v>329000</v>
      </c>
      <c r="D11220">
        <v>113408</v>
      </c>
      <c r="E11220">
        <v>2.6499999999999999E-2</v>
      </c>
      <c r="F11220">
        <v>7.5899999999999995E-2</v>
      </c>
    </row>
    <row r="11221" spans="1:6" x14ac:dyDescent="0.3">
      <c r="A11221" t="s">
        <v>11256</v>
      </c>
      <c r="B11221" t="s">
        <v>195</v>
      </c>
      <c r="C11221">
        <v>114000</v>
      </c>
      <c r="D11221">
        <v>1306.5</v>
      </c>
      <c r="E11221">
        <v>5.1000000000000004E-3</v>
      </c>
      <c r="F11221">
        <v>8.2199999999999995E-2</v>
      </c>
    </row>
    <row r="11222" spans="1:6" x14ac:dyDescent="0.3">
      <c r="A11222" t="s">
        <v>11257</v>
      </c>
      <c r="B11222" t="s">
        <v>88</v>
      </c>
      <c r="C11222">
        <v>131000</v>
      </c>
      <c r="D11222">
        <v>777.7</v>
      </c>
      <c r="E11222">
        <v>1.77E-2</v>
      </c>
      <c r="F11222">
        <v>7.2599999999999998E-2</v>
      </c>
    </row>
    <row r="11223" spans="1:6" x14ac:dyDescent="0.3">
      <c r="A11223" t="s">
        <v>11258</v>
      </c>
      <c r="B11223" t="s">
        <v>71</v>
      </c>
      <c r="C11223">
        <v>190000</v>
      </c>
      <c r="D11223">
        <v>9550.4</v>
      </c>
      <c r="E11223">
        <v>2.7199999999999998E-2</v>
      </c>
      <c r="F11223">
        <v>7.5899999999999995E-2</v>
      </c>
    </row>
    <row r="11224" spans="1:6" x14ac:dyDescent="0.3">
      <c r="A11224" t="s">
        <v>11259</v>
      </c>
      <c r="B11224" t="s">
        <v>41</v>
      </c>
      <c r="C11224">
        <v>153000</v>
      </c>
      <c r="D11224">
        <v>284.10000000000002</v>
      </c>
      <c r="E11224">
        <v>4.8099999999999997E-2</v>
      </c>
      <c r="F11224">
        <v>9.3799999999999994E-2</v>
      </c>
    </row>
    <row r="11225" spans="1:6" x14ac:dyDescent="0.3">
      <c r="A11225" t="s">
        <v>11260</v>
      </c>
      <c r="B11225" t="s">
        <v>26</v>
      </c>
      <c r="C11225">
        <v>229000</v>
      </c>
      <c r="D11225">
        <v>7538.3</v>
      </c>
      <c r="E11225">
        <v>6.3100000000000003E-2</v>
      </c>
      <c r="F11225">
        <v>7.5899999999999995E-2</v>
      </c>
    </row>
    <row r="11226" spans="1:6" x14ac:dyDescent="0.3">
      <c r="A11226" t="s">
        <v>11261</v>
      </c>
      <c r="B11226" t="s">
        <v>92</v>
      </c>
      <c r="C11226">
        <v>109000</v>
      </c>
      <c r="D11226">
        <v>1284.3</v>
      </c>
      <c r="E11226">
        <v>4.19E-2</v>
      </c>
      <c r="F11226">
        <v>9.5100000000000004E-2</v>
      </c>
    </row>
    <row r="11227" spans="1:6" x14ac:dyDescent="0.3">
      <c r="A11227" t="s">
        <v>11262</v>
      </c>
      <c r="B11227" t="s">
        <v>32</v>
      </c>
      <c r="C11227">
        <v>251000</v>
      </c>
      <c r="D11227">
        <v>3876.1</v>
      </c>
      <c r="E11227">
        <v>1.7399999999999999E-2</v>
      </c>
      <c r="F11227">
        <v>4.6199999999999998E-2</v>
      </c>
    </row>
    <row r="11228" spans="1:6" x14ac:dyDescent="0.3">
      <c r="A11228" t="s">
        <v>11263</v>
      </c>
      <c r="B11228" t="s">
        <v>71</v>
      </c>
      <c r="C11228">
        <v>144000</v>
      </c>
      <c r="D11228">
        <v>774.1</v>
      </c>
      <c r="E11228">
        <v>7.9000000000000008E-3</v>
      </c>
      <c r="F11228">
        <v>6.54E-2</v>
      </c>
    </row>
    <row r="11229" spans="1:6" x14ac:dyDescent="0.3">
      <c r="A11229" t="s">
        <v>11264</v>
      </c>
      <c r="B11229" t="s">
        <v>74</v>
      </c>
      <c r="C11229">
        <v>111000</v>
      </c>
      <c r="D11229">
        <v>117.8</v>
      </c>
      <c r="E11229">
        <v>6.3600000000000004E-2</v>
      </c>
      <c r="F11229">
        <v>0.12429999999999999</v>
      </c>
    </row>
    <row r="11230" spans="1:6" x14ac:dyDescent="0.3">
      <c r="A11230" t="s">
        <v>11265</v>
      </c>
      <c r="B11230" t="s">
        <v>81</v>
      </c>
      <c r="C11230">
        <v>264000</v>
      </c>
      <c r="D11230">
        <v>40641.800000000003</v>
      </c>
      <c r="E11230">
        <v>1.55E-2</v>
      </c>
      <c r="F11230">
        <v>4.6199999999999998E-2</v>
      </c>
    </row>
    <row r="11231" spans="1:6" x14ac:dyDescent="0.3">
      <c r="A11231" t="s">
        <v>11266</v>
      </c>
      <c r="B11231" t="s">
        <v>41</v>
      </c>
      <c r="C11231">
        <v>123000</v>
      </c>
      <c r="D11231">
        <v>309.60000000000002</v>
      </c>
      <c r="E11231">
        <v>4.5600000000000002E-2</v>
      </c>
      <c r="F11231">
        <v>9.3799999999999994E-2</v>
      </c>
    </row>
    <row r="11232" spans="1:6" x14ac:dyDescent="0.3">
      <c r="A11232" t="s">
        <v>11267</v>
      </c>
      <c r="B11232" t="s">
        <v>53</v>
      </c>
      <c r="C11232">
        <v>110000</v>
      </c>
      <c r="D11232">
        <v>100</v>
      </c>
      <c r="E11232">
        <v>2.1899999999999999E-2</v>
      </c>
      <c r="F11232">
        <v>7.2599999999999998E-2</v>
      </c>
    </row>
    <row r="11233" spans="1:6" x14ac:dyDescent="0.3">
      <c r="A11233" t="s">
        <v>11268</v>
      </c>
      <c r="B11233" t="s">
        <v>214</v>
      </c>
      <c r="C11233">
        <v>190000</v>
      </c>
      <c r="D11233">
        <v>16528.099999999999</v>
      </c>
      <c r="E11233">
        <v>1.6899999999999998E-2</v>
      </c>
      <c r="F11233">
        <v>4.6199999999999998E-2</v>
      </c>
    </row>
    <row r="11234" spans="1:6" x14ac:dyDescent="0.3">
      <c r="A11234" t="s">
        <v>11269</v>
      </c>
      <c r="B11234" t="s">
        <v>62</v>
      </c>
      <c r="C11234">
        <v>232000</v>
      </c>
      <c r="D11234">
        <v>4329.6000000000004</v>
      </c>
      <c r="E11234">
        <v>3.0099999999999998E-2</v>
      </c>
      <c r="F11234">
        <v>4.0899999999999999E-2</v>
      </c>
    </row>
    <row r="11235" spans="1:6" x14ac:dyDescent="0.3">
      <c r="A11235" t="s">
        <v>11270</v>
      </c>
      <c r="B11235" t="s">
        <v>26</v>
      </c>
      <c r="C11235">
        <v>115000</v>
      </c>
      <c r="D11235">
        <v>7857.9</v>
      </c>
      <c r="E11235">
        <v>6.54E-2</v>
      </c>
      <c r="F11235">
        <v>9.5100000000000004E-2</v>
      </c>
    </row>
    <row r="11236" spans="1:6" x14ac:dyDescent="0.3">
      <c r="A11236" t="s">
        <v>11271</v>
      </c>
      <c r="B11236" t="s">
        <v>92</v>
      </c>
      <c r="C11236">
        <v>609000</v>
      </c>
      <c r="D11236">
        <v>30082.7</v>
      </c>
      <c r="E11236">
        <v>6.7000000000000002E-3</v>
      </c>
      <c r="F11236">
        <v>6.54E-2</v>
      </c>
    </row>
    <row r="11237" spans="1:6" x14ac:dyDescent="0.3">
      <c r="A11237" t="s">
        <v>11272</v>
      </c>
      <c r="B11237" t="s">
        <v>287</v>
      </c>
      <c r="C11237">
        <v>117000</v>
      </c>
      <c r="D11237">
        <v>1976.5</v>
      </c>
      <c r="E11237">
        <v>3.0700000000000002E-2</v>
      </c>
      <c r="F11237">
        <v>9.5100000000000004E-2</v>
      </c>
    </row>
    <row r="11238" spans="1:6" x14ac:dyDescent="0.3">
      <c r="A11238" t="s">
        <v>11273</v>
      </c>
      <c r="B11238" t="s">
        <v>62</v>
      </c>
      <c r="C11238">
        <v>128000</v>
      </c>
      <c r="D11238">
        <v>4282.3</v>
      </c>
      <c r="E11238">
        <v>2.7E-2</v>
      </c>
      <c r="F11238">
        <v>9.5100000000000004E-2</v>
      </c>
    </row>
    <row r="11239" spans="1:6" x14ac:dyDescent="0.3">
      <c r="A11239" t="s">
        <v>11274</v>
      </c>
      <c r="B11239" t="s">
        <v>41</v>
      </c>
      <c r="C11239">
        <v>112000</v>
      </c>
      <c r="D11239">
        <v>258.10000000000002</v>
      </c>
      <c r="E11239">
        <v>1.0699999999999999E-2</v>
      </c>
      <c r="F11239">
        <v>0.17019999999999999</v>
      </c>
    </row>
    <row r="11240" spans="1:6" x14ac:dyDescent="0.3">
      <c r="A11240" t="s">
        <v>11275</v>
      </c>
      <c r="B11240" t="s">
        <v>81</v>
      </c>
      <c r="C11240">
        <v>153000</v>
      </c>
      <c r="D11240">
        <v>1404.4</v>
      </c>
      <c r="E11240">
        <v>6.9999999999999999E-4</v>
      </c>
      <c r="F11240">
        <v>0.1779</v>
      </c>
    </row>
    <row r="11241" spans="1:6" x14ac:dyDescent="0.3">
      <c r="A11241" t="s">
        <v>11276</v>
      </c>
      <c r="B11241" t="s">
        <v>62</v>
      </c>
      <c r="C11241">
        <v>114000</v>
      </c>
      <c r="D11241">
        <v>164349.1</v>
      </c>
      <c r="E11241">
        <v>4.8500000000000001E-2</v>
      </c>
      <c r="F11241">
        <v>9.5100000000000004E-2</v>
      </c>
    </row>
    <row r="11242" spans="1:6" x14ac:dyDescent="0.3">
      <c r="A11242" t="s">
        <v>11277</v>
      </c>
      <c r="B11242" t="s">
        <v>26</v>
      </c>
      <c r="C11242">
        <v>176000</v>
      </c>
      <c r="D11242">
        <v>31570.400000000001</v>
      </c>
      <c r="E11242">
        <v>3.8100000000000002E-2</v>
      </c>
      <c r="F11242">
        <v>7.5899999999999995E-2</v>
      </c>
    </row>
    <row r="11243" spans="1:6" x14ac:dyDescent="0.3">
      <c r="A11243" t="s">
        <v>11278</v>
      </c>
      <c r="B11243" t="s">
        <v>26</v>
      </c>
      <c r="C11243">
        <v>134000</v>
      </c>
      <c r="D11243">
        <v>718.6</v>
      </c>
      <c r="E11243">
        <v>2.8199999999999999E-2</v>
      </c>
      <c r="F11243">
        <v>0.13869999999999999</v>
      </c>
    </row>
    <row r="11244" spans="1:6" x14ac:dyDescent="0.3">
      <c r="A11244" t="s">
        <v>11279</v>
      </c>
      <c r="B11244" t="s">
        <v>74</v>
      </c>
      <c r="C11244">
        <v>113000</v>
      </c>
      <c r="D11244">
        <v>2011.2</v>
      </c>
      <c r="E11244">
        <v>9.1899999999999996E-2</v>
      </c>
      <c r="F11244">
        <v>9.3799999999999994E-2</v>
      </c>
    </row>
    <row r="11245" spans="1:6" x14ac:dyDescent="0.3">
      <c r="A11245" t="s">
        <v>11280</v>
      </c>
      <c r="B11245" t="s">
        <v>24</v>
      </c>
      <c r="C11245">
        <v>164000</v>
      </c>
      <c r="D11245">
        <v>137486.39999999999</v>
      </c>
      <c r="E11245">
        <v>4.7000000000000002E-3</v>
      </c>
      <c r="F11245">
        <v>8.2199999999999995E-2</v>
      </c>
    </row>
    <row r="11246" spans="1:6" x14ac:dyDescent="0.3">
      <c r="A11246" t="s">
        <v>11281</v>
      </c>
      <c r="B11246" t="s">
        <v>26</v>
      </c>
      <c r="C11246">
        <v>150000</v>
      </c>
      <c r="D11246">
        <v>7142.8</v>
      </c>
      <c r="E11246">
        <v>2.2200000000000001E-2</v>
      </c>
      <c r="F11246">
        <v>8.5400000000000004E-2</v>
      </c>
    </row>
    <row r="11247" spans="1:6" x14ac:dyDescent="0.3">
      <c r="A11247" t="s">
        <v>11282</v>
      </c>
      <c r="B11247" t="s">
        <v>62</v>
      </c>
      <c r="C11247">
        <v>159000</v>
      </c>
      <c r="D11247">
        <v>5317.5</v>
      </c>
      <c r="E11247">
        <v>2.3699999999999999E-2</v>
      </c>
      <c r="F11247">
        <v>9.5100000000000004E-2</v>
      </c>
    </row>
    <row r="11248" spans="1:6" x14ac:dyDescent="0.3">
      <c r="A11248" t="s">
        <v>11283</v>
      </c>
      <c r="B11248" t="s">
        <v>74</v>
      </c>
      <c r="C11248">
        <v>135000</v>
      </c>
      <c r="D11248">
        <v>2207</v>
      </c>
      <c r="E11248">
        <v>1.2500000000000001E-2</v>
      </c>
      <c r="F11248">
        <v>4.6199999999999998E-2</v>
      </c>
    </row>
    <row r="11249" spans="1:6" x14ac:dyDescent="0.3">
      <c r="A11249" t="s">
        <v>11284</v>
      </c>
      <c r="B11249" t="s">
        <v>214</v>
      </c>
      <c r="C11249">
        <v>143000</v>
      </c>
      <c r="D11249">
        <v>485668.1</v>
      </c>
      <c r="E11249">
        <v>1.8100000000000002E-2</v>
      </c>
      <c r="F11249">
        <v>5.8500000000000003E-2</v>
      </c>
    </row>
    <row r="11250" spans="1:6" x14ac:dyDescent="0.3">
      <c r="A11250" t="s">
        <v>11285</v>
      </c>
      <c r="B11250" t="s">
        <v>41</v>
      </c>
      <c r="C11250">
        <v>140000</v>
      </c>
      <c r="D11250">
        <v>2937.5</v>
      </c>
      <c r="E11250">
        <v>2.0799999999999999E-2</v>
      </c>
      <c r="F11250">
        <v>5.7599999999999998E-2</v>
      </c>
    </row>
    <row r="11251" spans="1:6" x14ac:dyDescent="0.3">
      <c r="A11251" t="s">
        <v>11286</v>
      </c>
      <c r="B11251" t="s">
        <v>26</v>
      </c>
      <c r="C11251">
        <v>128000</v>
      </c>
      <c r="D11251">
        <v>1683.6</v>
      </c>
      <c r="E11251">
        <v>7.1400000000000005E-2</v>
      </c>
      <c r="F11251">
        <v>7.5899999999999995E-2</v>
      </c>
    </row>
    <row r="11252" spans="1:6" x14ac:dyDescent="0.3">
      <c r="A11252" t="s">
        <v>11287</v>
      </c>
      <c r="B11252" t="s">
        <v>21</v>
      </c>
      <c r="C11252">
        <v>552000</v>
      </c>
      <c r="D11252">
        <v>6516</v>
      </c>
      <c r="E11252">
        <v>2.0199999999999999E-2</v>
      </c>
      <c r="F11252">
        <v>7.5700000000000003E-2</v>
      </c>
    </row>
    <row r="11253" spans="1:6" x14ac:dyDescent="0.3">
      <c r="A11253" t="s">
        <v>11288</v>
      </c>
      <c r="B11253" t="s">
        <v>30</v>
      </c>
      <c r="C11253">
        <v>110000</v>
      </c>
      <c r="D11253">
        <v>1164</v>
      </c>
      <c r="E11253">
        <v>1.2E-2</v>
      </c>
      <c r="F11253">
        <v>6.5699999999999995E-2</v>
      </c>
    </row>
    <row r="11254" spans="1:6" x14ac:dyDescent="0.3">
      <c r="A11254" t="s">
        <v>11289</v>
      </c>
      <c r="B11254" t="s">
        <v>32</v>
      </c>
      <c r="C11254">
        <v>126000</v>
      </c>
      <c r="D11254">
        <v>10769.4</v>
      </c>
      <c r="E11254">
        <v>4.02E-2</v>
      </c>
      <c r="F11254">
        <v>5.4600000000000003E-2</v>
      </c>
    </row>
    <row r="11255" spans="1:6" x14ac:dyDescent="0.3">
      <c r="A11255" t="s">
        <v>11290</v>
      </c>
      <c r="B11255" t="s">
        <v>62</v>
      </c>
      <c r="C11255">
        <v>126000</v>
      </c>
      <c r="F11255">
        <v>7.5899999999999995E-2</v>
      </c>
    </row>
    <row r="11256" spans="1:6" x14ac:dyDescent="0.3">
      <c r="A11256" t="s">
        <v>11291</v>
      </c>
      <c r="B11256" t="s">
        <v>71</v>
      </c>
      <c r="C11256">
        <v>142000</v>
      </c>
      <c r="D11256">
        <v>4811.8999999999996</v>
      </c>
      <c r="E11256">
        <v>3.8100000000000002E-2</v>
      </c>
      <c r="F11256">
        <v>9.3799999999999994E-2</v>
      </c>
    </row>
    <row r="11257" spans="1:6" x14ac:dyDescent="0.3">
      <c r="A11257" t="s">
        <v>11292</v>
      </c>
      <c r="B11257" t="s">
        <v>88</v>
      </c>
      <c r="C11257">
        <v>109000</v>
      </c>
      <c r="D11257">
        <v>1879.5</v>
      </c>
      <c r="E11257">
        <v>1.9400000000000001E-2</v>
      </c>
      <c r="F11257">
        <v>0.1067</v>
      </c>
    </row>
    <row r="11258" spans="1:6" x14ac:dyDescent="0.3">
      <c r="A11258" t="s">
        <v>11293</v>
      </c>
      <c r="B11258" t="s">
        <v>74</v>
      </c>
      <c r="C11258">
        <v>119000</v>
      </c>
      <c r="D11258">
        <v>967.2</v>
      </c>
      <c r="E11258">
        <v>1.43E-2</v>
      </c>
      <c r="F11258">
        <v>0.18859999999999999</v>
      </c>
    </row>
    <row r="11259" spans="1:6" x14ac:dyDescent="0.3">
      <c r="A11259" t="s">
        <v>11294</v>
      </c>
      <c r="B11259" t="s">
        <v>287</v>
      </c>
      <c r="C11259">
        <v>111000</v>
      </c>
      <c r="D11259">
        <v>246.1</v>
      </c>
      <c r="F11259">
        <v>7.5899999999999995E-2</v>
      </c>
    </row>
    <row r="11260" spans="1:6" x14ac:dyDescent="0.3">
      <c r="A11260" t="s">
        <v>11295</v>
      </c>
      <c r="B11260" t="s">
        <v>21</v>
      </c>
      <c r="C11260">
        <v>164000</v>
      </c>
      <c r="D11260">
        <v>191114.9</v>
      </c>
      <c r="E11260">
        <v>1.95E-2</v>
      </c>
      <c r="F11260">
        <v>5.1799999999999999E-2</v>
      </c>
    </row>
    <row r="11261" spans="1:6" x14ac:dyDescent="0.3">
      <c r="A11261" t="s">
        <v>11296</v>
      </c>
      <c r="B11261" t="s">
        <v>50</v>
      </c>
      <c r="C11261">
        <v>141000</v>
      </c>
      <c r="D11261">
        <v>97116.1</v>
      </c>
      <c r="E11261">
        <v>4.3E-3</v>
      </c>
      <c r="F11261">
        <v>6.54E-2</v>
      </c>
    </row>
    <row r="11262" spans="1:6" x14ac:dyDescent="0.3">
      <c r="A11262" t="s">
        <v>11297</v>
      </c>
      <c r="B11262" t="s">
        <v>26</v>
      </c>
      <c r="C11262">
        <v>120000</v>
      </c>
      <c r="D11262">
        <v>266.2</v>
      </c>
      <c r="E11262">
        <v>3.6200000000000003E-2</v>
      </c>
      <c r="F11262">
        <v>9.5000000000000001E-2</v>
      </c>
    </row>
    <row r="11263" spans="1:6" x14ac:dyDescent="0.3">
      <c r="A11263" t="s">
        <v>11298</v>
      </c>
      <c r="B11263" t="s">
        <v>53</v>
      </c>
      <c r="C11263">
        <v>111000</v>
      </c>
      <c r="D11263">
        <v>590.1</v>
      </c>
      <c r="E11263">
        <v>4.6199999999999998E-2</v>
      </c>
      <c r="F11263">
        <v>9.3799999999999994E-2</v>
      </c>
    </row>
    <row r="11264" spans="1:6" x14ac:dyDescent="0.3">
      <c r="A11264" t="s">
        <v>11299</v>
      </c>
      <c r="B11264" t="s">
        <v>287</v>
      </c>
      <c r="C11264">
        <v>122000</v>
      </c>
      <c r="D11264">
        <v>3491.1</v>
      </c>
      <c r="E11264">
        <v>2.6599999999999999E-2</v>
      </c>
      <c r="F11264">
        <v>7.2499999999999995E-2</v>
      </c>
    </row>
    <row r="11265" spans="1:6" x14ac:dyDescent="0.3">
      <c r="A11265" t="s">
        <v>11300</v>
      </c>
      <c r="B11265" t="s">
        <v>74</v>
      </c>
      <c r="C11265">
        <v>768000</v>
      </c>
      <c r="D11265">
        <v>158218.9</v>
      </c>
      <c r="E11265">
        <v>0.13830000000000001</v>
      </c>
      <c r="F11265">
        <v>7.5899999999999995E-2</v>
      </c>
    </row>
    <row r="11266" spans="1:6" x14ac:dyDescent="0.3">
      <c r="A11266" t="s">
        <v>11301</v>
      </c>
      <c r="B11266" t="s">
        <v>26</v>
      </c>
      <c r="C11266">
        <v>348000</v>
      </c>
      <c r="D11266">
        <v>254406.39999999999</v>
      </c>
      <c r="E11266">
        <v>2.24E-2</v>
      </c>
      <c r="F11266">
        <v>7.5899999999999995E-2</v>
      </c>
    </row>
    <row r="11267" spans="1:6" x14ac:dyDescent="0.3">
      <c r="A11267" t="s">
        <v>11302</v>
      </c>
      <c r="B11267" t="s">
        <v>71</v>
      </c>
      <c r="C11267">
        <v>114000</v>
      </c>
      <c r="D11267">
        <v>476.8</v>
      </c>
      <c r="E11267">
        <v>1.46E-2</v>
      </c>
      <c r="F11267">
        <v>0.1067</v>
      </c>
    </row>
    <row r="11268" spans="1:6" x14ac:dyDescent="0.3">
      <c r="A11268" t="s">
        <v>11303</v>
      </c>
      <c r="B11268" t="s">
        <v>214</v>
      </c>
      <c r="C11268">
        <v>299000</v>
      </c>
      <c r="D11268">
        <v>204.8</v>
      </c>
      <c r="E11268">
        <v>0.01</v>
      </c>
      <c r="F11268">
        <v>0.15390000000000001</v>
      </c>
    </row>
    <row r="11269" spans="1:6" x14ac:dyDescent="0.3">
      <c r="A11269" t="s">
        <v>11304</v>
      </c>
      <c r="B11269" t="s">
        <v>50</v>
      </c>
      <c r="C11269">
        <v>108000</v>
      </c>
      <c r="D11269">
        <v>16190.5</v>
      </c>
      <c r="E11269">
        <v>3.5999999999999997E-2</v>
      </c>
      <c r="F11269">
        <v>9.5100000000000004E-2</v>
      </c>
    </row>
    <row r="11270" spans="1:6" x14ac:dyDescent="0.3">
      <c r="A11270" t="s">
        <v>11305</v>
      </c>
      <c r="B11270" t="s">
        <v>71</v>
      </c>
      <c r="C11270">
        <v>141000</v>
      </c>
      <c r="D11270">
        <v>549.20000000000005</v>
      </c>
      <c r="E11270">
        <v>7.4099999999999999E-2</v>
      </c>
      <c r="F11270">
        <v>7.5899999999999995E-2</v>
      </c>
    </row>
    <row r="11271" spans="1:6" x14ac:dyDescent="0.3">
      <c r="A11271" t="s">
        <v>11306</v>
      </c>
      <c r="B11271" t="s">
        <v>88</v>
      </c>
      <c r="C11271">
        <v>232000</v>
      </c>
      <c r="D11271">
        <v>3315</v>
      </c>
      <c r="E11271">
        <v>5.7299999999999997E-2</v>
      </c>
      <c r="F11271">
        <v>9.3799999999999994E-2</v>
      </c>
    </row>
    <row r="11272" spans="1:6" x14ac:dyDescent="0.3">
      <c r="A11272" t="s">
        <v>11307</v>
      </c>
      <c r="B11272" t="s">
        <v>214</v>
      </c>
      <c r="C11272">
        <v>156000</v>
      </c>
      <c r="D11272">
        <v>2367.5</v>
      </c>
      <c r="E11272">
        <v>2.1999999999999999E-2</v>
      </c>
      <c r="F11272">
        <v>9.5100000000000004E-2</v>
      </c>
    </row>
    <row r="11273" spans="1:6" x14ac:dyDescent="0.3">
      <c r="A11273" t="s">
        <v>11308</v>
      </c>
      <c r="B11273" t="s">
        <v>92</v>
      </c>
      <c r="C11273">
        <v>159000</v>
      </c>
      <c r="D11273">
        <v>739.5</v>
      </c>
      <c r="E11273">
        <v>1.95E-2</v>
      </c>
      <c r="F11273">
        <v>0.1067</v>
      </c>
    </row>
    <row r="11274" spans="1:6" x14ac:dyDescent="0.3">
      <c r="A11274" t="s">
        <v>11309</v>
      </c>
      <c r="B11274" t="s">
        <v>26</v>
      </c>
      <c r="C11274">
        <v>168000</v>
      </c>
      <c r="D11274">
        <v>26288.2</v>
      </c>
      <c r="E11274">
        <v>3.5200000000000002E-2</v>
      </c>
      <c r="F11274">
        <v>9.5100000000000004E-2</v>
      </c>
    </row>
    <row r="11275" spans="1:6" x14ac:dyDescent="0.3">
      <c r="A11275" t="s">
        <v>11310</v>
      </c>
      <c r="B11275" t="s">
        <v>81</v>
      </c>
      <c r="C11275">
        <v>117000</v>
      </c>
      <c r="D11275">
        <v>3992.8</v>
      </c>
      <c r="E11275">
        <v>0.01</v>
      </c>
      <c r="F11275">
        <v>9.11E-2</v>
      </c>
    </row>
    <row r="11276" spans="1:6" x14ac:dyDescent="0.3">
      <c r="A11276" t="s">
        <v>11311</v>
      </c>
      <c r="B11276" t="s">
        <v>53</v>
      </c>
      <c r="C11276">
        <v>313000</v>
      </c>
      <c r="D11276">
        <v>1676849</v>
      </c>
      <c r="E11276">
        <v>1.7899999999999999E-2</v>
      </c>
      <c r="F11276">
        <v>9.2200000000000004E-2</v>
      </c>
    </row>
    <row r="11277" spans="1:6" x14ac:dyDescent="0.3">
      <c r="A11277" t="s">
        <v>11312</v>
      </c>
      <c r="B11277" t="s">
        <v>81</v>
      </c>
      <c r="C11277">
        <v>111000</v>
      </c>
      <c r="D11277">
        <v>20584.7</v>
      </c>
      <c r="E11277">
        <v>4.8300000000000003E-2</v>
      </c>
      <c r="F11277">
        <v>9.5100000000000004E-2</v>
      </c>
    </row>
    <row r="11278" spans="1:6" x14ac:dyDescent="0.3">
      <c r="A11278" t="s">
        <v>11313</v>
      </c>
      <c r="B11278" t="s">
        <v>92</v>
      </c>
      <c r="C11278">
        <v>118000</v>
      </c>
      <c r="D11278">
        <v>2402.4</v>
      </c>
      <c r="E11278">
        <v>1.7299999999999999E-2</v>
      </c>
      <c r="F11278">
        <v>5.8500000000000003E-2</v>
      </c>
    </row>
    <row r="11279" spans="1:6" x14ac:dyDescent="0.3">
      <c r="A11279" t="s">
        <v>11314</v>
      </c>
      <c r="B11279" t="s">
        <v>26</v>
      </c>
      <c r="C11279">
        <v>111000</v>
      </c>
      <c r="D11279">
        <v>1804</v>
      </c>
      <c r="E11279">
        <v>4.3200000000000002E-2</v>
      </c>
      <c r="F11279">
        <v>0.1535</v>
      </c>
    </row>
    <row r="11280" spans="1:6" x14ac:dyDescent="0.3">
      <c r="A11280" t="s">
        <v>11315</v>
      </c>
      <c r="B11280" t="s">
        <v>26</v>
      </c>
      <c r="C11280">
        <v>111000</v>
      </c>
      <c r="D11280">
        <v>15695.5</v>
      </c>
      <c r="E11280">
        <v>3.8899999999999997E-2</v>
      </c>
      <c r="F11280">
        <v>7.5899999999999995E-2</v>
      </c>
    </row>
    <row r="11281" spans="1:6" x14ac:dyDescent="0.3">
      <c r="A11281" t="s">
        <v>11316</v>
      </c>
      <c r="B11281" t="s">
        <v>62</v>
      </c>
      <c r="C11281">
        <v>108000</v>
      </c>
      <c r="D11281">
        <v>64841.2</v>
      </c>
      <c r="E11281">
        <v>2.3099999999999999E-2</v>
      </c>
      <c r="F11281">
        <v>5.1799999999999999E-2</v>
      </c>
    </row>
    <row r="11282" spans="1:6" x14ac:dyDescent="0.3">
      <c r="A11282" t="s">
        <v>11317</v>
      </c>
      <c r="B11282" t="s">
        <v>26</v>
      </c>
      <c r="C11282">
        <v>193000</v>
      </c>
      <c r="D11282">
        <v>2490.3000000000002</v>
      </c>
      <c r="E11282">
        <v>2.3400000000000001E-2</v>
      </c>
      <c r="F11282">
        <v>0.1308</v>
      </c>
    </row>
    <row r="11283" spans="1:6" x14ac:dyDescent="0.3">
      <c r="A11283" t="s">
        <v>11318</v>
      </c>
      <c r="B11283" t="s">
        <v>26</v>
      </c>
      <c r="C11283">
        <v>111000</v>
      </c>
      <c r="D11283">
        <v>18495.5</v>
      </c>
      <c r="E11283">
        <v>2.5100000000000001E-2</v>
      </c>
      <c r="F11283">
        <v>0.15359999999999999</v>
      </c>
    </row>
    <row r="11284" spans="1:6" x14ac:dyDescent="0.3">
      <c r="A11284" t="s">
        <v>11319</v>
      </c>
      <c r="B11284" t="s">
        <v>71</v>
      </c>
      <c r="C11284">
        <v>114000</v>
      </c>
      <c r="D11284">
        <v>7716.7</v>
      </c>
      <c r="E11284">
        <v>5.7999999999999996E-3</v>
      </c>
      <c r="F11284">
        <v>8.2199999999999995E-2</v>
      </c>
    </row>
    <row r="11285" spans="1:6" x14ac:dyDescent="0.3">
      <c r="A11285" t="s">
        <v>11320</v>
      </c>
      <c r="B11285" t="s">
        <v>24</v>
      </c>
      <c r="C11285">
        <v>108000</v>
      </c>
      <c r="D11285">
        <v>1328.7</v>
      </c>
      <c r="E11285">
        <v>2.3E-2</v>
      </c>
      <c r="F11285">
        <v>0.12429999999999999</v>
      </c>
    </row>
    <row r="11286" spans="1:6" x14ac:dyDescent="0.3">
      <c r="A11286" t="s">
        <v>11321</v>
      </c>
      <c r="B11286" t="s">
        <v>21</v>
      </c>
      <c r="C11286">
        <v>153000</v>
      </c>
      <c r="D11286">
        <v>11466.5</v>
      </c>
      <c r="E11286">
        <v>7.4000000000000003E-3</v>
      </c>
      <c r="F11286">
        <v>8.1100000000000005E-2</v>
      </c>
    </row>
    <row r="11287" spans="1:6" x14ac:dyDescent="0.3">
      <c r="A11287" t="s">
        <v>11322</v>
      </c>
      <c r="B11287" t="s">
        <v>26</v>
      </c>
      <c r="C11287">
        <v>184000</v>
      </c>
      <c r="D11287">
        <v>28488.2</v>
      </c>
      <c r="E11287">
        <v>8.3999999999999995E-3</v>
      </c>
      <c r="F11287">
        <v>8.1100000000000005E-2</v>
      </c>
    </row>
    <row r="11288" spans="1:6" x14ac:dyDescent="0.3">
      <c r="A11288" t="s">
        <v>11323</v>
      </c>
      <c r="B11288" t="s">
        <v>92</v>
      </c>
      <c r="C11288">
        <v>113000</v>
      </c>
      <c r="D11288">
        <v>1232.5999999999999</v>
      </c>
      <c r="E11288">
        <v>1.49E-2</v>
      </c>
      <c r="F11288">
        <v>0.1027</v>
      </c>
    </row>
    <row r="11289" spans="1:6" x14ac:dyDescent="0.3">
      <c r="A11289" t="s">
        <v>11324</v>
      </c>
      <c r="B11289" t="s">
        <v>24</v>
      </c>
      <c r="C11289">
        <v>238000</v>
      </c>
      <c r="D11289">
        <v>277.39999999999998</v>
      </c>
      <c r="E11289">
        <v>0.1106</v>
      </c>
      <c r="F11289">
        <v>0.1226</v>
      </c>
    </row>
    <row r="11290" spans="1:6" x14ac:dyDescent="0.3">
      <c r="A11290" t="s">
        <v>11325</v>
      </c>
      <c r="B11290" t="s">
        <v>88</v>
      </c>
      <c r="C11290">
        <v>123000</v>
      </c>
      <c r="D11290">
        <v>437.6</v>
      </c>
      <c r="E11290">
        <v>1.4800000000000001E-2</v>
      </c>
      <c r="F11290">
        <v>7.2599999999999998E-2</v>
      </c>
    </row>
    <row r="11291" spans="1:6" x14ac:dyDescent="0.3">
      <c r="A11291" t="s">
        <v>11326</v>
      </c>
      <c r="B11291" t="s">
        <v>26</v>
      </c>
      <c r="C11291">
        <v>116000</v>
      </c>
      <c r="D11291">
        <v>1185.5999999999999</v>
      </c>
      <c r="E11291">
        <v>5.0099999999999999E-2</v>
      </c>
      <c r="F11291">
        <v>9.3799999999999994E-2</v>
      </c>
    </row>
    <row r="11292" spans="1:6" x14ac:dyDescent="0.3">
      <c r="A11292" t="s">
        <v>11327</v>
      </c>
      <c r="B11292" t="s">
        <v>81</v>
      </c>
      <c r="C11292">
        <v>114000</v>
      </c>
      <c r="D11292">
        <v>658.5</v>
      </c>
      <c r="E11292">
        <v>1.7399999999999999E-2</v>
      </c>
      <c r="F11292">
        <v>4.8800000000000003E-2</v>
      </c>
    </row>
    <row r="11293" spans="1:6" x14ac:dyDescent="0.3">
      <c r="A11293" t="s">
        <v>11328</v>
      </c>
      <c r="B11293" t="s">
        <v>26</v>
      </c>
      <c r="C11293">
        <v>146000</v>
      </c>
      <c r="D11293">
        <v>24089.599999999999</v>
      </c>
      <c r="E11293">
        <v>1.52E-2</v>
      </c>
      <c r="F11293">
        <v>4.6199999999999998E-2</v>
      </c>
    </row>
    <row r="11294" spans="1:6" x14ac:dyDescent="0.3">
      <c r="A11294" t="s">
        <v>11329</v>
      </c>
      <c r="B11294" t="s">
        <v>26</v>
      </c>
      <c r="C11294">
        <v>125000</v>
      </c>
      <c r="D11294">
        <v>11343.2</v>
      </c>
      <c r="E11294">
        <v>3.7699999999999997E-2</v>
      </c>
      <c r="F11294">
        <v>9.3799999999999994E-2</v>
      </c>
    </row>
    <row r="11295" spans="1:6" x14ac:dyDescent="0.3">
      <c r="A11295" t="s">
        <v>11330</v>
      </c>
      <c r="B11295" t="s">
        <v>88</v>
      </c>
      <c r="C11295">
        <v>156000</v>
      </c>
      <c r="D11295">
        <v>16148</v>
      </c>
      <c r="E11295">
        <v>2.0500000000000001E-2</v>
      </c>
      <c r="F11295">
        <v>0.1067</v>
      </c>
    </row>
    <row r="11296" spans="1:6" x14ac:dyDescent="0.3">
      <c r="A11296" t="s">
        <v>11331</v>
      </c>
      <c r="B11296" t="s">
        <v>88</v>
      </c>
      <c r="C11296">
        <v>150000</v>
      </c>
      <c r="D11296">
        <v>379.9</v>
      </c>
      <c r="E11296">
        <v>4.5400000000000003E-2</v>
      </c>
      <c r="F11296">
        <v>5.0999999999999997E-2</v>
      </c>
    </row>
    <row r="11297" spans="1:6" x14ac:dyDescent="0.3">
      <c r="A11297" t="s">
        <v>11332</v>
      </c>
      <c r="B11297" t="s">
        <v>74</v>
      </c>
      <c r="C11297">
        <v>122000</v>
      </c>
      <c r="D11297">
        <v>809.6</v>
      </c>
      <c r="E11297">
        <v>8.1000000000000003E-2</v>
      </c>
      <c r="F11297">
        <v>9.3799999999999994E-2</v>
      </c>
    </row>
    <row r="11298" spans="1:6" x14ac:dyDescent="0.3">
      <c r="A11298" t="s">
        <v>11333</v>
      </c>
      <c r="B11298" t="s">
        <v>26</v>
      </c>
      <c r="C11298">
        <v>126000</v>
      </c>
      <c r="D11298">
        <v>4126.5</v>
      </c>
      <c r="E11298">
        <v>5.8099999999999999E-2</v>
      </c>
      <c r="F11298">
        <v>7.5899999999999995E-2</v>
      </c>
    </row>
    <row r="11299" spans="1:6" x14ac:dyDescent="0.3">
      <c r="A11299" t="s">
        <v>11334</v>
      </c>
      <c r="B11299" t="s">
        <v>26</v>
      </c>
      <c r="C11299">
        <v>259000</v>
      </c>
      <c r="D11299">
        <v>1910.5</v>
      </c>
      <c r="E11299">
        <v>4.1399999999999999E-2</v>
      </c>
      <c r="F11299">
        <v>5.1799999999999999E-2</v>
      </c>
    </row>
    <row r="11300" spans="1:6" x14ac:dyDescent="0.3">
      <c r="A11300" t="s">
        <v>11335</v>
      </c>
      <c r="B11300" t="s">
        <v>26</v>
      </c>
      <c r="C11300">
        <v>138000</v>
      </c>
      <c r="D11300">
        <v>38531.4</v>
      </c>
      <c r="E11300">
        <v>2.07E-2</v>
      </c>
      <c r="F11300">
        <v>4.0899999999999999E-2</v>
      </c>
    </row>
    <row r="11301" spans="1:6" x14ac:dyDescent="0.3">
      <c r="A11301" t="s">
        <v>11336</v>
      </c>
      <c r="B11301" t="s">
        <v>62</v>
      </c>
      <c r="C11301">
        <v>144000</v>
      </c>
      <c r="D11301">
        <v>454.6</v>
      </c>
      <c r="F11301">
        <v>9.3799999999999994E-2</v>
      </c>
    </row>
    <row r="11302" spans="1:6" x14ac:dyDescent="0.3">
      <c r="A11302" t="s">
        <v>11337</v>
      </c>
      <c r="B11302" t="s">
        <v>24</v>
      </c>
      <c r="C11302">
        <v>120000</v>
      </c>
      <c r="D11302">
        <v>2771.7</v>
      </c>
      <c r="E11302">
        <v>1.29E-2</v>
      </c>
      <c r="F11302">
        <v>0.18890000000000001</v>
      </c>
    </row>
    <row r="11303" spans="1:6" x14ac:dyDescent="0.3">
      <c r="A11303" t="s">
        <v>11338</v>
      </c>
      <c r="B11303" t="s">
        <v>26</v>
      </c>
      <c r="C11303">
        <v>224000</v>
      </c>
      <c r="D11303">
        <v>1637</v>
      </c>
      <c r="E11303">
        <v>3.9E-2</v>
      </c>
      <c r="F11303">
        <v>9.3799999999999994E-2</v>
      </c>
    </row>
    <row r="11304" spans="1:6" x14ac:dyDescent="0.3">
      <c r="A11304" t="s">
        <v>11339</v>
      </c>
      <c r="B11304" t="s">
        <v>74</v>
      </c>
      <c r="C11304">
        <v>158000</v>
      </c>
      <c r="D11304">
        <v>1491.8</v>
      </c>
      <c r="E11304">
        <v>5.3400000000000003E-2</v>
      </c>
      <c r="F11304">
        <v>5.0999999999999997E-2</v>
      </c>
    </row>
    <row r="11305" spans="1:6" x14ac:dyDescent="0.3">
      <c r="A11305" t="s">
        <v>11340</v>
      </c>
      <c r="B11305" t="s">
        <v>26</v>
      </c>
      <c r="C11305">
        <v>126000</v>
      </c>
      <c r="D11305">
        <v>8024.1</v>
      </c>
      <c r="E11305">
        <v>3.2099999999999997E-2</v>
      </c>
      <c r="F11305">
        <v>9.5100000000000004E-2</v>
      </c>
    </row>
    <row r="11306" spans="1:6" x14ac:dyDescent="0.3">
      <c r="A11306" t="s">
        <v>11341</v>
      </c>
      <c r="B11306" t="s">
        <v>214</v>
      </c>
      <c r="C11306">
        <v>118000</v>
      </c>
      <c r="D11306">
        <v>298.5</v>
      </c>
      <c r="E11306">
        <v>2.0299999999999999E-2</v>
      </c>
      <c r="F11306">
        <v>0.11700000000000001</v>
      </c>
    </row>
    <row r="11307" spans="1:6" x14ac:dyDescent="0.3">
      <c r="A11307" t="s">
        <v>11342</v>
      </c>
      <c r="B11307" t="s">
        <v>74</v>
      </c>
      <c r="C11307">
        <v>122000</v>
      </c>
      <c r="D11307">
        <v>318.89999999999998</v>
      </c>
      <c r="F11307">
        <v>5.3800000000000001E-2</v>
      </c>
    </row>
    <row r="11308" spans="1:6" x14ac:dyDescent="0.3">
      <c r="A11308" t="s">
        <v>11343</v>
      </c>
      <c r="B11308" t="s">
        <v>88</v>
      </c>
      <c r="C11308">
        <v>111000</v>
      </c>
      <c r="D11308">
        <v>954.2</v>
      </c>
      <c r="E11308">
        <v>5.5599999999999997E-2</v>
      </c>
      <c r="F11308">
        <v>0.11700000000000001</v>
      </c>
    </row>
    <row r="11309" spans="1:6" x14ac:dyDescent="0.3">
      <c r="A11309" t="s">
        <v>11344</v>
      </c>
      <c r="B11309" t="s">
        <v>21</v>
      </c>
      <c r="C11309">
        <v>144000</v>
      </c>
      <c r="D11309">
        <v>84712.5</v>
      </c>
      <c r="E11309">
        <v>7.3899999999999993E-2</v>
      </c>
      <c r="F11309">
        <v>9.5100000000000004E-2</v>
      </c>
    </row>
    <row r="11310" spans="1:6" x14ac:dyDescent="0.3">
      <c r="A11310" t="s">
        <v>11345</v>
      </c>
      <c r="B11310" t="s">
        <v>88</v>
      </c>
      <c r="C11310">
        <v>245000</v>
      </c>
      <c r="D11310">
        <v>58333.1</v>
      </c>
      <c r="E11310">
        <v>6.8099999999999994E-2</v>
      </c>
      <c r="F11310">
        <v>9.5100000000000004E-2</v>
      </c>
    </row>
    <row r="11311" spans="1:6" x14ac:dyDescent="0.3">
      <c r="A11311" t="s">
        <v>11346</v>
      </c>
      <c r="B11311" t="s">
        <v>74</v>
      </c>
      <c r="C11311">
        <v>239000</v>
      </c>
      <c r="D11311">
        <v>7751</v>
      </c>
      <c r="E11311">
        <v>5.2499999999999998E-2</v>
      </c>
      <c r="F11311">
        <v>7.5899999999999995E-2</v>
      </c>
    </row>
    <row r="11312" spans="1:6" x14ac:dyDescent="0.3">
      <c r="A11312" t="s">
        <v>11347</v>
      </c>
      <c r="B11312" t="s">
        <v>26</v>
      </c>
      <c r="C11312">
        <v>193000</v>
      </c>
      <c r="D11312">
        <v>16677.5</v>
      </c>
      <c r="E11312">
        <v>6.0000000000000001E-3</v>
      </c>
      <c r="F11312">
        <v>8.1100000000000005E-2</v>
      </c>
    </row>
    <row r="11313" spans="1:6" x14ac:dyDescent="0.3">
      <c r="A11313" t="s">
        <v>11348</v>
      </c>
      <c r="B11313" t="s">
        <v>88</v>
      </c>
      <c r="C11313">
        <v>131000</v>
      </c>
      <c r="D11313">
        <v>22852</v>
      </c>
      <c r="E11313">
        <v>2.7199999999999998E-2</v>
      </c>
      <c r="F11313">
        <v>7.5899999999999995E-2</v>
      </c>
    </row>
    <row r="11314" spans="1:6" x14ac:dyDescent="0.3">
      <c r="A11314" t="s">
        <v>11349</v>
      </c>
      <c r="B11314" t="s">
        <v>74</v>
      </c>
      <c r="C11314">
        <v>184000</v>
      </c>
      <c r="D11314">
        <v>10193.299999999999</v>
      </c>
      <c r="E11314">
        <v>6.2199999999999998E-2</v>
      </c>
      <c r="F11314">
        <v>4.0899999999999999E-2</v>
      </c>
    </row>
    <row r="11315" spans="1:6" x14ac:dyDescent="0.3">
      <c r="A11315" t="s">
        <v>11350</v>
      </c>
      <c r="B11315" t="s">
        <v>214</v>
      </c>
      <c r="C11315">
        <v>113000</v>
      </c>
      <c r="D11315">
        <v>201.5</v>
      </c>
      <c r="E11315">
        <v>2.0500000000000001E-2</v>
      </c>
      <c r="F11315">
        <v>7.3499999999999996E-2</v>
      </c>
    </row>
    <row r="11316" spans="1:6" x14ac:dyDescent="0.3">
      <c r="A11316" t="s">
        <v>11351</v>
      </c>
      <c r="B11316" t="s">
        <v>88</v>
      </c>
      <c r="C11316">
        <v>108000</v>
      </c>
      <c r="D11316">
        <v>1912.9</v>
      </c>
      <c r="E11316">
        <v>3.2000000000000001E-2</v>
      </c>
      <c r="F11316">
        <v>9.5100000000000004E-2</v>
      </c>
    </row>
    <row r="11317" spans="1:6" x14ac:dyDescent="0.3">
      <c r="A11317" t="s">
        <v>11352</v>
      </c>
      <c r="B11317" t="s">
        <v>24</v>
      </c>
      <c r="C11317">
        <v>178000</v>
      </c>
      <c r="D11317">
        <v>53342.8</v>
      </c>
      <c r="E11317">
        <v>6.2100000000000002E-2</v>
      </c>
      <c r="F11317">
        <v>7.5899999999999995E-2</v>
      </c>
    </row>
    <row r="11318" spans="1:6" x14ac:dyDescent="0.3">
      <c r="A11318" t="s">
        <v>11353</v>
      </c>
      <c r="B11318" t="s">
        <v>50</v>
      </c>
      <c r="C11318">
        <v>112000</v>
      </c>
      <c r="D11318">
        <v>1144.2</v>
      </c>
      <c r="E11318">
        <v>3.5499999999999997E-2</v>
      </c>
      <c r="F11318">
        <v>9.5100000000000004E-2</v>
      </c>
    </row>
    <row r="11319" spans="1:6" x14ac:dyDescent="0.3">
      <c r="A11319" t="s">
        <v>11354</v>
      </c>
      <c r="B11319" t="s">
        <v>88</v>
      </c>
      <c r="C11319">
        <v>110000</v>
      </c>
      <c r="D11319">
        <v>10537.6</v>
      </c>
      <c r="E11319">
        <v>3.0499999999999999E-2</v>
      </c>
      <c r="F11319">
        <v>9.5100000000000004E-2</v>
      </c>
    </row>
    <row r="11320" spans="1:6" x14ac:dyDescent="0.3">
      <c r="A11320" t="s">
        <v>11355</v>
      </c>
      <c r="B11320" t="s">
        <v>81</v>
      </c>
      <c r="C11320">
        <v>109000</v>
      </c>
      <c r="D11320">
        <v>905125.1</v>
      </c>
      <c r="E11320">
        <v>3.3399999999999999E-2</v>
      </c>
      <c r="F11320">
        <v>9.5100000000000004E-2</v>
      </c>
    </row>
    <row r="11321" spans="1:6" x14ac:dyDescent="0.3">
      <c r="A11321" t="s">
        <v>11356</v>
      </c>
      <c r="B11321" t="s">
        <v>24</v>
      </c>
      <c r="C11321">
        <v>122000</v>
      </c>
      <c r="D11321">
        <v>823</v>
      </c>
      <c r="E11321">
        <v>8.6999999999999994E-3</v>
      </c>
      <c r="F11321">
        <v>6.54E-2</v>
      </c>
    </row>
    <row r="11322" spans="1:6" x14ac:dyDescent="0.3">
      <c r="A11322" t="s">
        <v>11357</v>
      </c>
      <c r="B11322" t="s">
        <v>32</v>
      </c>
      <c r="C11322">
        <v>108000</v>
      </c>
      <c r="D11322">
        <v>2121631.7000000002</v>
      </c>
      <c r="E11322">
        <v>1.38E-2</v>
      </c>
      <c r="F11322">
        <v>0.17119999999999999</v>
      </c>
    </row>
    <row r="11323" spans="1:6" x14ac:dyDescent="0.3">
      <c r="A11323" t="s">
        <v>11358</v>
      </c>
      <c r="B11323" t="s">
        <v>81</v>
      </c>
      <c r="C11323">
        <v>124000</v>
      </c>
      <c r="D11323">
        <v>8817</v>
      </c>
      <c r="E11323">
        <v>1.12E-2</v>
      </c>
      <c r="F11323">
        <v>6.54E-2</v>
      </c>
    </row>
    <row r="11324" spans="1:6" x14ac:dyDescent="0.3">
      <c r="A11324" t="s">
        <v>11359</v>
      </c>
      <c r="B11324" t="s">
        <v>195</v>
      </c>
      <c r="C11324">
        <v>114000</v>
      </c>
      <c r="D11324">
        <v>758.2</v>
      </c>
      <c r="E11324">
        <v>2.3599999999999999E-2</v>
      </c>
      <c r="F11324">
        <v>0.11700000000000001</v>
      </c>
    </row>
    <row r="11325" spans="1:6" x14ac:dyDescent="0.3">
      <c r="A11325" t="s">
        <v>11360</v>
      </c>
      <c r="B11325" t="s">
        <v>26</v>
      </c>
      <c r="C11325">
        <v>131000</v>
      </c>
      <c r="D11325">
        <v>12215.6</v>
      </c>
      <c r="F11325">
        <v>5.1799999999999999E-2</v>
      </c>
    </row>
    <row r="11326" spans="1:6" x14ac:dyDescent="0.3">
      <c r="A11326" t="s">
        <v>11361</v>
      </c>
      <c r="B11326" t="s">
        <v>24</v>
      </c>
      <c r="C11326">
        <v>135000</v>
      </c>
      <c r="D11326">
        <v>1290.2</v>
      </c>
      <c r="E11326">
        <v>1.0800000000000001E-2</v>
      </c>
      <c r="F11326">
        <v>6.54E-2</v>
      </c>
    </row>
    <row r="11327" spans="1:6" x14ac:dyDescent="0.3">
      <c r="A11327" t="s">
        <v>11362</v>
      </c>
      <c r="B11327" t="s">
        <v>71</v>
      </c>
      <c r="C11327">
        <v>242000</v>
      </c>
      <c r="D11327">
        <v>67928.899999999994</v>
      </c>
      <c r="E11327">
        <v>3.6400000000000002E-2</v>
      </c>
      <c r="F11327">
        <v>4.0899999999999999E-2</v>
      </c>
    </row>
    <row r="11328" spans="1:6" x14ac:dyDescent="0.3">
      <c r="A11328" t="s">
        <v>11363</v>
      </c>
      <c r="B11328" t="s">
        <v>88</v>
      </c>
      <c r="C11328">
        <v>110000</v>
      </c>
      <c r="D11328">
        <v>3235.9</v>
      </c>
      <c r="E11328">
        <v>1.3599999999999999E-2</v>
      </c>
      <c r="F11328">
        <v>0.1192</v>
      </c>
    </row>
    <row r="11329" spans="1:6" x14ac:dyDescent="0.3">
      <c r="A11329" t="s">
        <v>11364</v>
      </c>
      <c r="B11329" t="s">
        <v>35</v>
      </c>
      <c r="C11329">
        <v>172000</v>
      </c>
      <c r="D11329">
        <v>10371.200000000001</v>
      </c>
      <c r="E11329">
        <v>3.8699999999999998E-2</v>
      </c>
      <c r="F11329">
        <v>7.5899999999999995E-2</v>
      </c>
    </row>
    <row r="11330" spans="1:6" x14ac:dyDescent="0.3">
      <c r="A11330" t="s">
        <v>11365</v>
      </c>
      <c r="B11330" t="s">
        <v>74</v>
      </c>
      <c r="C11330">
        <v>123000</v>
      </c>
      <c r="F11330">
        <v>7.5899999999999995E-2</v>
      </c>
    </row>
    <row r="11331" spans="1:6" x14ac:dyDescent="0.3">
      <c r="A11331" t="s">
        <v>11366</v>
      </c>
      <c r="B11331" t="s">
        <v>53</v>
      </c>
      <c r="C11331">
        <v>178000</v>
      </c>
      <c r="D11331">
        <v>13928.2</v>
      </c>
      <c r="E11331">
        <v>1.11E-2</v>
      </c>
      <c r="F11331">
        <v>7.3599999999999999E-2</v>
      </c>
    </row>
    <row r="11332" spans="1:6" x14ac:dyDescent="0.3">
      <c r="A11332" t="s">
        <v>11367</v>
      </c>
      <c r="B11332" t="s">
        <v>287</v>
      </c>
      <c r="C11332">
        <v>105000</v>
      </c>
      <c r="F11332">
        <v>7.5899999999999995E-2</v>
      </c>
    </row>
    <row r="11333" spans="1:6" x14ac:dyDescent="0.3">
      <c r="A11333" t="s">
        <v>11368</v>
      </c>
      <c r="B11333" t="s">
        <v>26</v>
      </c>
      <c r="C11333">
        <v>140000</v>
      </c>
      <c r="D11333">
        <v>21026.9</v>
      </c>
      <c r="F11333">
        <v>9.5100000000000004E-2</v>
      </c>
    </row>
    <row r="11334" spans="1:6" x14ac:dyDescent="0.3">
      <c r="A11334" t="s">
        <v>11369</v>
      </c>
      <c r="B11334" t="s">
        <v>26</v>
      </c>
      <c r="C11334">
        <v>173000</v>
      </c>
      <c r="D11334">
        <v>1730.8</v>
      </c>
      <c r="E11334">
        <v>1.8100000000000002E-2</v>
      </c>
      <c r="F11334">
        <v>0.33279999999999998</v>
      </c>
    </row>
    <row r="11335" spans="1:6" x14ac:dyDescent="0.3">
      <c r="A11335" t="s">
        <v>11370</v>
      </c>
      <c r="B11335" t="s">
        <v>74</v>
      </c>
      <c r="C11335">
        <v>173000</v>
      </c>
      <c r="D11335">
        <v>2423.5</v>
      </c>
      <c r="E11335">
        <v>9.5999999999999992E-3</v>
      </c>
      <c r="F11335">
        <v>0.1187</v>
      </c>
    </row>
    <row r="11336" spans="1:6" x14ac:dyDescent="0.3">
      <c r="A11336" t="s">
        <v>11371</v>
      </c>
      <c r="B11336" t="s">
        <v>88</v>
      </c>
      <c r="C11336">
        <v>119000</v>
      </c>
      <c r="D11336">
        <v>7588.4</v>
      </c>
      <c r="E11336">
        <v>7.9000000000000008E-3</v>
      </c>
      <c r="F11336">
        <v>6.54E-2</v>
      </c>
    </row>
    <row r="11337" spans="1:6" x14ac:dyDescent="0.3">
      <c r="A11337" t="s">
        <v>11372</v>
      </c>
      <c r="B11337" t="s">
        <v>24</v>
      </c>
      <c r="C11337">
        <v>271000</v>
      </c>
      <c r="D11337">
        <v>28471.5</v>
      </c>
      <c r="E11337">
        <v>4.8500000000000001E-2</v>
      </c>
      <c r="F11337">
        <v>7.5899999999999995E-2</v>
      </c>
    </row>
    <row r="11338" spans="1:6" x14ac:dyDescent="0.3">
      <c r="A11338" t="s">
        <v>11373</v>
      </c>
      <c r="B11338" t="s">
        <v>32</v>
      </c>
      <c r="C11338">
        <v>108000</v>
      </c>
      <c r="D11338">
        <v>8582082.8000000007</v>
      </c>
      <c r="E11338">
        <v>1.0999999999999999E-2</v>
      </c>
      <c r="F11338">
        <v>0.38679999999999998</v>
      </c>
    </row>
    <row r="11339" spans="1:6" x14ac:dyDescent="0.3">
      <c r="A11339" t="s">
        <v>11374</v>
      </c>
      <c r="B11339" t="s">
        <v>26</v>
      </c>
      <c r="C11339">
        <v>120000</v>
      </c>
      <c r="D11339">
        <v>10232.1</v>
      </c>
      <c r="E11339">
        <v>3.8800000000000001E-2</v>
      </c>
      <c r="F11339">
        <v>9.5100000000000004E-2</v>
      </c>
    </row>
    <row r="11340" spans="1:6" x14ac:dyDescent="0.3">
      <c r="A11340" t="s">
        <v>11375</v>
      </c>
      <c r="B11340" t="s">
        <v>81</v>
      </c>
      <c r="C11340">
        <v>179000</v>
      </c>
      <c r="D11340">
        <v>21153.4</v>
      </c>
      <c r="E11340">
        <v>2.8199999999999999E-2</v>
      </c>
      <c r="F11340">
        <v>9.3799999999999994E-2</v>
      </c>
    </row>
    <row r="11341" spans="1:6" x14ac:dyDescent="0.3">
      <c r="A11341" t="s">
        <v>11376</v>
      </c>
      <c r="B11341" t="s">
        <v>26</v>
      </c>
      <c r="C11341">
        <v>143000</v>
      </c>
      <c r="D11341">
        <v>151930.9</v>
      </c>
      <c r="E11341">
        <v>4.4299999999999999E-2</v>
      </c>
      <c r="F11341">
        <v>5.1799999999999999E-2</v>
      </c>
    </row>
    <row r="11342" spans="1:6" x14ac:dyDescent="0.3">
      <c r="A11342" t="s">
        <v>11377</v>
      </c>
      <c r="B11342" t="s">
        <v>26</v>
      </c>
      <c r="C11342">
        <v>125000</v>
      </c>
      <c r="D11342">
        <v>1705.5</v>
      </c>
      <c r="E11342">
        <v>2.6100000000000002E-2</v>
      </c>
      <c r="F11342">
        <v>0.11700000000000001</v>
      </c>
    </row>
    <row r="11343" spans="1:6" x14ac:dyDescent="0.3">
      <c r="A11343" t="s">
        <v>11378</v>
      </c>
      <c r="B11343" t="s">
        <v>88</v>
      </c>
      <c r="C11343">
        <v>122000</v>
      </c>
      <c r="D11343">
        <v>468.7</v>
      </c>
      <c r="E11343">
        <v>6.0299999999999999E-2</v>
      </c>
      <c r="F11343">
        <v>9.3799999999999994E-2</v>
      </c>
    </row>
    <row r="11344" spans="1:6" x14ac:dyDescent="0.3">
      <c r="A11344" t="s">
        <v>11379</v>
      </c>
      <c r="B11344" t="s">
        <v>26</v>
      </c>
      <c r="C11344">
        <v>129000</v>
      </c>
      <c r="D11344">
        <v>625.5</v>
      </c>
      <c r="E11344">
        <v>5.7999999999999996E-3</v>
      </c>
      <c r="F11344">
        <v>0.1027</v>
      </c>
    </row>
    <row r="11345" spans="1:6" x14ac:dyDescent="0.3">
      <c r="A11345" t="s">
        <v>11380</v>
      </c>
      <c r="B11345" t="s">
        <v>41</v>
      </c>
      <c r="C11345">
        <v>125000</v>
      </c>
      <c r="D11345">
        <v>2312.4</v>
      </c>
      <c r="E11345">
        <v>1.2999999999999999E-2</v>
      </c>
      <c r="F11345">
        <v>5.8400000000000001E-2</v>
      </c>
    </row>
    <row r="11346" spans="1:6" x14ac:dyDescent="0.3">
      <c r="A11346" t="s">
        <v>11381</v>
      </c>
      <c r="B11346" t="s">
        <v>26</v>
      </c>
      <c r="C11346">
        <v>136000</v>
      </c>
      <c r="D11346">
        <v>8254.2000000000007</v>
      </c>
      <c r="E11346">
        <v>5.5100000000000003E-2</v>
      </c>
      <c r="F11346">
        <v>9.3799999999999994E-2</v>
      </c>
    </row>
    <row r="11347" spans="1:6" x14ac:dyDescent="0.3">
      <c r="A11347" t="s">
        <v>11382</v>
      </c>
      <c r="B11347" t="s">
        <v>41</v>
      </c>
      <c r="C11347">
        <v>188000</v>
      </c>
      <c r="D11347">
        <v>6915.1</v>
      </c>
      <c r="E11347">
        <v>1.43E-2</v>
      </c>
      <c r="F11347">
        <v>6.08E-2</v>
      </c>
    </row>
    <row r="11348" spans="1:6" x14ac:dyDescent="0.3">
      <c r="A11348" t="s">
        <v>11383</v>
      </c>
      <c r="B11348" t="s">
        <v>88</v>
      </c>
      <c r="C11348">
        <v>135000</v>
      </c>
      <c r="D11348">
        <v>1807.2</v>
      </c>
      <c r="E11348">
        <v>1.12E-2</v>
      </c>
      <c r="F11348">
        <v>5.8400000000000001E-2</v>
      </c>
    </row>
    <row r="11349" spans="1:6" x14ac:dyDescent="0.3">
      <c r="A11349" t="s">
        <v>11384</v>
      </c>
      <c r="B11349" t="s">
        <v>71</v>
      </c>
      <c r="C11349">
        <v>128000</v>
      </c>
      <c r="D11349">
        <v>3255</v>
      </c>
      <c r="E11349">
        <v>3.2300000000000002E-2</v>
      </c>
      <c r="F11349">
        <v>7.5899999999999995E-2</v>
      </c>
    </row>
    <row r="11350" spans="1:6" x14ac:dyDescent="0.3">
      <c r="A11350" t="s">
        <v>11385</v>
      </c>
      <c r="B11350" t="s">
        <v>24</v>
      </c>
      <c r="C11350">
        <v>110000</v>
      </c>
      <c r="D11350">
        <v>225.7</v>
      </c>
      <c r="E11350">
        <v>2.24E-2</v>
      </c>
      <c r="F11350">
        <v>5.8500000000000003E-2</v>
      </c>
    </row>
    <row r="11351" spans="1:6" x14ac:dyDescent="0.3">
      <c r="A11351" t="s">
        <v>11386</v>
      </c>
      <c r="B11351" t="s">
        <v>26</v>
      </c>
      <c r="C11351">
        <v>110000</v>
      </c>
      <c r="D11351">
        <v>17269.7</v>
      </c>
      <c r="E11351">
        <v>2.0400000000000001E-2</v>
      </c>
      <c r="F11351">
        <v>0.13900000000000001</v>
      </c>
    </row>
    <row r="11352" spans="1:6" x14ac:dyDescent="0.3">
      <c r="A11352" t="s">
        <v>11387</v>
      </c>
      <c r="B11352" t="s">
        <v>62</v>
      </c>
      <c r="C11352">
        <v>110000</v>
      </c>
      <c r="D11352">
        <v>1630.8</v>
      </c>
      <c r="E11352">
        <v>2.12E-2</v>
      </c>
      <c r="F11352">
        <v>7.2599999999999998E-2</v>
      </c>
    </row>
    <row r="11353" spans="1:6" x14ac:dyDescent="0.3">
      <c r="A11353" t="s">
        <v>11388</v>
      </c>
      <c r="B11353" t="s">
        <v>50</v>
      </c>
      <c r="C11353">
        <v>109000</v>
      </c>
      <c r="D11353">
        <v>1569.6</v>
      </c>
      <c r="E11353">
        <v>2.86E-2</v>
      </c>
      <c r="F11353">
        <v>5.4600000000000003E-2</v>
      </c>
    </row>
    <row r="11354" spans="1:6" x14ac:dyDescent="0.3">
      <c r="A11354" t="s">
        <v>11389</v>
      </c>
      <c r="B11354" t="s">
        <v>41</v>
      </c>
      <c r="C11354">
        <v>115000</v>
      </c>
      <c r="D11354">
        <v>7063.9</v>
      </c>
      <c r="E11354">
        <v>5.62E-2</v>
      </c>
      <c r="F11354">
        <v>9.5100000000000004E-2</v>
      </c>
    </row>
    <row r="11355" spans="1:6" x14ac:dyDescent="0.3">
      <c r="A11355" t="s">
        <v>11390</v>
      </c>
      <c r="B11355" t="s">
        <v>28</v>
      </c>
      <c r="C11355">
        <v>476000</v>
      </c>
      <c r="D11355">
        <v>12352.4</v>
      </c>
      <c r="E11355">
        <v>5.0000000000000001E-3</v>
      </c>
      <c r="F11355">
        <v>8.1100000000000005E-2</v>
      </c>
    </row>
    <row r="11356" spans="1:6" x14ac:dyDescent="0.3">
      <c r="A11356" t="s">
        <v>11391</v>
      </c>
      <c r="B11356" t="s">
        <v>26</v>
      </c>
      <c r="C11356">
        <v>116000</v>
      </c>
      <c r="D11356">
        <v>465</v>
      </c>
      <c r="E11356">
        <v>5.4699999999999999E-2</v>
      </c>
      <c r="F11356">
        <v>9.5100000000000004E-2</v>
      </c>
    </row>
    <row r="11357" spans="1:6" x14ac:dyDescent="0.3">
      <c r="A11357" t="s">
        <v>11392</v>
      </c>
      <c r="B11357" t="s">
        <v>92</v>
      </c>
      <c r="C11357">
        <v>109000</v>
      </c>
      <c r="D11357">
        <v>43594.3</v>
      </c>
      <c r="E11357">
        <v>2.3599999999999999E-2</v>
      </c>
      <c r="F11357">
        <v>9.5100000000000004E-2</v>
      </c>
    </row>
    <row r="11358" spans="1:6" x14ac:dyDescent="0.3">
      <c r="A11358" t="s">
        <v>11393</v>
      </c>
      <c r="B11358" t="s">
        <v>26</v>
      </c>
      <c r="C11358">
        <v>52900</v>
      </c>
      <c r="D11358">
        <v>13781.6</v>
      </c>
      <c r="E11358">
        <v>4.2299999999999997E-2</v>
      </c>
      <c r="F11358">
        <v>9.5100000000000004E-2</v>
      </c>
    </row>
    <row r="11359" spans="1:6" x14ac:dyDescent="0.3">
      <c r="A11359" t="s">
        <v>11394</v>
      </c>
      <c r="B11359" t="s">
        <v>26</v>
      </c>
      <c r="C11359">
        <v>114000</v>
      </c>
      <c r="D11359">
        <v>3795.1</v>
      </c>
      <c r="E11359">
        <v>2.0299999999999999E-2</v>
      </c>
      <c r="F11359">
        <v>0.1119</v>
      </c>
    </row>
    <row r="11360" spans="1:6" x14ac:dyDescent="0.3">
      <c r="A11360" t="s">
        <v>11395</v>
      </c>
      <c r="B11360" t="s">
        <v>71</v>
      </c>
      <c r="C11360">
        <v>138000</v>
      </c>
      <c r="D11360">
        <v>5808.7</v>
      </c>
      <c r="E11360">
        <v>2.3800000000000002E-2</v>
      </c>
      <c r="F11360">
        <v>8.5400000000000004E-2</v>
      </c>
    </row>
    <row r="11361" spans="1:6" x14ac:dyDescent="0.3">
      <c r="A11361" t="s">
        <v>11396</v>
      </c>
      <c r="B11361" t="s">
        <v>26</v>
      </c>
      <c r="C11361">
        <v>114000</v>
      </c>
      <c r="D11361">
        <v>12310.4</v>
      </c>
      <c r="E11361">
        <v>4.4400000000000002E-2</v>
      </c>
      <c r="F11361">
        <v>7.5899999999999995E-2</v>
      </c>
    </row>
    <row r="11362" spans="1:6" x14ac:dyDescent="0.3">
      <c r="A11362" t="s">
        <v>11397</v>
      </c>
      <c r="B11362" t="s">
        <v>26</v>
      </c>
      <c r="C11362">
        <v>111000</v>
      </c>
      <c r="D11362">
        <v>1118.8</v>
      </c>
      <c r="E11362">
        <v>1.0800000000000001E-2</v>
      </c>
      <c r="F11362">
        <v>8.1100000000000005E-2</v>
      </c>
    </row>
    <row r="11363" spans="1:6" x14ac:dyDescent="0.3">
      <c r="A11363" t="s">
        <v>11398</v>
      </c>
      <c r="B11363" t="s">
        <v>81</v>
      </c>
      <c r="C11363">
        <v>116000</v>
      </c>
      <c r="D11363">
        <v>1867.9</v>
      </c>
      <c r="E11363">
        <v>1.7999999999999999E-2</v>
      </c>
      <c r="F11363">
        <v>0.13100000000000001</v>
      </c>
    </row>
    <row r="11364" spans="1:6" x14ac:dyDescent="0.3">
      <c r="A11364" t="s">
        <v>11399</v>
      </c>
      <c r="B11364" t="s">
        <v>195</v>
      </c>
      <c r="C11364">
        <v>145000</v>
      </c>
      <c r="D11364">
        <v>2001</v>
      </c>
      <c r="E11364">
        <v>1.6400000000000001E-2</v>
      </c>
      <c r="F11364">
        <v>0.1013</v>
      </c>
    </row>
    <row r="11365" spans="1:6" x14ac:dyDescent="0.3">
      <c r="A11365" t="s">
        <v>11400</v>
      </c>
      <c r="B11365" t="s">
        <v>88</v>
      </c>
      <c r="C11365">
        <v>124000</v>
      </c>
      <c r="D11365">
        <v>1065.3</v>
      </c>
      <c r="E11365">
        <v>1.84E-2</v>
      </c>
      <c r="F11365">
        <v>4.6199999999999998E-2</v>
      </c>
    </row>
    <row r="11366" spans="1:6" x14ac:dyDescent="0.3">
      <c r="A11366" t="s">
        <v>11401</v>
      </c>
      <c r="B11366" t="s">
        <v>24</v>
      </c>
      <c r="C11366">
        <v>121000</v>
      </c>
      <c r="D11366">
        <v>104330</v>
      </c>
      <c r="E11366">
        <v>3.61E-2</v>
      </c>
      <c r="F11366">
        <v>9.5100000000000004E-2</v>
      </c>
    </row>
    <row r="11367" spans="1:6" x14ac:dyDescent="0.3">
      <c r="A11367" t="s">
        <v>11402</v>
      </c>
      <c r="B11367" t="s">
        <v>26</v>
      </c>
      <c r="C11367">
        <v>107000</v>
      </c>
      <c r="D11367">
        <v>557.4</v>
      </c>
      <c r="E11367">
        <v>4.6899999999999997E-2</v>
      </c>
      <c r="F11367">
        <v>5.1799999999999999E-2</v>
      </c>
    </row>
    <row r="11368" spans="1:6" x14ac:dyDescent="0.3">
      <c r="A11368" t="s">
        <v>11403</v>
      </c>
      <c r="B11368" t="s">
        <v>74</v>
      </c>
      <c r="C11368">
        <v>111000</v>
      </c>
      <c r="D11368">
        <v>206.4</v>
      </c>
      <c r="E11368">
        <v>0.01</v>
      </c>
      <c r="F11368">
        <v>6.54E-2</v>
      </c>
    </row>
    <row r="11369" spans="1:6" x14ac:dyDescent="0.3">
      <c r="A11369" t="s">
        <v>11404</v>
      </c>
      <c r="B11369" t="s">
        <v>81</v>
      </c>
      <c r="C11369">
        <v>241000</v>
      </c>
      <c r="D11369">
        <v>11324.4</v>
      </c>
      <c r="E11369">
        <v>1.4200000000000001E-2</v>
      </c>
      <c r="F11369">
        <v>7.2599999999999998E-2</v>
      </c>
    </row>
    <row r="11370" spans="1:6" x14ac:dyDescent="0.3">
      <c r="A11370" t="s">
        <v>11405</v>
      </c>
      <c r="B11370" t="s">
        <v>53</v>
      </c>
      <c r="C11370">
        <v>119000</v>
      </c>
      <c r="D11370">
        <v>2904.8</v>
      </c>
      <c r="E11370">
        <v>2.7199999999999998E-2</v>
      </c>
      <c r="F11370">
        <v>9.5100000000000004E-2</v>
      </c>
    </row>
    <row r="11371" spans="1:6" x14ac:dyDescent="0.3">
      <c r="A11371" t="s">
        <v>11406</v>
      </c>
      <c r="B11371" t="s">
        <v>24</v>
      </c>
      <c r="C11371">
        <v>175000</v>
      </c>
      <c r="D11371">
        <v>259.89999999999998</v>
      </c>
      <c r="E11371">
        <v>8.7099999999999997E-2</v>
      </c>
      <c r="F11371">
        <v>9.3799999999999994E-2</v>
      </c>
    </row>
    <row r="11372" spans="1:6" x14ac:dyDescent="0.3">
      <c r="A11372" t="s">
        <v>11407</v>
      </c>
      <c r="B11372" t="s">
        <v>26</v>
      </c>
      <c r="C11372">
        <v>123000</v>
      </c>
      <c r="D11372">
        <v>786.7</v>
      </c>
      <c r="E11372">
        <v>1.09E-2</v>
      </c>
      <c r="F11372">
        <v>0.10150000000000001</v>
      </c>
    </row>
    <row r="11373" spans="1:6" x14ac:dyDescent="0.3">
      <c r="A11373" t="s">
        <v>11408</v>
      </c>
      <c r="B11373" t="s">
        <v>26</v>
      </c>
      <c r="C11373">
        <v>110000</v>
      </c>
      <c r="D11373">
        <v>593.1</v>
      </c>
      <c r="E11373">
        <v>4.4200000000000003E-2</v>
      </c>
      <c r="F11373">
        <v>7.5899999999999995E-2</v>
      </c>
    </row>
    <row r="11374" spans="1:6" x14ac:dyDescent="0.3">
      <c r="A11374" t="s">
        <v>11409</v>
      </c>
      <c r="B11374" t="s">
        <v>88</v>
      </c>
      <c r="C11374">
        <v>150000</v>
      </c>
      <c r="D11374">
        <v>2429.3000000000002</v>
      </c>
      <c r="E11374">
        <v>2.0799999999999999E-2</v>
      </c>
      <c r="F11374">
        <v>0.11700000000000001</v>
      </c>
    </row>
    <row r="11375" spans="1:6" x14ac:dyDescent="0.3">
      <c r="A11375" t="s">
        <v>11410</v>
      </c>
      <c r="B11375" t="s">
        <v>62</v>
      </c>
      <c r="C11375">
        <v>173000</v>
      </c>
      <c r="D11375">
        <v>8350.2000000000007</v>
      </c>
      <c r="E11375">
        <v>6.4699999999999994E-2</v>
      </c>
      <c r="F11375">
        <v>7.5899999999999995E-2</v>
      </c>
    </row>
    <row r="11376" spans="1:6" x14ac:dyDescent="0.3">
      <c r="A11376" t="s">
        <v>11411</v>
      </c>
      <c r="B11376" t="s">
        <v>195</v>
      </c>
      <c r="C11376">
        <v>171000</v>
      </c>
      <c r="D11376">
        <v>14981.4</v>
      </c>
      <c r="E11376">
        <v>2.1499999999999998E-2</v>
      </c>
      <c r="F11376">
        <v>7.5899999999999995E-2</v>
      </c>
    </row>
    <row r="11377" spans="1:6" x14ac:dyDescent="0.3">
      <c r="A11377" t="s">
        <v>11412</v>
      </c>
      <c r="B11377" t="s">
        <v>26</v>
      </c>
      <c r="C11377">
        <v>141000</v>
      </c>
      <c r="D11377">
        <v>504378.8</v>
      </c>
      <c r="E11377">
        <v>3.5000000000000001E-3</v>
      </c>
      <c r="F11377">
        <v>0.1953</v>
      </c>
    </row>
    <row r="11378" spans="1:6" x14ac:dyDescent="0.3">
      <c r="A11378" t="s">
        <v>11413</v>
      </c>
      <c r="B11378" t="s">
        <v>50</v>
      </c>
      <c r="C11378">
        <v>170000</v>
      </c>
      <c r="D11378">
        <v>8468.9</v>
      </c>
      <c r="E11378">
        <v>1.9199999999999998E-2</v>
      </c>
      <c r="F11378">
        <v>0.1067</v>
      </c>
    </row>
    <row r="11379" spans="1:6" x14ac:dyDescent="0.3">
      <c r="A11379" t="s">
        <v>11414</v>
      </c>
      <c r="B11379" t="s">
        <v>26</v>
      </c>
      <c r="C11379">
        <v>116000</v>
      </c>
      <c r="D11379">
        <v>1127.5</v>
      </c>
      <c r="E11379">
        <v>1.4200000000000001E-2</v>
      </c>
      <c r="F11379">
        <v>0.1067</v>
      </c>
    </row>
    <row r="11380" spans="1:6" x14ac:dyDescent="0.3">
      <c r="A11380" t="s">
        <v>11415</v>
      </c>
      <c r="B11380" t="s">
        <v>26</v>
      </c>
      <c r="C11380">
        <v>111000</v>
      </c>
      <c r="D11380">
        <v>1128.5999999999999</v>
      </c>
      <c r="E11380">
        <v>1.1900000000000001E-2</v>
      </c>
      <c r="F11380">
        <v>5.8400000000000001E-2</v>
      </c>
    </row>
    <row r="11381" spans="1:6" x14ac:dyDescent="0.3">
      <c r="A11381" t="s">
        <v>11416</v>
      </c>
      <c r="B11381" t="s">
        <v>74</v>
      </c>
      <c r="C11381">
        <v>147000</v>
      </c>
      <c r="D11381">
        <v>23055.599999999999</v>
      </c>
      <c r="E11381">
        <v>1.12E-2</v>
      </c>
      <c r="F11381">
        <v>0.1135</v>
      </c>
    </row>
    <row r="11382" spans="1:6" x14ac:dyDescent="0.3">
      <c r="A11382" t="s">
        <v>11417</v>
      </c>
      <c r="B11382" t="s">
        <v>26</v>
      </c>
      <c r="C11382">
        <v>108000</v>
      </c>
      <c r="D11382">
        <v>4126.2</v>
      </c>
      <c r="E11382">
        <v>3.8800000000000001E-2</v>
      </c>
      <c r="F11382">
        <v>9.5100000000000004E-2</v>
      </c>
    </row>
    <row r="11383" spans="1:6" x14ac:dyDescent="0.3">
      <c r="A11383" t="s">
        <v>11418</v>
      </c>
      <c r="B11383" t="s">
        <v>24</v>
      </c>
      <c r="C11383">
        <v>466000</v>
      </c>
      <c r="D11383">
        <v>4424.3999999999996</v>
      </c>
      <c r="E11383">
        <v>8.0999999999999996E-3</v>
      </c>
      <c r="F11383">
        <v>6.54E-2</v>
      </c>
    </row>
    <row r="11384" spans="1:6" x14ac:dyDescent="0.3">
      <c r="A11384" t="s">
        <v>11419</v>
      </c>
      <c r="B11384" t="s">
        <v>26</v>
      </c>
      <c r="C11384">
        <v>129000</v>
      </c>
      <c r="D11384">
        <v>10746.4</v>
      </c>
      <c r="E11384">
        <v>2.4199999999999999E-2</v>
      </c>
      <c r="F11384">
        <v>9.5100000000000004E-2</v>
      </c>
    </row>
    <row r="11385" spans="1:6" x14ac:dyDescent="0.3">
      <c r="A11385" t="s">
        <v>11420</v>
      </c>
      <c r="B11385" t="s">
        <v>88</v>
      </c>
      <c r="C11385">
        <v>171000</v>
      </c>
      <c r="D11385">
        <v>16361.1</v>
      </c>
      <c r="E11385">
        <v>5.62E-2</v>
      </c>
      <c r="F11385">
        <v>7.5899999999999995E-2</v>
      </c>
    </row>
    <row r="11386" spans="1:6" x14ac:dyDescent="0.3">
      <c r="A11386" t="s">
        <v>11421</v>
      </c>
      <c r="B11386" t="s">
        <v>62</v>
      </c>
      <c r="C11386">
        <v>111000</v>
      </c>
      <c r="D11386">
        <v>1871.7</v>
      </c>
      <c r="E11386">
        <v>2.4899999999999999E-2</v>
      </c>
      <c r="F11386">
        <v>7.5899999999999995E-2</v>
      </c>
    </row>
    <row r="11387" spans="1:6" x14ac:dyDescent="0.3">
      <c r="A11387" t="s">
        <v>11422</v>
      </c>
      <c r="B11387" t="s">
        <v>74</v>
      </c>
      <c r="C11387">
        <v>127000</v>
      </c>
      <c r="D11387">
        <v>18773.7</v>
      </c>
      <c r="E11387">
        <v>6.7999999999999996E-3</v>
      </c>
      <c r="F11387">
        <v>8.2199999999999995E-2</v>
      </c>
    </row>
    <row r="11388" spans="1:6" x14ac:dyDescent="0.3">
      <c r="A11388" t="s">
        <v>11423</v>
      </c>
      <c r="B11388" t="s">
        <v>74</v>
      </c>
      <c r="C11388">
        <v>132000</v>
      </c>
      <c r="D11388">
        <v>57.8</v>
      </c>
      <c r="E11388">
        <v>1.9400000000000001E-2</v>
      </c>
      <c r="F11388">
        <v>0.1119</v>
      </c>
    </row>
    <row r="11389" spans="1:6" x14ac:dyDescent="0.3">
      <c r="A11389" t="s">
        <v>11424</v>
      </c>
      <c r="B11389" t="s">
        <v>88</v>
      </c>
      <c r="C11389">
        <v>128000</v>
      </c>
      <c r="D11389">
        <v>432.5</v>
      </c>
      <c r="E11389">
        <v>2.5700000000000001E-2</v>
      </c>
      <c r="F11389">
        <v>0.16880000000000001</v>
      </c>
    </row>
    <row r="11390" spans="1:6" x14ac:dyDescent="0.3">
      <c r="A11390" t="s">
        <v>11425</v>
      </c>
      <c r="B11390" t="s">
        <v>214</v>
      </c>
      <c r="C11390">
        <v>108000</v>
      </c>
      <c r="D11390">
        <v>2830.3</v>
      </c>
      <c r="E11390">
        <v>3.04E-2</v>
      </c>
      <c r="F11390">
        <v>9.5100000000000004E-2</v>
      </c>
    </row>
    <row r="11391" spans="1:6" x14ac:dyDescent="0.3">
      <c r="A11391" t="s">
        <v>11426</v>
      </c>
      <c r="B11391" t="s">
        <v>53</v>
      </c>
      <c r="C11391">
        <v>164000</v>
      </c>
      <c r="D11391">
        <v>34714.9</v>
      </c>
      <c r="E11391">
        <v>6.6600000000000006E-2</v>
      </c>
      <c r="F11391">
        <v>9.5100000000000004E-2</v>
      </c>
    </row>
    <row r="11392" spans="1:6" x14ac:dyDescent="0.3">
      <c r="A11392" t="s">
        <v>11427</v>
      </c>
      <c r="B11392" t="s">
        <v>53</v>
      </c>
      <c r="C11392">
        <v>111000</v>
      </c>
      <c r="D11392">
        <v>13.5</v>
      </c>
      <c r="E11392">
        <v>2.0199999999999999E-2</v>
      </c>
      <c r="F11392">
        <v>0.24099999999999999</v>
      </c>
    </row>
    <row r="11393" spans="1:6" x14ac:dyDescent="0.3">
      <c r="A11393" t="s">
        <v>11428</v>
      </c>
      <c r="B11393" t="s">
        <v>88</v>
      </c>
      <c r="C11393">
        <v>106000</v>
      </c>
      <c r="D11393">
        <v>1517.3</v>
      </c>
      <c r="E11393">
        <v>3.3000000000000002E-2</v>
      </c>
      <c r="F11393">
        <v>9.5100000000000004E-2</v>
      </c>
    </row>
    <row r="11394" spans="1:6" x14ac:dyDescent="0.3">
      <c r="A11394" t="s">
        <v>11429</v>
      </c>
      <c r="B11394" t="s">
        <v>214</v>
      </c>
      <c r="C11394">
        <v>111000</v>
      </c>
      <c r="D11394">
        <v>1680.7</v>
      </c>
      <c r="E11394">
        <v>1.4E-2</v>
      </c>
      <c r="F11394">
        <v>5.8500000000000003E-2</v>
      </c>
    </row>
    <row r="11395" spans="1:6" x14ac:dyDescent="0.3">
      <c r="A11395" t="s">
        <v>11430</v>
      </c>
      <c r="B11395" t="s">
        <v>71</v>
      </c>
      <c r="C11395">
        <v>109000</v>
      </c>
      <c r="D11395">
        <v>42093.8</v>
      </c>
      <c r="E11395">
        <v>1.7500000000000002E-2</v>
      </c>
      <c r="F11395">
        <v>5.8500000000000003E-2</v>
      </c>
    </row>
    <row r="11396" spans="1:6" x14ac:dyDescent="0.3">
      <c r="A11396" t="s">
        <v>11431</v>
      </c>
      <c r="B11396" t="s">
        <v>26</v>
      </c>
      <c r="C11396">
        <v>160000</v>
      </c>
      <c r="D11396">
        <v>17849</v>
      </c>
      <c r="E11396">
        <v>2.3199999999999998E-2</v>
      </c>
      <c r="F11396">
        <v>4.0899999999999999E-2</v>
      </c>
    </row>
    <row r="11397" spans="1:6" x14ac:dyDescent="0.3">
      <c r="A11397" t="s">
        <v>11432</v>
      </c>
      <c r="B11397" t="s">
        <v>26</v>
      </c>
      <c r="C11397">
        <v>161000</v>
      </c>
      <c r="D11397">
        <v>8415.1</v>
      </c>
      <c r="E11397">
        <v>2.6700000000000002E-2</v>
      </c>
      <c r="F11397">
        <v>4.0899999999999999E-2</v>
      </c>
    </row>
    <row r="11398" spans="1:6" x14ac:dyDescent="0.3">
      <c r="A11398" t="s">
        <v>11433</v>
      </c>
      <c r="B11398" t="s">
        <v>88</v>
      </c>
      <c r="C11398">
        <v>140000</v>
      </c>
      <c r="D11398">
        <v>3403.5</v>
      </c>
      <c r="E11398">
        <v>2.0799999999999999E-2</v>
      </c>
      <c r="F11398">
        <v>0.1169</v>
      </c>
    </row>
    <row r="11399" spans="1:6" x14ac:dyDescent="0.3">
      <c r="A11399" t="s">
        <v>11434</v>
      </c>
      <c r="B11399" t="s">
        <v>88</v>
      </c>
      <c r="C11399">
        <v>108000</v>
      </c>
      <c r="D11399">
        <v>68.5</v>
      </c>
      <c r="E11399">
        <v>5.6599999999999998E-2</v>
      </c>
      <c r="F11399">
        <v>9.5100000000000004E-2</v>
      </c>
    </row>
    <row r="11400" spans="1:6" x14ac:dyDescent="0.3">
      <c r="A11400" t="s">
        <v>11435</v>
      </c>
      <c r="B11400" t="s">
        <v>74</v>
      </c>
      <c r="C11400">
        <v>188000</v>
      </c>
      <c r="D11400">
        <v>3809</v>
      </c>
      <c r="E11400">
        <v>4.0300000000000002E-2</v>
      </c>
      <c r="F11400">
        <v>7.5899999999999995E-2</v>
      </c>
    </row>
    <row r="11401" spans="1:6" x14ac:dyDescent="0.3">
      <c r="A11401" t="s">
        <v>11436</v>
      </c>
      <c r="B11401" t="s">
        <v>490</v>
      </c>
      <c r="C11401">
        <v>110000</v>
      </c>
      <c r="D11401">
        <v>213683.3</v>
      </c>
      <c r="E11401">
        <v>3.9199999999999999E-2</v>
      </c>
      <c r="F11401">
        <v>7.5899999999999995E-2</v>
      </c>
    </row>
    <row r="11402" spans="1:6" x14ac:dyDescent="0.3">
      <c r="A11402" t="s">
        <v>11437</v>
      </c>
      <c r="B11402" t="s">
        <v>24</v>
      </c>
      <c r="C11402">
        <v>105000</v>
      </c>
      <c r="D11402">
        <v>1030.7</v>
      </c>
      <c r="E11402">
        <v>5.45E-2</v>
      </c>
      <c r="F11402">
        <v>0.34410000000000002</v>
      </c>
    </row>
    <row r="11403" spans="1:6" x14ac:dyDescent="0.3">
      <c r="A11403" t="s">
        <v>11438</v>
      </c>
      <c r="B11403" t="s">
        <v>26</v>
      </c>
      <c r="C11403">
        <v>256000</v>
      </c>
      <c r="D11403">
        <v>5739</v>
      </c>
      <c r="E11403">
        <v>2.5000000000000001E-2</v>
      </c>
      <c r="F11403">
        <v>7.5899999999999995E-2</v>
      </c>
    </row>
    <row r="11404" spans="1:6" x14ac:dyDescent="0.3">
      <c r="A11404" t="s">
        <v>11439</v>
      </c>
      <c r="B11404" t="s">
        <v>32</v>
      </c>
      <c r="C11404">
        <v>439000</v>
      </c>
      <c r="D11404">
        <v>42383</v>
      </c>
      <c r="E11404">
        <v>2.5100000000000001E-2</v>
      </c>
      <c r="F11404">
        <v>7.5899999999999995E-2</v>
      </c>
    </row>
    <row r="11405" spans="1:6" x14ac:dyDescent="0.3">
      <c r="A11405" t="s">
        <v>11440</v>
      </c>
      <c r="B11405" t="s">
        <v>53</v>
      </c>
      <c r="C11405">
        <v>106000</v>
      </c>
      <c r="D11405">
        <v>632.79999999999995</v>
      </c>
      <c r="E11405">
        <v>4.1000000000000003E-3</v>
      </c>
      <c r="F11405">
        <v>8.2199999999999995E-2</v>
      </c>
    </row>
    <row r="11406" spans="1:6" x14ac:dyDescent="0.3">
      <c r="A11406" t="s">
        <v>11441</v>
      </c>
      <c r="B11406" t="s">
        <v>92</v>
      </c>
      <c r="C11406">
        <v>139000</v>
      </c>
      <c r="D11406">
        <v>268871.3</v>
      </c>
      <c r="E11406">
        <v>5.6899999999999999E-2</v>
      </c>
      <c r="F11406">
        <v>4.0899999999999999E-2</v>
      </c>
    </row>
    <row r="11407" spans="1:6" x14ac:dyDescent="0.3">
      <c r="A11407" t="s">
        <v>11442</v>
      </c>
      <c r="B11407" t="s">
        <v>26</v>
      </c>
      <c r="C11407">
        <v>114000</v>
      </c>
      <c r="D11407">
        <v>19725.5</v>
      </c>
      <c r="F11407">
        <v>9.5100000000000004E-2</v>
      </c>
    </row>
    <row r="11408" spans="1:6" x14ac:dyDescent="0.3">
      <c r="A11408" t="s">
        <v>11443</v>
      </c>
      <c r="B11408" t="s">
        <v>81</v>
      </c>
      <c r="C11408">
        <v>107000</v>
      </c>
      <c r="D11408">
        <v>6531.5</v>
      </c>
      <c r="E11408">
        <v>2.1899999999999999E-2</v>
      </c>
      <c r="F11408">
        <v>0.1067</v>
      </c>
    </row>
    <row r="11409" spans="1:6" x14ac:dyDescent="0.3">
      <c r="A11409" t="s">
        <v>11444</v>
      </c>
      <c r="B11409" t="s">
        <v>74</v>
      </c>
      <c r="C11409">
        <v>128000</v>
      </c>
      <c r="D11409">
        <v>2942.5</v>
      </c>
      <c r="E11409">
        <v>7.5999999999999998E-2</v>
      </c>
      <c r="F11409">
        <v>7.5899999999999995E-2</v>
      </c>
    </row>
    <row r="11410" spans="1:6" x14ac:dyDescent="0.3">
      <c r="A11410" t="s">
        <v>11445</v>
      </c>
      <c r="B11410" t="s">
        <v>74</v>
      </c>
      <c r="C11410">
        <v>105000</v>
      </c>
      <c r="D11410">
        <v>1207.5999999999999</v>
      </c>
      <c r="E11410">
        <v>8.5599999999999996E-2</v>
      </c>
      <c r="F11410">
        <v>9.5100000000000004E-2</v>
      </c>
    </row>
    <row r="11411" spans="1:6" x14ac:dyDescent="0.3">
      <c r="A11411" t="s">
        <v>11446</v>
      </c>
      <c r="B11411" t="s">
        <v>26</v>
      </c>
      <c r="C11411">
        <v>122000</v>
      </c>
      <c r="D11411">
        <v>2793.2</v>
      </c>
      <c r="E11411">
        <v>0.159</v>
      </c>
      <c r="F11411">
        <v>0.12429999999999999</v>
      </c>
    </row>
    <row r="11412" spans="1:6" x14ac:dyDescent="0.3">
      <c r="A11412" t="s">
        <v>11447</v>
      </c>
      <c r="B11412" t="s">
        <v>53</v>
      </c>
      <c r="C11412">
        <v>119000</v>
      </c>
      <c r="D11412">
        <v>46.6</v>
      </c>
      <c r="E11412">
        <v>0.04</v>
      </c>
      <c r="F11412">
        <v>0.10340000000000001</v>
      </c>
    </row>
    <row r="11413" spans="1:6" x14ac:dyDescent="0.3">
      <c r="A11413" t="s">
        <v>11448</v>
      </c>
      <c r="B11413" t="s">
        <v>26</v>
      </c>
      <c r="C11413">
        <v>137000</v>
      </c>
      <c r="D11413">
        <v>1686067</v>
      </c>
      <c r="E11413">
        <v>2.1999999999999999E-2</v>
      </c>
      <c r="F11413">
        <v>5.1799999999999999E-2</v>
      </c>
    </row>
    <row r="11414" spans="1:6" x14ac:dyDescent="0.3">
      <c r="A11414" t="s">
        <v>11449</v>
      </c>
      <c r="B11414" t="s">
        <v>74</v>
      </c>
      <c r="C11414">
        <v>120000</v>
      </c>
      <c r="D11414">
        <v>304.3</v>
      </c>
      <c r="E11414">
        <v>1.5900000000000001E-2</v>
      </c>
      <c r="F11414">
        <v>0.1013</v>
      </c>
    </row>
    <row r="11415" spans="1:6" x14ac:dyDescent="0.3">
      <c r="A11415" t="s">
        <v>11450</v>
      </c>
      <c r="B11415" t="s">
        <v>88</v>
      </c>
      <c r="C11415">
        <v>107000</v>
      </c>
      <c r="D11415">
        <v>368</v>
      </c>
      <c r="E11415">
        <v>9.2200000000000004E-2</v>
      </c>
      <c r="F11415">
        <v>7.5899999999999995E-2</v>
      </c>
    </row>
    <row r="11416" spans="1:6" x14ac:dyDescent="0.3">
      <c r="A11416" t="s">
        <v>11451</v>
      </c>
      <c r="B11416" t="s">
        <v>88</v>
      </c>
      <c r="C11416">
        <v>107000</v>
      </c>
      <c r="D11416">
        <v>474.5</v>
      </c>
      <c r="E11416">
        <v>1.9300000000000001E-2</v>
      </c>
      <c r="F11416">
        <v>5.1799999999999999E-2</v>
      </c>
    </row>
    <row r="11417" spans="1:6" x14ac:dyDescent="0.3">
      <c r="A11417" t="s">
        <v>11452</v>
      </c>
      <c r="B11417" t="s">
        <v>74</v>
      </c>
      <c r="C11417">
        <v>166000</v>
      </c>
      <c r="D11417">
        <v>66178.7</v>
      </c>
      <c r="E11417">
        <v>3.73E-2</v>
      </c>
      <c r="F11417">
        <v>7.5899999999999995E-2</v>
      </c>
    </row>
    <row r="11418" spans="1:6" x14ac:dyDescent="0.3">
      <c r="A11418" t="s">
        <v>11453</v>
      </c>
      <c r="B11418" t="s">
        <v>32</v>
      </c>
      <c r="C11418">
        <v>136000</v>
      </c>
      <c r="D11418">
        <v>78436.899999999994</v>
      </c>
      <c r="E11418">
        <v>1.6E-2</v>
      </c>
      <c r="F11418">
        <v>0.1027</v>
      </c>
    </row>
    <row r="11419" spans="1:6" x14ac:dyDescent="0.3">
      <c r="A11419" t="s">
        <v>11454</v>
      </c>
      <c r="B11419" t="s">
        <v>214</v>
      </c>
      <c r="C11419">
        <v>118000</v>
      </c>
      <c r="D11419">
        <v>104453.5</v>
      </c>
      <c r="E11419">
        <v>1.6799999999999999E-2</v>
      </c>
      <c r="F11419">
        <v>0.1067</v>
      </c>
    </row>
    <row r="11420" spans="1:6" x14ac:dyDescent="0.3">
      <c r="A11420" t="s">
        <v>11455</v>
      </c>
      <c r="B11420" t="s">
        <v>62</v>
      </c>
      <c r="C11420">
        <v>140000</v>
      </c>
      <c r="D11420">
        <v>428.3</v>
      </c>
      <c r="E11420">
        <v>1.26E-2</v>
      </c>
      <c r="F11420">
        <v>0.15939999999999999</v>
      </c>
    </row>
    <row r="11421" spans="1:6" x14ac:dyDescent="0.3">
      <c r="A11421" t="s">
        <v>11456</v>
      </c>
      <c r="B11421" t="s">
        <v>26</v>
      </c>
      <c r="C11421">
        <v>121000</v>
      </c>
      <c r="D11421">
        <v>72622.600000000006</v>
      </c>
      <c r="E11421">
        <v>2.23E-2</v>
      </c>
      <c r="F11421">
        <v>9.5100000000000004E-2</v>
      </c>
    </row>
    <row r="11422" spans="1:6" x14ac:dyDescent="0.3">
      <c r="A11422" t="s">
        <v>11457</v>
      </c>
      <c r="B11422" t="s">
        <v>53</v>
      </c>
      <c r="C11422">
        <v>133000</v>
      </c>
      <c r="D11422">
        <v>6567.9</v>
      </c>
      <c r="E11422">
        <v>1.41E-2</v>
      </c>
      <c r="F11422">
        <v>5.8500000000000003E-2</v>
      </c>
    </row>
    <row r="11423" spans="1:6" x14ac:dyDescent="0.3">
      <c r="A11423" t="s">
        <v>11458</v>
      </c>
      <c r="B11423" t="s">
        <v>88</v>
      </c>
      <c r="C11423">
        <v>128000</v>
      </c>
      <c r="D11423">
        <v>7346.3</v>
      </c>
      <c r="E11423">
        <v>3.9300000000000002E-2</v>
      </c>
      <c r="F11423">
        <v>7.5899999999999995E-2</v>
      </c>
    </row>
    <row r="11424" spans="1:6" x14ac:dyDescent="0.3">
      <c r="A11424" t="s">
        <v>11459</v>
      </c>
      <c r="B11424" t="s">
        <v>32</v>
      </c>
      <c r="C11424">
        <v>148000</v>
      </c>
      <c r="D11424">
        <v>3617.6</v>
      </c>
      <c r="E11424">
        <v>1.4500000000000001E-2</v>
      </c>
      <c r="F11424">
        <v>0.13900000000000001</v>
      </c>
    </row>
    <row r="11425" spans="1:6" x14ac:dyDescent="0.3">
      <c r="A11425" t="s">
        <v>11460</v>
      </c>
      <c r="B11425" t="s">
        <v>88</v>
      </c>
      <c r="C11425">
        <v>138000</v>
      </c>
      <c r="D11425">
        <v>13613.3</v>
      </c>
      <c r="E11425">
        <v>3.4200000000000001E-2</v>
      </c>
      <c r="F11425">
        <v>9.5100000000000004E-2</v>
      </c>
    </row>
    <row r="11426" spans="1:6" x14ac:dyDescent="0.3">
      <c r="A11426" t="s">
        <v>11461</v>
      </c>
      <c r="B11426" t="s">
        <v>74</v>
      </c>
      <c r="C11426">
        <v>107000</v>
      </c>
      <c r="D11426">
        <v>946.3</v>
      </c>
      <c r="E11426">
        <v>5.0099999999999999E-2</v>
      </c>
      <c r="F11426">
        <v>9.5100000000000004E-2</v>
      </c>
    </row>
    <row r="11427" spans="1:6" x14ac:dyDescent="0.3">
      <c r="A11427" t="s">
        <v>11462</v>
      </c>
      <c r="B11427" t="s">
        <v>53</v>
      </c>
      <c r="C11427">
        <v>106000</v>
      </c>
      <c r="D11427">
        <v>1520.9</v>
      </c>
      <c r="E11427">
        <v>7.7100000000000002E-2</v>
      </c>
      <c r="F11427">
        <v>9.5100000000000004E-2</v>
      </c>
    </row>
    <row r="11428" spans="1:6" x14ac:dyDescent="0.3">
      <c r="A11428" t="s">
        <v>11463</v>
      </c>
      <c r="B11428" t="s">
        <v>26</v>
      </c>
      <c r="C11428">
        <v>121000</v>
      </c>
      <c r="D11428">
        <v>25489</v>
      </c>
      <c r="E11428">
        <v>2.2700000000000001E-2</v>
      </c>
      <c r="F11428">
        <v>9.5100000000000004E-2</v>
      </c>
    </row>
    <row r="11429" spans="1:6" x14ac:dyDescent="0.3">
      <c r="A11429" t="s">
        <v>11464</v>
      </c>
      <c r="B11429" t="s">
        <v>92</v>
      </c>
      <c r="C11429">
        <v>109000</v>
      </c>
      <c r="D11429">
        <v>610.29999999999995</v>
      </c>
      <c r="E11429">
        <v>3.8399999999999997E-2</v>
      </c>
      <c r="F11429">
        <v>5.1799999999999999E-2</v>
      </c>
    </row>
    <row r="11430" spans="1:6" x14ac:dyDescent="0.3">
      <c r="A11430" t="s">
        <v>11465</v>
      </c>
      <c r="B11430" t="s">
        <v>26</v>
      </c>
      <c r="C11430">
        <v>651000</v>
      </c>
      <c r="D11430">
        <v>816362</v>
      </c>
      <c r="E11430">
        <v>4.87E-2</v>
      </c>
      <c r="F11430">
        <v>4.0899999999999999E-2</v>
      </c>
    </row>
    <row r="11431" spans="1:6" x14ac:dyDescent="0.3">
      <c r="A11431" t="s">
        <v>11466</v>
      </c>
      <c r="B11431" t="s">
        <v>26</v>
      </c>
      <c r="C11431">
        <v>103000</v>
      </c>
      <c r="D11431">
        <v>7729.4</v>
      </c>
      <c r="E11431">
        <v>7.3999999999999996E-2</v>
      </c>
      <c r="F11431">
        <v>9.5100000000000004E-2</v>
      </c>
    </row>
    <row r="11432" spans="1:6" x14ac:dyDescent="0.3">
      <c r="A11432" t="s">
        <v>11467</v>
      </c>
      <c r="B11432" t="s">
        <v>88</v>
      </c>
      <c r="C11432">
        <v>111000</v>
      </c>
      <c r="D11432">
        <v>669.7</v>
      </c>
      <c r="E11432">
        <v>3.8300000000000001E-2</v>
      </c>
      <c r="F11432">
        <v>0.1226</v>
      </c>
    </row>
    <row r="11433" spans="1:6" x14ac:dyDescent="0.3">
      <c r="A11433" t="s">
        <v>11468</v>
      </c>
      <c r="B11433" t="s">
        <v>53</v>
      </c>
      <c r="C11433">
        <v>115000</v>
      </c>
      <c r="D11433">
        <v>18782.5</v>
      </c>
      <c r="E11433">
        <v>0.1095</v>
      </c>
      <c r="F11433">
        <v>9.5100000000000004E-2</v>
      </c>
    </row>
    <row r="11434" spans="1:6" x14ac:dyDescent="0.3">
      <c r="A11434" t="s">
        <v>11469</v>
      </c>
      <c r="B11434" t="s">
        <v>26</v>
      </c>
      <c r="C11434">
        <v>123000</v>
      </c>
      <c r="D11434">
        <v>4053.3</v>
      </c>
      <c r="E11434">
        <v>6.0299999999999999E-2</v>
      </c>
      <c r="F11434">
        <v>7.5899999999999995E-2</v>
      </c>
    </row>
    <row r="11435" spans="1:6" x14ac:dyDescent="0.3">
      <c r="A11435" t="s">
        <v>11470</v>
      </c>
      <c r="B11435" t="s">
        <v>30</v>
      </c>
      <c r="C11435">
        <v>108000</v>
      </c>
      <c r="D11435">
        <v>28763.1</v>
      </c>
      <c r="E11435">
        <v>1.24E-2</v>
      </c>
      <c r="F11435">
        <v>6.5699999999999995E-2</v>
      </c>
    </row>
    <row r="11436" spans="1:6" x14ac:dyDescent="0.3">
      <c r="A11436" t="s">
        <v>11471</v>
      </c>
      <c r="B11436" t="s">
        <v>287</v>
      </c>
      <c r="C11436">
        <v>112000</v>
      </c>
      <c r="D11436">
        <v>3421.2</v>
      </c>
      <c r="E11436">
        <v>1.61E-2</v>
      </c>
      <c r="F11436">
        <v>7.3599999999999999E-2</v>
      </c>
    </row>
    <row r="11437" spans="1:6" x14ac:dyDescent="0.3">
      <c r="A11437" t="s">
        <v>11472</v>
      </c>
      <c r="B11437" t="s">
        <v>41</v>
      </c>
      <c r="C11437">
        <v>183000</v>
      </c>
      <c r="D11437">
        <v>308993.59999999998</v>
      </c>
      <c r="E11437">
        <v>1.32E-2</v>
      </c>
      <c r="F11437">
        <v>5.8500000000000003E-2</v>
      </c>
    </row>
    <row r="11438" spans="1:6" x14ac:dyDescent="0.3">
      <c r="A11438" t="s">
        <v>11473</v>
      </c>
      <c r="B11438" t="s">
        <v>26</v>
      </c>
      <c r="C11438">
        <v>144000</v>
      </c>
      <c r="D11438">
        <v>34170</v>
      </c>
      <c r="E11438">
        <v>3.2199999999999999E-2</v>
      </c>
      <c r="F11438">
        <v>5.4600000000000003E-2</v>
      </c>
    </row>
    <row r="11439" spans="1:6" x14ac:dyDescent="0.3">
      <c r="A11439" t="s">
        <v>11474</v>
      </c>
      <c r="B11439" t="s">
        <v>92</v>
      </c>
      <c r="C11439">
        <v>111000</v>
      </c>
      <c r="D11439">
        <v>1686.4</v>
      </c>
      <c r="E11439">
        <v>1.06E-2</v>
      </c>
      <c r="F11439">
        <v>8.2199999999999995E-2</v>
      </c>
    </row>
    <row r="11440" spans="1:6" x14ac:dyDescent="0.3">
      <c r="A11440" t="s">
        <v>11475</v>
      </c>
      <c r="B11440" t="s">
        <v>41</v>
      </c>
      <c r="C11440">
        <v>165000</v>
      </c>
      <c r="D11440">
        <v>2004.5</v>
      </c>
      <c r="E11440">
        <v>2.76E-2</v>
      </c>
      <c r="F11440">
        <v>9.3799999999999994E-2</v>
      </c>
    </row>
    <row r="11441" spans="1:6" x14ac:dyDescent="0.3">
      <c r="A11441" t="s">
        <v>11476</v>
      </c>
      <c r="B11441" t="s">
        <v>71</v>
      </c>
      <c r="C11441">
        <v>122000</v>
      </c>
      <c r="D11441">
        <v>777.1</v>
      </c>
      <c r="E11441">
        <v>1.1900000000000001E-2</v>
      </c>
      <c r="F11441">
        <v>0.1067</v>
      </c>
    </row>
    <row r="11442" spans="1:6" x14ac:dyDescent="0.3">
      <c r="A11442" t="s">
        <v>11477</v>
      </c>
      <c r="B11442" t="s">
        <v>62</v>
      </c>
      <c r="C11442">
        <v>110000</v>
      </c>
      <c r="D11442">
        <v>42.8</v>
      </c>
      <c r="E11442">
        <v>1.6E-2</v>
      </c>
      <c r="F11442">
        <v>0.13830000000000001</v>
      </c>
    </row>
    <row r="11443" spans="1:6" x14ac:dyDescent="0.3">
      <c r="A11443" t="s">
        <v>11478</v>
      </c>
      <c r="B11443" t="s">
        <v>28</v>
      </c>
      <c r="C11443">
        <v>359000</v>
      </c>
      <c r="D11443">
        <v>1780.6</v>
      </c>
      <c r="E11443">
        <v>4.3999999999999997E-2</v>
      </c>
      <c r="F11443">
        <v>9.3799999999999994E-2</v>
      </c>
    </row>
    <row r="11444" spans="1:6" x14ac:dyDescent="0.3">
      <c r="A11444" t="s">
        <v>11479</v>
      </c>
      <c r="B11444" t="s">
        <v>74</v>
      </c>
      <c r="C11444">
        <v>105000</v>
      </c>
      <c r="D11444">
        <v>26637.599999999999</v>
      </c>
      <c r="E11444">
        <v>6.3399999999999998E-2</v>
      </c>
      <c r="F11444">
        <v>9.5100000000000004E-2</v>
      </c>
    </row>
    <row r="11445" spans="1:6" x14ac:dyDescent="0.3">
      <c r="A11445" t="s">
        <v>11480</v>
      </c>
      <c r="B11445" t="s">
        <v>88</v>
      </c>
      <c r="C11445">
        <v>106000</v>
      </c>
      <c r="D11445">
        <v>1384.1</v>
      </c>
      <c r="E11445">
        <v>3.5299999999999998E-2</v>
      </c>
      <c r="F11445">
        <v>9.3799999999999994E-2</v>
      </c>
    </row>
    <row r="11446" spans="1:6" x14ac:dyDescent="0.3">
      <c r="A11446" t="s">
        <v>11481</v>
      </c>
      <c r="B11446" t="s">
        <v>92</v>
      </c>
      <c r="C11446">
        <v>189000</v>
      </c>
      <c r="D11446">
        <v>3320</v>
      </c>
      <c r="E11446">
        <v>1.5100000000000001E-2</v>
      </c>
      <c r="F11446">
        <v>5.7599999999999998E-2</v>
      </c>
    </row>
    <row r="11447" spans="1:6" x14ac:dyDescent="0.3">
      <c r="A11447" t="s">
        <v>11482</v>
      </c>
      <c r="B11447" t="s">
        <v>92</v>
      </c>
      <c r="C11447">
        <v>107000</v>
      </c>
      <c r="D11447">
        <v>1604.7</v>
      </c>
      <c r="E11447">
        <v>3.6400000000000002E-2</v>
      </c>
      <c r="F11447">
        <v>9.5100000000000004E-2</v>
      </c>
    </row>
    <row r="11448" spans="1:6" x14ac:dyDescent="0.3">
      <c r="A11448" t="s">
        <v>11483</v>
      </c>
      <c r="B11448" t="s">
        <v>26</v>
      </c>
      <c r="C11448">
        <v>129000</v>
      </c>
      <c r="D11448">
        <v>5943.1</v>
      </c>
      <c r="F11448">
        <v>7.5899999999999995E-2</v>
      </c>
    </row>
    <row r="11449" spans="1:6" x14ac:dyDescent="0.3">
      <c r="A11449" t="s">
        <v>11484</v>
      </c>
      <c r="B11449" t="s">
        <v>62</v>
      </c>
      <c r="C11449">
        <v>105000</v>
      </c>
      <c r="D11449">
        <v>914.2</v>
      </c>
      <c r="E11449">
        <v>2.3300000000000001E-2</v>
      </c>
      <c r="F11449">
        <v>0.1066</v>
      </c>
    </row>
    <row r="11450" spans="1:6" x14ac:dyDescent="0.3">
      <c r="A11450" t="s">
        <v>11485</v>
      </c>
      <c r="B11450" t="s">
        <v>92</v>
      </c>
      <c r="C11450">
        <v>115000</v>
      </c>
      <c r="D11450">
        <v>662</v>
      </c>
      <c r="E11450">
        <v>1.9800000000000002E-2</v>
      </c>
      <c r="F11450">
        <v>9.5000000000000001E-2</v>
      </c>
    </row>
    <row r="11451" spans="1:6" x14ac:dyDescent="0.3">
      <c r="A11451" t="s">
        <v>11486</v>
      </c>
      <c r="B11451" t="s">
        <v>214</v>
      </c>
      <c r="C11451">
        <v>109000</v>
      </c>
      <c r="D11451">
        <v>3196.4</v>
      </c>
      <c r="E11451">
        <v>5.33E-2</v>
      </c>
      <c r="F11451">
        <v>9.5100000000000004E-2</v>
      </c>
    </row>
    <row r="11452" spans="1:6" x14ac:dyDescent="0.3">
      <c r="A11452" t="s">
        <v>11487</v>
      </c>
      <c r="B11452" t="s">
        <v>287</v>
      </c>
      <c r="C11452">
        <v>305000</v>
      </c>
      <c r="D11452">
        <v>1674.3</v>
      </c>
      <c r="E11452">
        <v>1.89E-2</v>
      </c>
      <c r="F11452">
        <v>5.7599999999999998E-2</v>
      </c>
    </row>
    <row r="11453" spans="1:6" x14ac:dyDescent="0.3">
      <c r="A11453" t="s">
        <v>11488</v>
      </c>
      <c r="B11453" t="s">
        <v>50</v>
      </c>
      <c r="C11453">
        <v>105000</v>
      </c>
      <c r="D11453">
        <v>922.9</v>
      </c>
      <c r="E11453">
        <v>7.2800000000000004E-2</v>
      </c>
      <c r="F11453">
        <v>7.5899999999999995E-2</v>
      </c>
    </row>
    <row r="11454" spans="1:6" x14ac:dyDescent="0.3">
      <c r="A11454" t="s">
        <v>11489</v>
      </c>
      <c r="B11454" t="s">
        <v>62</v>
      </c>
      <c r="C11454">
        <v>108000</v>
      </c>
      <c r="D11454">
        <v>298.7</v>
      </c>
      <c r="E11454">
        <v>2.9600000000000001E-2</v>
      </c>
      <c r="F11454">
        <v>5.1799999999999999E-2</v>
      </c>
    </row>
    <row r="11455" spans="1:6" x14ac:dyDescent="0.3">
      <c r="A11455" t="s">
        <v>11490</v>
      </c>
      <c r="B11455" t="s">
        <v>81</v>
      </c>
      <c r="C11455">
        <v>220000</v>
      </c>
      <c r="D11455">
        <v>6517</v>
      </c>
      <c r="E11455">
        <v>1.8499999999999999E-2</v>
      </c>
      <c r="F11455">
        <v>5.7599999999999998E-2</v>
      </c>
    </row>
    <row r="11456" spans="1:6" x14ac:dyDescent="0.3">
      <c r="A11456" t="s">
        <v>11491</v>
      </c>
      <c r="B11456" t="s">
        <v>26</v>
      </c>
      <c r="C11456">
        <v>256000</v>
      </c>
      <c r="D11456">
        <v>2529.4</v>
      </c>
      <c r="E11456">
        <v>5.4000000000000003E-3</v>
      </c>
      <c r="F11456">
        <v>8.1100000000000005E-2</v>
      </c>
    </row>
    <row r="11457" spans="1:6" x14ac:dyDescent="0.3">
      <c r="A11457" t="s">
        <v>11492</v>
      </c>
      <c r="B11457" t="s">
        <v>30</v>
      </c>
      <c r="C11457">
        <v>239000</v>
      </c>
      <c r="D11457">
        <v>2813.5</v>
      </c>
      <c r="F11457">
        <v>7.5899999999999995E-2</v>
      </c>
    </row>
    <row r="11458" spans="1:6" x14ac:dyDescent="0.3">
      <c r="A11458" t="s">
        <v>11493</v>
      </c>
      <c r="B11458" t="s">
        <v>74</v>
      </c>
      <c r="C11458">
        <v>130000</v>
      </c>
      <c r="D11458">
        <v>3842.2</v>
      </c>
      <c r="E11458">
        <v>3.3000000000000002E-2</v>
      </c>
      <c r="F11458">
        <v>9.3799999999999994E-2</v>
      </c>
    </row>
    <row r="11459" spans="1:6" x14ac:dyDescent="0.3">
      <c r="A11459" t="s">
        <v>11494</v>
      </c>
      <c r="B11459" t="s">
        <v>81</v>
      </c>
      <c r="C11459">
        <v>120000</v>
      </c>
      <c r="D11459">
        <v>8897.2999999999993</v>
      </c>
      <c r="E11459">
        <v>4.4600000000000001E-2</v>
      </c>
      <c r="F11459">
        <v>9.5100000000000004E-2</v>
      </c>
    </row>
    <row r="11460" spans="1:6" x14ac:dyDescent="0.3">
      <c r="A11460" t="s">
        <v>11495</v>
      </c>
      <c r="B11460" t="s">
        <v>88</v>
      </c>
      <c r="C11460">
        <v>171000</v>
      </c>
      <c r="D11460">
        <v>887.6</v>
      </c>
      <c r="E11460">
        <v>1.9199999999999998E-2</v>
      </c>
      <c r="F11460">
        <v>8.5400000000000004E-2</v>
      </c>
    </row>
    <row r="11461" spans="1:6" x14ac:dyDescent="0.3">
      <c r="A11461" t="s">
        <v>11496</v>
      </c>
      <c r="B11461" t="s">
        <v>88</v>
      </c>
      <c r="C11461">
        <v>141000</v>
      </c>
      <c r="D11461">
        <v>2070.8000000000002</v>
      </c>
      <c r="E11461">
        <v>3.1099999999999999E-2</v>
      </c>
      <c r="F11461">
        <v>9.3799999999999994E-2</v>
      </c>
    </row>
    <row r="11462" spans="1:6" x14ac:dyDescent="0.3">
      <c r="A11462" t="s">
        <v>11497</v>
      </c>
      <c r="B11462" t="s">
        <v>53</v>
      </c>
      <c r="C11462">
        <v>105000</v>
      </c>
      <c r="D11462">
        <v>61.4</v>
      </c>
      <c r="F11462">
        <v>7.5899999999999995E-2</v>
      </c>
    </row>
    <row r="11463" spans="1:6" x14ac:dyDescent="0.3">
      <c r="A11463" t="s">
        <v>11498</v>
      </c>
      <c r="B11463" t="s">
        <v>53</v>
      </c>
      <c r="C11463">
        <v>112000</v>
      </c>
      <c r="D11463">
        <v>8765.2999999999993</v>
      </c>
      <c r="E11463">
        <v>4.4999999999999998E-2</v>
      </c>
      <c r="F11463">
        <v>7.5899999999999995E-2</v>
      </c>
    </row>
    <row r="11464" spans="1:6" x14ac:dyDescent="0.3">
      <c r="A11464" t="s">
        <v>11499</v>
      </c>
      <c r="B11464" t="s">
        <v>24</v>
      </c>
      <c r="C11464">
        <v>112000</v>
      </c>
      <c r="D11464">
        <v>782.8</v>
      </c>
      <c r="E11464">
        <v>3.7199999999999997E-2</v>
      </c>
      <c r="F11464">
        <v>9.5100000000000004E-2</v>
      </c>
    </row>
    <row r="11465" spans="1:6" x14ac:dyDescent="0.3">
      <c r="A11465" t="s">
        <v>11500</v>
      </c>
      <c r="B11465" t="s">
        <v>81</v>
      </c>
      <c r="C11465">
        <v>180000</v>
      </c>
      <c r="D11465">
        <v>256924.4</v>
      </c>
      <c r="E11465">
        <v>2.4299999999999999E-2</v>
      </c>
      <c r="F11465">
        <v>0.1119</v>
      </c>
    </row>
    <row r="11466" spans="1:6" x14ac:dyDescent="0.3">
      <c r="A11466" t="s">
        <v>11501</v>
      </c>
      <c r="B11466" t="s">
        <v>26</v>
      </c>
      <c r="C11466">
        <v>113000</v>
      </c>
      <c r="D11466">
        <v>2118</v>
      </c>
      <c r="F11466">
        <v>4.0899999999999999E-2</v>
      </c>
    </row>
    <row r="11467" spans="1:6" x14ac:dyDescent="0.3">
      <c r="A11467" t="s">
        <v>11502</v>
      </c>
      <c r="B11467" t="s">
        <v>214</v>
      </c>
      <c r="C11467">
        <v>182000</v>
      </c>
      <c r="D11467">
        <v>1412.8</v>
      </c>
      <c r="E11467">
        <v>6.4000000000000003E-3</v>
      </c>
      <c r="F11467">
        <v>7.2999999999999995E-2</v>
      </c>
    </row>
    <row r="11468" spans="1:6" x14ac:dyDescent="0.3">
      <c r="A11468" t="s">
        <v>11503</v>
      </c>
      <c r="B11468" t="s">
        <v>26</v>
      </c>
      <c r="C11468">
        <v>142000</v>
      </c>
      <c r="D11468">
        <v>4788</v>
      </c>
      <c r="E11468">
        <v>4.1300000000000003E-2</v>
      </c>
      <c r="F11468">
        <v>9.3799999999999994E-2</v>
      </c>
    </row>
    <row r="11469" spans="1:6" x14ac:dyDescent="0.3">
      <c r="A11469" t="s">
        <v>11504</v>
      </c>
      <c r="B11469" t="s">
        <v>26</v>
      </c>
      <c r="C11469">
        <v>117000</v>
      </c>
      <c r="D11469">
        <v>5210.5</v>
      </c>
      <c r="E11469">
        <v>3.0099999999999998E-2</v>
      </c>
      <c r="F11469">
        <v>4.0899999999999999E-2</v>
      </c>
    </row>
    <row r="11470" spans="1:6" x14ac:dyDescent="0.3">
      <c r="A11470" t="s">
        <v>11505</v>
      </c>
      <c r="B11470" t="s">
        <v>88</v>
      </c>
      <c r="C11470">
        <v>158000</v>
      </c>
      <c r="D11470">
        <v>1161.0999999999999</v>
      </c>
      <c r="E11470">
        <v>2.8799999999999999E-2</v>
      </c>
      <c r="F11470">
        <v>9.3799999999999994E-2</v>
      </c>
    </row>
    <row r="11471" spans="1:6" x14ac:dyDescent="0.3">
      <c r="A11471" t="s">
        <v>11506</v>
      </c>
      <c r="B11471" t="s">
        <v>26</v>
      </c>
      <c r="C11471">
        <v>171000</v>
      </c>
      <c r="D11471">
        <v>2108.9</v>
      </c>
      <c r="E11471">
        <v>1.9099999999999999E-2</v>
      </c>
      <c r="F11471">
        <v>0.13900000000000001</v>
      </c>
    </row>
    <row r="11472" spans="1:6" x14ac:dyDescent="0.3">
      <c r="A11472" t="s">
        <v>11507</v>
      </c>
      <c r="B11472" t="s">
        <v>88</v>
      </c>
      <c r="C11472">
        <v>196000</v>
      </c>
      <c r="D11472">
        <v>10537.4</v>
      </c>
      <c r="E11472">
        <v>3.8699999999999998E-2</v>
      </c>
      <c r="F11472">
        <v>9.5100000000000004E-2</v>
      </c>
    </row>
    <row r="11473" spans="1:6" x14ac:dyDescent="0.3">
      <c r="A11473" t="s">
        <v>11508</v>
      </c>
      <c r="B11473" t="s">
        <v>92</v>
      </c>
      <c r="C11473">
        <v>133000</v>
      </c>
      <c r="D11473">
        <v>8653.2000000000007</v>
      </c>
      <c r="E11473">
        <v>6.3299999999999995E-2</v>
      </c>
      <c r="F11473">
        <v>7.5899999999999995E-2</v>
      </c>
    </row>
    <row r="11474" spans="1:6" x14ac:dyDescent="0.3">
      <c r="A11474" t="s">
        <v>11509</v>
      </c>
      <c r="B11474" t="s">
        <v>74</v>
      </c>
      <c r="C11474">
        <v>142000</v>
      </c>
      <c r="D11474">
        <v>4993171</v>
      </c>
      <c r="E11474">
        <v>2.41E-2</v>
      </c>
      <c r="F11474">
        <v>7.5899999999999995E-2</v>
      </c>
    </row>
    <row r="11475" spans="1:6" x14ac:dyDescent="0.3">
      <c r="A11475" t="s">
        <v>11510</v>
      </c>
      <c r="B11475" t="s">
        <v>287</v>
      </c>
      <c r="C11475">
        <v>156000</v>
      </c>
      <c r="D11475">
        <v>4360.5</v>
      </c>
      <c r="E11475">
        <v>4.3200000000000002E-2</v>
      </c>
      <c r="F11475">
        <v>9.5000000000000001E-2</v>
      </c>
    </row>
    <row r="11476" spans="1:6" x14ac:dyDescent="0.3">
      <c r="A11476" t="s">
        <v>11511</v>
      </c>
      <c r="B11476" t="s">
        <v>26</v>
      </c>
      <c r="C11476">
        <v>117000</v>
      </c>
      <c r="D11476">
        <v>985.5</v>
      </c>
      <c r="E11476">
        <v>9.4999999999999998E-3</v>
      </c>
      <c r="F11476">
        <v>5.8400000000000001E-2</v>
      </c>
    </row>
    <row r="11477" spans="1:6" x14ac:dyDescent="0.3">
      <c r="A11477" t="s">
        <v>11512</v>
      </c>
      <c r="B11477" t="s">
        <v>41</v>
      </c>
      <c r="C11477">
        <v>185000</v>
      </c>
      <c r="D11477">
        <v>354.1</v>
      </c>
      <c r="E11477">
        <v>0.1053</v>
      </c>
      <c r="F11477">
        <v>9.3799999999999994E-2</v>
      </c>
    </row>
    <row r="11478" spans="1:6" x14ac:dyDescent="0.3">
      <c r="A11478" t="s">
        <v>11513</v>
      </c>
      <c r="B11478" t="s">
        <v>74</v>
      </c>
      <c r="C11478">
        <v>131000</v>
      </c>
      <c r="D11478">
        <v>14332.3</v>
      </c>
      <c r="E11478">
        <v>3.2099999999999997E-2</v>
      </c>
      <c r="F11478">
        <v>9.3799999999999994E-2</v>
      </c>
    </row>
    <row r="11479" spans="1:6" x14ac:dyDescent="0.3">
      <c r="A11479" t="s">
        <v>11514</v>
      </c>
      <c r="B11479" t="s">
        <v>71</v>
      </c>
      <c r="C11479">
        <v>192000</v>
      </c>
      <c r="D11479">
        <v>10769.4</v>
      </c>
      <c r="E11479">
        <v>3.1600000000000003E-2</v>
      </c>
      <c r="F11479">
        <v>7.5899999999999995E-2</v>
      </c>
    </row>
    <row r="11480" spans="1:6" x14ac:dyDescent="0.3">
      <c r="A11480" t="s">
        <v>11515</v>
      </c>
      <c r="B11480" t="s">
        <v>26</v>
      </c>
      <c r="C11480">
        <v>216000</v>
      </c>
      <c r="D11480">
        <v>16431.7</v>
      </c>
      <c r="E11480">
        <v>4.2500000000000003E-2</v>
      </c>
      <c r="F11480">
        <v>4.0899999999999999E-2</v>
      </c>
    </row>
    <row r="11481" spans="1:6" x14ac:dyDescent="0.3">
      <c r="A11481" t="s">
        <v>11516</v>
      </c>
      <c r="B11481" t="s">
        <v>195</v>
      </c>
      <c r="C11481">
        <v>132000</v>
      </c>
      <c r="D11481">
        <v>377391.7</v>
      </c>
      <c r="E11481">
        <v>1.9900000000000001E-2</v>
      </c>
      <c r="F11481">
        <v>0.1067</v>
      </c>
    </row>
    <row r="11482" spans="1:6" x14ac:dyDescent="0.3">
      <c r="A11482" t="s">
        <v>11517</v>
      </c>
      <c r="B11482" t="s">
        <v>74</v>
      </c>
      <c r="C11482">
        <v>107000</v>
      </c>
      <c r="F11482">
        <v>7.5899999999999995E-2</v>
      </c>
    </row>
    <row r="11483" spans="1:6" x14ac:dyDescent="0.3">
      <c r="A11483" t="s">
        <v>11518</v>
      </c>
      <c r="B11483" t="s">
        <v>53</v>
      </c>
      <c r="C11483">
        <v>133000</v>
      </c>
      <c r="D11483">
        <v>4208.1000000000004</v>
      </c>
      <c r="E11483">
        <v>6.8199999999999997E-2</v>
      </c>
      <c r="F11483">
        <v>5.0999999999999997E-2</v>
      </c>
    </row>
    <row r="11484" spans="1:6" x14ac:dyDescent="0.3">
      <c r="A11484" t="s">
        <v>11519</v>
      </c>
      <c r="B11484" t="s">
        <v>74</v>
      </c>
      <c r="C11484">
        <v>186000</v>
      </c>
      <c r="D11484">
        <v>25133.5</v>
      </c>
      <c r="E11484">
        <v>4.4900000000000002E-2</v>
      </c>
      <c r="F11484">
        <v>7.5899999999999995E-2</v>
      </c>
    </row>
    <row r="11485" spans="1:6" x14ac:dyDescent="0.3">
      <c r="A11485" t="s">
        <v>11520</v>
      </c>
      <c r="B11485" t="s">
        <v>195</v>
      </c>
      <c r="C11485">
        <v>130000</v>
      </c>
      <c r="D11485">
        <v>254.6</v>
      </c>
      <c r="E11485">
        <v>1.54E-2</v>
      </c>
      <c r="F11485">
        <v>0.1948</v>
      </c>
    </row>
    <row r="11486" spans="1:6" x14ac:dyDescent="0.3">
      <c r="A11486" t="s">
        <v>11521</v>
      </c>
      <c r="B11486" t="s">
        <v>50</v>
      </c>
      <c r="C11486">
        <v>282000</v>
      </c>
      <c r="D11486">
        <v>360983.2</v>
      </c>
      <c r="E11486">
        <v>4.2700000000000002E-2</v>
      </c>
      <c r="F11486">
        <v>7.5899999999999995E-2</v>
      </c>
    </row>
    <row r="11487" spans="1:6" x14ac:dyDescent="0.3">
      <c r="A11487" t="s">
        <v>11522</v>
      </c>
      <c r="B11487" t="s">
        <v>53</v>
      </c>
      <c r="C11487">
        <v>146000</v>
      </c>
      <c r="D11487">
        <v>6629.4</v>
      </c>
      <c r="E11487">
        <v>7.9500000000000001E-2</v>
      </c>
      <c r="F11487">
        <v>7.5899999999999995E-2</v>
      </c>
    </row>
    <row r="11488" spans="1:6" x14ac:dyDescent="0.3">
      <c r="A11488" t="s">
        <v>11523</v>
      </c>
      <c r="B11488" t="s">
        <v>71</v>
      </c>
      <c r="C11488">
        <v>133000</v>
      </c>
      <c r="D11488">
        <v>2784.6</v>
      </c>
      <c r="E11488">
        <v>1.3599999999999999E-2</v>
      </c>
      <c r="F11488">
        <v>0.13150000000000001</v>
      </c>
    </row>
    <row r="11489" spans="1:6" x14ac:dyDescent="0.3">
      <c r="A11489" t="s">
        <v>11524</v>
      </c>
      <c r="B11489" t="s">
        <v>88</v>
      </c>
      <c r="C11489">
        <v>183000</v>
      </c>
      <c r="D11489">
        <v>1059.7</v>
      </c>
      <c r="E11489">
        <v>8.2600000000000007E-2</v>
      </c>
      <c r="F11489">
        <v>7.5899999999999995E-2</v>
      </c>
    </row>
    <row r="11490" spans="1:6" x14ac:dyDescent="0.3">
      <c r="A11490" t="s">
        <v>11525</v>
      </c>
      <c r="B11490" t="s">
        <v>24</v>
      </c>
      <c r="C11490">
        <v>115000</v>
      </c>
      <c r="D11490">
        <v>5724.2</v>
      </c>
      <c r="E11490">
        <v>2.2800000000000001E-2</v>
      </c>
      <c r="F11490">
        <v>8.5400000000000004E-2</v>
      </c>
    </row>
    <row r="11491" spans="1:6" x14ac:dyDescent="0.3">
      <c r="A11491" t="s">
        <v>11526</v>
      </c>
      <c r="B11491" t="s">
        <v>53</v>
      </c>
      <c r="C11491">
        <v>106000</v>
      </c>
      <c r="D11491">
        <v>14.2</v>
      </c>
      <c r="E11491">
        <v>4.8800000000000003E-2</v>
      </c>
      <c r="F11491">
        <v>0.40629999999999999</v>
      </c>
    </row>
    <row r="11492" spans="1:6" x14ac:dyDescent="0.3">
      <c r="A11492" t="s">
        <v>11527</v>
      </c>
      <c r="B11492" t="s">
        <v>74</v>
      </c>
      <c r="C11492">
        <v>134000</v>
      </c>
      <c r="D11492">
        <v>8200.2000000000007</v>
      </c>
      <c r="E11492">
        <v>3.4599999999999999E-2</v>
      </c>
      <c r="F11492">
        <v>7.5899999999999995E-2</v>
      </c>
    </row>
    <row r="11493" spans="1:6" x14ac:dyDescent="0.3">
      <c r="A11493" t="s">
        <v>11528</v>
      </c>
      <c r="B11493" t="s">
        <v>62</v>
      </c>
      <c r="C11493">
        <v>103000</v>
      </c>
      <c r="D11493">
        <v>2047.9</v>
      </c>
      <c r="E11493">
        <v>3.3300000000000003E-2</v>
      </c>
      <c r="F11493">
        <v>9.5100000000000004E-2</v>
      </c>
    </row>
    <row r="11494" spans="1:6" x14ac:dyDescent="0.3">
      <c r="A11494" t="s">
        <v>11529</v>
      </c>
      <c r="B11494" t="s">
        <v>26</v>
      </c>
      <c r="C11494">
        <v>107000</v>
      </c>
      <c r="D11494">
        <v>1675.3</v>
      </c>
      <c r="E11494">
        <v>6.0100000000000001E-2</v>
      </c>
      <c r="F11494">
        <v>0.1241</v>
      </c>
    </row>
    <row r="11495" spans="1:6" x14ac:dyDescent="0.3">
      <c r="A11495" t="s">
        <v>11530</v>
      </c>
      <c r="B11495" t="s">
        <v>26</v>
      </c>
      <c r="C11495">
        <v>137000</v>
      </c>
      <c r="D11495">
        <v>33967.800000000003</v>
      </c>
      <c r="E11495">
        <v>1.7500000000000002E-2</v>
      </c>
      <c r="F11495">
        <v>0.1067</v>
      </c>
    </row>
    <row r="11496" spans="1:6" x14ac:dyDescent="0.3">
      <c r="A11496" t="s">
        <v>11531</v>
      </c>
      <c r="B11496" t="s">
        <v>88</v>
      </c>
      <c r="C11496">
        <v>183000</v>
      </c>
      <c r="D11496">
        <v>192.2</v>
      </c>
      <c r="E11496">
        <v>1.67E-2</v>
      </c>
      <c r="F11496">
        <v>4.6199999999999998E-2</v>
      </c>
    </row>
    <row r="11497" spans="1:6" x14ac:dyDescent="0.3">
      <c r="A11497" t="s">
        <v>11532</v>
      </c>
      <c r="B11497" t="s">
        <v>74</v>
      </c>
      <c r="C11497">
        <v>113000</v>
      </c>
      <c r="D11497">
        <v>2039.1</v>
      </c>
      <c r="E11497">
        <v>6.08E-2</v>
      </c>
      <c r="F11497">
        <v>9.5100000000000004E-2</v>
      </c>
    </row>
    <row r="11498" spans="1:6" x14ac:dyDescent="0.3">
      <c r="A11498" t="s">
        <v>11533</v>
      </c>
      <c r="B11498" t="s">
        <v>26</v>
      </c>
      <c r="C11498">
        <v>157000</v>
      </c>
      <c r="D11498">
        <v>33619.1</v>
      </c>
      <c r="E11498">
        <v>2.87E-2</v>
      </c>
      <c r="F11498">
        <v>9.3799999999999994E-2</v>
      </c>
    </row>
    <row r="11499" spans="1:6" x14ac:dyDescent="0.3">
      <c r="A11499" t="s">
        <v>11534</v>
      </c>
      <c r="B11499" t="s">
        <v>74</v>
      </c>
      <c r="C11499">
        <v>122000</v>
      </c>
      <c r="D11499">
        <v>3043.7</v>
      </c>
      <c r="E11499">
        <v>2.3300000000000001E-2</v>
      </c>
      <c r="F11499">
        <v>5.8500000000000003E-2</v>
      </c>
    </row>
    <row r="11500" spans="1:6" x14ac:dyDescent="0.3">
      <c r="A11500" t="s">
        <v>11535</v>
      </c>
      <c r="B11500" t="s">
        <v>26</v>
      </c>
      <c r="C11500">
        <v>167000</v>
      </c>
      <c r="D11500">
        <v>3963.5</v>
      </c>
      <c r="E11500">
        <v>6.6299999999999998E-2</v>
      </c>
      <c r="F11500">
        <v>7.5899999999999995E-2</v>
      </c>
    </row>
    <row r="11501" spans="1:6" x14ac:dyDescent="0.3">
      <c r="A11501" t="s">
        <v>11536</v>
      </c>
      <c r="B11501" t="s">
        <v>41</v>
      </c>
      <c r="C11501">
        <v>122000</v>
      </c>
      <c r="D11501">
        <v>18.3</v>
      </c>
      <c r="E11501">
        <v>3.9699999999999999E-2</v>
      </c>
      <c r="F11501">
        <v>0.48020000000000002</v>
      </c>
    </row>
    <row r="11502" spans="1:6" x14ac:dyDescent="0.3">
      <c r="A11502" t="s">
        <v>11537</v>
      </c>
      <c r="B11502" t="s">
        <v>26</v>
      </c>
      <c r="C11502">
        <v>206000</v>
      </c>
      <c r="D11502">
        <v>6563.3</v>
      </c>
      <c r="E11502">
        <v>7.1199999999999999E-2</v>
      </c>
      <c r="F11502">
        <v>9.98E-2</v>
      </c>
    </row>
    <row r="11503" spans="1:6" x14ac:dyDescent="0.3">
      <c r="A11503" t="s">
        <v>11538</v>
      </c>
      <c r="B11503" t="s">
        <v>81</v>
      </c>
      <c r="C11503">
        <v>166000</v>
      </c>
      <c r="D11503">
        <v>13092.3</v>
      </c>
      <c r="E11503">
        <v>1.9400000000000001E-2</v>
      </c>
      <c r="F11503">
        <v>0.1053</v>
      </c>
    </row>
    <row r="11504" spans="1:6" x14ac:dyDescent="0.3">
      <c r="A11504" t="s">
        <v>11539</v>
      </c>
      <c r="B11504" t="s">
        <v>41</v>
      </c>
      <c r="C11504">
        <v>129000</v>
      </c>
      <c r="D11504">
        <v>7147.6</v>
      </c>
      <c r="E11504">
        <v>1.7299999999999999E-2</v>
      </c>
      <c r="F11504">
        <v>0.1053</v>
      </c>
    </row>
    <row r="11505" spans="1:6" x14ac:dyDescent="0.3">
      <c r="A11505" t="s">
        <v>11540</v>
      </c>
      <c r="B11505" t="s">
        <v>88</v>
      </c>
      <c r="C11505">
        <v>184000</v>
      </c>
      <c r="D11505">
        <v>5285.4</v>
      </c>
      <c r="E11505">
        <v>4.6399999999999997E-2</v>
      </c>
      <c r="F11505">
        <v>7.5899999999999995E-2</v>
      </c>
    </row>
    <row r="11506" spans="1:6" x14ac:dyDescent="0.3">
      <c r="A11506" t="s">
        <v>11541</v>
      </c>
      <c r="B11506" t="s">
        <v>41</v>
      </c>
      <c r="C11506">
        <v>156000</v>
      </c>
      <c r="D11506">
        <v>1532.1</v>
      </c>
      <c r="E11506">
        <v>1.6299999999999999E-2</v>
      </c>
      <c r="F11506">
        <v>6.88E-2</v>
      </c>
    </row>
    <row r="11507" spans="1:6" x14ac:dyDescent="0.3">
      <c r="A11507" t="s">
        <v>11542</v>
      </c>
      <c r="B11507" t="s">
        <v>195</v>
      </c>
      <c r="C11507">
        <v>124000</v>
      </c>
      <c r="D11507">
        <v>2431.4</v>
      </c>
      <c r="E11507">
        <v>4.0300000000000002E-2</v>
      </c>
      <c r="F11507">
        <v>7.5899999999999995E-2</v>
      </c>
    </row>
    <row r="11508" spans="1:6" x14ac:dyDescent="0.3">
      <c r="A11508" t="s">
        <v>11543</v>
      </c>
      <c r="B11508" t="s">
        <v>26</v>
      </c>
      <c r="C11508">
        <v>105000</v>
      </c>
      <c r="D11508">
        <v>4837</v>
      </c>
      <c r="E11508">
        <v>2.12E-2</v>
      </c>
      <c r="F11508">
        <v>5.1799999999999999E-2</v>
      </c>
    </row>
    <row r="11509" spans="1:6" x14ac:dyDescent="0.3">
      <c r="A11509" t="s">
        <v>11544</v>
      </c>
      <c r="B11509" t="s">
        <v>88</v>
      </c>
      <c r="C11509">
        <v>112000</v>
      </c>
      <c r="D11509">
        <v>2703.5</v>
      </c>
      <c r="E11509">
        <v>3.6600000000000001E-2</v>
      </c>
      <c r="F11509">
        <v>7.5899999999999995E-2</v>
      </c>
    </row>
    <row r="11510" spans="1:6" x14ac:dyDescent="0.3">
      <c r="A11510" t="s">
        <v>11545</v>
      </c>
      <c r="B11510" t="s">
        <v>26</v>
      </c>
      <c r="C11510">
        <v>116000</v>
      </c>
      <c r="D11510">
        <v>877.2</v>
      </c>
      <c r="E11510">
        <v>1.78E-2</v>
      </c>
      <c r="F11510">
        <v>0.18859999999999999</v>
      </c>
    </row>
    <row r="11511" spans="1:6" x14ac:dyDescent="0.3">
      <c r="A11511" t="s">
        <v>11546</v>
      </c>
      <c r="B11511" t="s">
        <v>41</v>
      </c>
      <c r="C11511">
        <v>110000</v>
      </c>
      <c r="D11511">
        <v>1414.7</v>
      </c>
      <c r="E11511">
        <v>0.1077</v>
      </c>
      <c r="F11511">
        <v>9.5100000000000004E-2</v>
      </c>
    </row>
    <row r="11512" spans="1:6" x14ac:dyDescent="0.3">
      <c r="A11512" t="s">
        <v>11547</v>
      </c>
      <c r="B11512" t="s">
        <v>41</v>
      </c>
      <c r="C11512">
        <v>96500</v>
      </c>
      <c r="D11512">
        <v>1097.5999999999999</v>
      </c>
      <c r="E11512">
        <v>2.7E-2</v>
      </c>
      <c r="F11512">
        <v>9.5100000000000004E-2</v>
      </c>
    </row>
    <row r="11513" spans="1:6" x14ac:dyDescent="0.3">
      <c r="A11513" t="s">
        <v>11548</v>
      </c>
      <c r="B11513" t="s">
        <v>26</v>
      </c>
      <c r="C11513">
        <v>103000</v>
      </c>
      <c r="D11513">
        <v>37594.1</v>
      </c>
      <c r="E11513">
        <v>4.8099999999999997E-2</v>
      </c>
      <c r="F11513">
        <v>9.5100000000000004E-2</v>
      </c>
    </row>
    <row r="11514" spans="1:6" x14ac:dyDescent="0.3">
      <c r="A11514" t="s">
        <v>11549</v>
      </c>
      <c r="B11514" t="s">
        <v>88</v>
      </c>
      <c r="C11514">
        <v>170000</v>
      </c>
      <c r="D11514">
        <v>2641.2</v>
      </c>
      <c r="E11514">
        <v>1.52E-2</v>
      </c>
      <c r="F11514">
        <v>0.13719999999999999</v>
      </c>
    </row>
    <row r="11515" spans="1:6" x14ac:dyDescent="0.3">
      <c r="A11515" t="s">
        <v>11550</v>
      </c>
      <c r="B11515" t="s">
        <v>88</v>
      </c>
      <c r="C11515">
        <v>102000</v>
      </c>
      <c r="D11515">
        <v>376.2</v>
      </c>
      <c r="E11515">
        <v>1.03E-2</v>
      </c>
      <c r="F11515">
        <v>8.2199999999999995E-2</v>
      </c>
    </row>
    <row r="11516" spans="1:6" x14ac:dyDescent="0.3">
      <c r="A11516" t="s">
        <v>11551</v>
      </c>
      <c r="B11516" t="s">
        <v>88</v>
      </c>
      <c r="C11516">
        <v>205000</v>
      </c>
      <c r="D11516">
        <v>27953.1</v>
      </c>
      <c r="E11516">
        <v>8.2299999999999998E-2</v>
      </c>
      <c r="F11516">
        <v>7.5899999999999995E-2</v>
      </c>
    </row>
    <row r="11517" spans="1:6" x14ac:dyDescent="0.3">
      <c r="A11517" t="s">
        <v>11552</v>
      </c>
      <c r="B11517" t="s">
        <v>26</v>
      </c>
      <c r="C11517">
        <v>277000</v>
      </c>
      <c r="D11517">
        <v>139867.20000000001</v>
      </c>
      <c r="E11517">
        <v>3.0700000000000002E-2</v>
      </c>
      <c r="F11517">
        <v>7.5899999999999995E-2</v>
      </c>
    </row>
    <row r="11518" spans="1:6" x14ac:dyDescent="0.3">
      <c r="A11518" t="s">
        <v>11553</v>
      </c>
      <c r="B11518" t="s">
        <v>26</v>
      </c>
      <c r="C11518">
        <v>211000</v>
      </c>
      <c r="D11518">
        <v>1062.2</v>
      </c>
      <c r="E11518">
        <v>2.2000000000000001E-3</v>
      </c>
      <c r="F11518">
        <v>6.54E-2</v>
      </c>
    </row>
    <row r="11519" spans="1:6" x14ac:dyDescent="0.3">
      <c r="A11519" t="s">
        <v>11554</v>
      </c>
      <c r="B11519" t="s">
        <v>287</v>
      </c>
      <c r="C11519">
        <v>155000</v>
      </c>
      <c r="D11519">
        <v>2425</v>
      </c>
      <c r="E11519">
        <v>2.1600000000000001E-2</v>
      </c>
      <c r="F11519">
        <v>7.5899999999999995E-2</v>
      </c>
    </row>
    <row r="11520" spans="1:6" x14ac:dyDescent="0.3">
      <c r="A11520" t="s">
        <v>11555</v>
      </c>
      <c r="B11520" t="s">
        <v>92</v>
      </c>
      <c r="C11520">
        <v>106000</v>
      </c>
      <c r="D11520">
        <v>1025.7</v>
      </c>
      <c r="E11520">
        <v>5.2400000000000002E-2</v>
      </c>
      <c r="F11520">
        <v>0.1241</v>
      </c>
    </row>
    <row r="11521" spans="1:6" x14ac:dyDescent="0.3">
      <c r="A11521" t="s">
        <v>11556</v>
      </c>
      <c r="B11521" t="s">
        <v>26</v>
      </c>
      <c r="C11521">
        <v>141000</v>
      </c>
      <c r="D11521">
        <v>157254.70000000001</v>
      </c>
      <c r="E11521">
        <v>9.2999999999999992E-3</v>
      </c>
      <c r="F11521">
        <v>6.54E-2</v>
      </c>
    </row>
    <row r="11522" spans="1:6" x14ac:dyDescent="0.3">
      <c r="A11522" t="s">
        <v>11557</v>
      </c>
      <c r="B11522" t="s">
        <v>92</v>
      </c>
      <c r="C11522">
        <v>143000</v>
      </c>
      <c r="D11522">
        <v>2865.9</v>
      </c>
      <c r="E11522">
        <v>1.18E-2</v>
      </c>
      <c r="F11522">
        <v>0.13270000000000001</v>
      </c>
    </row>
    <row r="11523" spans="1:6" x14ac:dyDescent="0.3">
      <c r="A11523" t="s">
        <v>11558</v>
      </c>
      <c r="B11523" t="s">
        <v>88</v>
      </c>
      <c r="C11523">
        <v>345000</v>
      </c>
      <c r="D11523">
        <v>7767.4</v>
      </c>
      <c r="E11523">
        <v>2.3099999999999999E-2</v>
      </c>
      <c r="F11523">
        <v>9.3799999999999994E-2</v>
      </c>
    </row>
    <row r="11524" spans="1:6" x14ac:dyDescent="0.3">
      <c r="A11524" t="s">
        <v>11559</v>
      </c>
      <c r="B11524" t="s">
        <v>26</v>
      </c>
      <c r="C11524">
        <v>107000</v>
      </c>
      <c r="D11524">
        <v>1514.7</v>
      </c>
      <c r="E11524">
        <v>1.83E-2</v>
      </c>
      <c r="F11524">
        <v>4.6199999999999998E-2</v>
      </c>
    </row>
    <row r="11525" spans="1:6" x14ac:dyDescent="0.3">
      <c r="A11525" t="s">
        <v>11560</v>
      </c>
      <c r="B11525" t="s">
        <v>74</v>
      </c>
      <c r="C11525">
        <v>166000</v>
      </c>
      <c r="D11525">
        <v>8859.9</v>
      </c>
      <c r="E11525">
        <v>5.1400000000000001E-2</v>
      </c>
      <c r="F11525">
        <v>7.5899999999999995E-2</v>
      </c>
    </row>
    <row r="11526" spans="1:6" x14ac:dyDescent="0.3">
      <c r="A11526" t="s">
        <v>11561</v>
      </c>
      <c r="B11526" t="s">
        <v>50</v>
      </c>
      <c r="C11526">
        <v>700000</v>
      </c>
      <c r="D11526">
        <v>12254.4</v>
      </c>
      <c r="E11526">
        <v>1.32E-2</v>
      </c>
      <c r="F11526">
        <v>5.8500000000000003E-2</v>
      </c>
    </row>
    <row r="11527" spans="1:6" x14ac:dyDescent="0.3">
      <c r="A11527" t="s">
        <v>11562</v>
      </c>
      <c r="B11527" t="s">
        <v>81</v>
      </c>
      <c r="C11527">
        <v>108000</v>
      </c>
      <c r="D11527">
        <v>1301</v>
      </c>
      <c r="E11527">
        <v>3.3599999999999998E-2</v>
      </c>
      <c r="F11527">
        <v>9.5100000000000004E-2</v>
      </c>
    </row>
    <row r="11528" spans="1:6" x14ac:dyDescent="0.3">
      <c r="A11528" t="s">
        <v>11563</v>
      </c>
      <c r="B11528" t="s">
        <v>26</v>
      </c>
      <c r="C11528">
        <v>114000</v>
      </c>
      <c r="D11528">
        <v>13680.4</v>
      </c>
      <c r="E11528">
        <v>7.1999999999999995E-2</v>
      </c>
      <c r="F11528">
        <v>7.5899999999999995E-2</v>
      </c>
    </row>
    <row r="11529" spans="1:6" x14ac:dyDescent="0.3">
      <c r="A11529" t="s">
        <v>11564</v>
      </c>
      <c r="B11529" t="s">
        <v>74</v>
      </c>
      <c r="C11529">
        <v>185000</v>
      </c>
      <c r="D11529">
        <v>1570.6</v>
      </c>
      <c r="E11529">
        <v>5.1400000000000001E-2</v>
      </c>
      <c r="F11529">
        <v>7.5899999999999995E-2</v>
      </c>
    </row>
    <row r="11530" spans="1:6" x14ac:dyDescent="0.3">
      <c r="A11530" t="s">
        <v>11565</v>
      </c>
      <c r="B11530" t="s">
        <v>88</v>
      </c>
      <c r="C11530">
        <v>107000</v>
      </c>
      <c r="D11530">
        <v>4164.3</v>
      </c>
      <c r="E11530">
        <v>3.9199999999999999E-2</v>
      </c>
      <c r="F11530">
        <v>9.5100000000000004E-2</v>
      </c>
    </row>
    <row r="11531" spans="1:6" x14ac:dyDescent="0.3">
      <c r="A11531" t="s">
        <v>11566</v>
      </c>
      <c r="B11531" t="s">
        <v>21</v>
      </c>
      <c r="C11531">
        <v>106000</v>
      </c>
      <c r="D11531">
        <v>1044</v>
      </c>
      <c r="E11531">
        <v>2.6800000000000001E-2</v>
      </c>
      <c r="F11531">
        <v>0.17100000000000001</v>
      </c>
    </row>
    <row r="11532" spans="1:6" x14ac:dyDescent="0.3">
      <c r="A11532" t="s">
        <v>11567</v>
      </c>
      <c r="B11532" t="s">
        <v>214</v>
      </c>
      <c r="C11532">
        <v>108000</v>
      </c>
      <c r="D11532">
        <v>1139.7</v>
      </c>
      <c r="E11532">
        <v>1.43E-2</v>
      </c>
      <c r="F11532">
        <v>5.8400000000000001E-2</v>
      </c>
    </row>
    <row r="11533" spans="1:6" x14ac:dyDescent="0.3">
      <c r="A11533" t="s">
        <v>11568</v>
      </c>
      <c r="B11533" t="s">
        <v>26</v>
      </c>
      <c r="C11533">
        <v>138000</v>
      </c>
      <c r="D11533">
        <v>9043.2000000000007</v>
      </c>
      <c r="E11533">
        <v>4.5400000000000003E-2</v>
      </c>
      <c r="F11533">
        <v>9.5100000000000004E-2</v>
      </c>
    </row>
    <row r="11534" spans="1:6" x14ac:dyDescent="0.3">
      <c r="A11534" t="s">
        <v>11569</v>
      </c>
      <c r="B11534" t="s">
        <v>287</v>
      </c>
      <c r="C11534">
        <v>184000</v>
      </c>
      <c r="D11534">
        <v>54831.7</v>
      </c>
      <c r="E11534">
        <v>3.9100000000000003E-2</v>
      </c>
      <c r="F11534">
        <v>7.5899999999999995E-2</v>
      </c>
    </row>
    <row r="11535" spans="1:6" x14ac:dyDescent="0.3">
      <c r="A11535" t="s">
        <v>11570</v>
      </c>
      <c r="B11535" t="s">
        <v>88</v>
      </c>
      <c r="C11535">
        <v>130000</v>
      </c>
      <c r="D11535">
        <v>1371</v>
      </c>
      <c r="E11535">
        <v>5.5399999999999998E-2</v>
      </c>
      <c r="F11535">
        <v>9.5100000000000004E-2</v>
      </c>
    </row>
    <row r="11536" spans="1:6" x14ac:dyDescent="0.3">
      <c r="A11536" t="s">
        <v>11571</v>
      </c>
      <c r="B11536" t="s">
        <v>26</v>
      </c>
      <c r="C11536">
        <v>282000</v>
      </c>
      <c r="D11536">
        <v>12179.7</v>
      </c>
      <c r="E11536">
        <v>5.1900000000000002E-2</v>
      </c>
      <c r="F11536">
        <v>4.0899999999999999E-2</v>
      </c>
    </row>
    <row r="11537" spans="1:6" x14ac:dyDescent="0.3">
      <c r="A11537" t="s">
        <v>11572</v>
      </c>
      <c r="B11537" t="s">
        <v>26</v>
      </c>
      <c r="C11537">
        <v>105000</v>
      </c>
      <c r="D11537">
        <v>489</v>
      </c>
      <c r="E11537">
        <v>3.78E-2</v>
      </c>
      <c r="F11537">
        <v>9.5100000000000004E-2</v>
      </c>
    </row>
    <row r="11538" spans="1:6" x14ac:dyDescent="0.3">
      <c r="A11538" t="s">
        <v>11573</v>
      </c>
      <c r="B11538" t="s">
        <v>26</v>
      </c>
      <c r="C11538">
        <v>133000</v>
      </c>
      <c r="D11538">
        <v>2166</v>
      </c>
      <c r="E11538">
        <v>1.49E-2</v>
      </c>
      <c r="F11538">
        <v>5.8900000000000001E-2</v>
      </c>
    </row>
    <row r="11539" spans="1:6" x14ac:dyDescent="0.3">
      <c r="A11539" t="s">
        <v>11574</v>
      </c>
      <c r="B11539" t="s">
        <v>21</v>
      </c>
      <c r="C11539">
        <v>135000</v>
      </c>
      <c r="D11539">
        <v>2057.3000000000002</v>
      </c>
      <c r="E11539">
        <v>8.5000000000000006E-3</v>
      </c>
      <c r="F11539">
        <v>8.2199999999999995E-2</v>
      </c>
    </row>
    <row r="11540" spans="1:6" x14ac:dyDescent="0.3">
      <c r="A11540" t="s">
        <v>11575</v>
      </c>
      <c r="B11540" t="s">
        <v>88</v>
      </c>
      <c r="C11540">
        <v>109000</v>
      </c>
      <c r="D11540">
        <v>249.8</v>
      </c>
      <c r="E11540">
        <v>1.8599999999999998E-2</v>
      </c>
      <c r="F11540">
        <v>5.7599999999999998E-2</v>
      </c>
    </row>
    <row r="11541" spans="1:6" x14ac:dyDescent="0.3">
      <c r="A11541" t="s">
        <v>11576</v>
      </c>
      <c r="B11541" t="s">
        <v>26</v>
      </c>
      <c r="C11541">
        <v>157000</v>
      </c>
      <c r="D11541">
        <v>15924</v>
      </c>
      <c r="E11541">
        <v>6.7100000000000007E-2</v>
      </c>
      <c r="F11541">
        <v>0.1241</v>
      </c>
    </row>
    <row r="11542" spans="1:6" x14ac:dyDescent="0.3">
      <c r="A11542" t="s">
        <v>11577</v>
      </c>
      <c r="B11542" t="s">
        <v>92</v>
      </c>
      <c r="C11542">
        <v>104000</v>
      </c>
      <c r="D11542">
        <v>2845.9</v>
      </c>
      <c r="F11542">
        <v>9.5100000000000004E-2</v>
      </c>
    </row>
    <row r="11543" spans="1:6" x14ac:dyDescent="0.3">
      <c r="A11543" t="s">
        <v>11578</v>
      </c>
      <c r="B11543" t="s">
        <v>26</v>
      </c>
      <c r="C11543">
        <v>105000</v>
      </c>
      <c r="D11543">
        <v>128.9</v>
      </c>
      <c r="E11543">
        <v>2.5000000000000001E-3</v>
      </c>
      <c r="F11543">
        <v>0.21210000000000001</v>
      </c>
    </row>
    <row r="11544" spans="1:6" x14ac:dyDescent="0.3">
      <c r="A11544" t="s">
        <v>11579</v>
      </c>
      <c r="B11544" t="s">
        <v>62</v>
      </c>
      <c r="C11544">
        <v>107000</v>
      </c>
      <c r="D11544">
        <v>385.9</v>
      </c>
      <c r="E11544">
        <v>1.26E-2</v>
      </c>
      <c r="F11544">
        <v>0.18890000000000001</v>
      </c>
    </row>
    <row r="11545" spans="1:6" x14ac:dyDescent="0.3">
      <c r="A11545" t="s">
        <v>11580</v>
      </c>
      <c r="B11545" t="s">
        <v>88</v>
      </c>
      <c r="C11545">
        <v>118000</v>
      </c>
      <c r="D11545">
        <v>765.4</v>
      </c>
      <c r="E11545">
        <v>2.8000000000000001E-2</v>
      </c>
      <c r="F11545">
        <v>9.5100000000000004E-2</v>
      </c>
    </row>
    <row r="11546" spans="1:6" x14ac:dyDescent="0.3">
      <c r="A11546" t="s">
        <v>11581</v>
      </c>
      <c r="B11546" t="s">
        <v>53</v>
      </c>
      <c r="C11546">
        <v>117000</v>
      </c>
      <c r="D11546">
        <v>41978.400000000001</v>
      </c>
      <c r="E11546">
        <v>1.7399999999999999E-2</v>
      </c>
      <c r="F11546">
        <v>0.1067</v>
      </c>
    </row>
    <row r="11547" spans="1:6" x14ac:dyDescent="0.3">
      <c r="A11547" t="s">
        <v>11582</v>
      </c>
      <c r="B11547" t="s">
        <v>88</v>
      </c>
      <c r="C11547">
        <v>107000</v>
      </c>
      <c r="D11547">
        <v>3783.6</v>
      </c>
      <c r="E11547">
        <v>3.9199999999999999E-2</v>
      </c>
      <c r="F11547">
        <v>9.5100000000000004E-2</v>
      </c>
    </row>
    <row r="11548" spans="1:6" x14ac:dyDescent="0.3">
      <c r="A11548" t="s">
        <v>11583</v>
      </c>
      <c r="B11548" t="s">
        <v>26</v>
      </c>
      <c r="C11548">
        <v>128000</v>
      </c>
      <c r="D11548">
        <v>33330.6</v>
      </c>
      <c r="E11548">
        <v>1.77E-2</v>
      </c>
      <c r="F11548">
        <v>4.8800000000000003E-2</v>
      </c>
    </row>
    <row r="11549" spans="1:6" x14ac:dyDescent="0.3">
      <c r="A11549" t="s">
        <v>11584</v>
      </c>
      <c r="B11549" t="s">
        <v>53</v>
      </c>
      <c r="C11549">
        <v>186000</v>
      </c>
      <c r="D11549">
        <v>17086.599999999999</v>
      </c>
      <c r="E11549">
        <v>0.15029999999999999</v>
      </c>
      <c r="F11549">
        <v>7.5899999999999995E-2</v>
      </c>
    </row>
    <row r="11550" spans="1:6" x14ac:dyDescent="0.3">
      <c r="A11550" t="s">
        <v>11585</v>
      </c>
      <c r="B11550" t="s">
        <v>24</v>
      </c>
      <c r="C11550">
        <v>192000</v>
      </c>
      <c r="D11550">
        <v>3616.1</v>
      </c>
      <c r="E11550">
        <v>5.3800000000000001E-2</v>
      </c>
      <c r="F11550">
        <v>7.5899999999999995E-2</v>
      </c>
    </row>
    <row r="11551" spans="1:6" x14ac:dyDescent="0.3">
      <c r="A11551" t="s">
        <v>11586</v>
      </c>
      <c r="B11551" t="s">
        <v>214</v>
      </c>
      <c r="C11551">
        <v>255000</v>
      </c>
      <c r="D11551">
        <v>1150.9000000000001</v>
      </c>
      <c r="E11551">
        <v>4.7199999999999999E-2</v>
      </c>
      <c r="F11551">
        <v>0.1241</v>
      </c>
    </row>
    <row r="11552" spans="1:6" x14ac:dyDescent="0.3">
      <c r="A11552" t="s">
        <v>11587</v>
      </c>
      <c r="B11552" t="s">
        <v>195</v>
      </c>
      <c r="C11552">
        <v>133000</v>
      </c>
      <c r="D11552">
        <v>108.2</v>
      </c>
      <c r="E11552">
        <v>1.8100000000000002E-2</v>
      </c>
      <c r="F11552">
        <v>0.13900000000000001</v>
      </c>
    </row>
    <row r="11553" spans="1:6" x14ac:dyDescent="0.3">
      <c r="A11553" t="s">
        <v>11588</v>
      </c>
      <c r="B11553" t="s">
        <v>41</v>
      </c>
      <c r="C11553">
        <v>995000</v>
      </c>
      <c r="D11553">
        <v>147256.70000000001</v>
      </c>
      <c r="E11553">
        <v>6.1899999999999997E-2</v>
      </c>
      <c r="F11553">
        <v>7.5899999999999995E-2</v>
      </c>
    </row>
    <row r="11554" spans="1:6" x14ac:dyDescent="0.3">
      <c r="A11554" t="s">
        <v>11589</v>
      </c>
      <c r="B11554" t="s">
        <v>41</v>
      </c>
      <c r="C11554">
        <v>187000</v>
      </c>
      <c r="D11554">
        <v>53</v>
      </c>
      <c r="F11554">
        <v>9.3799999999999994E-2</v>
      </c>
    </row>
    <row r="11555" spans="1:6" x14ac:dyDescent="0.3">
      <c r="A11555" t="s">
        <v>11590</v>
      </c>
      <c r="B11555" t="s">
        <v>26</v>
      </c>
      <c r="C11555">
        <v>124000</v>
      </c>
      <c r="D11555">
        <v>4196</v>
      </c>
      <c r="E11555">
        <v>4.2299999999999997E-2</v>
      </c>
      <c r="F11555">
        <v>7.5899999999999995E-2</v>
      </c>
    </row>
    <row r="11556" spans="1:6" x14ac:dyDescent="0.3">
      <c r="A11556" t="s">
        <v>11591</v>
      </c>
      <c r="B11556" t="s">
        <v>35</v>
      </c>
      <c r="C11556">
        <v>138000</v>
      </c>
      <c r="D11556">
        <v>1002337.4</v>
      </c>
      <c r="F11556">
        <v>5.1799999999999999E-2</v>
      </c>
    </row>
    <row r="11557" spans="1:6" x14ac:dyDescent="0.3">
      <c r="A11557" t="s">
        <v>11592</v>
      </c>
      <c r="B11557" t="s">
        <v>26</v>
      </c>
      <c r="C11557">
        <v>107000</v>
      </c>
      <c r="D11557">
        <v>316.5</v>
      </c>
      <c r="F11557">
        <v>9.5100000000000004E-2</v>
      </c>
    </row>
    <row r="11558" spans="1:6" x14ac:dyDescent="0.3">
      <c r="A11558" t="s">
        <v>11593</v>
      </c>
      <c r="B11558" t="s">
        <v>74</v>
      </c>
      <c r="C11558">
        <v>116000</v>
      </c>
      <c r="D11558">
        <v>1180.9000000000001</v>
      </c>
      <c r="E11558">
        <v>0.1019</v>
      </c>
      <c r="F11558">
        <v>7.5899999999999995E-2</v>
      </c>
    </row>
    <row r="11559" spans="1:6" x14ac:dyDescent="0.3">
      <c r="A11559" t="s">
        <v>11594</v>
      </c>
      <c r="B11559" t="s">
        <v>92</v>
      </c>
      <c r="C11559">
        <v>111000</v>
      </c>
      <c r="D11559">
        <v>2583.5</v>
      </c>
      <c r="E11559">
        <v>2.3099999999999999E-2</v>
      </c>
      <c r="F11559">
        <v>9.5100000000000004E-2</v>
      </c>
    </row>
    <row r="11560" spans="1:6" x14ac:dyDescent="0.3">
      <c r="A11560" t="s">
        <v>11595</v>
      </c>
      <c r="B11560" t="s">
        <v>71</v>
      </c>
      <c r="C11560">
        <v>108000</v>
      </c>
      <c r="D11560">
        <v>1681.7</v>
      </c>
      <c r="E11560">
        <v>1.8200000000000001E-2</v>
      </c>
      <c r="F11560">
        <v>0.1321</v>
      </c>
    </row>
    <row r="11561" spans="1:6" x14ac:dyDescent="0.3">
      <c r="A11561" t="s">
        <v>11596</v>
      </c>
      <c r="B11561" t="s">
        <v>88</v>
      </c>
      <c r="C11561">
        <v>155000</v>
      </c>
      <c r="D11561">
        <v>8711.2999999999993</v>
      </c>
      <c r="E11561">
        <v>2.9000000000000001E-2</v>
      </c>
      <c r="F11561">
        <v>7.5899999999999995E-2</v>
      </c>
    </row>
    <row r="11562" spans="1:6" x14ac:dyDescent="0.3">
      <c r="A11562" t="s">
        <v>11597</v>
      </c>
      <c r="B11562" t="s">
        <v>26</v>
      </c>
      <c r="C11562">
        <v>205000</v>
      </c>
      <c r="D11562">
        <v>45875.5</v>
      </c>
      <c r="E11562">
        <v>4.99E-2</v>
      </c>
      <c r="F11562">
        <v>7.5899999999999995E-2</v>
      </c>
    </row>
    <row r="11563" spans="1:6" x14ac:dyDescent="0.3">
      <c r="A11563" t="s">
        <v>11598</v>
      </c>
      <c r="B11563" t="s">
        <v>88</v>
      </c>
      <c r="C11563">
        <v>160000</v>
      </c>
      <c r="D11563">
        <v>7210.7</v>
      </c>
      <c r="F11563">
        <v>5.1799999999999999E-2</v>
      </c>
    </row>
    <row r="11564" spans="1:6" x14ac:dyDescent="0.3">
      <c r="A11564" t="s">
        <v>11599</v>
      </c>
      <c r="B11564" t="s">
        <v>195</v>
      </c>
      <c r="C11564">
        <v>130000</v>
      </c>
      <c r="D11564">
        <v>18253</v>
      </c>
      <c r="E11564">
        <v>1.4800000000000001E-2</v>
      </c>
      <c r="F11564">
        <v>5.8500000000000003E-2</v>
      </c>
    </row>
    <row r="11565" spans="1:6" x14ac:dyDescent="0.3">
      <c r="A11565" t="s">
        <v>11600</v>
      </c>
      <c r="B11565" t="s">
        <v>26</v>
      </c>
      <c r="C11565">
        <v>105000</v>
      </c>
      <c r="D11565">
        <v>157.30000000000001</v>
      </c>
      <c r="E11565">
        <v>1.9400000000000001E-2</v>
      </c>
      <c r="F11565">
        <v>0.1242</v>
      </c>
    </row>
    <row r="11566" spans="1:6" x14ac:dyDescent="0.3">
      <c r="A11566" t="s">
        <v>11601</v>
      </c>
      <c r="B11566" t="s">
        <v>26</v>
      </c>
      <c r="C11566">
        <v>105000</v>
      </c>
      <c r="D11566">
        <v>829</v>
      </c>
      <c r="E11566">
        <v>9.4999999999999998E-3</v>
      </c>
      <c r="F11566">
        <v>8.2199999999999995E-2</v>
      </c>
    </row>
    <row r="11567" spans="1:6" x14ac:dyDescent="0.3">
      <c r="A11567" t="s">
        <v>11602</v>
      </c>
      <c r="B11567" t="s">
        <v>53</v>
      </c>
      <c r="C11567">
        <v>147000</v>
      </c>
      <c r="D11567">
        <v>3031294.7</v>
      </c>
      <c r="E11567">
        <v>1.0800000000000001E-2</v>
      </c>
      <c r="F11567">
        <v>7.3599999999999999E-2</v>
      </c>
    </row>
    <row r="11568" spans="1:6" x14ac:dyDescent="0.3">
      <c r="A11568" t="s">
        <v>11603</v>
      </c>
      <c r="B11568" t="s">
        <v>24</v>
      </c>
      <c r="C11568">
        <v>118000</v>
      </c>
      <c r="D11568">
        <v>110.9</v>
      </c>
      <c r="E11568">
        <v>2.1399999999999999E-2</v>
      </c>
      <c r="F11568">
        <v>0.7208</v>
      </c>
    </row>
    <row r="11569" spans="1:6" x14ac:dyDescent="0.3">
      <c r="A11569" t="s">
        <v>11604</v>
      </c>
      <c r="B11569" t="s">
        <v>26</v>
      </c>
      <c r="C11569">
        <v>131000</v>
      </c>
      <c r="D11569">
        <v>1392.6</v>
      </c>
      <c r="E11569">
        <v>3.1699999999999999E-2</v>
      </c>
      <c r="F11569">
        <v>7.5899999999999995E-2</v>
      </c>
    </row>
    <row r="11570" spans="1:6" x14ac:dyDescent="0.3">
      <c r="A11570" t="s">
        <v>11605</v>
      </c>
      <c r="B11570" t="s">
        <v>26</v>
      </c>
      <c r="C11570">
        <v>122000</v>
      </c>
      <c r="D11570">
        <v>42986.400000000001</v>
      </c>
      <c r="E11570">
        <v>4.1000000000000003E-3</v>
      </c>
      <c r="F11570">
        <v>6.54E-2</v>
      </c>
    </row>
    <row r="11571" spans="1:6" x14ac:dyDescent="0.3">
      <c r="A11571" t="s">
        <v>11606</v>
      </c>
      <c r="B11571" t="s">
        <v>74</v>
      </c>
      <c r="C11571">
        <v>128000</v>
      </c>
      <c r="D11571">
        <v>2904.8</v>
      </c>
      <c r="E11571">
        <v>1.0999999999999999E-2</v>
      </c>
      <c r="F11571">
        <v>0.20469999999999999</v>
      </c>
    </row>
    <row r="11572" spans="1:6" x14ac:dyDescent="0.3">
      <c r="A11572" t="s">
        <v>11607</v>
      </c>
      <c r="B11572" t="s">
        <v>214</v>
      </c>
      <c r="C11572">
        <v>106000</v>
      </c>
      <c r="D11572">
        <v>89.6</v>
      </c>
      <c r="E11572">
        <v>4.87E-2</v>
      </c>
      <c r="F11572">
        <v>5.1700000000000003E-2</v>
      </c>
    </row>
    <row r="11573" spans="1:6" x14ac:dyDescent="0.3">
      <c r="A11573" t="s">
        <v>11608</v>
      </c>
      <c r="B11573" t="s">
        <v>26</v>
      </c>
      <c r="C11573">
        <v>261000</v>
      </c>
      <c r="D11573">
        <v>12695.3</v>
      </c>
      <c r="E11573">
        <v>5.7000000000000002E-2</v>
      </c>
      <c r="F11573">
        <v>7.5899999999999995E-2</v>
      </c>
    </row>
    <row r="11574" spans="1:6" x14ac:dyDescent="0.3">
      <c r="A11574" t="s">
        <v>11609</v>
      </c>
      <c r="B11574" t="s">
        <v>41</v>
      </c>
      <c r="C11574">
        <v>105000</v>
      </c>
      <c r="D11574">
        <v>8165.8</v>
      </c>
      <c r="E11574">
        <v>3.3099999999999997E-2</v>
      </c>
      <c r="F11574">
        <v>9.5100000000000004E-2</v>
      </c>
    </row>
    <row r="11575" spans="1:6" x14ac:dyDescent="0.3">
      <c r="A11575" t="s">
        <v>11610</v>
      </c>
      <c r="B11575" t="s">
        <v>35</v>
      </c>
      <c r="C11575">
        <v>206000</v>
      </c>
      <c r="D11575">
        <v>89234.7</v>
      </c>
      <c r="E11575">
        <v>2.81E-2</v>
      </c>
      <c r="F11575">
        <v>7.5899999999999995E-2</v>
      </c>
    </row>
    <row r="11576" spans="1:6" x14ac:dyDescent="0.3">
      <c r="A11576" t="s">
        <v>11611</v>
      </c>
      <c r="B11576" t="s">
        <v>26</v>
      </c>
      <c r="C11576">
        <v>130000</v>
      </c>
      <c r="D11576">
        <v>10541</v>
      </c>
      <c r="E11576">
        <v>2.6599999999999999E-2</v>
      </c>
      <c r="F11576">
        <v>7.5899999999999995E-2</v>
      </c>
    </row>
    <row r="11577" spans="1:6" x14ac:dyDescent="0.3">
      <c r="A11577" t="s">
        <v>11612</v>
      </c>
      <c r="B11577" t="s">
        <v>26</v>
      </c>
      <c r="C11577">
        <v>104000</v>
      </c>
      <c r="D11577">
        <v>3038</v>
      </c>
      <c r="E11577">
        <v>2.7699999999999999E-2</v>
      </c>
      <c r="F11577">
        <v>9.5100000000000004E-2</v>
      </c>
    </row>
    <row r="11578" spans="1:6" x14ac:dyDescent="0.3">
      <c r="A11578" t="s">
        <v>11613</v>
      </c>
      <c r="B11578" t="s">
        <v>88</v>
      </c>
      <c r="C11578">
        <v>106000</v>
      </c>
      <c r="D11578">
        <v>190.6</v>
      </c>
      <c r="E11578">
        <v>3.39E-2</v>
      </c>
      <c r="F11578">
        <v>0.11700000000000001</v>
      </c>
    </row>
    <row r="11579" spans="1:6" x14ac:dyDescent="0.3">
      <c r="A11579" t="s">
        <v>11614</v>
      </c>
      <c r="B11579" t="s">
        <v>26</v>
      </c>
      <c r="C11579">
        <v>270000</v>
      </c>
      <c r="D11579">
        <v>6756.5</v>
      </c>
      <c r="E11579">
        <v>2.23E-2</v>
      </c>
      <c r="F11579">
        <v>5.0999999999999997E-2</v>
      </c>
    </row>
    <row r="11580" spans="1:6" x14ac:dyDescent="0.3">
      <c r="A11580" t="s">
        <v>11615</v>
      </c>
      <c r="B11580" t="s">
        <v>32</v>
      </c>
      <c r="C11580">
        <v>462000</v>
      </c>
      <c r="D11580">
        <v>203.4</v>
      </c>
      <c r="E11580">
        <v>1.7999999999999999E-2</v>
      </c>
      <c r="F11580">
        <v>5.0999999999999997E-2</v>
      </c>
    </row>
    <row r="11581" spans="1:6" x14ac:dyDescent="0.3">
      <c r="A11581" t="s">
        <v>11616</v>
      </c>
      <c r="B11581" t="s">
        <v>74</v>
      </c>
      <c r="C11581">
        <v>123000</v>
      </c>
      <c r="D11581">
        <v>1048.3</v>
      </c>
      <c r="E11581">
        <v>5.3400000000000003E-2</v>
      </c>
      <c r="F11581">
        <v>7.5899999999999995E-2</v>
      </c>
    </row>
    <row r="11582" spans="1:6" x14ac:dyDescent="0.3">
      <c r="A11582" t="s">
        <v>11617</v>
      </c>
      <c r="B11582" t="s">
        <v>24</v>
      </c>
      <c r="C11582">
        <v>138000</v>
      </c>
      <c r="D11582">
        <v>180341.1</v>
      </c>
      <c r="E11582">
        <v>1.35E-2</v>
      </c>
      <c r="F11582">
        <v>5.8500000000000003E-2</v>
      </c>
    </row>
    <row r="11583" spans="1:6" x14ac:dyDescent="0.3">
      <c r="A11583" t="s">
        <v>11618</v>
      </c>
      <c r="B11583" t="s">
        <v>71</v>
      </c>
      <c r="C11583">
        <v>106000</v>
      </c>
      <c r="D11583">
        <v>1272.3</v>
      </c>
      <c r="E11583">
        <v>1.23E-2</v>
      </c>
      <c r="F11583">
        <v>8.5400000000000004E-2</v>
      </c>
    </row>
    <row r="11584" spans="1:6" x14ac:dyDescent="0.3">
      <c r="A11584" t="s">
        <v>11619</v>
      </c>
      <c r="B11584" t="s">
        <v>24</v>
      </c>
      <c r="C11584">
        <v>109000</v>
      </c>
      <c r="D11584">
        <v>996.1</v>
      </c>
      <c r="E11584">
        <v>2.0199999999999999E-2</v>
      </c>
      <c r="F11584">
        <v>0.17100000000000001</v>
      </c>
    </row>
    <row r="11585" spans="1:6" x14ac:dyDescent="0.3">
      <c r="A11585" t="s">
        <v>11620</v>
      </c>
      <c r="B11585" t="s">
        <v>26</v>
      </c>
      <c r="C11585">
        <v>123000</v>
      </c>
      <c r="D11585">
        <v>8995.4</v>
      </c>
      <c r="E11585">
        <v>4.8500000000000001E-2</v>
      </c>
      <c r="F11585">
        <v>7.5899999999999995E-2</v>
      </c>
    </row>
    <row r="11586" spans="1:6" x14ac:dyDescent="0.3">
      <c r="A11586" t="s">
        <v>11621</v>
      </c>
      <c r="B11586" t="s">
        <v>62</v>
      </c>
      <c r="C11586">
        <v>105000</v>
      </c>
      <c r="D11586">
        <v>3816.4</v>
      </c>
      <c r="E11586">
        <v>2.5600000000000001E-2</v>
      </c>
      <c r="F11586">
        <v>5.1799999999999999E-2</v>
      </c>
    </row>
    <row r="11587" spans="1:6" x14ac:dyDescent="0.3">
      <c r="A11587" t="s">
        <v>11622</v>
      </c>
      <c r="B11587" t="s">
        <v>26</v>
      </c>
      <c r="C11587">
        <v>124000</v>
      </c>
      <c r="D11587">
        <v>5298.6</v>
      </c>
      <c r="E11587">
        <v>4.4900000000000002E-2</v>
      </c>
      <c r="F11587">
        <v>6.7199999999999996E-2</v>
      </c>
    </row>
    <row r="11588" spans="1:6" x14ac:dyDescent="0.3">
      <c r="A11588" t="s">
        <v>11623</v>
      </c>
      <c r="B11588" t="s">
        <v>62</v>
      </c>
      <c r="C11588">
        <v>109000</v>
      </c>
      <c r="D11588">
        <v>65778.399999999994</v>
      </c>
      <c r="E11588">
        <v>1.9300000000000001E-2</v>
      </c>
      <c r="F11588">
        <v>0.1067</v>
      </c>
    </row>
    <row r="11589" spans="1:6" x14ac:dyDescent="0.3">
      <c r="A11589" t="s">
        <v>11624</v>
      </c>
      <c r="B11589" t="s">
        <v>26</v>
      </c>
      <c r="C11589">
        <v>153000</v>
      </c>
      <c r="D11589">
        <v>105.6</v>
      </c>
      <c r="E11589">
        <v>0.56799999999999995</v>
      </c>
      <c r="F11589">
        <v>9.3799999999999994E-2</v>
      </c>
    </row>
    <row r="11590" spans="1:6" x14ac:dyDescent="0.3">
      <c r="A11590" t="s">
        <v>11625</v>
      </c>
      <c r="B11590" t="s">
        <v>41</v>
      </c>
      <c r="C11590">
        <v>132000</v>
      </c>
      <c r="D11590">
        <v>1748</v>
      </c>
      <c r="E11590">
        <v>7.1999999999999998E-3</v>
      </c>
      <c r="F11590">
        <v>8.2199999999999995E-2</v>
      </c>
    </row>
    <row r="11591" spans="1:6" x14ac:dyDescent="0.3">
      <c r="A11591" t="s">
        <v>11626</v>
      </c>
      <c r="B11591" t="s">
        <v>41</v>
      </c>
      <c r="C11591">
        <v>131000</v>
      </c>
      <c r="D11591">
        <v>9821.7999999999993</v>
      </c>
      <c r="E11591">
        <v>2.8500000000000001E-2</v>
      </c>
      <c r="F11591">
        <v>9.3799999999999994E-2</v>
      </c>
    </row>
    <row r="11592" spans="1:6" x14ac:dyDescent="0.3">
      <c r="A11592" t="s">
        <v>11627</v>
      </c>
      <c r="B11592" t="s">
        <v>88</v>
      </c>
      <c r="C11592">
        <v>115000</v>
      </c>
      <c r="D11592">
        <v>458</v>
      </c>
      <c r="E11592">
        <v>6.0999999999999999E-2</v>
      </c>
      <c r="F11592">
        <v>0.2777</v>
      </c>
    </row>
    <row r="11593" spans="1:6" x14ac:dyDescent="0.3">
      <c r="A11593" t="s">
        <v>11628</v>
      </c>
      <c r="B11593" t="s">
        <v>26</v>
      </c>
      <c r="C11593">
        <v>215000</v>
      </c>
      <c r="D11593">
        <v>57454.8</v>
      </c>
      <c r="E11593">
        <v>4.2099999999999999E-2</v>
      </c>
      <c r="F11593">
        <v>7.5899999999999995E-2</v>
      </c>
    </row>
    <row r="11594" spans="1:6" x14ac:dyDescent="0.3">
      <c r="A11594" t="s">
        <v>11629</v>
      </c>
      <c r="B11594" t="s">
        <v>26</v>
      </c>
      <c r="C11594">
        <v>92000</v>
      </c>
      <c r="D11594">
        <v>4878.3</v>
      </c>
      <c r="E11594">
        <v>1.43E-2</v>
      </c>
      <c r="F11594">
        <v>0.38679999999999998</v>
      </c>
    </row>
    <row r="11595" spans="1:6" x14ac:dyDescent="0.3">
      <c r="A11595" t="s">
        <v>11630</v>
      </c>
      <c r="B11595" t="s">
        <v>71</v>
      </c>
      <c r="C11595">
        <v>103000</v>
      </c>
      <c r="D11595">
        <v>1888.4</v>
      </c>
      <c r="E11595">
        <v>2.4299999999999999E-2</v>
      </c>
      <c r="F11595">
        <v>0.17100000000000001</v>
      </c>
    </row>
    <row r="11596" spans="1:6" x14ac:dyDescent="0.3">
      <c r="A11596" t="s">
        <v>11631</v>
      </c>
      <c r="B11596" t="s">
        <v>88</v>
      </c>
      <c r="C11596">
        <v>300000</v>
      </c>
      <c r="D11596">
        <v>5513.6</v>
      </c>
      <c r="E11596">
        <v>2.6200000000000001E-2</v>
      </c>
      <c r="F11596">
        <v>7.5899999999999995E-2</v>
      </c>
    </row>
    <row r="11597" spans="1:6" x14ac:dyDescent="0.3">
      <c r="A11597" t="s">
        <v>11632</v>
      </c>
      <c r="B11597" t="s">
        <v>62</v>
      </c>
      <c r="C11597">
        <v>106000</v>
      </c>
      <c r="D11597">
        <v>20101.099999999999</v>
      </c>
      <c r="E11597">
        <v>2.8000000000000001E-2</v>
      </c>
      <c r="F11597">
        <v>5.1799999999999999E-2</v>
      </c>
    </row>
    <row r="11598" spans="1:6" x14ac:dyDescent="0.3">
      <c r="A11598" t="s">
        <v>11633</v>
      </c>
      <c r="B11598" t="s">
        <v>26</v>
      </c>
      <c r="C11598">
        <v>109000</v>
      </c>
      <c r="D11598">
        <v>30468.1</v>
      </c>
      <c r="E11598">
        <v>3.5999999999999997E-2</v>
      </c>
      <c r="F11598">
        <v>4.3200000000000002E-2</v>
      </c>
    </row>
    <row r="11599" spans="1:6" x14ac:dyDescent="0.3">
      <c r="A11599" t="s">
        <v>11634</v>
      </c>
      <c r="B11599" t="s">
        <v>26</v>
      </c>
      <c r="C11599">
        <v>122000</v>
      </c>
      <c r="D11599">
        <v>40584.699999999997</v>
      </c>
      <c r="E11599">
        <v>1.44E-2</v>
      </c>
      <c r="F11599">
        <v>5.8500000000000003E-2</v>
      </c>
    </row>
    <row r="11600" spans="1:6" x14ac:dyDescent="0.3">
      <c r="A11600" t="s">
        <v>11635</v>
      </c>
      <c r="B11600" t="s">
        <v>81</v>
      </c>
      <c r="C11600">
        <v>172000</v>
      </c>
      <c r="D11600">
        <v>1072.5</v>
      </c>
      <c r="E11600">
        <v>1.2999999999999999E-2</v>
      </c>
      <c r="F11600">
        <v>0.1389</v>
      </c>
    </row>
    <row r="11601" spans="1:6" x14ac:dyDescent="0.3">
      <c r="A11601" t="s">
        <v>11636</v>
      </c>
      <c r="B11601" t="s">
        <v>26</v>
      </c>
      <c r="C11601">
        <v>197000</v>
      </c>
      <c r="D11601">
        <v>553.79999999999995</v>
      </c>
      <c r="E11601">
        <v>4.2200000000000001E-2</v>
      </c>
      <c r="F11601">
        <v>9.5100000000000004E-2</v>
      </c>
    </row>
    <row r="11602" spans="1:6" x14ac:dyDescent="0.3">
      <c r="A11602" t="s">
        <v>11637</v>
      </c>
      <c r="B11602" t="s">
        <v>26</v>
      </c>
      <c r="C11602">
        <v>106000</v>
      </c>
      <c r="D11602">
        <v>790.6</v>
      </c>
      <c r="E11602">
        <v>1.7500000000000002E-2</v>
      </c>
      <c r="F11602">
        <v>8.5400000000000004E-2</v>
      </c>
    </row>
    <row r="11603" spans="1:6" x14ac:dyDescent="0.3">
      <c r="A11603" t="s">
        <v>11638</v>
      </c>
      <c r="B11603" t="s">
        <v>74</v>
      </c>
      <c r="C11603">
        <v>153000</v>
      </c>
      <c r="D11603">
        <v>5632.9</v>
      </c>
      <c r="E11603">
        <v>2.12E-2</v>
      </c>
      <c r="F11603">
        <v>8.5400000000000004E-2</v>
      </c>
    </row>
    <row r="11604" spans="1:6" x14ac:dyDescent="0.3">
      <c r="A11604" t="s">
        <v>11639</v>
      </c>
      <c r="B11604" t="s">
        <v>287</v>
      </c>
      <c r="C11604">
        <v>254000</v>
      </c>
      <c r="D11604">
        <v>18427.8</v>
      </c>
      <c r="E11604">
        <v>1.8599999999999998E-2</v>
      </c>
      <c r="F11604">
        <v>0.1067</v>
      </c>
    </row>
    <row r="11605" spans="1:6" x14ac:dyDescent="0.3">
      <c r="A11605" t="s">
        <v>11640</v>
      </c>
      <c r="B11605" t="s">
        <v>41</v>
      </c>
      <c r="C11605">
        <v>101000</v>
      </c>
      <c r="D11605">
        <v>3481</v>
      </c>
      <c r="F11605">
        <v>8.4500000000000006E-2</v>
      </c>
    </row>
    <row r="11606" spans="1:6" x14ac:dyDescent="0.3">
      <c r="A11606" t="s">
        <v>11641</v>
      </c>
      <c r="B11606" t="s">
        <v>28</v>
      </c>
      <c r="C11606">
        <v>132000</v>
      </c>
      <c r="D11606">
        <v>4522.3999999999996</v>
      </c>
      <c r="E11606">
        <v>2.3800000000000002E-2</v>
      </c>
      <c r="F11606">
        <v>5.7599999999999998E-2</v>
      </c>
    </row>
    <row r="11607" spans="1:6" x14ac:dyDescent="0.3">
      <c r="A11607" t="s">
        <v>11642</v>
      </c>
      <c r="B11607" t="s">
        <v>26</v>
      </c>
      <c r="C11607">
        <v>103000</v>
      </c>
      <c r="D11607">
        <v>1331.9</v>
      </c>
      <c r="E11607">
        <v>6.4000000000000001E-2</v>
      </c>
      <c r="F11607">
        <v>9.5100000000000004E-2</v>
      </c>
    </row>
    <row r="11608" spans="1:6" x14ac:dyDescent="0.3">
      <c r="A11608" t="s">
        <v>11643</v>
      </c>
      <c r="B11608" t="s">
        <v>53</v>
      </c>
      <c r="C11608">
        <v>103000</v>
      </c>
      <c r="D11608">
        <v>206.8</v>
      </c>
      <c r="E11608">
        <v>8.6999999999999994E-3</v>
      </c>
      <c r="F11608">
        <v>0.1406</v>
      </c>
    </row>
    <row r="11609" spans="1:6" x14ac:dyDescent="0.3">
      <c r="A11609" t="s">
        <v>11644</v>
      </c>
      <c r="B11609" t="s">
        <v>30</v>
      </c>
      <c r="C11609">
        <v>124000</v>
      </c>
      <c r="D11609">
        <v>4363.2</v>
      </c>
      <c r="E11609">
        <v>4.5999999999999999E-3</v>
      </c>
      <c r="F11609">
        <v>6.54E-2</v>
      </c>
    </row>
    <row r="11610" spans="1:6" x14ac:dyDescent="0.3">
      <c r="A11610" t="s">
        <v>11645</v>
      </c>
      <c r="B11610" t="s">
        <v>26</v>
      </c>
      <c r="C11610">
        <v>163000</v>
      </c>
      <c r="D11610">
        <v>7977339</v>
      </c>
      <c r="E11610">
        <v>1.3299999999999999E-2</v>
      </c>
      <c r="F11610">
        <v>5.8500000000000003E-2</v>
      </c>
    </row>
    <row r="11611" spans="1:6" x14ac:dyDescent="0.3">
      <c r="A11611" t="s">
        <v>11646</v>
      </c>
      <c r="B11611" t="s">
        <v>26</v>
      </c>
      <c r="C11611">
        <v>102000</v>
      </c>
      <c r="D11611">
        <v>3276.1</v>
      </c>
      <c r="E11611">
        <v>3.4299999999999997E-2</v>
      </c>
      <c r="F11611">
        <v>5.1799999999999999E-2</v>
      </c>
    </row>
    <row r="11612" spans="1:6" x14ac:dyDescent="0.3">
      <c r="A11612" t="s">
        <v>11647</v>
      </c>
      <c r="B11612" t="s">
        <v>214</v>
      </c>
      <c r="C11612">
        <v>118000</v>
      </c>
      <c r="D11612">
        <v>29119.4</v>
      </c>
      <c r="E11612">
        <v>1.6199999999999999E-2</v>
      </c>
      <c r="F11612">
        <v>5.8500000000000003E-2</v>
      </c>
    </row>
    <row r="11613" spans="1:6" x14ac:dyDescent="0.3">
      <c r="A11613" t="s">
        <v>11648</v>
      </c>
      <c r="B11613" t="s">
        <v>74</v>
      </c>
      <c r="C11613">
        <v>110000</v>
      </c>
      <c r="D11613">
        <v>8825.7999999999993</v>
      </c>
      <c r="E11613">
        <v>0.121</v>
      </c>
      <c r="F11613">
        <v>9.5100000000000004E-2</v>
      </c>
    </row>
    <row r="11614" spans="1:6" x14ac:dyDescent="0.3">
      <c r="A11614" t="s">
        <v>11649</v>
      </c>
      <c r="B11614" t="s">
        <v>26</v>
      </c>
      <c r="C11614">
        <v>104000</v>
      </c>
      <c r="D11614">
        <v>15.5</v>
      </c>
      <c r="E11614">
        <v>0</v>
      </c>
      <c r="F11614">
        <v>8.2199999999999995E-2</v>
      </c>
    </row>
    <row r="11615" spans="1:6" x14ac:dyDescent="0.3">
      <c r="A11615" t="s">
        <v>11650</v>
      </c>
      <c r="B11615" t="s">
        <v>287</v>
      </c>
      <c r="C11615">
        <v>155000</v>
      </c>
      <c r="D11615">
        <v>3958.3</v>
      </c>
      <c r="E11615">
        <v>2.9700000000000001E-2</v>
      </c>
      <c r="F11615">
        <v>7.5899999999999995E-2</v>
      </c>
    </row>
    <row r="11616" spans="1:6" x14ac:dyDescent="0.3">
      <c r="A11616" t="s">
        <v>11651</v>
      </c>
      <c r="B11616" t="s">
        <v>88</v>
      </c>
      <c r="C11616">
        <v>116000</v>
      </c>
      <c r="D11616">
        <v>1306.4000000000001</v>
      </c>
      <c r="E11616">
        <v>2.8500000000000001E-2</v>
      </c>
      <c r="F11616">
        <v>5.0999999999999997E-2</v>
      </c>
    </row>
    <row r="11617" spans="1:6" x14ac:dyDescent="0.3">
      <c r="A11617" t="s">
        <v>11652</v>
      </c>
      <c r="B11617" t="s">
        <v>81</v>
      </c>
      <c r="C11617">
        <v>109000</v>
      </c>
      <c r="D11617">
        <v>12598.1</v>
      </c>
      <c r="F11617">
        <v>4.0899999999999999E-2</v>
      </c>
    </row>
    <row r="11618" spans="1:6" x14ac:dyDescent="0.3">
      <c r="A11618" t="s">
        <v>11653</v>
      </c>
      <c r="B11618" t="s">
        <v>26</v>
      </c>
      <c r="C11618">
        <v>108000</v>
      </c>
      <c r="D11618">
        <v>2679.3</v>
      </c>
      <c r="E11618">
        <v>2.2499999999999999E-2</v>
      </c>
      <c r="F11618">
        <v>0.1053</v>
      </c>
    </row>
    <row r="11619" spans="1:6" x14ac:dyDescent="0.3">
      <c r="A11619" t="s">
        <v>11654</v>
      </c>
      <c r="B11619" t="s">
        <v>26</v>
      </c>
      <c r="C11619">
        <v>101000</v>
      </c>
      <c r="D11619">
        <v>1169.5</v>
      </c>
      <c r="E11619">
        <v>2.52E-2</v>
      </c>
      <c r="F11619">
        <v>0.47449999999999998</v>
      </c>
    </row>
    <row r="11620" spans="1:6" x14ac:dyDescent="0.3">
      <c r="A11620" t="s">
        <v>11655</v>
      </c>
      <c r="B11620" t="s">
        <v>41</v>
      </c>
      <c r="C11620">
        <v>212000</v>
      </c>
      <c r="D11620">
        <v>2389.6</v>
      </c>
      <c r="E11620">
        <v>1.5900000000000001E-2</v>
      </c>
      <c r="F11620">
        <v>0.1013</v>
      </c>
    </row>
    <row r="11621" spans="1:6" x14ac:dyDescent="0.3">
      <c r="A11621" t="s">
        <v>11656</v>
      </c>
      <c r="B11621" t="s">
        <v>24</v>
      </c>
      <c r="C11621">
        <v>108000</v>
      </c>
      <c r="D11621">
        <v>6480.9</v>
      </c>
      <c r="E11621">
        <v>5.4199999999999998E-2</v>
      </c>
      <c r="F11621">
        <v>9.5100000000000004E-2</v>
      </c>
    </row>
    <row r="11622" spans="1:6" x14ac:dyDescent="0.3">
      <c r="A11622" t="s">
        <v>11657</v>
      </c>
      <c r="B11622" t="s">
        <v>26</v>
      </c>
      <c r="C11622">
        <v>116000</v>
      </c>
      <c r="D11622">
        <v>1908.1</v>
      </c>
      <c r="E11622">
        <v>5.91E-2</v>
      </c>
      <c r="F11622">
        <v>9.5100000000000004E-2</v>
      </c>
    </row>
    <row r="11623" spans="1:6" x14ac:dyDescent="0.3">
      <c r="A11623" t="s">
        <v>11658</v>
      </c>
      <c r="B11623" t="s">
        <v>81</v>
      </c>
      <c r="C11623">
        <v>149000</v>
      </c>
      <c r="D11623">
        <v>43376.6</v>
      </c>
      <c r="E11623">
        <v>8.6999999999999994E-3</v>
      </c>
      <c r="F11623">
        <v>8.2199999999999995E-2</v>
      </c>
    </row>
    <row r="11624" spans="1:6" x14ac:dyDescent="0.3">
      <c r="A11624" t="s">
        <v>11659</v>
      </c>
      <c r="B11624" t="s">
        <v>81</v>
      </c>
      <c r="C11624">
        <v>104000</v>
      </c>
      <c r="D11624">
        <v>6373.5</v>
      </c>
      <c r="E11624">
        <v>3.04E-2</v>
      </c>
      <c r="F11624">
        <v>9.5100000000000004E-2</v>
      </c>
    </row>
    <row r="11625" spans="1:6" x14ac:dyDescent="0.3">
      <c r="A11625" t="s">
        <v>11660</v>
      </c>
      <c r="B11625" t="s">
        <v>62</v>
      </c>
      <c r="C11625">
        <v>121000</v>
      </c>
      <c r="D11625">
        <v>1210.0999999999999</v>
      </c>
      <c r="F11625">
        <v>5.0999999999999997E-2</v>
      </c>
    </row>
    <row r="11626" spans="1:6" x14ac:dyDescent="0.3">
      <c r="A11626" t="s">
        <v>11661</v>
      </c>
      <c r="B11626" t="s">
        <v>88</v>
      </c>
      <c r="C11626">
        <v>173000</v>
      </c>
      <c r="D11626">
        <v>78.099999999999994</v>
      </c>
      <c r="E11626">
        <v>3.85E-2</v>
      </c>
      <c r="F11626">
        <v>7.5899999999999995E-2</v>
      </c>
    </row>
    <row r="11627" spans="1:6" x14ac:dyDescent="0.3">
      <c r="A11627" t="s">
        <v>11662</v>
      </c>
      <c r="B11627" t="s">
        <v>214</v>
      </c>
      <c r="C11627">
        <v>179000</v>
      </c>
      <c r="D11627">
        <v>28032</v>
      </c>
      <c r="E11627">
        <v>3.5700000000000003E-2</v>
      </c>
      <c r="F11627">
        <v>7.5899999999999995E-2</v>
      </c>
    </row>
    <row r="11628" spans="1:6" x14ac:dyDescent="0.3">
      <c r="A11628" t="s">
        <v>11663</v>
      </c>
      <c r="B11628" t="s">
        <v>74</v>
      </c>
      <c r="C11628">
        <v>138000</v>
      </c>
      <c r="D11628">
        <v>267.2</v>
      </c>
      <c r="E11628">
        <v>5.3400000000000003E-2</v>
      </c>
      <c r="F11628">
        <v>7.5899999999999995E-2</v>
      </c>
    </row>
    <row r="11629" spans="1:6" x14ac:dyDescent="0.3">
      <c r="A11629" t="s">
        <v>11664</v>
      </c>
      <c r="B11629" t="s">
        <v>24</v>
      </c>
      <c r="C11629">
        <v>120000</v>
      </c>
      <c r="D11629">
        <v>327.10000000000002</v>
      </c>
      <c r="E11629">
        <v>1.7500000000000002E-2</v>
      </c>
      <c r="F11629">
        <v>5.8500000000000003E-2</v>
      </c>
    </row>
    <row r="11630" spans="1:6" x14ac:dyDescent="0.3">
      <c r="A11630" t="s">
        <v>11665</v>
      </c>
      <c r="B11630" t="s">
        <v>88</v>
      </c>
      <c r="C11630">
        <v>291000</v>
      </c>
      <c r="D11630">
        <v>2125.6</v>
      </c>
      <c r="E11630">
        <v>2.7199999999999998E-2</v>
      </c>
      <c r="F11630">
        <v>7.5899999999999995E-2</v>
      </c>
    </row>
    <row r="11631" spans="1:6" x14ac:dyDescent="0.3">
      <c r="A11631" t="s">
        <v>11666</v>
      </c>
      <c r="B11631" t="s">
        <v>26</v>
      </c>
      <c r="C11631">
        <v>141000</v>
      </c>
      <c r="D11631">
        <v>1554.7</v>
      </c>
      <c r="E11631">
        <v>1.8499999999999999E-2</v>
      </c>
      <c r="F11631">
        <v>0.1053</v>
      </c>
    </row>
    <row r="11632" spans="1:6" x14ac:dyDescent="0.3">
      <c r="A11632" t="s">
        <v>11667</v>
      </c>
      <c r="B11632" t="s">
        <v>41</v>
      </c>
      <c r="C11632">
        <v>120000</v>
      </c>
      <c r="D11632">
        <v>908.6</v>
      </c>
      <c r="E11632">
        <v>7.2300000000000003E-2</v>
      </c>
      <c r="F11632">
        <v>9.5100000000000004E-2</v>
      </c>
    </row>
    <row r="11633" spans="1:6" x14ac:dyDescent="0.3">
      <c r="A11633" t="s">
        <v>11668</v>
      </c>
      <c r="B11633" t="s">
        <v>50</v>
      </c>
      <c r="C11633">
        <v>133000</v>
      </c>
      <c r="D11633">
        <v>5016.8999999999996</v>
      </c>
      <c r="E11633">
        <v>4.1500000000000002E-2</v>
      </c>
      <c r="F11633">
        <v>0.1535</v>
      </c>
    </row>
    <row r="11634" spans="1:6" x14ac:dyDescent="0.3">
      <c r="A11634" t="s">
        <v>11669</v>
      </c>
      <c r="B11634" t="s">
        <v>24</v>
      </c>
      <c r="C11634">
        <v>131000</v>
      </c>
      <c r="D11634">
        <v>1202.9000000000001</v>
      </c>
      <c r="E11634">
        <v>1.55E-2</v>
      </c>
      <c r="F11634">
        <v>0.1469</v>
      </c>
    </row>
    <row r="11635" spans="1:6" x14ac:dyDescent="0.3">
      <c r="A11635" t="s">
        <v>11670</v>
      </c>
      <c r="B11635" t="s">
        <v>26</v>
      </c>
      <c r="C11635">
        <v>187000</v>
      </c>
      <c r="D11635">
        <v>25065.4</v>
      </c>
      <c r="E11635">
        <v>4.7000000000000002E-3</v>
      </c>
      <c r="F11635">
        <v>6.54E-2</v>
      </c>
    </row>
    <row r="11636" spans="1:6" x14ac:dyDescent="0.3">
      <c r="A11636" t="s">
        <v>11671</v>
      </c>
      <c r="B11636" t="s">
        <v>88</v>
      </c>
      <c r="C11636">
        <v>144000</v>
      </c>
      <c r="D11636">
        <v>13.7</v>
      </c>
      <c r="E11636">
        <v>6.5199999999999994E-2</v>
      </c>
      <c r="F11636">
        <v>4.0899999999999999E-2</v>
      </c>
    </row>
    <row r="11637" spans="1:6" x14ac:dyDescent="0.3">
      <c r="A11637" t="s">
        <v>11672</v>
      </c>
      <c r="B11637" t="s">
        <v>50</v>
      </c>
      <c r="C11637">
        <v>111000</v>
      </c>
      <c r="D11637">
        <v>7928.3</v>
      </c>
      <c r="E11637">
        <v>5.5599999999999997E-2</v>
      </c>
      <c r="F11637">
        <v>9.5100000000000004E-2</v>
      </c>
    </row>
    <row r="11638" spans="1:6" x14ac:dyDescent="0.3">
      <c r="A11638" t="s">
        <v>11673</v>
      </c>
      <c r="B11638" t="s">
        <v>41</v>
      </c>
      <c r="C11638">
        <v>121000</v>
      </c>
      <c r="D11638">
        <v>10197.9</v>
      </c>
      <c r="E11638">
        <v>1.7500000000000002E-2</v>
      </c>
      <c r="F11638">
        <v>7.2599999999999998E-2</v>
      </c>
    </row>
    <row r="11639" spans="1:6" x14ac:dyDescent="0.3">
      <c r="A11639" t="s">
        <v>11674</v>
      </c>
      <c r="B11639" t="s">
        <v>26</v>
      </c>
      <c r="C11639">
        <v>165000</v>
      </c>
      <c r="D11639">
        <v>2320.8000000000002</v>
      </c>
      <c r="E11639">
        <v>2.47E-2</v>
      </c>
      <c r="F11639">
        <v>9.5100000000000004E-2</v>
      </c>
    </row>
    <row r="11640" spans="1:6" x14ac:dyDescent="0.3">
      <c r="A11640" t="s">
        <v>11675</v>
      </c>
      <c r="B11640" t="s">
        <v>41</v>
      </c>
      <c r="C11640">
        <v>113000</v>
      </c>
      <c r="D11640">
        <v>1661.6</v>
      </c>
      <c r="E11640">
        <v>1.8800000000000001E-2</v>
      </c>
      <c r="F11640">
        <v>8.5400000000000004E-2</v>
      </c>
    </row>
    <row r="11641" spans="1:6" x14ac:dyDescent="0.3">
      <c r="A11641" t="s">
        <v>11676</v>
      </c>
      <c r="B11641" t="s">
        <v>490</v>
      </c>
      <c r="C11641">
        <v>111000</v>
      </c>
      <c r="D11641">
        <v>1661.6</v>
      </c>
      <c r="E11641">
        <v>2.92E-2</v>
      </c>
      <c r="F11641">
        <v>9.3799999999999994E-2</v>
      </c>
    </row>
    <row r="11642" spans="1:6" x14ac:dyDescent="0.3">
      <c r="A11642" t="s">
        <v>11677</v>
      </c>
      <c r="B11642" t="s">
        <v>88</v>
      </c>
      <c r="C11642">
        <v>187000</v>
      </c>
      <c r="D11642">
        <v>366.4</v>
      </c>
      <c r="E11642">
        <v>0.03</v>
      </c>
      <c r="F11642">
        <v>7.5899999999999995E-2</v>
      </c>
    </row>
    <row r="11643" spans="1:6" x14ac:dyDescent="0.3">
      <c r="A11643" t="s">
        <v>11678</v>
      </c>
      <c r="B11643" t="s">
        <v>21</v>
      </c>
      <c r="C11643">
        <v>156000</v>
      </c>
      <c r="D11643">
        <v>12349.2</v>
      </c>
      <c r="E11643">
        <v>0.1139</v>
      </c>
      <c r="F11643">
        <v>9.5100000000000004E-2</v>
      </c>
    </row>
    <row r="11644" spans="1:6" x14ac:dyDescent="0.3">
      <c r="A11644" t="s">
        <v>11679</v>
      </c>
      <c r="B11644" t="s">
        <v>71</v>
      </c>
      <c r="C11644">
        <v>104000</v>
      </c>
      <c r="D11644">
        <v>429</v>
      </c>
      <c r="E11644">
        <v>3.1099999999999999E-2</v>
      </c>
      <c r="F11644">
        <v>9.5100000000000004E-2</v>
      </c>
    </row>
    <row r="11645" spans="1:6" x14ac:dyDescent="0.3">
      <c r="A11645" t="s">
        <v>11680</v>
      </c>
      <c r="B11645" t="s">
        <v>53</v>
      </c>
      <c r="C11645">
        <v>109000</v>
      </c>
      <c r="D11645">
        <v>3861.2</v>
      </c>
      <c r="E11645">
        <v>7.9000000000000001E-2</v>
      </c>
      <c r="F11645">
        <v>9.5100000000000004E-2</v>
      </c>
    </row>
    <row r="11646" spans="1:6" x14ac:dyDescent="0.3">
      <c r="A11646" t="s">
        <v>11681</v>
      </c>
      <c r="B11646" t="s">
        <v>24</v>
      </c>
      <c r="C11646">
        <v>128000</v>
      </c>
      <c r="D11646">
        <v>514.9</v>
      </c>
      <c r="E11646">
        <v>3.8699999999999998E-2</v>
      </c>
      <c r="F11646">
        <v>9.3799999999999994E-2</v>
      </c>
    </row>
    <row r="11647" spans="1:6" x14ac:dyDescent="0.3">
      <c r="A11647" t="s">
        <v>11682</v>
      </c>
      <c r="B11647" t="s">
        <v>21</v>
      </c>
      <c r="C11647">
        <v>151000</v>
      </c>
      <c r="D11647">
        <v>21310.400000000001</v>
      </c>
      <c r="E11647">
        <v>3.0200000000000001E-2</v>
      </c>
      <c r="F11647">
        <v>9.3799999999999994E-2</v>
      </c>
    </row>
    <row r="11648" spans="1:6" x14ac:dyDescent="0.3">
      <c r="A11648" t="s">
        <v>11683</v>
      </c>
      <c r="B11648" t="s">
        <v>26</v>
      </c>
      <c r="C11648">
        <v>331000</v>
      </c>
      <c r="D11648">
        <v>1173.7</v>
      </c>
      <c r="E11648">
        <v>2.0500000000000001E-2</v>
      </c>
      <c r="F11648">
        <v>8.5400000000000004E-2</v>
      </c>
    </row>
    <row r="11649" spans="1:6" x14ac:dyDescent="0.3">
      <c r="A11649" t="s">
        <v>11684</v>
      </c>
      <c r="B11649" t="s">
        <v>214</v>
      </c>
      <c r="C11649">
        <v>314000</v>
      </c>
      <c r="D11649">
        <v>94580.4</v>
      </c>
      <c r="E11649">
        <v>3.27E-2</v>
      </c>
      <c r="F11649">
        <v>4.3200000000000002E-2</v>
      </c>
    </row>
    <row r="11650" spans="1:6" x14ac:dyDescent="0.3">
      <c r="A11650" t="s">
        <v>11685</v>
      </c>
      <c r="B11650" t="s">
        <v>214</v>
      </c>
      <c r="C11650">
        <v>118000</v>
      </c>
      <c r="D11650">
        <v>911.9</v>
      </c>
      <c r="E11650">
        <v>3.2099999999999997E-2</v>
      </c>
      <c r="F11650">
        <v>9.5100000000000004E-2</v>
      </c>
    </row>
    <row r="11651" spans="1:6" x14ac:dyDescent="0.3">
      <c r="A11651" t="s">
        <v>11686</v>
      </c>
      <c r="B11651" t="s">
        <v>24</v>
      </c>
      <c r="C11651">
        <v>104000</v>
      </c>
      <c r="D11651">
        <v>493.4</v>
      </c>
      <c r="E11651">
        <v>1.7100000000000001E-2</v>
      </c>
      <c r="F11651">
        <v>0.19289999999999999</v>
      </c>
    </row>
    <row r="11652" spans="1:6" x14ac:dyDescent="0.3">
      <c r="A11652" t="s">
        <v>11687</v>
      </c>
      <c r="B11652" t="s">
        <v>53</v>
      </c>
      <c r="C11652">
        <v>107000</v>
      </c>
      <c r="D11652">
        <v>8838.2999999999993</v>
      </c>
      <c r="E11652">
        <v>6.1600000000000002E-2</v>
      </c>
      <c r="F11652">
        <v>5.0999999999999997E-2</v>
      </c>
    </row>
    <row r="11653" spans="1:6" x14ac:dyDescent="0.3">
      <c r="A11653" t="s">
        <v>11688</v>
      </c>
      <c r="B11653" t="s">
        <v>26</v>
      </c>
      <c r="C11653">
        <v>102000</v>
      </c>
      <c r="D11653">
        <v>816</v>
      </c>
      <c r="E11653">
        <v>2.8899999999999999E-2</v>
      </c>
      <c r="F11653">
        <v>0.11700000000000001</v>
      </c>
    </row>
    <row r="11654" spans="1:6" x14ac:dyDescent="0.3">
      <c r="A11654" t="s">
        <v>11689</v>
      </c>
      <c r="B11654" t="s">
        <v>287</v>
      </c>
      <c r="C11654">
        <v>104000</v>
      </c>
      <c r="D11654">
        <v>30534.5</v>
      </c>
      <c r="E11654">
        <v>7.4000000000000003E-3</v>
      </c>
      <c r="F11654">
        <v>8.2199999999999995E-2</v>
      </c>
    </row>
    <row r="11655" spans="1:6" x14ac:dyDescent="0.3">
      <c r="A11655" t="s">
        <v>11690</v>
      </c>
      <c r="B11655" t="s">
        <v>92</v>
      </c>
      <c r="C11655">
        <v>106000</v>
      </c>
      <c r="D11655">
        <v>2858.1</v>
      </c>
      <c r="E11655">
        <v>2.29E-2</v>
      </c>
      <c r="F11655">
        <v>0.15359999999999999</v>
      </c>
    </row>
    <row r="11656" spans="1:6" x14ac:dyDescent="0.3">
      <c r="A11656" t="s">
        <v>11691</v>
      </c>
      <c r="B11656" t="s">
        <v>26</v>
      </c>
      <c r="C11656">
        <v>121000</v>
      </c>
      <c r="D11656">
        <v>18543.400000000001</v>
      </c>
      <c r="E11656">
        <v>2.1000000000000001E-2</v>
      </c>
      <c r="F11656">
        <v>0.1067</v>
      </c>
    </row>
    <row r="11657" spans="1:6" x14ac:dyDescent="0.3">
      <c r="A11657" t="s">
        <v>11692</v>
      </c>
      <c r="B11657" t="s">
        <v>214</v>
      </c>
      <c r="C11657">
        <v>103000</v>
      </c>
      <c r="D11657">
        <v>36719.300000000003</v>
      </c>
      <c r="E11657">
        <v>1.23E-2</v>
      </c>
      <c r="F11657">
        <v>7.3599999999999999E-2</v>
      </c>
    </row>
    <row r="11658" spans="1:6" x14ac:dyDescent="0.3">
      <c r="A11658" t="s">
        <v>11693</v>
      </c>
      <c r="B11658" t="s">
        <v>53</v>
      </c>
      <c r="C11658">
        <v>261000</v>
      </c>
      <c r="D11658">
        <v>3403.8</v>
      </c>
      <c r="E11658">
        <v>2.98E-2</v>
      </c>
      <c r="F11658">
        <v>9.3799999999999994E-2</v>
      </c>
    </row>
    <row r="11659" spans="1:6" x14ac:dyDescent="0.3">
      <c r="A11659" t="s">
        <v>11694</v>
      </c>
      <c r="B11659" t="s">
        <v>53</v>
      </c>
      <c r="C11659">
        <v>118000</v>
      </c>
      <c r="D11659">
        <v>2181.6999999999998</v>
      </c>
      <c r="E11659">
        <v>8.1699999999999995E-2</v>
      </c>
      <c r="F11659">
        <v>9.98E-2</v>
      </c>
    </row>
    <row r="11660" spans="1:6" x14ac:dyDescent="0.3">
      <c r="A11660" t="s">
        <v>11695</v>
      </c>
      <c r="B11660" t="s">
        <v>88</v>
      </c>
      <c r="C11660">
        <v>115000</v>
      </c>
      <c r="D11660">
        <v>964.5</v>
      </c>
      <c r="E11660">
        <v>4.4999999999999998E-2</v>
      </c>
      <c r="F11660">
        <v>0.11700000000000001</v>
      </c>
    </row>
    <row r="11661" spans="1:6" x14ac:dyDescent="0.3">
      <c r="A11661" t="s">
        <v>11696</v>
      </c>
      <c r="B11661" t="s">
        <v>24</v>
      </c>
      <c r="C11661">
        <v>107000</v>
      </c>
      <c r="D11661">
        <v>12216.5</v>
      </c>
      <c r="E11661">
        <v>2.3E-2</v>
      </c>
      <c r="F11661">
        <v>5.4600000000000003E-2</v>
      </c>
    </row>
    <row r="11662" spans="1:6" x14ac:dyDescent="0.3">
      <c r="A11662" t="s">
        <v>11697</v>
      </c>
      <c r="B11662" t="s">
        <v>50</v>
      </c>
      <c r="C11662">
        <v>113000</v>
      </c>
      <c r="D11662">
        <v>50</v>
      </c>
      <c r="E11662">
        <v>1.7000000000000001E-2</v>
      </c>
      <c r="F11662">
        <v>0.28910000000000002</v>
      </c>
    </row>
    <row r="11663" spans="1:6" x14ac:dyDescent="0.3">
      <c r="A11663" t="s">
        <v>11698</v>
      </c>
      <c r="B11663" t="s">
        <v>71</v>
      </c>
      <c r="C11663">
        <v>251000</v>
      </c>
      <c r="D11663">
        <v>116716.2</v>
      </c>
      <c r="E11663">
        <v>2.4500000000000001E-2</v>
      </c>
      <c r="F11663">
        <v>5.1799999999999999E-2</v>
      </c>
    </row>
    <row r="11664" spans="1:6" x14ac:dyDescent="0.3">
      <c r="A11664" t="s">
        <v>11699</v>
      </c>
      <c r="B11664" t="s">
        <v>88</v>
      </c>
      <c r="C11664">
        <v>145000</v>
      </c>
      <c r="D11664">
        <v>4990.6000000000004</v>
      </c>
      <c r="E11664">
        <v>4.0300000000000002E-2</v>
      </c>
      <c r="F11664">
        <v>7.5899999999999995E-2</v>
      </c>
    </row>
    <row r="11665" spans="1:6" x14ac:dyDescent="0.3">
      <c r="A11665" t="s">
        <v>11700</v>
      </c>
      <c r="B11665" t="s">
        <v>26</v>
      </c>
      <c r="C11665">
        <v>140000</v>
      </c>
      <c r="D11665">
        <v>1592.5</v>
      </c>
      <c r="E11665">
        <v>6.3799999999999996E-2</v>
      </c>
      <c r="F11665">
        <v>7.5899999999999995E-2</v>
      </c>
    </row>
    <row r="11666" spans="1:6" x14ac:dyDescent="0.3">
      <c r="A11666" t="s">
        <v>11701</v>
      </c>
      <c r="B11666" t="s">
        <v>74</v>
      </c>
      <c r="C11666">
        <v>158000</v>
      </c>
      <c r="D11666">
        <v>63.7</v>
      </c>
      <c r="E11666">
        <v>1.1900000000000001E-2</v>
      </c>
      <c r="F11666">
        <v>0.2059</v>
      </c>
    </row>
    <row r="11667" spans="1:6" x14ac:dyDescent="0.3">
      <c r="A11667" t="s">
        <v>11702</v>
      </c>
      <c r="B11667" t="s">
        <v>195</v>
      </c>
      <c r="C11667">
        <v>113000</v>
      </c>
      <c r="D11667">
        <v>9212</v>
      </c>
      <c r="E11667">
        <v>4.0899999999999999E-2</v>
      </c>
      <c r="F11667">
        <v>5.1799999999999999E-2</v>
      </c>
    </row>
    <row r="11668" spans="1:6" x14ac:dyDescent="0.3">
      <c r="A11668" t="s">
        <v>11703</v>
      </c>
      <c r="B11668" t="s">
        <v>30</v>
      </c>
      <c r="C11668">
        <v>103000</v>
      </c>
      <c r="D11668">
        <v>4722.6000000000004</v>
      </c>
      <c r="E11668">
        <v>8.3000000000000001E-3</v>
      </c>
      <c r="F11668">
        <v>8.2199999999999995E-2</v>
      </c>
    </row>
    <row r="11669" spans="1:6" x14ac:dyDescent="0.3">
      <c r="A11669" t="s">
        <v>11704</v>
      </c>
      <c r="B11669" t="s">
        <v>74</v>
      </c>
      <c r="C11669">
        <v>174000</v>
      </c>
      <c r="D11669">
        <v>766.2</v>
      </c>
      <c r="E11669">
        <v>3.4299999999999997E-2</v>
      </c>
      <c r="F11669">
        <v>5.0999999999999997E-2</v>
      </c>
    </row>
    <row r="11670" spans="1:6" x14ac:dyDescent="0.3">
      <c r="A11670" t="s">
        <v>11705</v>
      </c>
      <c r="B11670" t="s">
        <v>81</v>
      </c>
      <c r="C11670">
        <v>133000</v>
      </c>
      <c r="D11670">
        <v>7247.8</v>
      </c>
      <c r="E11670">
        <v>2.6200000000000001E-2</v>
      </c>
      <c r="F11670">
        <v>8.4500000000000006E-2</v>
      </c>
    </row>
    <row r="11671" spans="1:6" x14ac:dyDescent="0.3">
      <c r="A11671" t="s">
        <v>11706</v>
      </c>
      <c r="B11671" t="s">
        <v>88</v>
      </c>
      <c r="C11671">
        <v>113000</v>
      </c>
      <c r="D11671">
        <v>1117.0999999999999</v>
      </c>
      <c r="E11671">
        <v>4.1799999999999997E-2</v>
      </c>
      <c r="F11671">
        <v>7.5899999999999995E-2</v>
      </c>
    </row>
    <row r="11672" spans="1:6" x14ac:dyDescent="0.3">
      <c r="A11672" t="s">
        <v>11707</v>
      </c>
      <c r="B11672" t="s">
        <v>490</v>
      </c>
      <c r="C11672">
        <v>103000</v>
      </c>
      <c r="D11672">
        <v>681</v>
      </c>
      <c r="E11672">
        <v>1.21E-2</v>
      </c>
      <c r="F11672">
        <v>8.2199999999999995E-2</v>
      </c>
    </row>
    <row r="11673" spans="1:6" x14ac:dyDescent="0.3">
      <c r="A11673" t="s">
        <v>11708</v>
      </c>
      <c r="B11673" t="s">
        <v>26</v>
      </c>
      <c r="C11673">
        <v>99800</v>
      </c>
      <c r="D11673">
        <v>109.6</v>
      </c>
      <c r="E11673">
        <v>0</v>
      </c>
      <c r="F11673">
        <v>6.54E-2</v>
      </c>
    </row>
    <row r="11674" spans="1:6" x14ac:dyDescent="0.3">
      <c r="A11674" t="s">
        <v>11709</v>
      </c>
      <c r="B11674" t="s">
        <v>26</v>
      </c>
      <c r="C11674">
        <v>139000</v>
      </c>
      <c r="D11674">
        <v>38738.300000000003</v>
      </c>
      <c r="E11674">
        <v>1.9099999999999999E-2</v>
      </c>
      <c r="F11674">
        <v>8.5400000000000004E-2</v>
      </c>
    </row>
    <row r="11675" spans="1:6" x14ac:dyDescent="0.3">
      <c r="A11675" t="s">
        <v>11710</v>
      </c>
      <c r="B11675" t="s">
        <v>81</v>
      </c>
      <c r="C11675">
        <v>110000</v>
      </c>
      <c r="D11675">
        <v>3092.8</v>
      </c>
      <c r="E11675">
        <v>4.41E-2</v>
      </c>
      <c r="F11675">
        <v>9.5100000000000004E-2</v>
      </c>
    </row>
    <row r="11676" spans="1:6" x14ac:dyDescent="0.3">
      <c r="A11676" t="s">
        <v>11711</v>
      </c>
      <c r="B11676" t="s">
        <v>92</v>
      </c>
      <c r="C11676">
        <v>105000</v>
      </c>
      <c r="D11676">
        <v>27685.3</v>
      </c>
      <c r="E11676">
        <v>0.04</v>
      </c>
      <c r="F11676">
        <v>9.5100000000000004E-2</v>
      </c>
    </row>
    <row r="11677" spans="1:6" x14ac:dyDescent="0.3">
      <c r="A11677" t="s">
        <v>11712</v>
      </c>
      <c r="B11677" t="s">
        <v>21</v>
      </c>
      <c r="C11677">
        <v>157000</v>
      </c>
      <c r="D11677">
        <v>109.7</v>
      </c>
      <c r="E11677">
        <v>1.9199999999999998E-2</v>
      </c>
      <c r="F11677">
        <v>0.13719999999999999</v>
      </c>
    </row>
    <row r="11678" spans="1:6" x14ac:dyDescent="0.3">
      <c r="A11678" t="s">
        <v>11713</v>
      </c>
      <c r="B11678" t="s">
        <v>88</v>
      </c>
      <c r="C11678">
        <v>145000</v>
      </c>
      <c r="D11678">
        <v>3814.5</v>
      </c>
      <c r="E11678">
        <v>3.1099999999999999E-2</v>
      </c>
      <c r="F11678">
        <v>7.5899999999999995E-2</v>
      </c>
    </row>
    <row r="11679" spans="1:6" x14ac:dyDescent="0.3">
      <c r="A11679" t="s">
        <v>11714</v>
      </c>
      <c r="B11679" t="s">
        <v>490</v>
      </c>
      <c r="C11679">
        <v>360000</v>
      </c>
      <c r="D11679">
        <v>507766.1</v>
      </c>
      <c r="E11679">
        <v>2.3699999999999999E-2</v>
      </c>
      <c r="F11679">
        <v>4.0899999999999999E-2</v>
      </c>
    </row>
    <row r="11680" spans="1:6" x14ac:dyDescent="0.3">
      <c r="A11680" t="s">
        <v>11715</v>
      </c>
      <c r="B11680" t="s">
        <v>88</v>
      </c>
      <c r="C11680">
        <v>116000</v>
      </c>
      <c r="D11680">
        <v>559.9</v>
      </c>
      <c r="E11680">
        <v>5.2600000000000001E-2</v>
      </c>
      <c r="F11680">
        <v>9.3799999999999994E-2</v>
      </c>
    </row>
    <row r="11681" spans="1:6" x14ac:dyDescent="0.3">
      <c r="A11681" t="s">
        <v>11716</v>
      </c>
      <c r="B11681" t="s">
        <v>81</v>
      </c>
      <c r="C11681">
        <v>103000</v>
      </c>
      <c r="D11681">
        <v>1569.4</v>
      </c>
      <c r="E11681">
        <v>8.6E-3</v>
      </c>
      <c r="F11681">
        <v>8.2199999999999995E-2</v>
      </c>
    </row>
    <row r="11682" spans="1:6" x14ac:dyDescent="0.3">
      <c r="A11682" t="s">
        <v>11717</v>
      </c>
      <c r="B11682" t="s">
        <v>92</v>
      </c>
      <c r="C11682">
        <v>240000</v>
      </c>
      <c r="D11682">
        <v>5676.9</v>
      </c>
      <c r="E11682">
        <v>1.32E-2</v>
      </c>
      <c r="F11682">
        <v>8.1100000000000005E-2</v>
      </c>
    </row>
    <row r="11683" spans="1:6" x14ac:dyDescent="0.3">
      <c r="A11683" t="s">
        <v>11718</v>
      </c>
      <c r="B11683" t="s">
        <v>88</v>
      </c>
      <c r="C11683">
        <v>198000</v>
      </c>
      <c r="D11683">
        <v>2135.8000000000002</v>
      </c>
      <c r="E11683">
        <v>3.1E-2</v>
      </c>
      <c r="F11683">
        <v>7.5899999999999995E-2</v>
      </c>
    </row>
    <row r="11684" spans="1:6" x14ac:dyDescent="0.3">
      <c r="A11684" t="s">
        <v>11719</v>
      </c>
      <c r="B11684" t="s">
        <v>88</v>
      </c>
      <c r="C11684">
        <v>111000</v>
      </c>
      <c r="D11684">
        <v>106576.7</v>
      </c>
      <c r="E11684">
        <v>1.24E-2</v>
      </c>
      <c r="F11684">
        <v>0.1067</v>
      </c>
    </row>
    <row r="11685" spans="1:6" x14ac:dyDescent="0.3">
      <c r="A11685" t="s">
        <v>11720</v>
      </c>
      <c r="B11685" t="s">
        <v>92</v>
      </c>
      <c r="C11685">
        <v>124000</v>
      </c>
      <c r="D11685">
        <v>2025.4</v>
      </c>
      <c r="E11685">
        <v>2.2499999999999999E-2</v>
      </c>
      <c r="F11685">
        <v>0.1067</v>
      </c>
    </row>
    <row r="11686" spans="1:6" x14ac:dyDescent="0.3">
      <c r="A11686" t="s">
        <v>11721</v>
      </c>
      <c r="B11686" t="s">
        <v>24</v>
      </c>
      <c r="C11686">
        <v>108000</v>
      </c>
      <c r="D11686">
        <v>23108.9</v>
      </c>
      <c r="E11686">
        <v>1.8700000000000001E-2</v>
      </c>
      <c r="F11686">
        <v>9.5100000000000004E-2</v>
      </c>
    </row>
    <row r="11687" spans="1:6" x14ac:dyDescent="0.3">
      <c r="A11687" t="s">
        <v>11722</v>
      </c>
      <c r="B11687" t="s">
        <v>214</v>
      </c>
      <c r="C11687">
        <v>204000</v>
      </c>
      <c r="D11687">
        <v>3376</v>
      </c>
      <c r="E11687">
        <v>1.8100000000000002E-2</v>
      </c>
      <c r="F11687">
        <v>8.5400000000000004E-2</v>
      </c>
    </row>
    <row r="11688" spans="1:6" x14ac:dyDescent="0.3">
      <c r="A11688" t="s">
        <v>11723</v>
      </c>
      <c r="B11688" t="s">
        <v>88</v>
      </c>
      <c r="C11688">
        <v>150000</v>
      </c>
      <c r="D11688">
        <v>6426.3</v>
      </c>
      <c r="E11688">
        <v>3.0300000000000001E-2</v>
      </c>
      <c r="F11688">
        <v>0.16880000000000001</v>
      </c>
    </row>
    <row r="11689" spans="1:6" x14ac:dyDescent="0.3">
      <c r="A11689" t="s">
        <v>11724</v>
      </c>
      <c r="B11689" t="s">
        <v>88</v>
      </c>
      <c r="C11689">
        <v>109000</v>
      </c>
      <c r="D11689">
        <v>4223.3999999999996</v>
      </c>
      <c r="E11689">
        <v>2.7400000000000001E-2</v>
      </c>
      <c r="F11689">
        <v>9.5100000000000004E-2</v>
      </c>
    </row>
    <row r="11690" spans="1:6" x14ac:dyDescent="0.3">
      <c r="A11690" t="s">
        <v>11725</v>
      </c>
      <c r="B11690" t="s">
        <v>24</v>
      </c>
      <c r="C11690">
        <v>217000</v>
      </c>
      <c r="D11690">
        <v>7368.8</v>
      </c>
      <c r="E11690">
        <v>2.1899999999999999E-2</v>
      </c>
      <c r="F11690">
        <v>8.5400000000000004E-2</v>
      </c>
    </row>
    <row r="11691" spans="1:6" x14ac:dyDescent="0.3">
      <c r="A11691" t="s">
        <v>11726</v>
      </c>
      <c r="B11691" t="s">
        <v>26</v>
      </c>
      <c r="C11691">
        <v>120000</v>
      </c>
      <c r="D11691">
        <v>112089.5</v>
      </c>
      <c r="E11691">
        <v>2.7300000000000001E-2</v>
      </c>
      <c r="F11691">
        <v>9.5100000000000004E-2</v>
      </c>
    </row>
    <row r="11692" spans="1:6" x14ac:dyDescent="0.3">
      <c r="A11692" t="s">
        <v>11727</v>
      </c>
      <c r="B11692" t="s">
        <v>88</v>
      </c>
      <c r="C11692">
        <v>243000</v>
      </c>
      <c r="D11692">
        <v>10944.2</v>
      </c>
      <c r="E11692">
        <v>4.4400000000000002E-2</v>
      </c>
      <c r="F11692">
        <v>7.5899999999999995E-2</v>
      </c>
    </row>
    <row r="11693" spans="1:6" x14ac:dyDescent="0.3">
      <c r="A11693" t="s">
        <v>11728</v>
      </c>
      <c r="B11693" t="s">
        <v>41</v>
      </c>
      <c r="C11693">
        <v>127000</v>
      </c>
      <c r="D11693">
        <v>4178.3999999999996</v>
      </c>
      <c r="E11693">
        <v>4.8500000000000001E-2</v>
      </c>
      <c r="F11693">
        <v>9.5100000000000004E-2</v>
      </c>
    </row>
    <row r="11694" spans="1:6" x14ac:dyDescent="0.3">
      <c r="A11694" t="s">
        <v>11729</v>
      </c>
      <c r="B11694" t="s">
        <v>92</v>
      </c>
      <c r="C11694">
        <v>244000</v>
      </c>
      <c r="D11694">
        <v>1815629.7</v>
      </c>
      <c r="E11694">
        <v>2.9899999999999999E-2</v>
      </c>
      <c r="F11694">
        <v>5.1799999999999999E-2</v>
      </c>
    </row>
    <row r="11695" spans="1:6" x14ac:dyDescent="0.3">
      <c r="A11695" t="s">
        <v>11730</v>
      </c>
      <c r="B11695" t="s">
        <v>214</v>
      </c>
      <c r="C11695">
        <v>192000</v>
      </c>
      <c r="D11695">
        <v>5502.4</v>
      </c>
      <c r="E11695">
        <v>4.0800000000000003E-2</v>
      </c>
      <c r="F11695">
        <v>7.5899999999999995E-2</v>
      </c>
    </row>
    <row r="11696" spans="1:6" x14ac:dyDescent="0.3">
      <c r="A11696" t="s">
        <v>11731</v>
      </c>
      <c r="B11696" t="s">
        <v>71</v>
      </c>
      <c r="C11696">
        <v>102000</v>
      </c>
      <c r="D11696">
        <v>2482.6</v>
      </c>
      <c r="E11696">
        <v>1.5800000000000002E-2</v>
      </c>
      <c r="F11696">
        <v>6.5699999999999995E-2</v>
      </c>
    </row>
    <row r="11697" spans="1:6" x14ac:dyDescent="0.3">
      <c r="A11697" t="s">
        <v>11732</v>
      </c>
      <c r="B11697" t="s">
        <v>26</v>
      </c>
      <c r="C11697">
        <v>105000</v>
      </c>
      <c r="D11697">
        <v>67</v>
      </c>
      <c r="E11697">
        <v>0.15679999999999999</v>
      </c>
      <c r="F11697">
        <v>9.5100000000000004E-2</v>
      </c>
    </row>
    <row r="11698" spans="1:6" x14ac:dyDescent="0.3">
      <c r="A11698" t="s">
        <v>11733</v>
      </c>
      <c r="B11698" t="s">
        <v>74</v>
      </c>
      <c r="C11698">
        <v>142000</v>
      </c>
      <c r="D11698">
        <v>638.29999999999995</v>
      </c>
      <c r="E11698">
        <v>3.1800000000000002E-2</v>
      </c>
      <c r="F11698">
        <v>0.1066</v>
      </c>
    </row>
    <row r="11699" spans="1:6" x14ac:dyDescent="0.3">
      <c r="A11699" t="s">
        <v>11734</v>
      </c>
      <c r="B11699" t="s">
        <v>24</v>
      </c>
      <c r="C11699">
        <v>146000</v>
      </c>
      <c r="D11699">
        <v>126.7</v>
      </c>
      <c r="E11699">
        <v>4.8099999999999997E-2</v>
      </c>
      <c r="F11699">
        <v>5.0999999999999997E-2</v>
      </c>
    </row>
    <row r="11700" spans="1:6" x14ac:dyDescent="0.3">
      <c r="A11700" t="s">
        <v>11735</v>
      </c>
      <c r="B11700" t="s">
        <v>74</v>
      </c>
      <c r="C11700">
        <v>196000</v>
      </c>
      <c r="D11700">
        <v>794.5</v>
      </c>
      <c r="E11700">
        <v>4.1700000000000001E-2</v>
      </c>
      <c r="F11700">
        <v>7.5899999999999995E-2</v>
      </c>
    </row>
    <row r="11701" spans="1:6" x14ac:dyDescent="0.3">
      <c r="A11701" t="s">
        <v>11736</v>
      </c>
      <c r="B11701" t="s">
        <v>26</v>
      </c>
      <c r="C11701">
        <v>176000</v>
      </c>
      <c r="D11701">
        <v>87595.9</v>
      </c>
      <c r="E11701">
        <v>2.8000000000000001E-2</v>
      </c>
      <c r="F11701">
        <v>9.3799999999999994E-2</v>
      </c>
    </row>
    <row r="11702" spans="1:6" x14ac:dyDescent="0.3">
      <c r="A11702" t="s">
        <v>11737</v>
      </c>
      <c r="B11702" t="s">
        <v>92</v>
      </c>
      <c r="C11702">
        <v>118000</v>
      </c>
      <c r="D11702">
        <v>4370</v>
      </c>
      <c r="E11702">
        <v>6.13E-2</v>
      </c>
      <c r="F11702">
        <v>7.5899999999999995E-2</v>
      </c>
    </row>
    <row r="11703" spans="1:6" x14ac:dyDescent="0.3">
      <c r="A11703" t="s">
        <v>11738</v>
      </c>
      <c r="B11703" t="s">
        <v>490</v>
      </c>
      <c r="C11703">
        <v>100000</v>
      </c>
      <c r="D11703">
        <v>4383.8</v>
      </c>
      <c r="F11703">
        <v>7.5899999999999995E-2</v>
      </c>
    </row>
    <row r="11704" spans="1:6" x14ac:dyDescent="0.3">
      <c r="A11704" t="s">
        <v>11739</v>
      </c>
      <c r="B11704" t="s">
        <v>41</v>
      </c>
      <c r="C11704">
        <v>124000</v>
      </c>
      <c r="D11704">
        <v>50807.5</v>
      </c>
      <c r="E11704">
        <v>2.7699999999999999E-2</v>
      </c>
      <c r="F11704">
        <v>9.5100000000000004E-2</v>
      </c>
    </row>
    <row r="11705" spans="1:6" x14ac:dyDescent="0.3">
      <c r="A11705" t="s">
        <v>11740</v>
      </c>
      <c r="B11705" t="s">
        <v>88</v>
      </c>
      <c r="C11705">
        <v>102000</v>
      </c>
      <c r="D11705">
        <v>1616.5</v>
      </c>
      <c r="E11705">
        <v>2.9499999999999998E-2</v>
      </c>
      <c r="F11705">
        <v>5.1799999999999999E-2</v>
      </c>
    </row>
    <row r="11706" spans="1:6" x14ac:dyDescent="0.3">
      <c r="A11706" t="s">
        <v>11741</v>
      </c>
      <c r="B11706" t="s">
        <v>88</v>
      </c>
      <c r="C11706">
        <v>160000</v>
      </c>
      <c r="D11706">
        <v>79.5</v>
      </c>
      <c r="E11706">
        <v>4.9200000000000001E-2</v>
      </c>
      <c r="F11706">
        <v>9.3799999999999994E-2</v>
      </c>
    </row>
    <row r="11707" spans="1:6" x14ac:dyDescent="0.3">
      <c r="A11707" t="s">
        <v>11742</v>
      </c>
      <c r="B11707" t="s">
        <v>50</v>
      </c>
      <c r="C11707">
        <v>112000</v>
      </c>
      <c r="D11707">
        <v>12504.6</v>
      </c>
      <c r="E11707">
        <v>6.2799999999999995E-2</v>
      </c>
      <c r="F11707">
        <v>9.5100000000000004E-2</v>
      </c>
    </row>
    <row r="11708" spans="1:6" x14ac:dyDescent="0.3">
      <c r="A11708" t="s">
        <v>11743</v>
      </c>
      <c r="B11708" t="s">
        <v>88</v>
      </c>
      <c r="C11708">
        <v>120000</v>
      </c>
      <c r="D11708">
        <v>330.5</v>
      </c>
      <c r="E11708">
        <v>3.4299999999999997E-2</v>
      </c>
      <c r="F11708">
        <v>5.0999999999999997E-2</v>
      </c>
    </row>
    <row r="11709" spans="1:6" x14ac:dyDescent="0.3">
      <c r="A11709" t="s">
        <v>11744</v>
      </c>
      <c r="B11709" t="s">
        <v>81</v>
      </c>
      <c r="C11709">
        <v>420000</v>
      </c>
      <c r="D11709">
        <v>6906.9</v>
      </c>
      <c r="E11709">
        <v>2.9899999999999999E-2</v>
      </c>
      <c r="F11709">
        <v>0.51390000000000002</v>
      </c>
    </row>
    <row r="11710" spans="1:6" x14ac:dyDescent="0.3">
      <c r="A11710" t="s">
        <v>11745</v>
      </c>
      <c r="B11710" t="s">
        <v>71</v>
      </c>
      <c r="C11710">
        <v>112000</v>
      </c>
      <c r="D11710">
        <v>914</v>
      </c>
      <c r="E11710">
        <v>1.17E-2</v>
      </c>
      <c r="F11710">
        <v>6.54E-2</v>
      </c>
    </row>
    <row r="11711" spans="1:6" x14ac:dyDescent="0.3">
      <c r="A11711" t="s">
        <v>11746</v>
      </c>
      <c r="B11711" t="s">
        <v>53</v>
      </c>
      <c r="C11711">
        <v>100000</v>
      </c>
      <c r="D11711">
        <v>1845.3</v>
      </c>
      <c r="E11711">
        <v>7.4999999999999997E-2</v>
      </c>
      <c r="F11711">
        <v>9.5100000000000004E-2</v>
      </c>
    </row>
    <row r="11712" spans="1:6" x14ac:dyDescent="0.3">
      <c r="A11712" t="s">
        <v>11747</v>
      </c>
      <c r="B11712" t="s">
        <v>26</v>
      </c>
      <c r="C11712">
        <v>100000</v>
      </c>
      <c r="D11712">
        <v>36620.1</v>
      </c>
      <c r="E11712">
        <v>2.3300000000000001E-2</v>
      </c>
      <c r="F11712">
        <v>5.1799999999999999E-2</v>
      </c>
    </row>
    <row r="11713" spans="1:6" x14ac:dyDescent="0.3">
      <c r="A11713" t="s">
        <v>11748</v>
      </c>
      <c r="B11713" t="s">
        <v>26</v>
      </c>
      <c r="C11713">
        <v>107000</v>
      </c>
      <c r="D11713">
        <v>13559.7</v>
      </c>
      <c r="E11713">
        <v>3.5299999999999998E-2</v>
      </c>
      <c r="F11713">
        <v>9.5100000000000004E-2</v>
      </c>
    </row>
    <row r="11714" spans="1:6" x14ac:dyDescent="0.3">
      <c r="A11714" t="s">
        <v>11749</v>
      </c>
      <c r="B11714" t="s">
        <v>214</v>
      </c>
      <c r="C11714">
        <v>117000</v>
      </c>
      <c r="D11714">
        <v>49499</v>
      </c>
      <c r="E11714">
        <v>1.95E-2</v>
      </c>
      <c r="F11714">
        <v>0.1067</v>
      </c>
    </row>
    <row r="11715" spans="1:6" x14ac:dyDescent="0.3">
      <c r="A11715" t="s">
        <v>11750</v>
      </c>
      <c r="B11715" t="s">
        <v>287</v>
      </c>
      <c r="C11715">
        <v>99400</v>
      </c>
      <c r="D11715">
        <v>1251.5999999999999</v>
      </c>
      <c r="E11715">
        <v>2.4899999999999999E-2</v>
      </c>
      <c r="F11715">
        <v>5.1799999999999999E-2</v>
      </c>
    </row>
    <row r="11716" spans="1:6" x14ac:dyDescent="0.3">
      <c r="A11716" t="s">
        <v>11751</v>
      </c>
      <c r="B11716" t="s">
        <v>88</v>
      </c>
      <c r="C11716">
        <v>179000</v>
      </c>
      <c r="D11716">
        <v>3390.8</v>
      </c>
      <c r="E11716">
        <v>3.7999999999999999E-2</v>
      </c>
      <c r="F11716">
        <v>9.5100000000000004E-2</v>
      </c>
    </row>
    <row r="11717" spans="1:6" x14ac:dyDescent="0.3">
      <c r="A11717" t="s">
        <v>11752</v>
      </c>
      <c r="B11717" t="s">
        <v>32</v>
      </c>
      <c r="C11717">
        <v>162000</v>
      </c>
      <c r="D11717">
        <v>181396.3</v>
      </c>
      <c r="E11717">
        <v>1.2999999999999999E-2</v>
      </c>
      <c r="F11717">
        <v>9.1499999999999998E-2</v>
      </c>
    </row>
    <row r="11718" spans="1:6" x14ac:dyDescent="0.3">
      <c r="A11718" t="s">
        <v>11753</v>
      </c>
      <c r="B11718" t="s">
        <v>81</v>
      </c>
      <c r="C11718">
        <v>134000</v>
      </c>
      <c r="D11718">
        <v>9399.9</v>
      </c>
      <c r="E11718">
        <v>2.87E-2</v>
      </c>
      <c r="F11718">
        <v>9.5100000000000004E-2</v>
      </c>
    </row>
    <row r="11719" spans="1:6" x14ac:dyDescent="0.3">
      <c r="A11719" t="s">
        <v>11754</v>
      </c>
      <c r="B11719" t="s">
        <v>88</v>
      </c>
      <c r="C11719">
        <v>138000</v>
      </c>
      <c r="D11719">
        <v>134.80000000000001</v>
      </c>
      <c r="E11719">
        <v>2.3800000000000002E-2</v>
      </c>
      <c r="F11719">
        <v>0.13869999999999999</v>
      </c>
    </row>
    <row r="11720" spans="1:6" x14ac:dyDescent="0.3">
      <c r="A11720" t="s">
        <v>11755</v>
      </c>
      <c r="B11720" t="s">
        <v>81</v>
      </c>
      <c r="C11720">
        <v>113000</v>
      </c>
      <c r="D11720">
        <v>3459.1</v>
      </c>
      <c r="E11720">
        <v>1.5800000000000002E-2</v>
      </c>
      <c r="F11720">
        <v>7.7499999999999999E-2</v>
      </c>
    </row>
    <row r="11721" spans="1:6" x14ac:dyDescent="0.3">
      <c r="A11721" t="s">
        <v>11756</v>
      </c>
      <c r="B11721" t="s">
        <v>88</v>
      </c>
      <c r="C11721">
        <v>155000</v>
      </c>
      <c r="D11721">
        <v>3059.1</v>
      </c>
      <c r="E11721">
        <v>2.8799999999999999E-2</v>
      </c>
      <c r="F11721">
        <v>9.5100000000000004E-2</v>
      </c>
    </row>
    <row r="11722" spans="1:6" x14ac:dyDescent="0.3">
      <c r="A11722" t="s">
        <v>11757</v>
      </c>
      <c r="B11722" t="s">
        <v>53</v>
      </c>
      <c r="C11722">
        <v>115000</v>
      </c>
      <c r="D11722">
        <v>2337.6999999999998</v>
      </c>
      <c r="E11722">
        <v>0.15279999999999999</v>
      </c>
      <c r="F11722">
        <v>5.3800000000000001E-2</v>
      </c>
    </row>
    <row r="11723" spans="1:6" x14ac:dyDescent="0.3">
      <c r="A11723" t="s">
        <v>11758</v>
      </c>
      <c r="B11723" t="s">
        <v>26</v>
      </c>
      <c r="C11723">
        <v>197000</v>
      </c>
      <c r="D11723">
        <v>51.4</v>
      </c>
      <c r="E11723">
        <v>0.1502</v>
      </c>
      <c r="F11723">
        <v>9.3799999999999994E-2</v>
      </c>
    </row>
    <row r="11724" spans="1:6" x14ac:dyDescent="0.3">
      <c r="A11724" t="s">
        <v>11759</v>
      </c>
      <c r="B11724" t="s">
        <v>92</v>
      </c>
      <c r="C11724">
        <v>106000</v>
      </c>
      <c r="D11724">
        <v>1446.4</v>
      </c>
      <c r="E11724">
        <v>5.0000000000000001E-3</v>
      </c>
      <c r="F11724">
        <v>8.2199999999999995E-2</v>
      </c>
    </row>
    <row r="11725" spans="1:6" x14ac:dyDescent="0.3">
      <c r="A11725" t="s">
        <v>11760</v>
      </c>
      <c r="B11725" t="s">
        <v>26</v>
      </c>
      <c r="C11725">
        <v>123000</v>
      </c>
      <c r="D11725">
        <v>977.3</v>
      </c>
      <c r="E11725">
        <v>2.7000000000000001E-3</v>
      </c>
      <c r="F11725">
        <v>0.37119999999999997</v>
      </c>
    </row>
    <row r="11726" spans="1:6" x14ac:dyDescent="0.3">
      <c r="A11726" t="s">
        <v>11761</v>
      </c>
      <c r="B11726" t="s">
        <v>26</v>
      </c>
      <c r="C11726">
        <v>127000</v>
      </c>
      <c r="D11726">
        <v>321.8</v>
      </c>
      <c r="E11726">
        <v>1.7100000000000001E-2</v>
      </c>
      <c r="F11726">
        <v>0.13739999999999999</v>
      </c>
    </row>
    <row r="11727" spans="1:6" x14ac:dyDescent="0.3">
      <c r="A11727" t="s">
        <v>11762</v>
      </c>
      <c r="B11727" t="s">
        <v>41</v>
      </c>
      <c r="C11727">
        <v>115000</v>
      </c>
      <c r="D11727">
        <v>1163.2</v>
      </c>
      <c r="E11727">
        <v>3.73E-2</v>
      </c>
      <c r="F11727">
        <v>9.5100000000000004E-2</v>
      </c>
    </row>
    <row r="11728" spans="1:6" x14ac:dyDescent="0.3">
      <c r="A11728" t="s">
        <v>11763</v>
      </c>
      <c r="B11728" t="s">
        <v>26</v>
      </c>
      <c r="C11728">
        <v>153000</v>
      </c>
      <c r="D11728">
        <v>766.8</v>
      </c>
      <c r="E11728">
        <v>8.5000000000000006E-3</v>
      </c>
      <c r="F11728">
        <v>8.2199999999999995E-2</v>
      </c>
    </row>
    <row r="11729" spans="1:6" x14ac:dyDescent="0.3">
      <c r="A11729" t="s">
        <v>11764</v>
      </c>
      <c r="B11729" t="s">
        <v>81</v>
      </c>
      <c r="C11729">
        <v>102000</v>
      </c>
      <c r="D11729">
        <v>974969.1</v>
      </c>
      <c r="E11729">
        <v>2.2000000000000001E-3</v>
      </c>
      <c r="F11729">
        <v>0.31890000000000002</v>
      </c>
    </row>
    <row r="11730" spans="1:6" x14ac:dyDescent="0.3">
      <c r="A11730" t="s">
        <v>11765</v>
      </c>
      <c r="B11730" t="s">
        <v>26</v>
      </c>
      <c r="C11730">
        <v>192000</v>
      </c>
      <c r="D11730">
        <v>6927.3</v>
      </c>
      <c r="E11730">
        <v>5.1400000000000001E-2</v>
      </c>
      <c r="F11730">
        <v>7.5899999999999995E-2</v>
      </c>
    </row>
    <row r="11731" spans="1:6" x14ac:dyDescent="0.3">
      <c r="A11731" t="s">
        <v>11766</v>
      </c>
      <c r="B11731" t="s">
        <v>24</v>
      </c>
      <c r="C11731">
        <v>290000</v>
      </c>
      <c r="D11731">
        <v>23844.1</v>
      </c>
      <c r="E11731">
        <v>8.3000000000000001E-3</v>
      </c>
      <c r="F11731">
        <v>0.10580000000000001</v>
      </c>
    </row>
    <row r="11732" spans="1:6" x14ac:dyDescent="0.3">
      <c r="A11732" t="s">
        <v>11767</v>
      </c>
      <c r="B11732" t="s">
        <v>24</v>
      </c>
      <c r="C11732">
        <v>163000</v>
      </c>
      <c r="D11732">
        <v>318.3</v>
      </c>
      <c r="E11732">
        <v>1.77E-2</v>
      </c>
      <c r="F11732">
        <v>5.7599999999999998E-2</v>
      </c>
    </row>
    <row r="11733" spans="1:6" x14ac:dyDescent="0.3">
      <c r="A11733" t="s">
        <v>11768</v>
      </c>
      <c r="B11733" t="s">
        <v>214</v>
      </c>
      <c r="C11733">
        <v>120000</v>
      </c>
      <c r="D11733">
        <v>2041</v>
      </c>
      <c r="E11733">
        <v>2.2700000000000001E-2</v>
      </c>
      <c r="F11733">
        <v>9.5100000000000004E-2</v>
      </c>
    </row>
    <row r="11734" spans="1:6" x14ac:dyDescent="0.3">
      <c r="A11734" t="s">
        <v>11769</v>
      </c>
      <c r="B11734" t="s">
        <v>195</v>
      </c>
      <c r="C11734">
        <v>165000</v>
      </c>
      <c r="D11734">
        <v>7677.6</v>
      </c>
      <c r="F11734">
        <v>4.3200000000000002E-2</v>
      </c>
    </row>
    <row r="11735" spans="1:6" x14ac:dyDescent="0.3">
      <c r="A11735" t="s">
        <v>11770</v>
      </c>
      <c r="B11735" t="s">
        <v>26</v>
      </c>
      <c r="C11735">
        <v>109000</v>
      </c>
      <c r="D11735">
        <v>3025.2</v>
      </c>
      <c r="E11735">
        <v>1.2699999999999999E-2</v>
      </c>
      <c r="F11735">
        <v>0.13270000000000001</v>
      </c>
    </row>
    <row r="11736" spans="1:6" x14ac:dyDescent="0.3">
      <c r="A11736" t="s">
        <v>11771</v>
      </c>
      <c r="B11736" t="s">
        <v>62</v>
      </c>
      <c r="C11736">
        <v>1030000</v>
      </c>
      <c r="D11736">
        <v>46398</v>
      </c>
      <c r="E11736">
        <v>5.8200000000000002E-2</v>
      </c>
      <c r="F11736">
        <v>9.3799999999999994E-2</v>
      </c>
    </row>
    <row r="11737" spans="1:6" x14ac:dyDescent="0.3">
      <c r="A11737" t="s">
        <v>11772</v>
      </c>
      <c r="B11737" t="s">
        <v>26</v>
      </c>
      <c r="C11737">
        <v>101000</v>
      </c>
      <c r="D11737">
        <v>1218.4000000000001</v>
      </c>
      <c r="E11737">
        <v>2.35E-2</v>
      </c>
      <c r="F11737">
        <v>5.1799999999999999E-2</v>
      </c>
    </row>
    <row r="11738" spans="1:6" x14ac:dyDescent="0.3">
      <c r="A11738" t="s">
        <v>11773</v>
      </c>
      <c r="B11738" t="s">
        <v>74</v>
      </c>
      <c r="C11738">
        <v>119000</v>
      </c>
      <c r="D11738">
        <v>10485.1</v>
      </c>
      <c r="E11738">
        <v>4.2000000000000003E-2</v>
      </c>
      <c r="F11738">
        <v>9.5100000000000004E-2</v>
      </c>
    </row>
    <row r="11739" spans="1:6" x14ac:dyDescent="0.3">
      <c r="A11739" t="s">
        <v>11774</v>
      </c>
      <c r="B11739" t="s">
        <v>71</v>
      </c>
      <c r="C11739">
        <v>116000</v>
      </c>
      <c r="D11739">
        <v>17913.3</v>
      </c>
      <c r="E11739">
        <v>2.5100000000000001E-2</v>
      </c>
      <c r="F11739">
        <v>9.5100000000000004E-2</v>
      </c>
    </row>
    <row r="11740" spans="1:6" x14ac:dyDescent="0.3">
      <c r="A11740" t="s">
        <v>11775</v>
      </c>
      <c r="B11740" t="s">
        <v>41</v>
      </c>
      <c r="C11740">
        <v>99700</v>
      </c>
      <c r="D11740">
        <v>1464.6</v>
      </c>
      <c r="E11740">
        <v>5.6800000000000003E-2</v>
      </c>
      <c r="F11740">
        <v>9.5100000000000004E-2</v>
      </c>
    </row>
    <row r="11741" spans="1:6" x14ac:dyDescent="0.3">
      <c r="A11741" t="s">
        <v>11776</v>
      </c>
      <c r="B11741" t="s">
        <v>74</v>
      </c>
      <c r="C11741">
        <v>121000</v>
      </c>
      <c r="D11741">
        <v>5468.9</v>
      </c>
      <c r="E11741">
        <v>4.1200000000000001E-2</v>
      </c>
      <c r="F11741">
        <v>9.5100000000000004E-2</v>
      </c>
    </row>
    <row r="11742" spans="1:6" x14ac:dyDescent="0.3">
      <c r="A11742" t="s">
        <v>11777</v>
      </c>
      <c r="B11742" t="s">
        <v>88</v>
      </c>
      <c r="C11742">
        <v>191000</v>
      </c>
      <c r="D11742">
        <v>1690.5</v>
      </c>
      <c r="E11742">
        <v>3.1899999999999998E-2</v>
      </c>
      <c r="F11742">
        <v>0.1109</v>
      </c>
    </row>
    <row r="11743" spans="1:6" x14ac:dyDescent="0.3">
      <c r="A11743" t="s">
        <v>11778</v>
      </c>
      <c r="B11743" t="s">
        <v>41</v>
      </c>
      <c r="C11743">
        <v>102000</v>
      </c>
      <c r="D11743">
        <v>665.5</v>
      </c>
      <c r="E11743">
        <v>4.0800000000000003E-2</v>
      </c>
      <c r="F11743">
        <v>0.2651</v>
      </c>
    </row>
    <row r="11744" spans="1:6" x14ac:dyDescent="0.3">
      <c r="A11744" t="s">
        <v>11779</v>
      </c>
      <c r="B11744" t="s">
        <v>24</v>
      </c>
      <c r="C11744">
        <v>119000</v>
      </c>
      <c r="D11744">
        <v>2170.1</v>
      </c>
      <c r="E11744">
        <v>6.8900000000000003E-2</v>
      </c>
      <c r="F11744">
        <v>7.5899999999999995E-2</v>
      </c>
    </row>
    <row r="11745" spans="1:6" x14ac:dyDescent="0.3">
      <c r="A11745" t="s">
        <v>11780</v>
      </c>
      <c r="B11745" t="s">
        <v>26</v>
      </c>
      <c r="C11745">
        <v>102000</v>
      </c>
      <c r="D11745">
        <v>1097.2</v>
      </c>
      <c r="E11745">
        <v>3.8399999999999997E-2</v>
      </c>
      <c r="F11745">
        <v>7.5899999999999995E-2</v>
      </c>
    </row>
    <row r="11746" spans="1:6" x14ac:dyDescent="0.3">
      <c r="A11746" t="s">
        <v>11781</v>
      </c>
      <c r="B11746" t="s">
        <v>195</v>
      </c>
      <c r="C11746">
        <v>169000</v>
      </c>
      <c r="D11746">
        <v>7866.4</v>
      </c>
      <c r="E11746">
        <v>1.43E-2</v>
      </c>
      <c r="F11746">
        <v>7.2599999999999998E-2</v>
      </c>
    </row>
    <row r="11747" spans="1:6" x14ac:dyDescent="0.3">
      <c r="A11747" t="s">
        <v>11782</v>
      </c>
      <c r="B11747" t="s">
        <v>62</v>
      </c>
      <c r="C11747">
        <v>120000</v>
      </c>
      <c r="D11747">
        <v>942.1</v>
      </c>
      <c r="E11747">
        <v>2.1399999999999999E-2</v>
      </c>
      <c r="F11747">
        <v>4.6199999999999998E-2</v>
      </c>
    </row>
    <row r="11748" spans="1:6" x14ac:dyDescent="0.3">
      <c r="A11748" t="s">
        <v>11783</v>
      </c>
      <c r="B11748" t="s">
        <v>26</v>
      </c>
      <c r="C11748">
        <v>104000</v>
      </c>
      <c r="D11748">
        <v>3821.6</v>
      </c>
      <c r="E11748">
        <v>5.6099999999999997E-2</v>
      </c>
      <c r="F11748">
        <v>7.5899999999999995E-2</v>
      </c>
    </row>
    <row r="11749" spans="1:6" x14ac:dyDescent="0.3">
      <c r="A11749" t="s">
        <v>11784</v>
      </c>
      <c r="B11749" t="s">
        <v>88</v>
      </c>
      <c r="C11749">
        <v>154000</v>
      </c>
      <c r="D11749">
        <v>1695.1</v>
      </c>
      <c r="E11749">
        <v>5.45E-2</v>
      </c>
      <c r="F11749">
        <v>9.3799999999999994E-2</v>
      </c>
    </row>
    <row r="11750" spans="1:6" x14ac:dyDescent="0.3">
      <c r="A11750" t="s">
        <v>11785</v>
      </c>
      <c r="B11750" t="s">
        <v>26</v>
      </c>
      <c r="C11750">
        <v>131000</v>
      </c>
      <c r="D11750">
        <v>67765.600000000006</v>
      </c>
      <c r="E11750">
        <v>2.46E-2</v>
      </c>
      <c r="F11750">
        <v>5.8400000000000001E-2</v>
      </c>
    </row>
    <row r="11751" spans="1:6" x14ac:dyDescent="0.3">
      <c r="A11751" t="s">
        <v>11786</v>
      </c>
      <c r="B11751" t="s">
        <v>26</v>
      </c>
      <c r="C11751">
        <v>236000</v>
      </c>
      <c r="D11751">
        <v>6359.4</v>
      </c>
      <c r="E11751">
        <v>2.9700000000000001E-2</v>
      </c>
      <c r="F11751">
        <v>9.3799999999999994E-2</v>
      </c>
    </row>
    <row r="11752" spans="1:6" x14ac:dyDescent="0.3">
      <c r="A11752" t="s">
        <v>11787</v>
      </c>
      <c r="B11752" t="s">
        <v>24</v>
      </c>
      <c r="C11752">
        <v>113000</v>
      </c>
      <c r="D11752">
        <v>2184.1</v>
      </c>
      <c r="E11752">
        <v>4.8800000000000003E-2</v>
      </c>
      <c r="F11752">
        <v>9.3799999999999994E-2</v>
      </c>
    </row>
    <row r="11753" spans="1:6" x14ac:dyDescent="0.3">
      <c r="A11753" t="s">
        <v>11788</v>
      </c>
      <c r="B11753" t="s">
        <v>26</v>
      </c>
      <c r="C11753">
        <v>98600</v>
      </c>
      <c r="D11753">
        <v>4204.8999999999996</v>
      </c>
      <c r="E11753">
        <v>2.0400000000000001E-2</v>
      </c>
      <c r="F11753">
        <v>0.1067</v>
      </c>
    </row>
    <row r="11754" spans="1:6" x14ac:dyDescent="0.3">
      <c r="A11754" t="s">
        <v>11789</v>
      </c>
      <c r="B11754" t="s">
        <v>92</v>
      </c>
      <c r="C11754">
        <v>102000</v>
      </c>
      <c r="D11754">
        <v>1272.8</v>
      </c>
      <c r="E11754">
        <v>1.24E-2</v>
      </c>
      <c r="F11754">
        <v>5.8400000000000001E-2</v>
      </c>
    </row>
    <row r="11755" spans="1:6" x14ac:dyDescent="0.3">
      <c r="A11755" t="s">
        <v>11790</v>
      </c>
      <c r="B11755" t="s">
        <v>26</v>
      </c>
      <c r="C11755">
        <v>100000</v>
      </c>
      <c r="D11755">
        <v>136.9</v>
      </c>
      <c r="E11755">
        <v>5.79E-2</v>
      </c>
      <c r="F11755">
        <v>9.5100000000000004E-2</v>
      </c>
    </row>
    <row r="11756" spans="1:6" x14ac:dyDescent="0.3">
      <c r="A11756" t="s">
        <v>11791</v>
      </c>
      <c r="B11756" t="s">
        <v>88</v>
      </c>
      <c r="C11756">
        <v>117000</v>
      </c>
      <c r="D11756">
        <v>6901.7</v>
      </c>
      <c r="E11756">
        <v>1.26E-2</v>
      </c>
      <c r="F11756">
        <v>0.13089999999999999</v>
      </c>
    </row>
    <row r="11757" spans="1:6" x14ac:dyDescent="0.3">
      <c r="A11757" t="s">
        <v>11792</v>
      </c>
      <c r="B11757" t="s">
        <v>214</v>
      </c>
      <c r="C11757">
        <v>393000</v>
      </c>
      <c r="D11757">
        <v>20959.2</v>
      </c>
      <c r="E11757">
        <v>1.54E-2</v>
      </c>
      <c r="F11757">
        <v>4.6199999999999998E-2</v>
      </c>
    </row>
    <row r="11758" spans="1:6" x14ac:dyDescent="0.3">
      <c r="A11758" t="s">
        <v>11793</v>
      </c>
      <c r="B11758" t="s">
        <v>35</v>
      </c>
      <c r="C11758">
        <v>309000</v>
      </c>
      <c r="D11758">
        <v>155022.5</v>
      </c>
      <c r="E11758">
        <v>4.6899999999999997E-2</v>
      </c>
      <c r="F11758">
        <v>7.5899999999999995E-2</v>
      </c>
    </row>
    <row r="11759" spans="1:6" x14ac:dyDescent="0.3">
      <c r="A11759" t="s">
        <v>11794</v>
      </c>
      <c r="B11759" t="s">
        <v>92</v>
      </c>
      <c r="C11759">
        <v>103000</v>
      </c>
      <c r="D11759">
        <v>813.3</v>
      </c>
      <c r="E11759">
        <v>5.6800000000000003E-2</v>
      </c>
      <c r="F11759">
        <v>0.12429999999999999</v>
      </c>
    </row>
    <row r="11760" spans="1:6" x14ac:dyDescent="0.3">
      <c r="A11760" t="s">
        <v>11795</v>
      </c>
      <c r="B11760" t="s">
        <v>74</v>
      </c>
      <c r="C11760">
        <v>197000</v>
      </c>
      <c r="D11760">
        <v>1582.1</v>
      </c>
      <c r="E11760">
        <v>3.6200000000000003E-2</v>
      </c>
      <c r="F11760">
        <v>0.1241</v>
      </c>
    </row>
    <row r="11761" spans="1:6" x14ac:dyDescent="0.3">
      <c r="A11761" t="s">
        <v>11796</v>
      </c>
      <c r="B11761" t="s">
        <v>21</v>
      </c>
      <c r="C11761">
        <v>391000</v>
      </c>
      <c r="D11761">
        <v>6057.2</v>
      </c>
      <c r="E11761">
        <v>1.04E-2</v>
      </c>
      <c r="F11761">
        <v>8.2199999999999995E-2</v>
      </c>
    </row>
    <row r="11762" spans="1:6" x14ac:dyDescent="0.3">
      <c r="A11762" t="s">
        <v>11797</v>
      </c>
      <c r="B11762" t="s">
        <v>41</v>
      </c>
      <c r="C11762">
        <v>136000</v>
      </c>
      <c r="D11762">
        <v>6076.2</v>
      </c>
      <c r="E11762">
        <v>0.125</v>
      </c>
      <c r="F11762">
        <v>7.5899999999999995E-2</v>
      </c>
    </row>
    <row r="11763" spans="1:6" x14ac:dyDescent="0.3">
      <c r="A11763" t="s">
        <v>11798</v>
      </c>
      <c r="B11763" t="s">
        <v>88</v>
      </c>
      <c r="C11763">
        <v>232000</v>
      </c>
      <c r="D11763">
        <v>4041.9</v>
      </c>
      <c r="E11763">
        <v>4.1200000000000001E-2</v>
      </c>
      <c r="F11763">
        <v>7.5899999999999995E-2</v>
      </c>
    </row>
    <row r="11764" spans="1:6" x14ac:dyDescent="0.3">
      <c r="A11764" t="s">
        <v>11799</v>
      </c>
      <c r="B11764" t="s">
        <v>62</v>
      </c>
      <c r="C11764">
        <v>109000</v>
      </c>
      <c r="D11764">
        <v>4190368.5</v>
      </c>
      <c r="E11764">
        <v>5.7000000000000002E-3</v>
      </c>
      <c r="F11764">
        <v>0.2072</v>
      </c>
    </row>
    <row r="11765" spans="1:6" x14ac:dyDescent="0.3">
      <c r="A11765" t="s">
        <v>11800</v>
      </c>
      <c r="B11765" t="s">
        <v>26</v>
      </c>
      <c r="C11765">
        <v>164000</v>
      </c>
      <c r="D11765">
        <v>19847.7</v>
      </c>
      <c r="E11765">
        <v>5.8799999999999998E-2</v>
      </c>
      <c r="F11765">
        <v>7.5899999999999995E-2</v>
      </c>
    </row>
    <row r="11766" spans="1:6" x14ac:dyDescent="0.3">
      <c r="A11766" t="s">
        <v>11801</v>
      </c>
      <c r="B11766" t="s">
        <v>26</v>
      </c>
      <c r="C11766">
        <v>110000</v>
      </c>
      <c r="D11766">
        <v>517</v>
      </c>
      <c r="E11766">
        <v>6.4600000000000005E-2</v>
      </c>
      <c r="F11766">
        <v>9.5100000000000004E-2</v>
      </c>
    </row>
    <row r="11767" spans="1:6" x14ac:dyDescent="0.3">
      <c r="A11767" t="s">
        <v>11802</v>
      </c>
      <c r="B11767" t="s">
        <v>26</v>
      </c>
      <c r="C11767">
        <v>106000</v>
      </c>
      <c r="D11767">
        <v>2758.3</v>
      </c>
      <c r="E11767">
        <v>9.7000000000000003E-3</v>
      </c>
      <c r="F11767">
        <v>0.15359999999999999</v>
      </c>
    </row>
    <row r="11768" spans="1:6" x14ac:dyDescent="0.3">
      <c r="A11768" t="s">
        <v>11803</v>
      </c>
      <c r="B11768" t="s">
        <v>214</v>
      </c>
      <c r="C11768">
        <v>109000</v>
      </c>
      <c r="D11768">
        <v>1744.2</v>
      </c>
      <c r="E11768">
        <v>3.5499999999999997E-2</v>
      </c>
      <c r="F11768">
        <v>7.5899999999999995E-2</v>
      </c>
    </row>
    <row r="11769" spans="1:6" x14ac:dyDescent="0.3">
      <c r="A11769" t="s">
        <v>11804</v>
      </c>
      <c r="B11769" t="s">
        <v>214</v>
      </c>
      <c r="C11769">
        <v>233000</v>
      </c>
      <c r="D11769">
        <v>649.5</v>
      </c>
      <c r="E11769">
        <v>1.2699999999999999E-2</v>
      </c>
      <c r="F11769">
        <v>5.7599999999999998E-2</v>
      </c>
    </row>
    <row r="11770" spans="1:6" x14ac:dyDescent="0.3">
      <c r="A11770" t="s">
        <v>11805</v>
      </c>
      <c r="B11770" t="s">
        <v>26</v>
      </c>
      <c r="C11770">
        <v>149000</v>
      </c>
      <c r="D11770">
        <v>325.89999999999998</v>
      </c>
      <c r="E11770">
        <v>5.4300000000000001E-2</v>
      </c>
      <c r="F11770">
        <v>0.58779999999999999</v>
      </c>
    </row>
    <row r="11771" spans="1:6" x14ac:dyDescent="0.3">
      <c r="A11771" t="s">
        <v>11806</v>
      </c>
      <c r="B11771" t="s">
        <v>88</v>
      </c>
      <c r="C11771">
        <v>119000</v>
      </c>
      <c r="D11771">
        <v>8065.5</v>
      </c>
      <c r="E11771">
        <v>1.12E-2</v>
      </c>
      <c r="F11771">
        <v>8.6599999999999996E-2</v>
      </c>
    </row>
    <row r="11772" spans="1:6" x14ac:dyDescent="0.3">
      <c r="A11772" t="s">
        <v>11807</v>
      </c>
      <c r="B11772" t="s">
        <v>26</v>
      </c>
      <c r="C11772">
        <v>149000</v>
      </c>
      <c r="D11772">
        <v>19337.8</v>
      </c>
      <c r="E11772">
        <v>2.35E-2</v>
      </c>
      <c r="F11772">
        <v>7.5899999999999995E-2</v>
      </c>
    </row>
    <row r="11773" spans="1:6" x14ac:dyDescent="0.3">
      <c r="A11773" t="s">
        <v>11808</v>
      </c>
      <c r="B11773" t="s">
        <v>26</v>
      </c>
      <c r="C11773">
        <v>114000</v>
      </c>
      <c r="D11773">
        <v>471.5</v>
      </c>
      <c r="E11773">
        <v>2.9600000000000001E-2</v>
      </c>
      <c r="F11773">
        <v>9.5100000000000004E-2</v>
      </c>
    </row>
    <row r="11774" spans="1:6" x14ac:dyDescent="0.3">
      <c r="A11774" t="s">
        <v>11809</v>
      </c>
      <c r="B11774" t="s">
        <v>92</v>
      </c>
      <c r="C11774">
        <v>103000</v>
      </c>
      <c r="D11774">
        <v>131986.1</v>
      </c>
      <c r="E11774">
        <v>1.6400000000000001E-2</v>
      </c>
      <c r="F11774">
        <v>9.5000000000000001E-2</v>
      </c>
    </row>
    <row r="11775" spans="1:6" x14ac:dyDescent="0.3">
      <c r="A11775" t="s">
        <v>11810</v>
      </c>
      <c r="B11775" t="s">
        <v>26</v>
      </c>
      <c r="C11775">
        <v>557000</v>
      </c>
      <c r="D11775">
        <v>82511.8</v>
      </c>
      <c r="E11775">
        <v>2.4899999999999999E-2</v>
      </c>
      <c r="F11775">
        <v>4.0899999999999999E-2</v>
      </c>
    </row>
    <row r="11776" spans="1:6" x14ac:dyDescent="0.3">
      <c r="A11776" t="s">
        <v>11811</v>
      </c>
      <c r="B11776" t="s">
        <v>26</v>
      </c>
      <c r="C11776">
        <v>400000</v>
      </c>
      <c r="D11776">
        <v>757.6</v>
      </c>
      <c r="E11776">
        <v>1.34E-2</v>
      </c>
      <c r="F11776">
        <v>8.1100000000000005E-2</v>
      </c>
    </row>
    <row r="11777" spans="1:6" x14ac:dyDescent="0.3">
      <c r="A11777" t="s">
        <v>11812</v>
      </c>
      <c r="B11777" t="s">
        <v>88</v>
      </c>
      <c r="C11777">
        <v>130000</v>
      </c>
      <c r="D11777">
        <v>8748.2999999999993</v>
      </c>
      <c r="E11777">
        <v>4.2099999999999999E-2</v>
      </c>
      <c r="F11777">
        <v>7.5899999999999995E-2</v>
      </c>
    </row>
    <row r="11778" spans="1:6" x14ac:dyDescent="0.3">
      <c r="A11778" t="s">
        <v>11813</v>
      </c>
      <c r="B11778" t="s">
        <v>92</v>
      </c>
      <c r="C11778">
        <v>111000</v>
      </c>
      <c r="D11778">
        <v>2360.5</v>
      </c>
      <c r="E11778">
        <v>2.0400000000000001E-2</v>
      </c>
      <c r="F11778">
        <v>0.18859999999999999</v>
      </c>
    </row>
    <row r="11779" spans="1:6" x14ac:dyDescent="0.3">
      <c r="A11779" t="s">
        <v>11814</v>
      </c>
      <c r="B11779" t="s">
        <v>92</v>
      </c>
      <c r="C11779">
        <v>117000</v>
      </c>
      <c r="D11779">
        <v>6724.7</v>
      </c>
      <c r="E11779">
        <v>4.8800000000000003E-2</v>
      </c>
      <c r="F11779">
        <v>7.5899999999999995E-2</v>
      </c>
    </row>
    <row r="11780" spans="1:6" x14ac:dyDescent="0.3">
      <c r="A11780" t="s">
        <v>11815</v>
      </c>
      <c r="B11780" t="s">
        <v>26</v>
      </c>
      <c r="C11780">
        <v>104000</v>
      </c>
      <c r="D11780">
        <v>169.3</v>
      </c>
      <c r="E11780">
        <v>5.9700000000000003E-2</v>
      </c>
      <c r="F11780">
        <v>9.5100000000000004E-2</v>
      </c>
    </row>
    <row r="11781" spans="1:6" x14ac:dyDescent="0.3">
      <c r="A11781" t="s">
        <v>11816</v>
      </c>
      <c r="B11781" t="s">
        <v>41</v>
      </c>
      <c r="C11781">
        <v>115000</v>
      </c>
      <c r="D11781">
        <v>40038.400000000001</v>
      </c>
      <c r="E11781">
        <v>8.6E-3</v>
      </c>
      <c r="F11781">
        <v>8.2199999999999995E-2</v>
      </c>
    </row>
    <row r="11782" spans="1:6" x14ac:dyDescent="0.3">
      <c r="A11782" t="s">
        <v>11817</v>
      </c>
      <c r="B11782" t="s">
        <v>26</v>
      </c>
      <c r="C11782">
        <v>277000</v>
      </c>
      <c r="D11782">
        <v>1172.7</v>
      </c>
      <c r="E11782">
        <v>3.9699999999999999E-2</v>
      </c>
      <c r="F11782">
        <v>9.5100000000000004E-2</v>
      </c>
    </row>
    <row r="11783" spans="1:6" x14ac:dyDescent="0.3">
      <c r="A11783" t="s">
        <v>11818</v>
      </c>
      <c r="B11783" t="s">
        <v>214</v>
      </c>
      <c r="C11783">
        <v>145000</v>
      </c>
      <c r="D11783">
        <v>1149.5</v>
      </c>
      <c r="E11783">
        <v>7.4999999999999997E-3</v>
      </c>
      <c r="F11783">
        <v>0.10580000000000001</v>
      </c>
    </row>
    <row r="11784" spans="1:6" x14ac:dyDescent="0.3">
      <c r="A11784" t="s">
        <v>11819</v>
      </c>
      <c r="B11784" t="s">
        <v>62</v>
      </c>
      <c r="C11784">
        <v>769000</v>
      </c>
      <c r="D11784">
        <v>6840.4</v>
      </c>
      <c r="E11784">
        <v>4.4600000000000001E-2</v>
      </c>
      <c r="F11784">
        <v>7.5899999999999995E-2</v>
      </c>
    </row>
    <row r="11785" spans="1:6" x14ac:dyDescent="0.3">
      <c r="A11785" t="s">
        <v>11820</v>
      </c>
      <c r="B11785" t="s">
        <v>26</v>
      </c>
      <c r="C11785">
        <v>144000</v>
      </c>
      <c r="D11785">
        <v>618.79999999999995</v>
      </c>
      <c r="F11785">
        <v>5.0999999999999997E-2</v>
      </c>
    </row>
    <row r="11786" spans="1:6" x14ac:dyDescent="0.3">
      <c r="A11786" t="s">
        <v>11821</v>
      </c>
      <c r="B11786" t="s">
        <v>92</v>
      </c>
      <c r="C11786">
        <v>198000</v>
      </c>
      <c r="D11786">
        <v>2658.6</v>
      </c>
      <c r="E11786">
        <v>9.9000000000000008E-3</v>
      </c>
      <c r="F11786">
        <v>6.54E-2</v>
      </c>
    </row>
    <row r="11787" spans="1:6" x14ac:dyDescent="0.3">
      <c r="A11787" t="s">
        <v>11822</v>
      </c>
      <c r="B11787" t="s">
        <v>26</v>
      </c>
      <c r="C11787">
        <v>231000</v>
      </c>
      <c r="D11787">
        <v>54032.3</v>
      </c>
      <c r="E11787">
        <v>1.84E-2</v>
      </c>
      <c r="F11787">
        <v>8.5400000000000004E-2</v>
      </c>
    </row>
    <row r="11788" spans="1:6" x14ac:dyDescent="0.3">
      <c r="A11788" t="s">
        <v>11823</v>
      </c>
      <c r="B11788" t="s">
        <v>74</v>
      </c>
      <c r="C11788">
        <v>140000</v>
      </c>
      <c r="D11788">
        <v>2533.5</v>
      </c>
      <c r="E11788">
        <v>2.9600000000000001E-2</v>
      </c>
      <c r="F11788">
        <v>8.4500000000000006E-2</v>
      </c>
    </row>
    <row r="11789" spans="1:6" x14ac:dyDescent="0.3">
      <c r="A11789" t="s">
        <v>11824</v>
      </c>
      <c r="B11789" t="s">
        <v>26</v>
      </c>
      <c r="C11789">
        <v>104000</v>
      </c>
      <c r="D11789">
        <v>610.9</v>
      </c>
      <c r="E11789">
        <v>1.11E-2</v>
      </c>
      <c r="F11789">
        <v>0.22939999999999999</v>
      </c>
    </row>
    <row r="11790" spans="1:6" x14ac:dyDescent="0.3">
      <c r="A11790" t="s">
        <v>11825</v>
      </c>
      <c r="B11790" t="s">
        <v>88</v>
      </c>
      <c r="C11790">
        <v>99300</v>
      </c>
      <c r="D11790">
        <v>1541.7</v>
      </c>
      <c r="E11790">
        <v>4.19E-2</v>
      </c>
      <c r="F11790">
        <v>4.0899999999999999E-2</v>
      </c>
    </row>
    <row r="11791" spans="1:6" x14ac:dyDescent="0.3">
      <c r="A11791" t="s">
        <v>11826</v>
      </c>
      <c r="B11791" t="s">
        <v>24</v>
      </c>
      <c r="C11791">
        <v>136000</v>
      </c>
      <c r="D11791">
        <v>1284.7</v>
      </c>
      <c r="E11791">
        <v>4.2999999999999997E-2</v>
      </c>
      <c r="F11791">
        <v>7.5899999999999995E-2</v>
      </c>
    </row>
    <row r="11792" spans="1:6" x14ac:dyDescent="0.3">
      <c r="A11792" t="s">
        <v>11827</v>
      </c>
      <c r="B11792" t="s">
        <v>71</v>
      </c>
      <c r="C11792">
        <v>119000</v>
      </c>
      <c r="D11792">
        <v>152.69999999999999</v>
      </c>
      <c r="E11792">
        <v>1.1900000000000001E-2</v>
      </c>
      <c r="F11792">
        <v>0.1113</v>
      </c>
    </row>
    <row r="11793" spans="1:6" x14ac:dyDescent="0.3">
      <c r="A11793" t="s">
        <v>11828</v>
      </c>
      <c r="B11793" t="s">
        <v>26</v>
      </c>
      <c r="C11793">
        <v>160000</v>
      </c>
      <c r="D11793">
        <v>8701.6</v>
      </c>
      <c r="E11793">
        <v>4.7300000000000002E-2</v>
      </c>
      <c r="F11793">
        <v>9.98E-2</v>
      </c>
    </row>
    <row r="11794" spans="1:6" x14ac:dyDescent="0.3">
      <c r="A11794" t="s">
        <v>11829</v>
      </c>
      <c r="B11794" t="s">
        <v>88</v>
      </c>
      <c r="C11794">
        <v>187000</v>
      </c>
      <c r="D11794">
        <v>6951.4</v>
      </c>
      <c r="E11794">
        <v>4.6100000000000002E-2</v>
      </c>
      <c r="F11794">
        <v>9.3799999999999994E-2</v>
      </c>
    </row>
    <row r="11795" spans="1:6" x14ac:dyDescent="0.3">
      <c r="A11795" t="s">
        <v>11830</v>
      </c>
      <c r="B11795" t="s">
        <v>74</v>
      </c>
      <c r="C11795">
        <v>194000</v>
      </c>
      <c r="D11795">
        <v>3246.5</v>
      </c>
      <c r="E11795">
        <v>2.53E-2</v>
      </c>
      <c r="F11795">
        <v>6.7199999999999996E-2</v>
      </c>
    </row>
    <row r="11796" spans="1:6" x14ac:dyDescent="0.3">
      <c r="A11796" t="s">
        <v>11831</v>
      </c>
      <c r="B11796" t="s">
        <v>88</v>
      </c>
      <c r="C11796">
        <v>140000</v>
      </c>
      <c r="D11796">
        <v>1220.0999999999999</v>
      </c>
      <c r="E11796">
        <v>4.4900000000000002E-2</v>
      </c>
      <c r="F11796">
        <v>7.5899999999999995E-2</v>
      </c>
    </row>
    <row r="11797" spans="1:6" x14ac:dyDescent="0.3">
      <c r="A11797" t="s">
        <v>11832</v>
      </c>
      <c r="B11797" t="s">
        <v>26</v>
      </c>
      <c r="C11797">
        <v>381000</v>
      </c>
      <c r="D11797">
        <v>152380.29999999999</v>
      </c>
      <c r="E11797">
        <v>2.5100000000000001E-2</v>
      </c>
      <c r="F11797">
        <v>4.0899999999999999E-2</v>
      </c>
    </row>
    <row r="11798" spans="1:6" x14ac:dyDescent="0.3">
      <c r="A11798" t="s">
        <v>11833</v>
      </c>
      <c r="B11798" t="s">
        <v>71</v>
      </c>
      <c r="C11798">
        <v>103000</v>
      </c>
      <c r="D11798">
        <v>890.7</v>
      </c>
      <c r="E11798">
        <v>4.1599999999999998E-2</v>
      </c>
      <c r="F11798">
        <v>9.98E-2</v>
      </c>
    </row>
    <row r="11799" spans="1:6" x14ac:dyDescent="0.3">
      <c r="A11799" t="s">
        <v>11834</v>
      </c>
      <c r="B11799" t="s">
        <v>195</v>
      </c>
      <c r="C11799">
        <v>116000</v>
      </c>
      <c r="D11799">
        <v>103.7</v>
      </c>
      <c r="E11799">
        <v>2.6599999999999999E-2</v>
      </c>
      <c r="F11799">
        <v>0.15989999999999999</v>
      </c>
    </row>
    <row r="11800" spans="1:6" x14ac:dyDescent="0.3">
      <c r="A11800" t="s">
        <v>11835</v>
      </c>
      <c r="B11800" t="s">
        <v>21</v>
      </c>
      <c r="C11800">
        <v>144000</v>
      </c>
      <c r="D11800">
        <v>13838.8</v>
      </c>
      <c r="E11800">
        <v>1.6500000000000001E-2</v>
      </c>
      <c r="F11800">
        <v>9.5000000000000001E-2</v>
      </c>
    </row>
    <row r="11801" spans="1:6" x14ac:dyDescent="0.3">
      <c r="A11801" t="s">
        <v>11836</v>
      </c>
      <c r="B11801" t="s">
        <v>92</v>
      </c>
      <c r="C11801">
        <v>144000</v>
      </c>
      <c r="D11801">
        <v>2382.6</v>
      </c>
      <c r="E11801">
        <v>2.9899999999999999E-2</v>
      </c>
      <c r="F11801">
        <v>7.5899999999999995E-2</v>
      </c>
    </row>
    <row r="11802" spans="1:6" x14ac:dyDescent="0.3">
      <c r="A11802" t="s">
        <v>11837</v>
      </c>
      <c r="B11802" t="s">
        <v>26</v>
      </c>
      <c r="C11802">
        <v>109000</v>
      </c>
      <c r="D11802">
        <v>5187.8</v>
      </c>
      <c r="E11802">
        <v>3.9600000000000003E-2</v>
      </c>
      <c r="F11802">
        <v>5.1799999999999999E-2</v>
      </c>
    </row>
    <row r="11803" spans="1:6" x14ac:dyDescent="0.3">
      <c r="A11803" t="s">
        <v>11838</v>
      </c>
      <c r="B11803" t="s">
        <v>26</v>
      </c>
      <c r="C11803">
        <v>167000</v>
      </c>
      <c r="D11803">
        <v>3405.9</v>
      </c>
      <c r="E11803">
        <v>1.1299999999999999E-2</v>
      </c>
      <c r="F11803">
        <v>0.14710000000000001</v>
      </c>
    </row>
    <row r="11804" spans="1:6" x14ac:dyDescent="0.3">
      <c r="A11804" t="s">
        <v>11839</v>
      </c>
      <c r="B11804" t="s">
        <v>214</v>
      </c>
      <c r="C11804">
        <v>109000</v>
      </c>
      <c r="D11804">
        <v>4973.1000000000004</v>
      </c>
      <c r="E11804">
        <v>2.7400000000000001E-2</v>
      </c>
      <c r="F11804">
        <v>5.1799999999999999E-2</v>
      </c>
    </row>
    <row r="11805" spans="1:6" x14ac:dyDescent="0.3">
      <c r="A11805" t="s">
        <v>11840</v>
      </c>
      <c r="B11805" t="s">
        <v>88</v>
      </c>
      <c r="C11805">
        <v>126000</v>
      </c>
      <c r="D11805">
        <v>2361.3000000000002</v>
      </c>
      <c r="E11805">
        <v>2.12E-2</v>
      </c>
      <c r="F11805">
        <v>5.8500000000000003E-2</v>
      </c>
    </row>
    <row r="11806" spans="1:6" x14ac:dyDescent="0.3">
      <c r="A11806" t="s">
        <v>11841</v>
      </c>
      <c r="B11806" t="s">
        <v>26</v>
      </c>
      <c r="C11806">
        <v>105000</v>
      </c>
      <c r="D11806">
        <v>16602.3</v>
      </c>
      <c r="E11806">
        <v>2.6599999999999999E-2</v>
      </c>
      <c r="F11806">
        <v>8.4500000000000006E-2</v>
      </c>
    </row>
    <row r="11807" spans="1:6" x14ac:dyDescent="0.3">
      <c r="A11807" t="s">
        <v>11842</v>
      </c>
      <c r="B11807" t="s">
        <v>88</v>
      </c>
      <c r="C11807">
        <v>102000</v>
      </c>
      <c r="D11807">
        <v>1515.1</v>
      </c>
      <c r="E11807">
        <v>1.3299999999999999E-2</v>
      </c>
      <c r="F11807">
        <v>8.2199999999999995E-2</v>
      </c>
    </row>
    <row r="11808" spans="1:6" x14ac:dyDescent="0.3">
      <c r="A11808" t="s">
        <v>11843</v>
      </c>
      <c r="B11808" t="s">
        <v>26</v>
      </c>
      <c r="C11808">
        <v>125000</v>
      </c>
      <c r="D11808">
        <v>190186.5</v>
      </c>
      <c r="F11808">
        <v>5.1799999999999999E-2</v>
      </c>
    </row>
    <row r="11809" spans="1:6" x14ac:dyDescent="0.3">
      <c r="A11809" t="s">
        <v>11844</v>
      </c>
      <c r="B11809" t="s">
        <v>88</v>
      </c>
      <c r="C11809">
        <v>100000</v>
      </c>
      <c r="D11809">
        <v>388.6</v>
      </c>
      <c r="E11809">
        <v>3.1399999999999997E-2</v>
      </c>
      <c r="F11809">
        <v>5.1799999999999999E-2</v>
      </c>
    </row>
    <row r="11810" spans="1:6" x14ac:dyDescent="0.3">
      <c r="A11810" t="s">
        <v>11845</v>
      </c>
      <c r="B11810" t="s">
        <v>88</v>
      </c>
      <c r="C11810">
        <v>177000</v>
      </c>
      <c r="D11810">
        <v>1648</v>
      </c>
      <c r="E11810">
        <v>2.8899999999999999E-2</v>
      </c>
      <c r="F11810">
        <v>4.3200000000000002E-2</v>
      </c>
    </row>
    <row r="11811" spans="1:6" x14ac:dyDescent="0.3">
      <c r="A11811" t="s">
        <v>11846</v>
      </c>
      <c r="B11811" t="s">
        <v>26</v>
      </c>
      <c r="C11811">
        <v>116000</v>
      </c>
      <c r="D11811">
        <v>6544.1</v>
      </c>
      <c r="E11811">
        <v>2.7E-2</v>
      </c>
      <c r="F11811">
        <v>7.5899999999999995E-2</v>
      </c>
    </row>
    <row r="11812" spans="1:6" x14ac:dyDescent="0.3">
      <c r="A11812" t="s">
        <v>11847</v>
      </c>
      <c r="B11812" t="s">
        <v>62</v>
      </c>
      <c r="C11812">
        <v>110000</v>
      </c>
      <c r="D11812">
        <v>596.29999999999995</v>
      </c>
      <c r="E11812">
        <v>9.5399999999999999E-2</v>
      </c>
      <c r="F11812">
        <v>9.5000000000000001E-2</v>
      </c>
    </row>
    <row r="11813" spans="1:6" x14ac:dyDescent="0.3">
      <c r="A11813" t="s">
        <v>11848</v>
      </c>
      <c r="B11813" t="s">
        <v>26</v>
      </c>
      <c r="C11813">
        <v>121000</v>
      </c>
      <c r="D11813">
        <v>1004.4</v>
      </c>
      <c r="E11813">
        <v>3.49E-2</v>
      </c>
      <c r="F11813">
        <v>0.30099999999999999</v>
      </c>
    </row>
    <row r="11814" spans="1:6" x14ac:dyDescent="0.3">
      <c r="A11814" t="s">
        <v>11849</v>
      </c>
      <c r="B11814" t="s">
        <v>26</v>
      </c>
      <c r="C11814">
        <v>115000</v>
      </c>
      <c r="D11814">
        <v>728.2</v>
      </c>
      <c r="E11814">
        <v>1.12E-2</v>
      </c>
      <c r="F11814">
        <v>6.54E-2</v>
      </c>
    </row>
    <row r="11815" spans="1:6" x14ac:dyDescent="0.3">
      <c r="A11815" t="s">
        <v>11850</v>
      </c>
      <c r="B11815" t="s">
        <v>195</v>
      </c>
      <c r="C11815">
        <v>165000</v>
      </c>
      <c r="D11815">
        <v>150128.79999999999</v>
      </c>
      <c r="E11815">
        <v>2.5100000000000001E-2</v>
      </c>
      <c r="F11815">
        <v>7.5899999999999995E-2</v>
      </c>
    </row>
    <row r="11816" spans="1:6" x14ac:dyDescent="0.3">
      <c r="A11816" t="s">
        <v>11851</v>
      </c>
      <c r="B11816" t="s">
        <v>50</v>
      </c>
      <c r="C11816">
        <v>251000</v>
      </c>
      <c r="D11816">
        <v>208.5</v>
      </c>
      <c r="E11816">
        <v>8.6999999999999994E-3</v>
      </c>
      <c r="F11816">
        <v>6.54E-2</v>
      </c>
    </row>
    <row r="11817" spans="1:6" x14ac:dyDescent="0.3">
      <c r="A11817" t="s">
        <v>11852</v>
      </c>
      <c r="B11817" t="s">
        <v>62</v>
      </c>
      <c r="C11817">
        <v>96800</v>
      </c>
      <c r="D11817">
        <v>529.5</v>
      </c>
      <c r="E11817">
        <v>0.15</v>
      </c>
      <c r="F11817">
        <v>5.1799999999999999E-2</v>
      </c>
    </row>
    <row r="11818" spans="1:6" x14ac:dyDescent="0.3">
      <c r="A11818" t="s">
        <v>11853</v>
      </c>
      <c r="B11818" t="s">
        <v>26</v>
      </c>
      <c r="C11818">
        <v>104000</v>
      </c>
      <c r="D11818">
        <v>945.6</v>
      </c>
      <c r="E11818">
        <v>2.2499999999999999E-2</v>
      </c>
      <c r="F11818">
        <v>9.5100000000000004E-2</v>
      </c>
    </row>
    <row r="11819" spans="1:6" x14ac:dyDescent="0.3">
      <c r="A11819" t="s">
        <v>11854</v>
      </c>
      <c r="B11819" t="s">
        <v>62</v>
      </c>
      <c r="C11819">
        <v>100000</v>
      </c>
      <c r="D11819">
        <v>184.2</v>
      </c>
      <c r="E11819">
        <v>2.5000000000000001E-2</v>
      </c>
      <c r="F11819">
        <v>0.1119</v>
      </c>
    </row>
    <row r="11820" spans="1:6" x14ac:dyDescent="0.3">
      <c r="A11820" t="s">
        <v>11855</v>
      </c>
      <c r="B11820" t="s">
        <v>26</v>
      </c>
      <c r="C11820">
        <v>112000</v>
      </c>
      <c r="D11820">
        <v>992.1</v>
      </c>
      <c r="E11820">
        <v>4.4699999999999997E-2</v>
      </c>
      <c r="F11820">
        <v>9.5100000000000004E-2</v>
      </c>
    </row>
    <row r="11821" spans="1:6" x14ac:dyDescent="0.3">
      <c r="A11821" t="s">
        <v>11856</v>
      </c>
      <c r="B11821" t="s">
        <v>30</v>
      </c>
      <c r="C11821">
        <v>108000</v>
      </c>
      <c r="D11821">
        <v>4207014.5999999996</v>
      </c>
      <c r="E11821">
        <v>1.7299999999999999E-2</v>
      </c>
      <c r="F11821">
        <v>6.1600000000000002E-2</v>
      </c>
    </row>
    <row r="11822" spans="1:6" x14ac:dyDescent="0.3">
      <c r="A11822" t="s">
        <v>11857</v>
      </c>
      <c r="B11822" t="s">
        <v>92</v>
      </c>
      <c r="C11822">
        <v>170000</v>
      </c>
      <c r="D11822">
        <v>1106</v>
      </c>
      <c r="E11822">
        <v>1.2E-2</v>
      </c>
      <c r="F11822">
        <v>5.8400000000000001E-2</v>
      </c>
    </row>
    <row r="11823" spans="1:6" x14ac:dyDescent="0.3">
      <c r="A11823" t="s">
        <v>11858</v>
      </c>
      <c r="B11823" t="s">
        <v>214</v>
      </c>
      <c r="C11823">
        <v>97700</v>
      </c>
      <c r="D11823">
        <v>3449.9</v>
      </c>
      <c r="E11823">
        <v>4.6100000000000002E-2</v>
      </c>
      <c r="F11823">
        <v>9.5100000000000004E-2</v>
      </c>
    </row>
    <row r="11824" spans="1:6" x14ac:dyDescent="0.3">
      <c r="A11824" t="s">
        <v>11859</v>
      </c>
      <c r="B11824" t="s">
        <v>28</v>
      </c>
      <c r="C11824">
        <v>117000</v>
      </c>
      <c r="D11824">
        <v>1441543.5</v>
      </c>
      <c r="E11824">
        <v>1.6999999999999999E-3</v>
      </c>
      <c r="F11824">
        <v>8.2199999999999995E-2</v>
      </c>
    </row>
    <row r="11825" spans="1:6" x14ac:dyDescent="0.3">
      <c r="A11825" t="s">
        <v>11860</v>
      </c>
      <c r="B11825" t="s">
        <v>71</v>
      </c>
      <c r="C11825">
        <v>119000</v>
      </c>
      <c r="D11825">
        <v>1837.6</v>
      </c>
      <c r="E11825">
        <v>2.76E-2</v>
      </c>
      <c r="F11825">
        <v>7.5899999999999995E-2</v>
      </c>
    </row>
    <row r="11826" spans="1:6" x14ac:dyDescent="0.3">
      <c r="A11826" t="s">
        <v>11861</v>
      </c>
      <c r="B11826" t="s">
        <v>26</v>
      </c>
      <c r="C11826">
        <v>101000</v>
      </c>
      <c r="D11826">
        <v>3683</v>
      </c>
      <c r="E11826">
        <v>3.0200000000000001E-2</v>
      </c>
      <c r="F11826">
        <v>9.5100000000000004E-2</v>
      </c>
    </row>
    <row r="11827" spans="1:6" x14ac:dyDescent="0.3">
      <c r="A11827" t="s">
        <v>11862</v>
      </c>
      <c r="B11827" t="s">
        <v>26</v>
      </c>
      <c r="C11827">
        <v>228000</v>
      </c>
      <c r="D11827">
        <v>17251.7</v>
      </c>
      <c r="E11827">
        <v>2.5600000000000001E-2</v>
      </c>
      <c r="F11827">
        <v>7.5899999999999995E-2</v>
      </c>
    </row>
    <row r="11828" spans="1:6" x14ac:dyDescent="0.3">
      <c r="A11828" t="s">
        <v>11863</v>
      </c>
      <c r="B11828" t="s">
        <v>287</v>
      </c>
      <c r="C11828">
        <v>218000</v>
      </c>
      <c r="D11828">
        <v>1787.4</v>
      </c>
      <c r="E11828">
        <v>1.8599999999999998E-2</v>
      </c>
      <c r="F11828">
        <v>8.5400000000000004E-2</v>
      </c>
    </row>
    <row r="11829" spans="1:6" x14ac:dyDescent="0.3">
      <c r="A11829" t="s">
        <v>11864</v>
      </c>
      <c r="B11829" t="s">
        <v>88</v>
      </c>
      <c r="C11829">
        <v>117000</v>
      </c>
      <c r="D11829">
        <v>998.1</v>
      </c>
      <c r="E11829">
        <v>3.73E-2</v>
      </c>
      <c r="F11829">
        <v>9.5100000000000004E-2</v>
      </c>
    </row>
    <row r="11830" spans="1:6" x14ac:dyDescent="0.3">
      <c r="A11830" t="s">
        <v>11865</v>
      </c>
      <c r="B11830" t="s">
        <v>26</v>
      </c>
      <c r="C11830">
        <v>550000</v>
      </c>
      <c r="D11830">
        <v>1773703.6</v>
      </c>
      <c r="E11830">
        <v>2.46E-2</v>
      </c>
      <c r="F11830">
        <v>4.0899999999999999E-2</v>
      </c>
    </row>
    <row r="11831" spans="1:6" x14ac:dyDescent="0.3">
      <c r="A11831" t="s">
        <v>11866</v>
      </c>
      <c r="B11831" t="s">
        <v>62</v>
      </c>
      <c r="C11831">
        <v>204000</v>
      </c>
      <c r="D11831">
        <v>4349.3999999999996</v>
      </c>
      <c r="E11831">
        <v>1.24E-2</v>
      </c>
      <c r="F11831">
        <v>5.8400000000000001E-2</v>
      </c>
    </row>
    <row r="11832" spans="1:6" x14ac:dyDescent="0.3">
      <c r="A11832" t="s">
        <v>11867</v>
      </c>
      <c r="B11832" t="s">
        <v>74</v>
      </c>
      <c r="C11832">
        <v>148000</v>
      </c>
      <c r="D11832">
        <v>835.6</v>
      </c>
      <c r="E11832">
        <v>1.9800000000000002E-2</v>
      </c>
      <c r="F11832">
        <v>9.3700000000000006E-2</v>
      </c>
    </row>
    <row r="11833" spans="1:6" x14ac:dyDescent="0.3">
      <c r="A11833" t="s">
        <v>11868</v>
      </c>
      <c r="B11833" t="s">
        <v>26</v>
      </c>
      <c r="C11833">
        <v>117000</v>
      </c>
      <c r="D11833">
        <v>9285.7000000000007</v>
      </c>
      <c r="E11833">
        <v>3.4799999999999998E-2</v>
      </c>
      <c r="F11833">
        <v>8.4500000000000006E-2</v>
      </c>
    </row>
    <row r="11834" spans="1:6" x14ac:dyDescent="0.3">
      <c r="A11834" t="s">
        <v>11869</v>
      </c>
      <c r="B11834" t="s">
        <v>88</v>
      </c>
      <c r="C11834">
        <v>122000</v>
      </c>
      <c r="D11834">
        <v>660.9</v>
      </c>
      <c r="E11834">
        <v>2.86E-2</v>
      </c>
      <c r="F11834">
        <v>9.3799999999999994E-2</v>
      </c>
    </row>
    <row r="11835" spans="1:6" x14ac:dyDescent="0.3">
      <c r="A11835" t="s">
        <v>11870</v>
      </c>
      <c r="B11835" t="s">
        <v>24</v>
      </c>
      <c r="C11835">
        <v>236000</v>
      </c>
      <c r="D11835">
        <v>15452724</v>
      </c>
      <c r="E11835">
        <v>1.3899999999999999E-2</v>
      </c>
      <c r="F11835">
        <v>7.3599999999999999E-2</v>
      </c>
    </row>
    <row r="11836" spans="1:6" x14ac:dyDescent="0.3">
      <c r="A11836" t="s">
        <v>11871</v>
      </c>
      <c r="B11836" t="s">
        <v>92</v>
      </c>
      <c r="C11836">
        <v>143000</v>
      </c>
      <c r="D11836">
        <v>103012.4</v>
      </c>
      <c r="E11836">
        <v>1.8599999999999998E-2</v>
      </c>
      <c r="F11836">
        <v>4.6199999999999998E-2</v>
      </c>
    </row>
    <row r="11837" spans="1:6" x14ac:dyDescent="0.3">
      <c r="A11837" t="s">
        <v>11872</v>
      </c>
      <c r="B11837" t="s">
        <v>53</v>
      </c>
      <c r="C11837">
        <v>104000</v>
      </c>
      <c r="D11837">
        <v>9040.5</v>
      </c>
      <c r="E11837">
        <v>5.8200000000000002E-2</v>
      </c>
      <c r="F11837">
        <v>9.5100000000000004E-2</v>
      </c>
    </row>
    <row r="11838" spans="1:6" x14ac:dyDescent="0.3">
      <c r="A11838" t="s">
        <v>11873</v>
      </c>
      <c r="B11838" t="s">
        <v>26</v>
      </c>
      <c r="C11838">
        <v>238000</v>
      </c>
      <c r="D11838">
        <v>3298</v>
      </c>
      <c r="E11838">
        <v>4.0899999999999999E-2</v>
      </c>
      <c r="F11838">
        <v>0.1535</v>
      </c>
    </row>
    <row r="11839" spans="1:6" x14ac:dyDescent="0.3">
      <c r="A11839" t="s">
        <v>11874</v>
      </c>
      <c r="B11839" t="s">
        <v>26</v>
      </c>
      <c r="C11839">
        <v>287000</v>
      </c>
      <c r="D11839">
        <v>546612.5</v>
      </c>
      <c r="F11839">
        <v>4.0899999999999999E-2</v>
      </c>
    </row>
    <row r="11840" spans="1:6" x14ac:dyDescent="0.3">
      <c r="A11840" t="s">
        <v>11875</v>
      </c>
      <c r="B11840" t="s">
        <v>53</v>
      </c>
      <c r="C11840">
        <v>496000</v>
      </c>
      <c r="D11840">
        <v>214610.4</v>
      </c>
      <c r="E11840">
        <v>2.7699999999999999E-2</v>
      </c>
      <c r="F11840">
        <v>5.0999999999999997E-2</v>
      </c>
    </row>
    <row r="11841" spans="1:6" x14ac:dyDescent="0.3">
      <c r="A11841" t="s">
        <v>11876</v>
      </c>
      <c r="B11841" t="s">
        <v>26</v>
      </c>
      <c r="C11841">
        <v>140000</v>
      </c>
      <c r="D11841">
        <v>20610.599999999999</v>
      </c>
      <c r="E11841">
        <v>0.02</v>
      </c>
      <c r="F11841">
        <v>4.6199999999999998E-2</v>
      </c>
    </row>
    <row r="11842" spans="1:6" x14ac:dyDescent="0.3">
      <c r="A11842" t="s">
        <v>11877</v>
      </c>
      <c r="B11842" t="s">
        <v>81</v>
      </c>
      <c r="C11842">
        <v>115000</v>
      </c>
      <c r="D11842">
        <v>2078.1999999999998</v>
      </c>
      <c r="F11842">
        <v>5.1799999999999999E-2</v>
      </c>
    </row>
    <row r="11843" spans="1:6" x14ac:dyDescent="0.3">
      <c r="A11843" t="s">
        <v>11878</v>
      </c>
      <c r="B11843" t="s">
        <v>26</v>
      </c>
      <c r="C11843">
        <v>125000</v>
      </c>
      <c r="D11843">
        <v>197.9</v>
      </c>
      <c r="E11843">
        <v>5.62E-2</v>
      </c>
      <c r="F11843">
        <v>7.5899999999999995E-2</v>
      </c>
    </row>
    <row r="11844" spans="1:6" x14ac:dyDescent="0.3">
      <c r="A11844" t="s">
        <v>11879</v>
      </c>
      <c r="B11844" t="s">
        <v>21</v>
      </c>
      <c r="C11844">
        <v>98700</v>
      </c>
      <c r="D11844">
        <v>15019.3</v>
      </c>
      <c r="E11844">
        <v>1.37E-2</v>
      </c>
      <c r="F11844">
        <v>0.1192</v>
      </c>
    </row>
    <row r="11845" spans="1:6" x14ac:dyDescent="0.3">
      <c r="A11845" t="s">
        <v>11880</v>
      </c>
      <c r="B11845" t="s">
        <v>26</v>
      </c>
      <c r="C11845">
        <v>101000</v>
      </c>
      <c r="D11845">
        <v>12319.2</v>
      </c>
      <c r="E11845">
        <v>4.4200000000000003E-2</v>
      </c>
      <c r="F11845">
        <v>9.5100000000000004E-2</v>
      </c>
    </row>
    <row r="11846" spans="1:6" x14ac:dyDescent="0.3">
      <c r="A11846" t="s">
        <v>11881</v>
      </c>
      <c r="B11846" t="s">
        <v>26</v>
      </c>
      <c r="C11846">
        <v>170000</v>
      </c>
      <c r="D11846">
        <v>281.60000000000002</v>
      </c>
      <c r="E11846">
        <v>1.9900000000000001E-2</v>
      </c>
      <c r="F11846">
        <v>0.15359999999999999</v>
      </c>
    </row>
    <row r="11847" spans="1:6" x14ac:dyDescent="0.3">
      <c r="A11847" t="s">
        <v>11882</v>
      </c>
      <c r="B11847" t="s">
        <v>41</v>
      </c>
      <c r="C11847">
        <v>103000</v>
      </c>
      <c r="D11847">
        <v>420.9</v>
      </c>
      <c r="E11847">
        <v>1.2800000000000001E-2</v>
      </c>
      <c r="F11847">
        <v>0.33900000000000002</v>
      </c>
    </row>
    <row r="11848" spans="1:6" x14ac:dyDescent="0.3">
      <c r="A11848" t="s">
        <v>11883</v>
      </c>
      <c r="B11848" t="s">
        <v>92</v>
      </c>
      <c r="C11848">
        <v>114000</v>
      </c>
      <c r="D11848">
        <v>27778.799999999999</v>
      </c>
      <c r="E11848">
        <v>2.1499999999999998E-2</v>
      </c>
      <c r="F11848">
        <v>9.5100000000000004E-2</v>
      </c>
    </row>
    <row r="11849" spans="1:6" x14ac:dyDescent="0.3">
      <c r="A11849" t="s">
        <v>11884</v>
      </c>
      <c r="B11849" t="s">
        <v>74</v>
      </c>
      <c r="C11849">
        <v>101000</v>
      </c>
      <c r="D11849">
        <v>5956.6</v>
      </c>
      <c r="E11849">
        <v>1.67E-2</v>
      </c>
      <c r="F11849">
        <v>6.1600000000000002E-2</v>
      </c>
    </row>
    <row r="11850" spans="1:6" x14ac:dyDescent="0.3">
      <c r="A11850" t="s">
        <v>11885</v>
      </c>
      <c r="B11850" t="s">
        <v>26</v>
      </c>
      <c r="C11850">
        <v>195000</v>
      </c>
      <c r="D11850">
        <v>1177.3</v>
      </c>
      <c r="E11850">
        <v>2.0199999999999999E-2</v>
      </c>
      <c r="F11850">
        <v>0.13100000000000001</v>
      </c>
    </row>
    <row r="11851" spans="1:6" x14ac:dyDescent="0.3">
      <c r="A11851" t="s">
        <v>11886</v>
      </c>
      <c r="B11851" t="s">
        <v>214</v>
      </c>
      <c r="C11851">
        <v>559000</v>
      </c>
      <c r="D11851">
        <v>1212667.2</v>
      </c>
      <c r="E11851">
        <v>2.9399999999999999E-2</v>
      </c>
      <c r="F11851">
        <v>5.1799999999999999E-2</v>
      </c>
    </row>
    <row r="11852" spans="1:6" x14ac:dyDescent="0.3">
      <c r="A11852" t="s">
        <v>11887</v>
      </c>
      <c r="B11852" t="s">
        <v>53</v>
      </c>
      <c r="C11852">
        <v>119000</v>
      </c>
      <c r="D11852">
        <v>11034.4</v>
      </c>
      <c r="E11852">
        <v>8.6300000000000002E-2</v>
      </c>
      <c r="F11852">
        <v>5.0999999999999997E-2</v>
      </c>
    </row>
    <row r="11853" spans="1:6" x14ac:dyDescent="0.3">
      <c r="A11853" t="s">
        <v>11888</v>
      </c>
      <c r="B11853" t="s">
        <v>88</v>
      </c>
      <c r="C11853">
        <v>174000</v>
      </c>
      <c r="D11853">
        <v>21248.7</v>
      </c>
      <c r="E11853">
        <v>2.29E-2</v>
      </c>
      <c r="F11853">
        <v>7.5899999999999995E-2</v>
      </c>
    </row>
    <row r="11854" spans="1:6" x14ac:dyDescent="0.3">
      <c r="A11854" t="s">
        <v>11889</v>
      </c>
      <c r="B11854" t="s">
        <v>74</v>
      </c>
      <c r="C11854">
        <v>101000</v>
      </c>
      <c r="D11854">
        <v>265.39999999999998</v>
      </c>
      <c r="E11854">
        <v>1.34E-2</v>
      </c>
      <c r="F11854">
        <v>0.14710000000000001</v>
      </c>
    </row>
    <row r="11855" spans="1:6" x14ac:dyDescent="0.3">
      <c r="A11855" t="s">
        <v>11890</v>
      </c>
      <c r="B11855" t="s">
        <v>26</v>
      </c>
      <c r="C11855">
        <v>101000</v>
      </c>
      <c r="D11855">
        <v>46.2</v>
      </c>
      <c r="E11855">
        <v>6.54E-2</v>
      </c>
      <c r="F11855">
        <v>4.0899999999999999E-2</v>
      </c>
    </row>
    <row r="11856" spans="1:6" x14ac:dyDescent="0.3">
      <c r="A11856" t="s">
        <v>11891</v>
      </c>
      <c r="B11856" t="s">
        <v>26</v>
      </c>
      <c r="C11856">
        <v>119000</v>
      </c>
      <c r="D11856">
        <v>5165.1000000000004</v>
      </c>
      <c r="E11856">
        <v>5.0299999999999997E-2</v>
      </c>
      <c r="F11856">
        <v>7.5899999999999995E-2</v>
      </c>
    </row>
    <row r="11857" spans="1:6" x14ac:dyDescent="0.3">
      <c r="A11857" t="s">
        <v>11892</v>
      </c>
      <c r="B11857" t="s">
        <v>26</v>
      </c>
      <c r="C11857">
        <v>99600</v>
      </c>
      <c r="D11857">
        <v>119.3</v>
      </c>
      <c r="E11857">
        <v>4.2000000000000003E-2</v>
      </c>
      <c r="F11857">
        <v>5.1799999999999999E-2</v>
      </c>
    </row>
    <row r="11858" spans="1:6" x14ac:dyDescent="0.3">
      <c r="A11858" t="s">
        <v>11893</v>
      </c>
      <c r="B11858" t="s">
        <v>214</v>
      </c>
      <c r="C11858">
        <v>101000</v>
      </c>
      <c r="D11858">
        <v>619.1</v>
      </c>
      <c r="E11858">
        <v>6.5799999999999997E-2</v>
      </c>
      <c r="F11858">
        <v>9.5100000000000004E-2</v>
      </c>
    </row>
    <row r="11859" spans="1:6" x14ac:dyDescent="0.3">
      <c r="A11859" t="s">
        <v>11894</v>
      </c>
      <c r="B11859" t="s">
        <v>53</v>
      </c>
      <c r="C11859">
        <v>117000</v>
      </c>
      <c r="D11859">
        <v>747.8</v>
      </c>
      <c r="E11859">
        <v>2.1399999999999999E-2</v>
      </c>
      <c r="F11859">
        <v>9.3799999999999994E-2</v>
      </c>
    </row>
    <row r="11860" spans="1:6" x14ac:dyDescent="0.3">
      <c r="A11860" t="s">
        <v>11895</v>
      </c>
      <c r="B11860" t="s">
        <v>81</v>
      </c>
      <c r="C11860">
        <v>111000</v>
      </c>
      <c r="D11860">
        <v>2805.9</v>
      </c>
      <c r="E11860">
        <v>2.1100000000000001E-2</v>
      </c>
      <c r="F11860">
        <v>0.1067</v>
      </c>
    </row>
    <row r="11861" spans="1:6" x14ac:dyDescent="0.3">
      <c r="A11861" t="s">
        <v>11896</v>
      </c>
      <c r="B11861" t="s">
        <v>26</v>
      </c>
      <c r="C11861">
        <v>105000</v>
      </c>
      <c r="D11861">
        <v>11083.1</v>
      </c>
      <c r="E11861">
        <v>2.8799999999999999E-2</v>
      </c>
      <c r="F11861">
        <v>9.5100000000000004E-2</v>
      </c>
    </row>
    <row r="11862" spans="1:6" x14ac:dyDescent="0.3">
      <c r="A11862" t="s">
        <v>11897</v>
      </c>
      <c r="B11862" t="s">
        <v>26</v>
      </c>
      <c r="C11862">
        <v>128000</v>
      </c>
      <c r="D11862">
        <v>7891.4</v>
      </c>
      <c r="E11862">
        <v>2.7099999999999999E-2</v>
      </c>
      <c r="F11862">
        <v>9.5100000000000004E-2</v>
      </c>
    </row>
    <row r="11863" spans="1:6" x14ac:dyDescent="0.3">
      <c r="A11863" t="s">
        <v>11898</v>
      </c>
      <c r="B11863" t="s">
        <v>26</v>
      </c>
      <c r="C11863">
        <v>186000</v>
      </c>
      <c r="D11863">
        <v>19883.5</v>
      </c>
      <c r="E11863">
        <v>2.3199999999999998E-2</v>
      </c>
      <c r="F11863">
        <v>9.5100000000000004E-2</v>
      </c>
    </row>
    <row r="11864" spans="1:6" x14ac:dyDescent="0.3">
      <c r="A11864" t="s">
        <v>11899</v>
      </c>
      <c r="B11864" t="s">
        <v>26</v>
      </c>
      <c r="C11864">
        <v>121000</v>
      </c>
      <c r="D11864">
        <v>7151.6</v>
      </c>
      <c r="E11864">
        <v>1.9400000000000001E-2</v>
      </c>
      <c r="F11864">
        <v>0.1067</v>
      </c>
    </row>
    <row r="11865" spans="1:6" x14ac:dyDescent="0.3">
      <c r="A11865" t="s">
        <v>11900</v>
      </c>
      <c r="B11865" t="s">
        <v>26</v>
      </c>
      <c r="C11865">
        <v>122000</v>
      </c>
      <c r="D11865">
        <v>3191.8</v>
      </c>
      <c r="E11865">
        <v>3.6900000000000002E-2</v>
      </c>
      <c r="F11865">
        <v>9.5100000000000004E-2</v>
      </c>
    </row>
    <row r="11866" spans="1:6" x14ac:dyDescent="0.3">
      <c r="A11866" t="s">
        <v>11901</v>
      </c>
      <c r="B11866" t="s">
        <v>88</v>
      </c>
      <c r="C11866">
        <v>100000</v>
      </c>
      <c r="D11866">
        <v>1645</v>
      </c>
      <c r="E11866">
        <v>3.4500000000000003E-2</v>
      </c>
      <c r="F11866">
        <v>7.5899999999999995E-2</v>
      </c>
    </row>
    <row r="11867" spans="1:6" x14ac:dyDescent="0.3">
      <c r="A11867" t="s">
        <v>11902</v>
      </c>
      <c r="B11867" t="s">
        <v>26</v>
      </c>
      <c r="C11867">
        <v>124000</v>
      </c>
      <c r="D11867">
        <v>1730</v>
      </c>
      <c r="E11867">
        <v>3.5700000000000003E-2</v>
      </c>
      <c r="F11867">
        <v>0.13769999999999999</v>
      </c>
    </row>
    <row r="11868" spans="1:6" x14ac:dyDescent="0.3">
      <c r="A11868" t="s">
        <v>11903</v>
      </c>
      <c r="B11868" t="s">
        <v>41</v>
      </c>
      <c r="C11868">
        <v>212000</v>
      </c>
      <c r="D11868">
        <v>1256.9000000000001</v>
      </c>
      <c r="E11868">
        <v>1.9800000000000002E-2</v>
      </c>
      <c r="F11868">
        <v>0.1053</v>
      </c>
    </row>
    <row r="11869" spans="1:6" x14ac:dyDescent="0.3">
      <c r="A11869" t="s">
        <v>11904</v>
      </c>
      <c r="B11869" t="s">
        <v>26</v>
      </c>
      <c r="C11869">
        <v>95400</v>
      </c>
      <c r="D11869">
        <v>198670.8</v>
      </c>
      <c r="E11869">
        <v>4.2099999999999999E-2</v>
      </c>
      <c r="F11869">
        <v>5.1799999999999999E-2</v>
      </c>
    </row>
    <row r="11870" spans="1:6" x14ac:dyDescent="0.3">
      <c r="A11870" t="s">
        <v>11905</v>
      </c>
      <c r="B11870" t="s">
        <v>74</v>
      </c>
      <c r="C11870">
        <v>113000</v>
      </c>
      <c r="D11870">
        <v>543419.6</v>
      </c>
      <c r="E11870">
        <v>9.1000000000000004E-3</v>
      </c>
      <c r="F11870">
        <v>8.2199999999999995E-2</v>
      </c>
    </row>
    <row r="11871" spans="1:6" x14ac:dyDescent="0.3">
      <c r="A11871" t="s">
        <v>11906</v>
      </c>
      <c r="B11871" t="s">
        <v>92</v>
      </c>
      <c r="C11871">
        <v>110000</v>
      </c>
      <c r="D11871">
        <v>630.6</v>
      </c>
      <c r="E11871">
        <v>5.7000000000000002E-3</v>
      </c>
      <c r="F11871">
        <v>8.1100000000000005E-2</v>
      </c>
    </row>
    <row r="11872" spans="1:6" x14ac:dyDescent="0.3">
      <c r="A11872" t="s">
        <v>11907</v>
      </c>
      <c r="B11872" t="s">
        <v>26</v>
      </c>
      <c r="C11872">
        <v>144000</v>
      </c>
      <c r="D11872">
        <v>24094.5</v>
      </c>
      <c r="E11872">
        <v>4.1000000000000002E-2</v>
      </c>
      <c r="F11872">
        <v>7.5899999999999995E-2</v>
      </c>
    </row>
    <row r="11873" spans="1:6" x14ac:dyDescent="0.3">
      <c r="A11873" t="s">
        <v>11908</v>
      </c>
      <c r="B11873" t="s">
        <v>62</v>
      </c>
      <c r="C11873">
        <v>89600</v>
      </c>
      <c r="D11873">
        <v>6570.6</v>
      </c>
      <c r="E11873">
        <v>1.6299999999999999E-2</v>
      </c>
      <c r="F11873">
        <v>0.1067</v>
      </c>
    </row>
    <row r="11874" spans="1:6" x14ac:dyDescent="0.3">
      <c r="A11874" t="s">
        <v>11909</v>
      </c>
      <c r="B11874" t="s">
        <v>26</v>
      </c>
      <c r="C11874">
        <v>118000</v>
      </c>
      <c r="D11874">
        <v>826.3</v>
      </c>
      <c r="E11874">
        <v>2.4500000000000001E-2</v>
      </c>
      <c r="F11874">
        <v>9.98E-2</v>
      </c>
    </row>
    <row r="11875" spans="1:6" x14ac:dyDescent="0.3">
      <c r="A11875" t="s">
        <v>11910</v>
      </c>
      <c r="B11875" t="s">
        <v>26</v>
      </c>
      <c r="C11875">
        <v>99700</v>
      </c>
      <c r="D11875">
        <v>1426.3</v>
      </c>
      <c r="E11875">
        <v>1.8800000000000001E-2</v>
      </c>
      <c r="F11875">
        <v>0.1067</v>
      </c>
    </row>
    <row r="11876" spans="1:6" x14ac:dyDescent="0.3">
      <c r="A11876" t="s">
        <v>11911</v>
      </c>
      <c r="B11876" t="s">
        <v>26</v>
      </c>
      <c r="C11876">
        <v>302000</v>
      </c>
      <c r="D11876">
        <v>89.9</v>
      </c>
      <c r="F11876">
        <v>7.5899999999999995E-2</v>
      </c>
    </row>
    <row r="11877" spans="1:6" x14ac:dyDescent="0.3">
      <c r="A11877" t="s">
        <v>11912</v>
      </c>
      <c r="B11877" t="s">
        <v>53</v>
      </c>
      <c r="C11877">
        <v>104000</v>
      </c>
      <c r="D11877">
        <v>926</v>
      </c>
      <c r="E11877">
        <v>1.7100000000000001E-2</v>
      </c>
      <c r="F11877">
        <v>5.7599999999999998E-2</v>
      </c>
    </row>
    <row r="11878" spans="1:6" x14ac:dyDescent="0.3">
      <c r="A11878" t="s">
        <v>11913</v>
      </c>
      <c r="B11878" t="s">
        <v>88</v>
      </c>
      <c r="C11878">
        <v>111000</v>
      </c>
      <c r="D11878">
        <v>12996.2</v>
      </c>
      <c r="E11878">
        <v>2.4400000000000002E-2</v>
      </c>
      <c r="F11878">
        <v>9.5100000000000004E-2</v>
      </c>
    </row>
    <row r="11879" spans="1:6" x14ac:dyDescent="0.3">
      <c r="A11879" t="s">
        <v>11914</v>
      </c>
      <c r="B11879" t="s">
        <v>81</v>
      </c>
      <c r="C11879">
        <v>107000</v>
      </c>
      <c r="D11879">
        <v>167701.6</v>
      </c>
      <c r="E11879">
        <v>1.8200000000000001E-2</v>
      </c>
      <c r="F11879">
        <v>0.1067</v>
      </c>
    </row>
    <row r="11880" spans="1:6" x14ac:dyDescent="0.3">
      <c r="A11880" t="s">
        <v>11915</v>
      </c>
      <c r="B11880" t="s">
        <v>26</v>
      </c>
      <c r="C11880">
        <v>266000</v>
      </c>
      <c r="D11880">
        <v>22465.599999999999</v>
      </c>
      <c r="E11880">
        <v>7.7000000000000002E-3</v>
      </c>
      <c r="F11880">
        <v>6.54E-2</v>
      </c>
    </row>
    <row r="11881" spans="1:6" x14ac:dyDescent="0.3">
      <c r="A11881" t="s">
        <v>11916</v>
      </c>
      <c r="B11881" t="s">
        <v>74</v>
      </c>
      <c r="C11881">
        <v>168000</v>
      </c>
      <c r="D11881">
        <v>33147.199999999997</v>
      </c>
      <c r="E11881">
        <v>2.4E-2</v>
      </c>
      <c r="F11881">
        <v>9.5100000000000004E-2</v>
      </c>
    </row>
    <row r="11882" spans="1:6" x14ac:dyDescent="0.3">
      <c r="A11882" t="s">
        <v>11917</v>
      </c>
      <c r="B11882" t="s">
        <v>88</v>
      </c>
      <c r="C11882">
        <v>107000</v>
      </c>
      <c r="D11882">
        <v>522.9</v>
      </c>
      <c r="E11882">
        <v>2.3099999999999999E-2</v>
      </c>
      <c r="F11882">
        <v>4.0899999999999999E-2</v>
      </c>
    </row>
    <row r="11883" spans="1:6" x14ac:dyDescent="0.3">
      <c r="A11883" t="s">
        <v>11918</v>
      </c>
      <c r="B11883" t="s">
        <v>74</v>
      </c>
      <c r="C11883">
        <v>1170000</v>
      </c>
      <c r="D11883">
        <v>20828.8</v>
      </c>
      <c r="E11883">
        <v>5.2999999999999999E-2</v>
      </c>
      <c r="F11883">
        <v>7.5899999999999995E-2</v>
      </c>
    </row>
    <row r="11884" spans="1:6" x14ac:dyDescent="0.3">
      <c r="A11884" t="s">
        <v>11919</v>
      </c>
      <c r="B11884" t="s">
        <v>26</v>
      </c>
      <c r="C11884">
        <v>134000</v>
      </c>
      <c r="D11884">
        <v>12790.6</v>
      </c>
      <c r="E11884">
        <v>2.8799999999999999E-2</v>
      </c>
      <c r="F11884">
        <v>7.5899999999999995E-2</v>
      </c>
    </row>
    <row r="11885" spans="1:6" x14ac:dyDescent="0.3">
      <c r="A11885" t="s">
        <v>11920</v>
      </c>
      <c r="B11885" t="s">
        <v>26</v>
      </c>
      <c r="C11885">
        <v>103000</v>
      </c>
      <c r="D11885">
        <v>7347.4</v>
      </c>
      <c r="E11885">
        <v>3.4799999999999998E-2</v>
      </c>
      <c r="F11885">
        <v>9.98E-2</v>
      </c>
    </row>
    <row r="11886" spans="1:6" x14ac:dyDescent="0.3">
      <c r="A11886" t="s">
        <v>11921</v>
      </c>
      <c r="B11886" t="s">
        <v>62</v>
      </c>
      <c r="C11886">
        <v>101000</v>
      </c>
      <c r="D11886">
        <v>850.2</v>
      </c>
      <c r="E11886">
        <v>4.1200000000000001E-2</v>
      </c>
      <c r="F11886">
        <v>5.1799999999999999E-2</v>
      </c>
    </row>
    <row r="11887" spans="1:6" x14ac:dyDescent="0.3">
      <c r="A11887" t="s">
        <v>11922</v>
      </c>
      <c r="B11887" t="s">
        <v>24</v>
      </c>
      <c r="C11887">
        <v>131000</v>
      </c>
      <c r="D11887">
        <v>918.5</v>
      </c>
      <c r="E11887">
        <v>4.7300000000000002E-2</v>
      </c>
      <c r="F11887">
        <v>0.1241</v>
      </c>
    </row>
    <row r="11888" spans="1:6" x14ac:dyDescent="0.3">
      <c r="A11888" t="s">
        <v>11923</v>
      </c>
      <c r="B11888" t="s">
        <v>26</v>
      </c>
      <c r="C11888">
        <v>107000</v>
      </c>
      <c r="D11888">
        <v>4505.8999999999996</v>
      </c>
      <c r="E11888">
        <v>5.8999999999999997E-2</v>
      </c>
      <c r="F11888">
        <v>7.5899999999999995E-2</v>
      </c>
    </row>
    <row r="11889" spans="1:6" x14ac:dyDescent="0.3">
      <c r="A11889" t="s">
        <v>11924</v>
      </c>
      <c r="B11889" t="s">
        <v>88</v>
      </c>
      <c r="C11889">
        <v>115000</v>
      </c>
      <c r="D11889">
        <v>280.8</v>
      </c>
      <c r="E11889">
        <v>1.83E-2</v>
      </c>
      <c r="F11889">
        <v>0.28910000000000002</v>
      </c>
    </row>
    <row r="11890" spans="1:6" x14ac:dyDescent="0.3">
      <c r="A11890" t="s">
        <v>11925</v>
      </c>
      <c r="B11890" t="s">
        <v>74</v>
      </c>
      <c r="C11890">
        <v>98400</v>
      </c>
      <c r="D11890">
        <v>81.3</v>
      </c>
      <c r="E11890">
        <v>8.6E-3</v>
      </c>
      <c r="F11890">
        <v>0.1305</v>
      </c>
    </row>
    <row r="11891" spans="1:6" x14ac:dyDescent="0.3">
      <c r="A11891" t="s">
        <v>11926</v>
      </c>
      <c r="B11891" t="s">
        <v>92</v>
      </c>
      <c r="C11891">
        <v>100000</v>
      </c>
      <c r="D11891">
        <v>341.1</v>
      </c>
      <c r="E11891">
        <v>3.9899999999999998E-2</v>
      </c>
      <c r="F11891">
        <v>9.5100000000000004E-2</v>
      </c>
    </row>
    <row r="11892" spans="1:6" x14ac:dyDescent="0.3">
      <c r="A11892" t="s">
        <v>11927</v>
      </c>
      <c r="B11892" t="s">
        <v>88</v>
      </c>
      <c r="C11892">
        <v>102000</v>
      </c>
      <c r="D11892">
        <v>971.2</v>
      </c>
      <c r="E11892">
        <v>2.18E-2</v>
      </c>
      <c r="F11892">
        <v>5.8500000000000003E-2</v>
      </c>
    </row>
    <row r="11893" spans="1:6" x14ac:dyDescent="0.3">
      <c r="A11893" t="s">
        <v>11928</v>
      </c>
      <c r="B11893" t="s">
        <v>41</v>
      </c>
      <c r="C11893">
        <v>109000</v>
      </c>
      <c r="D11893">
        <v>18855.599999999999</v>
      </c>
      <c r="E11893">
        <v>1.7299999999999999E-2</v>
      </c>
      <c r="F11893">
        <v>0.1067</v>
      </c>
    </row>
    <row r="11894" spans="1:6" x14ac:dyDescent="0.3">
      <c r="A11894" t="s">
        <v>11929</v>
      </c>
      <c r="B11894" t="s">
        <v>81</v>
      </c>
      <c r="C11894">
        <v>158000</v>
      </c>
      <c r="D11894">
        <v>7442.5</v>
      </c>
      <c r="E11894">
        <v>1.61E-2</v>
      </c>
      <c r="F11894">
        <v>5.7599999999999998E-2</v>
      </c>
    </row>
    <row r="11895" spans="1:6" x14ac:dyDescent="0.3">
      <c r="A11895" t="s">
        <v>11930</v>
      </c>
      <c r="B11895" t="s">
        <v>74</v>
      </c>
      <c r="C11895">
        <v>100000</v>
      </c>
      <c r="D11895">
        <v>2.5</v>
      </c>
      <c r="E11895">
        <v>0.2747</v>
      </c>
      <c r="F11895">
        <v>8.9700000000000002E-2</v>
      </c>
    </row>
    <row r="11896" spans="1:6" x14ac:dyDescent="0.3">
      <c r="A11896" t="s">
        <v>11931</v>
      </c>
      <c r="B11896" t="s">
        <v>195</v>
      </c>
      <c r="C11896">
        <v>109000</v>
      </c>
      <c r="D11896">
        <v>297.2</v>
      </c>
      <c r="E11896">
        <v>2.4799999999999999E-2</v>
      </c>
      <c r="F11896">
        <v>9.98E-2</v>
      </c>
    </row>
    <row r="11897" spans="1:6" x14ac:dyDescent="0.3">
      <c r="A11897" t="s">
        <v>11932</v>
      </c>
      <c r="B11897" t="s">
        <v>26</v>
      </c>
      <c r="C11897">
        <v>106000</v>
      </c>
      <c r="D11897">
        <v>9002.7999999999993</v>
      </c>
      <c r="E11897">
        <v>4.4299999999999999E-2</v>
      </c>
      <c r="F11897">
        <v>9.5100000000000004E-2</v>
      </c>
    </row>
    <row r="11898" spans="1:6" x14ac:dyDescent="0.3">
      <c r="A11898" t="s">
        <v>11933</v>
      </c>
      <c r="B11898" t="s">
        <v>26</v>
      </c>
      <c r="C11898">
        <v>236000</v>
      </c>
      <c r="D11898">
        <v>695.1</v>
      </c>
      <c r="E11898">
        <v>4.7399999999999998E-2</v>
      </c>
      <c r="F11898">
        <v>0.10929999999999999</v>
      </c>
    </row>
    <row r="11899" spans="1:6" x14ac:dyDescent="0.3">
      <c r="A11899" t="s">
        <v>11934</v>
      </c>
      <c r="B11899" t="s">
        <v>92</v>
      </c>
      <c r="C11899">
        <v>166000</v>
      </c>
      <c r="D11899">
        <v>52600.800000000003</v>
      </c>
      <c r="E11899">
        <v>3.4700000000000002E-2</v>
      </c>
      <c r="F11899">
        <v>7.5899999999999995E-2</v>
      </c>
    </row>
    <row r="11900" spans="1:6" x14ac:dyDescent="0.3">
      <c r="A11900" t="s">
        <v>11935</v>
      </c>
      <c r="B11900" t="s">
        <v>214</v>
      </c>
      <c r="C11900">
        <v>128000</v>
      </c>
      <c r="D11900">
        <v>1254</v>
      </c>
      <c r="E11900">
        <v>2.3900000000000001E-2</v>
      </c>
      <c r="F11900">
        <v>0.1067</v>
      </c>
    </row>
    <row r="11901" spans="1:6" x14ac:dyDescent="0.3">
      <c r="A11901" t="s">
        <v>11936</v>
      </c>
      <c r="B11901" t="s">
        <v>88</v>
      </c>
      <c r="C11901">
        <v>238000</v>
      </c>
      <c r="D11901">
        <v>7385</v>
      </c>
      <c r="E11901">
        <v>2.9399999999999999E-2</v>
      </c>
      <c r="F11901">
        <v>9.3799999999999994E-2</v>
      </c>
    </row>
    <row r="11902" spans="1:6" x14ac:dyDescent="0.3">
      <c r="A11902" t="s">
        <v>11937</v>
      </c>
      <c r="B11902" t="s">
        <v>26</v>
      </c>
      <c r="C11902">
        <v>98400</v>
      </c>
      <c r="D11902">
        <v>2241.5</v>
      </c>
      <c r="E11902">
        <v>4.9099999999999998E-2</v>
      </c>
      <c r="F11902">
        <v>0.15340000000000001</v>
      </c>
    </row>
    <row r="11903" spans="1:6" x14ac:dyDescent="0.3">
      <c r="A11903" t="s">
        <v>11938</v>
      </c>
      <c r="B11903" t="s">
        <v>214</v>
      </c>
      <c r="C11903">
        <v>114000</v>
      </c>
      <c r="D11903">
        <v>6550.7</v>
      </c>
      <c r="E11903">
        <v>1.77E-2</v>
      </c>
      <c r="F11903">
        <v>0.1067</v>
      </c>
    </row>
    <row r="11904" spans="1:6" x14ac:dyDescent="0.3">
      <c r="A11904" t="s">
        <v>11939</v>
      </c>
      <c r="B11904" t="s">
        <v>26</v>
      </c>
      <c r="C11904">
        <v>203000</v>
      </c>
      <c r="D11904">
        <v>85120.9</v>
      </c>
      <c r="E11904">
        <v>4.6199999999999998E-2</v>
      </c>
      <c r="F11904">
        <v>7.5899999999999995E-2</v>
      </c>
    </row>
    <row r="11905" spans="1:6" x14ac:dyDescent="0.3">
      <c r="A11905" t="s">
        <v>11940</v>
      </c>
      <c r="B11905" t="s">
        <v>81</v>
      </c>
      <c r="C11905">
        <v>159000</v>
      </c>
      <c r="D11905">
        <v>3777.7</v>
      </c>
      <c r="E11905">
        <v>2.1600000000000001E-2</v>
      </c>
      <c r="F11905">
        <v>5.1400000000000001E-2</v>
      </c>
    </row>
    <row r="11906" spans="1:6" x14ac:dyDescent="0.3">
      <c r="A11906" t="s">
        <v>11941</v>
      </c>
      <c r="B11906" t="s">
        <v>26</v>
      </c>
      <c r="C11906">
        <v>559000</v>
      </c>
      <c r="D11906">
        <v>7800.5</v>
      </c>
      <c r="E11906">
        <v>3.8899999999999997E-2</v>
      </c>
      <c r="F11906">
        <v>7.5899999999999995E-2</v>
      </c>
    </row>
    <row r="11907" spans="1:6" x14ac:dyDescent="0.3">
      <c r="A11907" t="s">
        <v>11942</v>
      </c>
      <c r="B11907" t="s">
        <v>41</v>
      </c>
      <c r="C11907">
        <v>138000</v>
      </c>
      <c r="D11907">
        <v>1683.7</v>
      </c>
      <c r="E11907">
        <v>2.01E-2</v>
      </c>
      <c r="F11907">
        <v>5.8500000000000003E-2</v>
      </c>
    </row>
    <row r="11908" spans="1:6" x14ac:dyDescent="0.3">
      <c r="A11908" t="s">
        <v>11943</v>
      </c>
      <c r="B11908" t="s">
        <v>26</v>
      </c>
      <c r="C11908">
        <v>134000</v>
      </c>
      <c r="D11908">
        <v>4890</v>
      </c>
      <c r="F11908">
        <v>9.5100000000000004E-2</v>
      </c>
    </row>
    <row r="11909" spans="1:6" x14ac:dyDescent="0.3">
      <c r="A11909" t="s">
        <v>11944</v>
      </c>
      <c r="B11909" t="s">
        <v>74</v>
      </c>
      <c r="C11909">
        <v>99100</v>
      </c>
      <c r="D11909">
        <v>5676.7</v>
      </c>
      <c r="E11909">
        <v>5.8500000000000003E-2</v>
      </c>
      <c r="F11909">
        <v>9.5100000000000004E-2</v>
      </c>
    </row>
    <row r="11910" spans="1:6" x14ac:dyDescent="0.3">
      <c r="A11910" t="s">
        <v>11945</v>
      </c>
      <c r="B11910" t="s">
        <v>490</v>
      </c>
      <c r="C11910">
        <v>113000</v>
      </c>
      <c r="D11910">
        <v>30200</v>
      </c>
      <c r="E11910">
        <v>9.7000000000000003E-3</v>
      </c>
      <c r="F11910">
        <v>8.2199999999999995E-2</v>
      </c>
    </row>
    <row r="11911" spans="1:6" x14ac:dyDescent="0.3">
      <c r="A11911" t="s">
        <v>11946</v>
      </c>
      <c r="B11911" t="s">
        <v>26</v>
      </c>
      <c r="C11911">
        <v>310000</v>
      </c>
      <c r="D11911">
        <v>2421.1</v>
      </c>
      <c r="E11911">
        <v>1.4200000000000001E-2</v>
      </c>
      <c r="F11911">
        <v>0.1053</v>
      </c>
    </row>
    <row r="11912" spans="1:6" x14ac:dyDescent="0.3">
      <c r="A11912" t="s">
        <v>11947</v>
      </c>
      <c r="B11912" t="s">
        <v>88</v>
      </c>
      <c r="C11912">
        <v>95200</v>
      </c>
      <c r="D11912">
        <v>120.2</v>
      </c>
      <c r="E11912">
        <v>5.57E-2</v>
      </c>
      <c r="F11912">
        <v>0.11700000000000001</v>
      </c>
    </row>
    <row r="11913" spans="1:6" x14ac:dyDescent="0.3">
      <c r="A11913" t="s">
        <v>11948</v>
      </c>
      <c r="B11913" t="s">
        <v>26</v>
      </c>
      <c r="C11913">
        <v>1260000</v>
      </c>
      <c r="D11913">
        <v>21173.1</v>
      </c>
      <c r="F11913">
        <v>4.0899999999999999E-2</v>
      </c>
    </row>
    <row r="11914" spans="1:6" x14ac:dyDescent="0.3">
      <c r="A11914" t="s">
        <v>11949</v>
      </c>
      <c r="B11914" t="s">
        <v>53</v>
      </c>
      <c r="C11914">
        <v>109000</v>
      </c>
      <c r="D11914">
        <v>29503.4</v>
      </c>
      <c r="E11914">
        <v>2.81E-2</v>
      </c>
      <c r="F11914">
        <v>9.5100000000000004E-2</v>
      </c>
    </row>
    <row r="11915" spans="1:6" x14ac:dyDescent="0.3">
      <c r="A11915" t="s">
        <v>11950</v>
      </c>
      <c r="B11915" t="s">
        <v>62</v>
      </c>
      <c r="C11915">
        <v>136000</v>
      </c>
      <c r="D11915">
        <v>5061</v>
      </c>
      <c r="E11915">
        <v>8.2000000000000003E-2</v>
      </c>
      <c r="F11915">
        <v>7.5899999999999995E-2</v>
      </c>
    </row>
    <row r="11916" spans="1:6" x14ac:dyDescent="0.3">
      <c r="A11916" t="s">
        <v>11951</v>
      </c>
      <c r="B11916" t="s">
        <v>26</v>
      </c>
      <c r="C11916">
        <v>103000</v>
      </c>
      <c r="D11916">
        <v>6695.7</v>
      </c>
      <c r="E11916">
        <v>2.63E-2</v>
      </c>
      <c r="F11916">
        <v>4.0899999999999999E-2</v>
      </c>
    </row>
    <row r="11917" spans="1:6" x14ac:dyDescent="0.3">
      <c r="A11917" t="s">
        <v>11952</v>
      </c>
      <c r="B11917" t="s">
        <v>26</v>
      </c>
      <c r="C11917">
        <v>179000</v>
      </c>
      <c r="D11917">
        <v>8871.9</v>
      </c>
      <c r="E11917">
        <v>0.06</v>
      </c>
      <c r="F11917">
        <v>7.5899999999999995E-2</v>
      </c>
    </row>
    <row r="11918" spans="1:6" x14ac:dyDescent="0.3">
      <c r="A11918" t="s">
        <v>11953</v>
      </c>
      <c r="B11918" t="s">
        <v>88</v>
      </c>
      <c r="C11918">
        <v>164000</v>
      </c>
      <c r="D11918">
        <v>1670.9</v>
      </c>
      <c r="E11918">
        <v>5.8200000000000002E-2</v>
      </c>
      <c r="F11918">
        <v>0.1043</v>
      </c>
    </row>
    <row r="11919" spans="1:6" x14ac:dyDescent="0.3">
      <c r="A11919" t="s">
        <v>11954</v>
      </c>
      <c r="B11919" t="s">
        <v>26</v>
      </c>
      <c r="C11919">
        <v>105000</v>
      </c>
      <c r="D11919">
        <v>159.30000000000001</v>
      </c>
      <c r="E11919">
        <v>8.5000000000000006E-3</v>
      </c>
      <c r="F11919">
        <v>0.3649</v>
      </c>
    </row>
    <row r="11920" spans="1:6" x14ac:dyDescent="0.3">
      <c r="A11920" t="s">
        <v>11955</v>
      </c>
      <c r="B11920" t="s">
        <v>32</v>
      </c>
      <c r="C11920">
        <v>102000</v>
      </c>
      <c r="D11920">
        <v>439.4</v>
      </c>
      <c r="E11920">
        <v>3.4000000000000002E-2</v>
      </c>
      <c r="F11920">
        <v>0.14360000000000001</v>
      </c>
    </row>
    <row r="11921" spans="1:6" x14ac:dyDescent="0.3">
      <c r="A11921" t="s">
        <v>11956</v>
      </c>
      <c r="B11921" t="s">
        <v>32</v>
      </c>
      <c r="C11921">
        <v>241000</v>
      </c>
      <c r="D11921">
        <v>214104.5</v>
      </c>
      <c r="E11921">
        <v>6.4999999999999997E-3</v>
      </c>
      <c r="F11921">
        <v>6.54E-2</v>
      </c>
    </row>
    <row r="11922" spans="1:6" x14ac:dyDescent="0.3">
      <c r="A11922" t="s">
        <v>11957</v>
      </c>
      <c r="B11922" t="s">
        <v>53</v>
      </c>
      <c r="C11922">
        <v>110000</v>
      </c>
      <c r="D11922">
        <v>8670.7000000000007</v>
      </c>
      <c r="E11922">
        <v>6.2799999999999995E-2</v>
      </c>
      <c r="F11922">
        <v>9.5100000000000004E-2</v>
      </c>
    </row>
    <row r="11923" spans="1:6" x14ac:dyDescent="0.3">
      <c r="A11923" t="s">
        <v>11958</v>
      </c>
      <c r="B11923" t="s">
        <v>24</v>
      </c>
      <c r="C11923">
        <v>98400</v>
      </c>
      <c r="D11923">
        <v>3264.3</v>
      </c>
      <c r="E11923">
        <v>5.45E-2</v>
      </c>
      <c r="F11923">
        <v>9.98E-2</v>
      </c>
    </row>
    <row r="11924" spans="1:6" x14ac:dyDescent="0.3">
      <c r="A11924" t="s">
        <v>11959</v>
      </c>
      <c r="B11924" t="s">
        <v>214</v>
      </c>
      <c r="C11924">
        <v>128000</v>
      </c>
      <c r="D11924">
        <v>1930</v>
      </c>
      <c r="E11924">
        <v>4.3700000000000003E-2</v>
      </c>
      <c r="F11924">
        <v>7.5899999999999995E-2</v>
      </c>
    </row>
    <row r="11925" spans="1:6" x14ac:dyDescent="0.3">
      <c r="A11925" t="s">
        <v>11960</v>
      </c>
      <c r="B11925" t="s">
        <v>26</v>
      </c>
      <c r="C11925">
        <v>137000</v>
      </c>
      <c r="D11925">
        <v>1953.5</v>
      </c>
      <c r="E11925">
        <v>1.9E-2</v>
      </c>
      <c r="F11925">
        <v>0.1053</v>
      </c>
    </row>
    <row r="11926" spans="1:6" x14ac:dyDescent="0.3">
      <c r="A11926" t="s">
        <v>11961</v>
      </c>
      <c r="B11926" t="s">
        <v>26</v>
      </c>
      <c r="C11926">
        <v>173000</v>
      </c>
      <c r="D11926">
        <v>51616</v>
      </c>
      <c r="E11926">
        <v>1.1900000000000001E-2</v>
      </c>
      <c r="F11926">
        <v>0.1067</v>
      </c>
    </row>
    <row r="11927" spans="1:6" x14ac:dyDescent="0.3">
      <c r="A11927" t="s">
        <v>11962</v>
      </c>
      <c r="B11927" t="s">
        <v>50</v>
      </c>
      <c r="C11927">
        <v>551000</v>
      </c>
      <c r="D11927">
        <v>88513.8</v>
      </c>
      <c r="E11927">
        <v>1.06E-2</v>
      </c>
      <c r="F11927">
        <v>0.10580000000000001</v>
      </c>
    </row>
    <row r="11928" spans="1:6" x14ac:dyDescent="0.3">
      <c r="A11928" t="s">
        <v>11963</v>
      </c>
      <c r="B11928" t="s">
        <v>26</v>
      </c>
      <c r="C11928">
        <v>125000</v>
      </c>
      <c r="D11928">
        <v>72188.899999999994</v>
      </c>
      <c r="E11928">
        <v>6.2899999999999998E-2</v>
      </c>
      <c r="F11928">
        <v>9.5100000000000004E-2</v>
      </c>
    </row>
    <row r="11929" spans="1:6" x14ac:dyDescent="0.3">
      <c r="A11929" t="s">
        <v>11964</v>
      </c>
      <c r="B11929" t="s">
        <v>26</v>
      </c>
      <c r="C11929">
        <v>195000</v>
      </c>
      <c r="D11929">
        <v>3375</v>
      </c>
      <c r="E11929">
        <v>3.0599999999999999E-2</v>
      </c>
      <c r="F11929">
        <v>7.5899999999999995E-2</v>
      </c>
    </row>
    <row r="11930" spans="1:6" x14ac:dyDescent="0.3">
      <c r="A11930" t="s">
        <v>11965</v>
      </c>
      <c r="B11930" t="s">
        <v>88</v>
      </c>
      <c r="C11930">
        <v>106000</v>
      </c>
      <c r="D11930">
        <v>1795.2</v>
      </c>
      <c r="E11930">
        <v>4.2000000000000003E-2</v>
      </c>
      <c r="F11930">
        <v>9.5100000000000004E-2</v>
      </c>
    </row>
    <row r="11931" spans="1:6" x14ac:dyDescent="0.3">
      <c r="A11931" t="s">
        <v>11966</v>
      </c>
      <c r="B11931" t="s">
        <v>214</v>
      </c>
      <c r="C11931">
        <v>113000</v>
      </c>
      <c r="D11931">
        <v>279.7</v>
      </c>
      <c r="E11931">
        <v>3.1699999999999999E-2</v>
      </c>
      <c r="F11931">
        <v>0.27879999999999999</v>
      </c>
    </row>
    <row r="11932" spans="1:6" x14ac:dyDescent="0.3">
      <c r="A11932" t="s">
        <v>11967</v>
      </c>
      <c r="B11932" t="s">
        <v>26</v>
      </c>
      <c r="C11932">
        <v>140000</v>
      </c>
      <c r="D11932">
        <v>1034.7</v>
      </c>
      <c r="E11932">
        <v>1.1299999999999999E-2</v>
      </c>
      <c r="F11932">
        <v>6.54E-2</v>
      </c>
    </row>
    <row r="11933" spans="1:6" x14ac:dyDescent="0.3">
      <c r="A11933" t="s">
        <v>11968</v>
      </c>
      <c r="B11933" t="s">
        <v>71</v>
      </c>
      <c r="C11933">
        <v>115000</v>
      </c>
      <c r="D11933">
        <v>31269</v>
      </c>
      <c r="E11933">
        <v>2.2700000000000001E-2</v>
      </c>
      <c r="F11933">
        <v>8.5400000000000004E-2</v>
      </c>
    </row>
    <row r="11934" spans="1:6" x14ac:dyDescent="0.3">
      <c r="A11934" t="s">
        <v>11969</v>
      </c>
      <c r="B11934" t="s">
        <v>81</v>
      </c>
      <c r="C11934">
        <v>181000</v>
      </c>
      <c r="D11934">
        <v>16226.3</v>
      </c>
      <c r="E11934">
        <v>2.5399999999999999E-2</v>
      </c>
      <c r="F11934">
        <v>4.0899999999999999E-2</v>
      </c>
    </row>
    <row r="11935" spans="1:6" x14ac:dyDescent="0.3">
      <c r="A11935" t="s">
        <v>11970</v>
      </c>
      <c r="B11935" t="s">
        <v>88</v>
      </c>
      <c r="C11935">
        <v>105000</v>
      </c>
      <c r="D11935">
        <v>579.29999999999995</v>
      </c>
      <c r="E11935">
        <v>7.0699999999999999E-2</v>
      </c>
      <c r="F11935">
        <v>7.5899999999999995E-2</v>
      </c>
    </row>
    <row r="11936" spans="1:6" x14ac:dyDescent="0.3">
      <c r="A11936" t="s">
        <v>11971</v>
      </c>
      <c r="B11936" t="s">
        <v>26</v>
      </c>
      <c r="C11936">
        <v>97500</v>
      </c>
      <c r="D11936">
        <v>2316.1999999999998</v>
      </c>
      <c r="E11936">
        <v>8.3599999999999994E-2</v>
      </c>
      <c r="F11936">
        <v>0.504</v>
      </c>
    </row>
    <row r="11937" spans="1:6" x14ac:dyDescent="0.3">
      <c r="A11937" t="s">
        <v>11972</v>
      </c>
      <c r="B11937" t="s">
        <v>88</v>
      </c>
      <c r="C11937">
        <v>123000</v>
      </c>
      <c r="D11937">
        <v>13061.2</v>
      </c>
      <c r="E11937">
        <v>1.47E-2</v>
      </c>
      <c r="F11937">
        <v>5.8500000000000003E-2</v>
      </c>
    </row>
    <row r="11938" spans="1:6" x14ac:dyDescent="0.3">
      <c r="A11938" t="s">
        <v>11973</v>
      </c>
      <c r="B11938" t="s">
        <v>26</v>
      </c>
      <c r="C11938">
        <v>88300</v>
      </c>
      <c r="D11938">
        <v>438.1</v>
      </c>
      <c r="E11938">
        <v>4.8999999999999998E-3</v>
      </c>
      <c r="F11938">
        <v>0.18890000000000001</v>
      </c>
    </row>
    <row r="11939" spans="1:6" x14ac:dyDescent="0.3">
      <c r="A11939" t="s">
        <v>11974</v>
      </c>
      <c r="B11939" t="s">
        <v>92</v>
      </c>
      <c r="C11939">
        <v>116000</v>
      </c>
      <c r="D11939">
        <v>10614</v>
      </c>
      <c r="E11939">
        <v>3.3599999999999998E-2</v>
      </c>
      <c r="F11939">
        <v>7.5899999999999995E-2</v>
      </c>
    </row>
    <row r="11940" spans="1:6" x14ac:dyDescent="0.3">
      <c r="A11940" t="s">
        <v>11975</v>
      </c>
      <c r="B11940" t="s">
        <v>30</v>
      </c>
      <c r="C11940">
        <v>662000</v>
      </c>
      <c r="D11940">
        <v>443006.6</v>
      </c>
      <c r="E11940">
        <v>1.6199999999999999E-2</v>
      </c>
      <c r="F11940">
        <v>7.7399999999999997E-2</v>
      </c>
    </row>
    <row r="11941" spans="1:6" x14ac:dyDescent="0.3">
      <c r="A11941" t="s">
        <v>11976</v>
      </c>
      <c r="B11941" t="s">
        <v>21</v>
      </c>
      <c r="C11941">
        <v>97800</v>
      </c>
      <c r="D11941">
        <v>401.3</v>
      </c>
      <c r="E11941">
        <v>3.8699999999999998E-2</v>
      </c>
      <c r="F11941">
        <v>7.5899999999999995E-2</v>
      </c>
    </row>
    <row r="11942" spans="1:6" x14ac:dyDescent="0.3">
      <c r="A11942" t="s">
        <v>11977</v>
      </c>
      <c r="B11942" t="s">
        <v>88</v>
      </c>
      <c r="C11942">
        <v>111000</v>
      </c>
      <c r="D11942">
        <v>797.4</v>
      </c>
      <c r="E11942">
        <v>2.87E-2</v>
      </c>
      <c r="F11942">
        <v>5.0999999999999997E-2</v>
      </c>
    </row>
    <row r="11943" spans="1:6" x14ac:dyDescent="0.3">
      <c r="A11943" t="s">
        <v>11978</v>
      </c>
      <c r="B11943" t="s">
        <v>26</v>
      </c>
      <c r="C11943">
        <v>98200</v>
      </c>
      <c r="D11943">
        <v>1047.2</v>
      </c>
      <c r="E11943">
        <v>4.3499999999999997E-2</v>
      </c>
      <c r="F11943">
        <v>0.12429999999999999</v>
      </c>
    </row>
    <row r="11944" spans="1:6" x14ac:dyDescent="0.3">
      <c r="A11944" t="s">
        <v>11979</v>
      </c>
      <c r="B11944" t="s">
        <v>24</v>
      </c>
      <c r="C11944">
        <v>178000</v>
      </c>
      <c r="D11944">
        <v>856.6</v>
      </c>
      <c r="E11944">
        <v>6.1000000000000004E-3</v>
      </c>
      <c r="F11944">
        <v>6.54E-2</v>
      </c>
    </row>
    <row r="11945" spans="1:6" x14ac:dyDescent="0.3">
      <c r="A11945" t="s">
        <v>11980</v>
      </c>
      <c r="B11945" t="s">
        <v>88</v>
      </c>
      <c r="C11945">
        <v>113000</v>
      </c>
      <c r="D11945">
        <v>1379.1</v>
      </c>
      <c r="E11945">
        <v>3.4599999999999999E-2</v>
      </c>
      <c r="F11945">
        <v>9.3799999999999994E-2</v>
      </c>
    </row>
    <row r="11946" spans="1:6" x14ac:dyDescent="0.3">
      <c r="A11946" t="s">
        <v>11981</v>
      </c>
      <c r="B11946" t="s">
        <v>30</v>
      </c>
      <c r="C11946">
        <v>100000</v>
      </c>
      <c r="D11946">
        <v>151.6</v>
      </c>
      <c r="E11946">
        <v>4.3099999999999999E-2</v>
      </c>
      <c r="F11946">
        <v>9.5100000000000004E-2</v>
      </c>
    </row>
    <row r="11947" spans="1:6" x14ac:dyDescent="0.3">
      <c r="A11947" t="s">
        <v>11982</v>
      </c>
      <c r="B11947" t="s">
        <v>26</v>
      </c>
      <c r="C11947">
        <v>104000</v>
      </c>
      <c r="D11947">
        <v>5524.5</v>
      </c>
      <c r="E11947">
        <v>5.0599999999999999E-2</v>
      </c>
      <c r="F11947">
        <v>9.5100000000000004E-2</v>
      </c>
    </row>
    <row r="11948" spans="1:6" x14ac:dyDescent="0.3">
      <c r="A11948" t="s">
        <v>11983</v>
      </c>
      <c r="B11948" t="s">
        <v>26</v>
      </c>
      <c r="C11948">
        <v>110000</v>
      </c>
      <c r="D11948">
        <v>778725.5</v>
      </c>
      <c r="E11948">
        <v>1.6199999999999999E-2</v>
      </c>
      <c r="F11948">
        <v>0.1953</v>
      </c>
    </row>
    <row r="11949" spans="1:6" x14ac:dyDescent="0.3">
      <c r="A11949" t="s">
        <v>11984</v>
      </c>
      <c r="B11949" t="s">
        <v>92</v>
      </c>
      <c r="C11949">
        <v>227000</v>
      </c>
      <c r="D11949">
        <v>2809.2</v>
      </c>
      <c r="E11949">
        <v>1.5599999999999999E-2</v>
      </c>
      <c r="F11949">
        <v>9.1499999999999998E-2</v>
      </c>
    </row>
    <row r="11950" spans="1:6" x14ac:dyDescent="0.3">
      <c r="A11950" t="s">
        <v>11985</v>
      </c>
      <c r="B11950" t="s">
        <v>88</v>
      </c>
      <c r="C11950">
        <v>192000</v>
      </c>
      <c r="D11950">
        <v>1511.8</v>
      </c>
      <c r="E11950">
        <v>5.28E-2</v>
      </c>
      <c r="F11950">
        <v>7.5899999999999995E-2</v>
      </c>
    </row>
    <row r="11951" spans="1:6" x14ac:dyDescent="0.3">
      <c r="A11951" t="s">
        <v>11986</v>
      </c>
      <c r="B11951" t="s">
        <v>287</v>
      </c>
      <c r="C11951">
        <v>179000</v>
      </c>
      <c r="D11951">
        <v>1879</v>
      </c>
      <c r="E11951">
        <v>1.1299999999999999E-2</v>
      </c>
      <c r="F11951">
        <v>7.2599999999999998E-2</v>
      </c>
    </row>
    <row r="11952" spans="1:6" x14ac:dyDescent="0.3">
      <c r="A11952" t="s">
        <v>11987</v>
      </c>
      <c r="B11952" t="s">
        <v>26</v>
      </c>
      <c r="C11952">
        <v>149000</v>
      </c>
      <c r="D11952">
        <v>5722.7</v>
      </c>
      <c r="E11952">
        <v>2.1700000000000001E-2</v>
      </c>
      <c r="F11952">
        <v>8.5400000000000004E-2</v>
      </c>
    </row>
    <row r="11953" spans="1:6" x14ac:dyDescent="0.3">
      <c r="A11953" t="s">
        <v>11988</v>
      </c>
      <c r="B11953" t="s">
        <v>287</v>
      </c>
      <c r="C11953">
        <v>150000</v>
      </c>
      <c r="D11953">
        <v>1031.2</v>
      </c>
      <c r="E11953">
        <v>2.63E-2</v>
      </c>
      <c r="F11953">
        <v>9.98E-2</v>
      </c>
    </row>
    <row r="11954" spans="1:6" x14ac:dyDescent="0.3">
      <c r="A11954" t="s">
        <v>11989</v>
      </c>
      <c r="B11954" t="s">
        <v>214</v>
      </c>
      <c r="C11954">
        <v>99400</v>
      </c>
      <c r="D11954">
        <v>168</v>
      </c>
      <c r="E11954">
        <v>2.7900000000000001E-2</v>
      </c>
      <c r="F11954">
        <v>9.5100000000000004E-2</v>
      </c>
    </row>
    <row r="11955" spans="1:6" x14ac:dyDescent="0.3">
      <c r="A11955" t="s">
        <v>11990</v>
      </c>
      <c r="B11955" t="s">
        <v>490</v>
      </c>
      <c r="C11955">
        <v>164000</v>
      </c>
      <c r="D11955">
        <v>3537.5</v>
      </c>
      <c r="E11955">
        <v>2.2499999999999999E-2</v>
      </c>
      <c r="F11955">
        <v>8.4500000000000006E-2</v>
      </c>
    </row>
    <row r="11956" spans="1:6" x14ac:dyDescent="0.3">
      <c r="A11956" t="s">
        <v>11991</v>
      </c>
      <c r="B11956" t="s">
        <v>195</v>
      </c>
      <c r="C11956">
        <v>99100</v>
      </c>
      <c r="D11956">
        <v>508.4</v>
      </c>
      <c r="E11956">
        <v>1.01E-2</v>
      </c>
      <c r="F11956">
        <v>4.6199999999999998E-2</v>
      </c>
    </row>
    <row r="11957" spans="1:6" x14ac:dyDescent="0.3">
      <c r="A11957" t="s">
        <v>11992</v>
      </c>
      <c r="B11957" t="s">
        <v>62</v>
      </c>
      <c r="C11957">
        <v>102000</v>
      </c>
      <c r="D11957">
        <v>3460.9</v>
      </c>
      <c r="E11957">
        <v>4.5400000000000003E-2</v>
      </c>
      <c r="F11957">
        <v>0.11840000000000001</v>
      </c>
    </row>
    <row r="11958" spans="1:6" x14ac:dyDescent="0.3">
      <c r="A11958" t="s">
        <v>11993</v>
      </c>
      <c r="B11958" t="s">
        <v>26</v>
      </c>
      <c r="C11958">
        <v>97500</v>
      </c>
      <c r="D11958">
        <v>64028.4</v>
      </c>
      <c r="E11958">
        <v>5.57E-2</v>
      </c>
      <c r="F11958">
        <v>9.5100000000000004E-2</v>
      </c>
    </row>
    <row r="11959" spans="1:6" x14ac:dyDescent="0.3">
      <c r="A11959" t="s">
        <v>11994</v>
      </c>
      <c r="B11959" t="s">
        <v>53</v>
      </c>
      <c r="C11959">
        <v>115000</v>
      </c>
      <c r="D11959">
        <v>8527.4</v>
      </c>
      <c r="E11959">
        <v>2.64E-2</v>
      </c>
      <c r="F11959">
        <v>7.5899999999999995E-2</v>
      </c>
    </row>
    <row r="11960" spans="1:6" x14ac:dyDescent="0.3">
      <c r="A11960" t="s">
        <v>11995</v>
      </c>
      <c r="B11960" t="s">
        <v>74</v>
      </c>
      <c r="C11960">
        <v>102000</v>
      </c>
      <c r="D11960">
        <v>2089.5</v>
      </c>
      <c r="E11960">
        <v>1.78E-2</v>
      </c>
      <c r="F11960">
        <v>0.1241</v>
      </c>
    </row>
    <row r="11961" spans="1:6" x14ac:dyDescent="0.3">
      <c r="A11961" t="s">
        <v>11996</v>
      </c>
      <c r="B11961" t="s">
        <v>26</v>
      </c>
      <c r="C11961">
        <v>103000</v>
      </c>
      <c r="D11961">
        <v>14452.1</v>
      </c>
      <c r="E11961">
        <v>3.9300000000000002E-2</v>
      </c>
      <c r="F11961">
        <v>7.5899999999999995E-2</v>
      </c>
    </row>
    <row r="11962" spans="1:6" x14ac:dyDescent="0.3">
      <c r="A11962" t="s">
        <v>11997</v>
      </c>
      <c r="B11962" t="s">
        <v>26</v>
      </c>
      <c r="C11962">
        <v>203000</v>
      </c>
      <c r="D11962">
        <v>3418.4</v>
      </c>
      <c r="E11962">
        <v>2.18E-2</v>
      </c>
      <c r="F11962">
        <v>4.6199999999999998E-2</v>
      </c>
    </row>
    <row r="11963" spans="1:6" x14ac:dyDescent="0.3">
      <c r="A11963" t="s">
        <v>11998</v>
      </c>
      <c r="B11963" t="s">
        <v>88</v>
      </c>
      <c r="C11963">
        <v>262000</v>
      </c>
      <c r="D11963">
        <v>24454.6</v>
      </c>
      <c r="E11963">
        <v>3.2599999999999997E-2</v>
      </c>
      <c r="F11963">
        <v>7.5899999999999995E-2</v>
      </c>
    </row>
    <row r="11964" spans="1:6" x14ac:dyDescent="0.3">
      <c r="A11964" t="s">
        <v>11999</v>
      </c>
      <c r="B11964" t="s">
        <v>21</v>
      </c>
      <c r="C11964">
        <v>99400</v>
      </c>
      <c r="D11964">
        <v>88087.1</v>
      </c>
      <c r="E11964">
        <v>3.4799999999999998E-2</v>
      </c>
      <c r="F11964">
        <v>9.5100000000000004E-2</v>
      </c>
    </row>
    <row r="11965" spans="1:6" x14ac:dyDescent="0.3">
      <c r="A11965" t="s">
        <v>12000</v>
      </c>
      <c r="B11965" t="s">
        <v>26</v>
      </c>
      <c r="C11965">
        <v>98200</v>
      </c>
      <c r="D11965">
        <v>1216.7</v>
      </c>
      <c r="E11965">
        <v>1.7100000000000001E-2</v>
      </c>
      <c r="F11965">
        <v>4.8800000000000003E-2</v>
      </c>
    </row>
    <row r="11966" spans="1:6" x14ac:dyDescent="0.3">
      <c r="A11966" t="s">
        <v>12001</v>
      </c>
      <c r="B11966" t="s">
        <v>74</v>
      </c>
      <c r="C11966">
        <v>116000</v>
      </c>
      <c r="D11966">
        <v>780.9</v>
      </c>
      <c r="E11966">
        <v>4.8300000000000003E-2</v>
      </c>
      <c r="F11966">
        <v>5.1799999999999999E-2</v>
      </c>
    </row>
    <row r="11967" spans="1:6" x14ac:dyDescent="0.3">
      <c r="A11967" t="s">
        <v>12002</v>
      </c>
      <c r="B11967" t="s">
        <v>214</v>
      </c>
      <c r="C11967">
        <v>177000</v>
      </c>
      <c r="D11967">
        <v>5005.5</v>
      </c>
      <c r="E11967">
        <v>1.0999999999999999E-2</v>
      </c>
      <c r="F11967">
        <v>5.8400000000000001E-2</v>
      </c>
    </row>
    <row r="11968" spans="1:6" x14ac:dyDescent="0.3">
      <c r="A11968" t="s">
        <v>12003</v>
      </c>
      <c r="B11968" t="s">
        <v>24</v>
      </c>
      <c r="C11968">
        <v>113000</v>
      </c>
      <c r="D11968">
        <v>10282.5</v>
      </c>
      <c r="E11968">
        <v>1.3100000000000001E-2</v>
      </c>
      <c r="F11968">
        <v>5.8500000000000003E-2</v>
      </c>
    </row>
    <row r="11969" spans="1:6" x14ac:dyDescent="0.3">
      <c r="A11969" t="s">
        <v>12004</v>
      </c>
      <c r="B11969" t="s">
        <v>74</v>
      </c>
      <c r="C11969">
        <v>171000</v>
      </c>
      <c r="D11969">
        <v>3130.6</v>
      </c>
      <c r="E11969">
        <v>3.1399999999999997E-2</v>
      </c>
      <c r="F11969">
        <v>9.5100000000000004E-2</v>
      </c>
    </row>
    <row r="11970" spans="1:6" x14ac:dyDescent="0.3">
      <c r="A11970" t="s">
        <v>12005</v>
      </c>
      <c r="B11970" t="s">
        <v>26</v>
      </c>
      <c r="C11970">
        <v>128000</v>
      </c>
      <c r="D11970">
        <v>751.6</v>
      </c>
      <c r="E11970">
        <v>2.35E-2</v>
      </c>
      <c r="F11970">
        <v>7.5899999999999995E-2</v>
      </c>
    </row>
    <row r="11971" spans="1:6" x14ac:dyDescent="0.3">
      <c r="A11971" t="s">
        <v>12006</v>
      </c>
      <c r="B11971" t="s">
        <v>62</v>
      </c>
      <c r="C11971">
        <v>128000</v>
      </c>
      <c r="D11971">
        <v>7492.8</v>
      </c>
      <c r="E11971">
        <v>1.34E-2</v>
      </c>
      <c r="F11971">
        <v>4.6199999999999998E-2</v>
      </c>
    </row>
    <row r="11972" spans="1:6" x14ac:dyDescent="0.3">
      <c r="A11972" t="s">
        <v>12007</v>
      </c>
      <c r="B11972" t="s">
        <v>214</v>
      </c>
      <c r="C11972">
        <v>145000</v>
      </c>
      <c r="D11972">
        <v>2578.5</v>
      </c>
      <c r="E11972">
        <v>3.1399999999999997E-2</v>
      </c>
      <c r="F11972">
        <v>6.7199999999999996E-2</v>
      </c>
    </row>
    <row r="11973" spans="1:6" x14ac:dyDescent="0.3">
      <c r="A11973" t="s">
        <v>12008</v>
      </c>
      <c r="B11973" t="s">
        <v>41</v>
      </c>
      <c r="C11973">
        <v>147000</v>
      </c>
      <c r="D11973">
        <v>4163.1000000000004</v>
      </c>
      <c r="E11973">
        <v>2.0500000000000001E-2</v>
      </c>
      <c r="F11973">
        <v>8.4500000000000006E-2</v>
      </c>
    </row>
    <row r="11974" spans="1:6" x14ac:dyDescent="0.3">
      <c r="A11974" t="s">
        <v>12009</v>
      </c>
      <c r="B11974" t="s">
        <v>81</v>
      </c>
      <c r="C11974">
        <v>132000</v>
      </c>
      <c r="D11974">
        <v>3685.6</v>
      </c>
      <c r="E11974">
        <v>2.41E-2</v>
      </c>
      <c r="F11974">
        <v>0.13100000000000001</v>
      </c>
    </row>
    <row r="11975" spans="1:6" x14ac:dyDescent="0.3">
      <c r="A11975" t="s">
        <v>12010</v>
      </c>
      <c r="B11975" t="s">
        <v>28</v>
      </c>
      <c r="C11975">
        <v>98200</v>
      </c>
      <c r="D11975">
        <v>161.9</v>
      </c>
      <c r="E11975">
        <v>4.3400000000000001E-2</v>
      </c>
      <c r="F11975">
        <v>9.5100000000000004E-2</v>
      </c>
    </row>
    <row r="11976" spans="1:6" x14ac:dyDescent="0.3">
      <c r="A11976" t="s">
        <v>12011</v>
      </c>
      <c r="B11976" t="s">
        <v>24</v>
      </c>
      <c r="C11976">
        <v>151000</v>
      </c>
      <c r="D11976">
        <v>4179.1000000000004</v>
      </c>
      <c r="E11976">
        <v>5.7599999999999998E-2</v>
      </c>
      <c r="F11976">
        <v>9.3799999999999994E-2</v>
      </c>
    </row>
    <row r="11977" spans="1:6" x14ac:dyDescent="0.3">
      <c r="A11977" t="s">
        <v>12012</v>
      </c>
      <c r="B11977" t="s">
        <v>24</v>
      </c>
      <c r="C11977">
        <v>126000</v>
      </c>
      <c r="D11977">
        <v>15236.2</v>
      </c>
      <c r="F11977">
        <v>9.5100000000000004E-2</v>
      </c>
    </row>
    <row r="11978" spans="1:6" x14ac:dyDescent="0.3">
      <c r="A11978" t="s">
        <v>12013</v>
      </c>
      <c r="B11978" t="s">
        <v>74</v>
      </c>
      <c r="C11978">
        <v>133000</v>
      </c>
      <c r="D11978">
        <v>814.3</v>
      </c>
      <c r="E11978">
        <v>4.5400000000000003E-2</v>
      </c>
      <c r="F11978">
        <v>9.5100000000000004E-2</v>
      </c>
    </row>
    <row r="11979" spans="1:6" x14ac:dyDescent="0.3">
      <c r="A11979" t="s">
        <v>12014</v>
      </c>
      <c r="B11979" t="s">
        <v>26</v>
      </c>
      <c r="C11979">
        <v>103000</v>
      </c>
      <c r="D11979">
        <v>2021.6</v>
      </c>
      <c r="E11979">
        <v>1.5599999999999999E-2</v>
      </c>
      <c r="F11979">
        <v>4.6199999999999998E-2</v>
      </c>
    </row>
    <row r="11980" spans="1:6" x14ac:dyDescent="0.3">
      <c r="A11980" t="s">
        <v>12015</v>
      </c>
      <c r="B11980" t="s">
        <v>26</v>
      </c>
      <c r="C11980">
        <v>102000</v>
      </c>
      <c r="D11980">
        <v>1357.8</v>
      </c>
      <c r="E11980">
        <v>2.3300000000000001E-2</v>
      </c>
      <c r="F11980">
        <v>0.38679999999999998</v>
      </c>
    </row>
    <row r="11981" spans="1:6" x14ac:dyDescent="0.3">
      <c r="A11981" t="s">
        <v>12016</v>
      </c>
      <c r="B11981" t="s">
        <v>26</v>
      </c>
      <c r="C11981">
        <v>96800</v>
      </c>
      <c r="D11981">
        <v>104543.3</v>
      </c>
      <c r="E11981">
        <v>0.1133</v>
      </c>
      <c r="F11981">
        <v>9.5100000000000004E-2</v>
      </c>
    </row>
    <row r="11982" spans="1:6" x14ac:dyDescent="0.3">
      <c r="A11982" t="s">
        <v>12017</v>
      </c>
      <c r="B11982" t="s">
        <v>88</v>
      </c>
      <c r="C11982">
        <v>111000</v>
      </c>
      <c r="D11982">
        <v>10259.6</v>
      </c>
      <c r="E11982">
        <v>1.9199999999999998E-2</v>
      </c>
      <c r="F11982">
        <v>7.3099999999999998E-2</v>
      </c>
    </row>
    <row r="11983" spans="1:6" x14ac:dyDescent="0.3">
      <c r="A11983" t="s">
        <v>12018</v>
      </c>
      <c r="B11983" t="s">
        <v>81</v>
      </c>
      <c r="C11983">
        <v>98400</v>
      </c>
      <c r="D11983">
        <v>2925.5</v>
      </c>
      <c r="E11983">
        <v>2.76E-2</v>
      </c>
      <c r="F11983">
        <v>6.4399999999999999E-2</v>
      </c>
    </row>
    <row r="11984" spans="1:6" x14ac:dyDescent="0.3">
      <c r="A11984" t="s">
        <v>12019</v>
      </c>
      <c r="B11984" t="s">
        <v>92</v>
      </c>
      <c r="C11984">
        <v>122000</v>
      </c>
      <c r="D11984">
        <v>39821.699999999997</v>
      </c>
      <c r="E11984">
        <v>2.6700000000000002E-2</v>
      </c>
      <c r="F11984">
        <v>9.5100000000000004E-2</v>
      </c>
    </row>
    <row r="11985" spans="1:6" x14ac:dyDescent="0.3">
      <c r="A11985" t="s">
        <v>12020</v>
      </c>
      <c r="B11985" t="s">
        <v>26</v>
      </c>
      <c r="C11985">
        <v>96800</v>
      </c>
      <c r="D11985">
        <v>595.9</v>
      </c>
      <c r="E11985">
        <v>2.8899999999999999E-2</v>
      </c>
      <c r="F11985">
        <v>0.1108</v>
      </c>
    </row>
    <row r="11986" spans="1:6" x14ac:dyDescent="0.3">
      <c r="A11986" t="s">
        <v>12021</v>
      </c>
      <c r="B11986" t="s">
        <v>214</v>
      </c>
      <c r="C11986">
        <v>106000</v>
      </c>
      <c r="D11986">
        <v>15504.7</v>
      </c>
      <c r="E11986">
        <v>2.8299999999999999E-2</v>
      </c>
      <c r="F11986">
        <v>8.4500000000000006E-2</v>
      </c>
    </row>
    <row r="11987" spans="1:6" x14ac:dyDescent="0.3">
      <c r="A11987" t="s">
        <v>12022</v>
      </c>
      <c r="B11987" t="s">
        <v>74</v>
      </c>
      <c r="C11987">
        <v>94200</v>
      </c>
      <c r="D11987">
        <v>348.1</v>
      </c>
      <c r="E11987">
        <v>1.38E-2</v>
      </c>
      <c r="F11987">
        <v>0.28910000000000002</v>
      </c>
    </row>
    <row r="11988" spans="1:6" x14ac:dyDescent="0.3">
      <c r="A11988" t="s">
        <v>12023</v>
      </c>
      <c r="B11988" t="s">
        <v>50</v>
      </c>
      <c r="C11988">
        <v>114000</v>
      </c>
      <c r="D11988">
        <v>8633.7999999999993</v>
      </c>
      <c r="E11988">
        <v>5.28E-2</v>
      </c>
      <c r="F11988">
        <v>7.5899999999999995E-2</v>
      </c>
    </row>
    <row r="11989" spans="1:6" x14ac:dyDescent="0.3">
      <c r="A11989" t="s">
        <v>12024</v>
      </c>
      <c r="B11989" t="s">
        <v>26</v>
      </c>
      <c r="C11989">
        <v>140000</v>
      </c>
      <c r="D11989">
        <v>689.2</v>
      </c>
      <c r="E11989">
        <v>1.47E-2</v>
      </c>
      <c r="F11989">
        <v>4.8800000000000003E-2</v>
      </c>
    </row>
    <row r="11990" spans="1:6" x14ac:dyDescent="0.3">
      <c r="A11990" t="s">
        <v>12025</v>
      </c>
      <c r="B11990" t="s">
        <v>74</v>
      </c>
      <c r="C11990">
        <v>116000</v>
      </c>
      <c r="D11990">
        <v>6119.7</v>
      </c>
      <c r="E11990">
        <v>6.9400000000000003E-2</v>
      </c>
      <c r="F11990">
        <v>9.3799999999999994E-2</v>
      </c>
    </row>
    <row r="11991" spans="1:6" x14ac:dyDescent="0.3">
      <c r="A11991" t="s">
        <v>12026</v>
      </c>
      <c r="B11991" t="s">
        <v>53</v>
      </c>
      <c r="C11991">
        <v>190000</v>
      </c>
      <c r="D11991">
        <v>68670.7</v>
      </c>
      <c r="F11991">
        <v>5.0999999999999997E-2</v>
      </c>
    </row>
    <row r="11992" spans="1:6" x14ac:dyDescent="0.3">
      <c r="A11992" t="s">
        <v>12027</v>
      </c>
      <c r="B11992" t="s">
        <v>24</v>
      </c>
      <c r="C11992">
        <v>126000</v>
      </c>
      <c r="D11992">
        <v>4482.6000000000004</v>
      </c>
      <c r="E11992">
        <v>4.9000000000000002E-2</v>
      </c>
      <c r="F11992">
        <v>7.5899999999999995E-2</v>
      </c>
    </row>
    <row r="11993" spans="1:6" x14ac:dyDescent="0.3">
      <c r="A11993" t="s">
        <v>12028</v>
      </c>
      <c r="B11993" t="s">
        <v>24</v>
      </c>
      <c r="C11993">
        <v>157000</v>
      </c>
      <c r="D11993">
        <v>1818.4</v>
      </c>
      <c r="E11993">
        <v>6.4899999999999999E-2</v>
      </c>
      <c r="F11993">
        <v>9.3799999999999994E-2</v>
      </c>
    </row>
    <row r="11994" spans="1:6" x14ac:dyDescent="0.3">
      <c r="A11994" t="s">
        <v>12029</v>
      </c>
      <c r="B11994" t="s">
        <v>195</v>
      </c>
      <c r="C11994">
        <v>100000</v>
      </c>
      <c r="D11994">
        <v>77959.600000000006</v>
      </c>
      <c r="E11994">
        <v>8.3900000000000002E-2</v>
      </c>
      <c r="F11994">
        <v>9.5100000000000004E-2</v>
      </c>
    </row>
    <row r="11995" spans="1:6" x14ac:dyDescent="0.3">
      <c r="A11995" t="s">
        <v>12030</v>
      </c>
      <c r="B11995" t="s">
        <v>62</v>
      </c>
      <c r="C11995">
        <v>198000</v>
      </c>
      <c r="D11995">
        <v>31079.3</v>
      </c>
      <c r="E11995">
        <v>7.0900000000000005E-2</v>
      </c>
      <c r="F11995">
        <v>7.5899999999999995E-2</v>
      </c>
    </row>
    <row r="11996" spans="1:6" x14ac:dyDescent="0.3">
      <c r="A11996" t="s">
        <v>12031</v>
      </c>
      <c r="B11996" t="s">
        <v>26</v>
      </c>
      <c r="C11996">
        <v>126000</v>
      </c>
      <c r="D11996">
        <v>948.6</v>
      </c>
      <c r="E11996">
        <v>6.4600000000000005E-2</v>
      </c>
      <c r="F11996">
        <v>7.5899999999999995E-2</v>
      </c>
    </row>
    <row r="11997" spans="1:6" x14ac:dyDescent="0.3">
      <c r="A11997" t="s">
        <v>12032</v>
      </c>
      <c r="B11997" t="s">
        <v>26</v>
      </c>
      <c r="C11997">
        <v>96900</v>
      </c>
      <c r="D11997">
        <v>177.6</v>
      </c>
      <c r="E11997">
        <v>5.6000000000000001E-2</v>
      </c>
      <c r="F11997">
        <v>9.5100000000000004E-2</v>
      </c>
    </row>
    <row r="11998" spans="1:6" x14ac:dyDescent="0.3">
      <c r="A11998" t="s">
        <v>12033</v>
      </c>
      <c r="B11998" t="s">
        <v>62</v>
      </c>
      <c r="C11998">
        <v>103000</v>
      </c>
      <c r="D11998">
        <v>3174</v>
      </c>
      <c r="E11998">
        <v>2.8799999999999999E-2</v>
      </c>
      <c r="F11998">
        <v>7.5899999999999995E-2</v>
      </c>
    </row>
    <row r="11999" spans="1:6" x14ac:dyDescent="0.3">
      <c r="A11999" t="s">
        <v>12034</v>
      </c>
      <c r="B11999" t="s">
        <v>214</v>
      </c>
      <c r="C11999">
        <v>126000</v>
      </c>
      <c r="D11999">
        <v>24025.5</v>
      </c>
      <c r="E11999">
        <v>4.2599999999999999E-2</v>
      </c>
      <c r="F11999">
        <v>9.5100000000000004E-2</v>
      </c>
    </row>
    <row r="12000" spans="1:6" x14ac:dyDescent="0.3">
      <c r="A12000" t="s">
        <v>12035</v>
      </c>
      <c r="B12000" t="s">
        <v>26</v>
      </c>
      <c r="C12000">
        <v>95400</v>
      </c>
      <c r="D12000">
        <v>8249.2999999999993</v>
      </c>
      <c r="E12000">
        <v>0.01</v>
      </c>
      <c r="F12000">
        <v>8.2100000000000006E-2</v>
      </c>
    </row>
    <row r="12001" spans="1:6" x14ac:dyDescent="0.3">
      <c r="A12001" t="s">
        <v>12036</v>
      </c>
      <c r="B12001" t="s">
        <v>195</v>
      </c>
      <c r="C12001">
        <v>99000</v>
      </c>
      <c r="D12001">
        <v>13668</v>
      </c>
      <c r="E12001">
        <v>6.1999999999999998E-3</v>
      </c>
      <c r="F12001">
        <v>0.10150000000000001</v>
      </c>
    </row>
    <row r="12002" spans="1:6" x14ac:dyDescent="0.3">
      <c r="A12002" t="s">
        <v>12037</v>
      </c>
      <c r="B12002" t="s">
        <v>92</v>
      </c>
      <c r="C12002">
        <v>97800</v>
      </c>
      <c r="D12002">
        <v>18327.8</v>
      </c>
      <c r="E12002">
        <v>3.5700000000000003E-2</v>
      </c>
      <c r="F12002">
        <v>9.5100000000000004E-2</v>
      </c>
    </row>
    <row r="12003" spans="1:6" x14ac:dyDescent="0.3">
      <c r="A12003" t="s">
        <v>12038</v>
      </c>
      <c r="B12003" t="s">
        <v>30</v>
      </c>
      <c r="C12003">
        <v>184000</v>
      </c>
      <c r="D12003">
        <v>967.9</v>
      </c>
      <c r="E12003">
        <v>2.3E-3</v>
      </c>
      <c r="F12003">
        <v>0.45319999999999999</v>
      </c>
    </row>
    <row r="12004" spans="1:6" x14ac:dyDescent="0.3">
      <c r="A12004" t="s">
        <v>12039</v>
      </c>
      <c r="B12004" t="s">
        <v>26</v>
      </c>
      <c r="C12004">
        <v>97200</v>
      </c>
      <c r="D12004">
        <v>2282.6999999999998</v>
      </c>
      <c r="E12004">
        <v>8.8000000000000005E-3</v>
      </c>
      <c r="F12004">
        <v>8.2199999999999995E-2</v>
      </c>
    </row>
    <row r="12005" spans="1:6" x14ac:dyDescent="0.3">
      <c r="A12005" t="s">
        <v>12040</v>
      </c>
      <c r="B12005" t="s">
        <v>88</v>
      </c>
      <c r="C12005">
        <v>130000</v>
      </c>
      <c r="D12005">
        <v>471.5</v>
      </c>
      <c r="E12005">
        <v>3.6299999999999999E-2</v>
      </c>
      <c r="F12005">
        <v>9.3799999999999994E-2</v>
      </c>
    </row>
    <row r="12006" spans="1:6" x14ac:dyDescent="0.3">
      <c r="A12006" t="s">
        <v>12041</v>
      </c>
      <c r="B12006" t="s">
        <v>26</v>
      </c>
      <c r="C12006">
        <v>142000</v>
      </c>
      <c r="D12006">
        <v>8996.9</v>
      </c>
      <c r="E12006">
        <v>2.5000000000000001E-2</v>
      </c>
      <c r="F12006">
        <v>4.3200000000000002E-2</v>
      </c>
    </row>
    <row r="12007" spans="1:6" x14ac:dyDescent="0.3">
      <c r="A12007" t="s">
        <v>12042</v>
      </c>
      <c r="B12007" t="s">
        <v>24</v>
      </c>
      <c r="C12007">
        <v>110000</v>
      </c>
      <c r="D12007">
        <v>6850.4</v>
      </c>
      <c r="E12007">
        <v>5.6300000000000003E-2</v>
      </c>
      <c r="F12007">
        <v>7.5899999999999995E-2</v>
      </c>
    </row>
    <row r="12008" spans="1:6" x14ac:dyDescent="0.3">
      <c r="A12008" t="s">
        <v>12043</v>
      </c>
      <c r="B12008" t="s">
        <v>214</v>
      </c>
      <c r="C12008">
        <v>180000</v>
      </c>
      <c r="D12008">
        <v>11043.3</v>
      </c>
      <c r="E12008">
        <v>1.95E-2</v>
      </c>
      <c r="F12008">
        <v>8.5400000000000004E-2</v>
      </c>
    </row>
    <row r="12009" spans="1:6" x14ac:dyDescent="0.3">
      <c r="A12009" t="s">
        <v>12044</v>
      </c>
      <c r="B12009" t="s">
        <v>26</v>
      </c>
      <c r="C12009">
        <v>117000</v>
      </c>
      <c r="D12009">
        <v>2351.8000000000002</v>
      </c>
      <c r="E12009">
        <v>7.4999999999999997E-3</v>
      </c>
      <c r="F12009">
        <v>8.2199999999999995E-2</v>
      </c>
    </row>
    <row r="12010" spans="1:6" x14ac:dyDescent="0.3">
      <c r="A12010" t="s">
        <v>12045</v>
      </c>
      <c r="B12010" t="s">
        <v>26</v>
      </c>
      <c r="C12010">
        <v>108000</v>
      </c>
      <c r="D12010">
        <v>20316.2</v>
      </c>
      <c r="E12010">
        <v>5.4800000000000001E-2</v>
      </c>
      <c r="F12010">
        <v>9.5100000000000004E-2</v>
      </c>
    </row>
    <row r="12011" spans="1:6" x14ac:dyDescent="0.3">
      <c r="A12011" t="s">
        <v>12046</v>
      </c>
      <c r="B12011" t="s">
        <v>81</v>
      </c>
      <c r="C12011">
        <v>102000</v>
      </c>
      <c r="D12011">
        <v>32.1</v>
      </c>
      <c r="E12011">
        <v>5.4000000000000003E-3</v>
      </c>
      <c r="F12011">
        <v>0.1779</v>
      </c>
    </row>
    <row r="12012" spans="1:6" x14ac:dyDescent="0.3">
      <c r="A12012" t="s">
        <v>12047</v>
      </c>
      <c r="B12012" t="s">
        <v>24</v>
      </c>
      <c r="C12012">
        <v>94700</v>
      </c>
      <c r="D12012">
        <v>21380.1</v>
      </c>
      <c r="E12012">
        <v>7.0699999999999999E-2</v>
      </c>
      <c r="F12012">
        <v>9.5100000000000004E-2</v>
      </c>
    </row>
    <row r="12013" spans="1:6" x14ac:dyDescent="0.3">
      <c r="A12013" t="s">
        <v>12048</v>
      </c>
      <c r="B12013" t="s">
        <v>490</v>
      </c>
      <c r="C12013">
        <v>195000</v>
      </c>
      <c r="D12013">
        <v>8454.4</v>
      </c>
      <c r="E12013">
        <v>7.3000000000000001E-3</v>
      </c>
      <c r="F12013">
        <v>6.54E-2</v>
      </c>
    </row>
    <row r="12014" spans="1:6" x14ac:dyDescent="0.3">
      <c r="A12014" t="s">
        <v>12049</v>
      </c>
      <c r="B12014" t="s">
        <v>30</v>
      </c>
      <c r="C12014">
        <v>97400</v>
      </c>
      <c r="D12014">
        <v>104111</v>
      </c>
      <c r="E12014">
        <v>1.95E-2</v>
      </c>
      <c r="F12014">
        <v>9.5000000000000001E-2</v>
      </c>
    </row>
    <row r="12015" spans="1:6" x14ac:dyDescent="0.3">
      <c r="A12015" t="s">
        <v>12050</v>
      </c>
      <c r="B12015" t="s">
        <v>26</v>
      </c>
      <c r="C12015">
        <v>130000</v>
      </c>
      <c r="D12015">
        <v>3444.8</v>
      </c>
      <c r="E12015">
        <v>3.5299999999999998E-2</v>
      </c>
      <c r="F12015">
        <v>9.3799999999999994E-2</v>
      </c>
    </row>
    <row r="12016" spans="1:6" x14ac:dyDescent="0.3">
      <c r="A12016" t="s">
        <v>12051</v>
      </c>
      <c r="B12016" t="s">
        <v>71</v>
      </c>
      <c r="C12016">
        <v>126000</v>
      </c>
      <c r="D12016">
        <v>1591.3</v>
      </c>
      <c r="E12016">
        <v>2.6800000000000001E-2</v>
      </c>
      <c r="F12016">
        <v>7.5899999999999995E-2</v>
      </c>
    </row>
    <row r="12017" spans="1:6" x14ac:dyDescent="0.3">
      <c r="A12017" t="s">
        <v>12052</v>
      </c>
      <c r="B12017" t="s">
        <v>26</v>
      </c>
      <c r="C12017">
        <v>118000</v>
      </c>
      <c r="D12017">
        <v>38710.400000000001</v>
      </c>
      <c r="E12017">
        <v>1.5900000000000001E-2</v>
      </c>
      <c r="F12017">
        <v>5.8500000000000003E-2</v>
      </c>
    </row>
    <row r="12018" spans="1:6" x14ac:dyDescent="0.3">
      <c r="A12018" t="s">
        <v>12053</v>
      </c>
      <c r="B12018" t="s">
        <v>26</v>
      </c>
      <c r="C12018">
        <v>103000</v>
      </c>
      <c r="D12018">
        <v>424861.6</v>
      </c>
      <c r="E12018">
        <v>3.9199999999999999E-2</v>
      </c>
      <c r="F12018">
        <v>9.5100000000000004E-2</v>
      </c>
    </row>
    <row r="12019" spans="1:6" x14ac:dyDescent="0.3">
      <c r="A12019" t="s">
        <v>12054</v>
      </c>
      <c r="B12019" t="s">
        <v>490</v>
      </c>
      <c r="C12019">
        <v>114000</v>
      </c>
      <c r="D12019">
        <v>2088</v>
      </c>
      <c r="E12019">
        <v>2.8400000000000002E-2</v>
      </c>
      <c r="F12019">
        <v>7.5899999999999995E-2</v>
      </c>
    </row>
    <row r="12020" spans="1:6" x14ac:dyDescent="0.3">
      <c r="A12020" t="s">
        <v>12055</v>
      </c>
      <c r="B12020" t="s">
        <v>88</v>
      </c>
      <c r="C12020">
        <v>276000</v>
      </c>
      <c r="D12020">
        <v>414.3</v>
      </c>
      <c r="E12020">
        <v>6.3399999999999998E-2</v>
      </c>
      <c r="F12020">
        <v>9.3799999999999994E-2</v>
      </c>
    </row>
    <row r="12021" spans="1:6" x14ac:dyDescent="0.3">
      <c r="A12021" t="s">
        <v>12056</v>
      </c>
      <c r="B12021" t="s">
        <v>71</v>
      </c>
      <c r="C12021">
        <v>112000</v>
      </c>
      <c r="D12021">
        <v>106.6</v>
      </c>
      <c r="E12021">
        <v>3.6200000000000003E-2</v>
      </c>
      <c r="F12021">
        <v>9.3799999999999994E-2</v>
      </c>
    </row>
    <row r="12022" spans="1:6" x14ac:dyDescent="0.3">
      <c r="A12022" t="s">
        <v>12057</v>
      </c>
      <c r="B12022" t="s">
        <v>81</v>
      </c>
      <c r="C12022">
        <v>107000</v>
      </c>
      <c r="D12022">
        <v>1683.4</v>
      </c>
      <c r="E12022">
        <v>1.84E-2</v>
      </c>
      <c r="F12022">
        <v>4.6199999999999998E-2</v>
      </c>
    </row>
    <row r="12023" spans="1:6" x14ac:dyDescent="0.3">
      <c r="A12023" t="s">
        <v>12058</v>
      </c>
      <c r="B12023" t="s">
        <v>26</v>
      </c>
      <c r="C12023">
        <v>129000</v>
      </c>
      <c r="D12023">
        <v>81027.199999999997</v>
      </c>
      <c r="E12023">
        <v>2.23E-2</v>
      </c>
      <c r="F12023">
        <v>7.5899999999999995E-2</v>
      </c>
    </row>
    <row r="12024" spans="1:6" x14ac:dyDescent="0.3">
      <c r="A12024" t="s">
        <v>12059</v>
      </c>
      <c r="B12024" t="s">
        <v>41</v>
      </c>
      <c r="C12024">
        <v>139000</v>
      </c>
      <c r="D12024">
        <v>1805.4</v>
      </c>
      <c r="E12024">
        <v>2.6599999999999999E-2</v>
      </c>
      <c r="F12024">
        <v>7.5899999999999995E-2</v>
      </c>
    </row>
    <row r="12025" spans="1:6" x14ac:dyDescent="0.3">
      <c r="A12025" t="s">
        <v>12060</v>
      </c>
      <c r="B12025" t="s">
        <v>24</v>
      </c>
      <c r="C12025">
        <v>130000</v>
      </c>
      <c r="D12025">
        <v>595.6</v>
      </c>
      <c r="E12025">
        <v>5.4600000000000003E-2</v>
      </c>
      <c r="F12025">
        <v>0.11840000000000001</v>
      </c>
    </row>
    <row r="12026" spans="1:6" x14ac:dyDescent="0.3">
      <c r="A12026" t="s">
        <v>12061</v>
      </c>
      <c r="B12026" t="s">
        <v>214</v>
      </c>
      <c r="C12026">
        <v>115000</v>
      </c>
      <c r="D12026">
        <v>4286.8</v>
      </c>
      <c r="E12026">
        <v>3.8899999999999997E-2</v>
      </c>
      <c r="F12026">
        <v>9.5100000000000004E-2</v>
      </c>
    </row>
    <row r="12027" spans="1:6" x14ac:dyDescent="0.3">
      <c r="A12027" t="s">
        <v>12062</v>
      </c>
      <c r="B12027" t="s">
        <v>26</v>
      </c>
      <c r="C12027">
        <v>104000</v>
      </c>
      <c r="D12027">
        <v>84855.4</v>
      </c>
      <c r="E12027">
        <v>2.2100000000000002E-2</v>
      </c>
      <c r="F12027">
        <v>5.1799999999999999E-2</v>
      </c>
    </row>
    <row r="12028" spans="1:6" x14ac:dyDescent="0.3">
      <c r="A12028" t="s">
        <v>12063</v>
      </c>
      <c r="B12028" t="s">
        <v>26</v>
      </c>
      <c r="C12028">
        <v>103000</v>
      </c>
      <c r="D12028">
        <v>26.5</v>
      </c>
      <c r="E12028">
        <v>2.8E-3</v>
      </c>
      <c r="F12028">
        <v>0.26879999999999998</v>
      </c>
    </row>
    <row r="12029" spans="1:6" x14ac:dyDescent="0.3">
      <c r="A12029" t="s">
        <v>12064</v>
      </c>
      <c r="B12029" t="s">
        <v>26</v>
      </c>
      <c r="C12029">
        <v>122000</v>
      </c>
      <c r="D12029">
        <v>38060.5</v>
      </c>
      <c r="F12029">
        <v>4.0899999999999999E-2</v>
      </c>
    </row>
    <row r="12030" spans="1:6" x14ac:dyDescent="0.3">
      <c r="A12030" t="s">
        <v>12065</v>
      </c>
      <c r="B12030" t="s">
        <v>81</v>
      </c>
      <c r="C12030">
        <v>100000</v>
      </c>
      <c r="D12030">
        <v>11899.8</v>
      </c>
      <c r="E12030">
        <v>5.3499999999999999E-2</v>
      </c>
      <c r="F12030">
        <v>8.4500000000000006E-2</v>
      </c>
    </row>
    <row r="12031" spans="1:6" x14ac:dyDescent="0.3">
      <c r="A12031" t="s">
        <v>12066</v>
      </c>
      <c r="B12031" t="s">
        <v>26</v>
      </c>
      <c r="C12031">
        <v>128000</v>
      </c>
      <c r="D12031">
        <v>3139.2</v>
      </c>
      <c r="E12031">
        <v>3.3700000000000001E-2</v>
      </c>
      <c r="F12031">
        <v>7.5899999999999995E-2</v>
      </c>
    </row>
    <row r="12032" spans="1:6" x14ac:dyDescent="0.3">
      <c r="A12032" t="s">
        <v>12067</v>
      </c>
      <c r="B12032" t="s">
        <v>74</v>
      </c>
      <c r="C12032">
        <v>96100</v>
      </c>
      <c r="D12032">
        <v>3390.5</v>
      </c>
      <c r="E12032">
        <v>4.0399999999999998E-2</v>
      </c>
      <c r="F12032">
        <v>9.5100000000000004E-2</v>
      </c>
    </row>
    <row r="12033" spans="1:6" x14ac:dyDescent="0.3">
      <c r="A12033" t="s">
        <v>12068</v>
      </c>
      <c r="B12033" t="s">
        <v>50</v>
      </c>
      <c r="C12033">
        <v>121000</v>
      </c>
      <c r="D12033">
        <v>64275.7</v>
      </c>
      <c r="F12033">
        <v>9.5100000000000004E-2</v>
      </c>
    </row>
    <row r="12034" spans="1:6" x14ac:dyDescent="0.3">
      <c r="A12034" t="s">
        <v>12069</v>
      </c>
      <c r="B12034" t="s">
        <v>26</v>
      </c>
      <c r="C12034">
        <v>127000</v>
      </c>
      <c r="D12034">
        <v>2573437.4</v>
      </c>
      <c r="E12034">
        <v>1.34E-2</v>
      </c>
      <c r="F12034">
        <v>5.8500000000000003E-2</v>
      </c>
    </row>
    <row r="12035" spans="1:6" x14ac:dyDescent="0.3">
      <c r="A12035" t="s">
        <v>12070</v>
      </c>
      <c r="B12035" t="s">
        <v>26</v>
      </c>
      <c r="C12035">
        <v>89100</v>
      </c>
      <c r="D12035">
        <v>131</v>
      </c>
      <c r="E12035">
        <v>4.7600000000000003E-2</v>
      </c>
      <c r="F12035">
        <v>7.5899999999999995E-2</v>
      </c>
    </row>
    <row r="12036" spans="1:6" x14ac:dyDescent="0.3">
      <c r="A12036" t="s">
        <v>12071</v>
      </c>
      <c r="B12036" t="s">
        <v>26</v>
      </c>
      <c r="C12036">
        <v>146000</v>
      </c>
      <c r="D12036">
        <v>7584.1</v>
      </c>
      <c r="E12036">
        <v>4.5999999999999999E-2</v>
      </c>
      <c r="F12036">
        <v>9.5100000000000004E-2</v>
      </c>
    </row>
    <row r="12037" spans="1:6" x14ac:dyDescent="0.3">
      <c r="A12037" t="s">
        <v>12072</v>
      </c>
      <c r="B12037" t="s">
        <v>92</v>
      </c>
      <c r="C12037">
        <v>203000</v>
      </c>
      <c r="D12037">
        <v>15920.6</v>
      </c>
      <c r="E12037">
        <v>6.1000000000000004E-3</v>
      </c>
      <c r="F12037">
        <v>6.54E-2</v>
      </c>
    </row>
    <row r="12038" spans="1:6" x14ac:dyDescent="0.3">
      <c r="A12038" t="s">
        <v>12073</v>
      </c>
      <c r="B12038" t="s">
        <v>71</v>
      </c>
      <c r="C12038">
        <v>100000</v>
      </c>
      <c r="D12038">
        <v>12.8</v>
      </c>
      <c r="E12038">
        <v>8.5000000000000006E-3</v>
      </c>
      <c r="F12038">
        <v>0.22800000000000001</v>
      </c>
    </row>
    <row r="12039" spans="1:6" x14ac:dyDescent="0.3">
      <c r="A12039" t="s">
        <v>12074</v>
      </c>
      <c r="B12039" t="s">
        <v>88</v>
      </c>
      <c r="C12039">
        <v>125000</v>
      </c>
      <c r="D12039">
        <v>1644.2</v>
      </c>
      <c r="E12039">
        <v>4.4999999999999998E-2</v>
      </c>
      <c r="F12039">
        <v>9.5100000000000004E-2</v>
      </c>
    </row>
    <row r="12040" spans="1:6" x14ac:dyDescent="0.3">
      <c r="A12040" t="s">
        <v>12075</v>
      </c>
      <c r="B12040" t="s">
        <v>32</v>
      </c>
      <c r="C12040">
        <v>274000</v>
      </c>
      <c r="D12040">
        <v>11361.7</v>
      </c>
      <c r="E12040">
        <v>1.3599999999999999E-2</v>
      </c>
      <c r="F12040">
        <v>4.6199999999999998E-2</v>
      </c>
    </row>
    <row r="12041" spans="1:6" x14ac:dyDescent="0.3">
      <c r="A12041" t="s">
        <v>12076</v>
      </c>
      <c r="B12041" t="s">
        <v>26</v>
      </c>
      <c r="C12041">
        <v>134000</v>
      </c>
      <c r="D12041">
        <v>294.89999999999998</v>
      </c>
      <c r="E12041">
        <v>7.2099999999999997E-2</v>
      </c>
      <c r="F12041">
        <v>5.1700000000000003E-2</v>
      </c>
    </row>
    <row r="12042" spans="1:6" x14ac:dyDescent="0.3">
      <c r="A12042" t="s">
        <v>12077</v>
      </c>
      <c r="B12042" t="s">
        <v>88</v>
      </c>
      <c r="C12042">
        <v>356000</v>
      </c>
      <c r="D12042">
        <v>381.5</v>
      </c>
      <c r="E12042">
        <v>0.1167</v>
      </c>
      <c r="F12042">
        <v>7.5899999999999995E-2</v>
      </c>
    </row>
    <row r="12043" spans="1:6" x14ac:dyDescent="0.3">
      <c r="A12043" t="s">
        <v>12078</v>
      </c>
      <c r="B12043" t="s">
        <v>195</v>
      </c>
      <c r="C12043">
        <v>104000</v>
      </c>
      <c r="D12043">
        <v>4253.1000000000004</v>
      </c>
      <c r="E12043">
        <v>1.7399999999999999E-2</v>
      </c>
      <c r="F12043">
        <v>4.6199999999999998E-2</v>
      </c>
    </row>
    <row r="12044" spans="1:6" x14ac:dyDescent="0.3">
      <c r="A12044" t="s">
        <v>12079</v>
      </c>
      <c r="B12044" t="s">
        <v>26</v>
      </c>
      <c r="C12044">
        <v>95900</v>
      </c>
      <c r="D12044">
        <v>213.5</v>
      </c>
      <c r="E12044">
        <v>9.2999999999999999E-2</v>
      </c>
      <c r="F12044">
        <v>9.5100000000000004E-2</v>
      </c>
    </row>
    <row r="12045" spans="1:6" x14ac:dyDescent="0.3">
      <c r="A12045" t="s">
        <v>12080</v>
      </c>
      <c r="B12045" t="s">
        <v>26</v>
      </c>
      <c r="C12045">
        <v>94900</v>
      </c>
      <c r="D12045">
        <v>26815.4</v>
      </c>
      <c r="E12045">
        <v>4.0599999999999997E-2</v>
      </c>
      <c r="F12045">
        <v>9.5100000000000004E-2</v>
      </c>
    </row>
    <row r="12046" spans="1:6" x14ac:dyDescent="0.3">
      <c r="A12046" t="s">
        <v>12081</v>
      </c>
      <c r="B12046" t="s">
        <v>287</v>
      </c>
      <c r="C12046">
        <v>137000</v>
      </c>
      <c r="D12046">
        <v>140</v>
      </c>
      <c r="E12046">
        <v>5.28E-2</v>
      </c>
      <c r="F12046">
        <v>0.44819999999999999</v>
      </c>
    </row>
    <row r="12047" spans="1:6" x14ac:dyDescent="0.3">
      <c r="A12047" t="s">
        <v>12082</v>
      </c>
      <c r="B12047" t="s">
        <v>26</v>
      </c>
      <c r="C12047">
        <v>116000</v>
      </c>
      <c r="D12047">
        <v>1433.7</v>
      </c>
      <c r="E12047">
        <v>1.2999999999999999E-2</v>
      </c>
      <c r="F12047">
        <v>7.2999999999999995E-2</v>
      </c>
    </row>
    <row r="12048" spans="1:6" x14ac:dyDescent="0.3">
      <c r="A12048" t="s">
        <v>12083</v>
      </c>
      <c r="B12048" t="s">
        <v>26</v>
      </c>
      <c r="C12048">
        <v>103000</v>
      </c>
      <c r="D12048">
        <v>4568.5</v>
      </c>
      <c r="E12048">
        <v>2.3099999999999999E-2</v>
      </c>
      <c r="F12048">
        <v>5.1799999999999999E-2</v>
      </c>
    </row>
    <row r="12049" spans="1:6" x14ac:dyDescent="0.3">
      <c r="A12049" t="s">
        <v>12084</v>
      </c>
      <c r="B12049" t="s">
        <v>81</v>
      </c>
      <c r="C12049">
        <v>129000</v>
      </c>
      <c r="D12049">
        <v>13991.4</v>
      </c>
      <c r="E12049">
        <v>2.0500000000000001E-2</v>
      </c>
      <c r="F12049">
        <v>7.5899999999999995E-2</v>
      </c>
    </row>
    <row r="12050" spans="1:6" x14ac:dyDescent="0.3">
      <c r="A12050" t="s">
        <v>12085</v>
      </c>
      <c r="B12050" t="s">
        <v>26</v>
      </c>
      <c r="C12050">
        <v>212000</v>
      </c>
      <c r="D12050">
        <v>53830.5</v>
      </c>
      <c r="E12050">
        <v>5.1700000000000003E-2</v>
      </c>
      <c r="F12050">
        <v>7.5899999999999995E-2</v>
      </c>
    </row>
    <row r="12051" spans="1:6" x14ac:dyDescent="0.3">
      <c r="A12051" t="s">
        <v>12086</v>
      </c>
      <c r="B12051" t="s">
        <v>92</v>
      </c>
      <c r="C12051">
        <v>101000</v>
      </c>
      <c r="D12051">
        <v>412.1</v>
      </c>
      <c r="E12051">
        <v>6.13E-2</v>
      </c>
      <c r="F12051">
        <v>9.98E-2</v>
      </c>
    </row>
    <row r="12052" spans="1:6" x14ac:dyDescent="0.3">
      <c r="A12052" t="s">
        <v>12087</v>
      </c>
      <c r="B12052" t="s">
        <v>26</v>
      </c>
      <c r="C12052">
        <v>390000</v>
      </c>
      <c r="D12052">
        <v>4447074.7</v>
      </c>
      <c r="E12052">
        <v>8.8999999999999999E-3</v>
      </c>
      <c r="F12052">
        <v>8.2199999999999995E-2</v>
      </c>
    </row>
    <row r="12053" spans="1:6" x14ac:dyDescent="0.3">
      <c r="A12053" t="s">
        <v>12088</v>
      </c>
      <c r="B12053" t="s">
        <v>88</v>
      </c>
      <c r="C12053">
        <v>94400</v>
      </c>
      <c r="D12053">
        <v>956.2</v>
      </c>
      <c r="E12053">
        <v>2.5600000000000001E-2</v>
      </c>
      <c r="F12053">
        <v>5.1799999999999999E-2</v>
      </c>
    </row>
    <row r="12054" spans="1:6" x14ac:dyDescent="0.3">
      <c r="A12054" t="s">
        <v>12089</v>
      </c>
      <c r="B12054" t="s">
        <v>24</v>
      </c>
      <c r="C12054">
        <v>96800</v>
      </c>
      <c r="D12054">
        <v>392.9</v>
      </c>
      <c r="E12054">
        <v>2.24E-2</v>
      </c>
      <c r="F12054">
        <v>0.13869999999999999</v>
      </c>
    </row>
    <row r="12055" spans="1:6" x14ac:dyDescent="0.3">
      <c r="A12055" t="s">
        <v>12090</v>
      </c>
      <c r="B12055" t="s">
        <v>26</v>
      </c>
      <c r="C12055">
        <v>143000</v>
      </c>
      <c r="D12055">
        <v>506.2</v>
      </c>
      <c r="E12055">
        <v>3.1099999999999999E-2</v>
      </c>
      <c r="F12055">
        <v>7.5899999999999995E-2</v>
      </c>
    </row>
    <row r="12056" spans="1:6" x14ac:dyDescent="0.3">
      <c r="A12056" t="s">
        <v>12091</v>
      </c>
      <c r="B12056" t="s">
        <v>53</v>
      </c>
      <c r="C12056">
        <v>153000</v>
      </c>
      <c r="D12056">
        <v>17328.8</v>
      </c>
      <c r="E12056">
        <v>4.0399999999999998E-2</v>
      </c>
      <c r="F12056">
        <v>9.5100000000000004E-2</v>
      </c>
    </row>
    <row r="12057" spans="1:6" x14ac:dyDescent="0.3">
      <c r="A12057" t="s">
        <v>12092</v>
      </c>
      <c r="B12057" t="s">
        <v>26</v>
      </c>
      <c r="C12057">
        <v>391000</v>
      </c>
      <c r="D12057">
        <v>5200.5</v>
      </c>
      <c r="E12057">
        <v>4.3799999999999999E-2</v>
      </c>
      <c r="F12057">
        <v>7.5899999999999995E-2</v>
      </c>
    </row>
    <row r="12058" spans="1:6" x14ac:dyDescent="0.3">
      <c r="A12058" t="s">
        <v>12093</v>
      </c>
      <c r="B12058" t="s">
        <v>50</v>
      </c>
      <c r="C12058">
        <v>140000</v>
      </c>
      <c r="D12058">
        <v>68681.600000000006</v>
      </c>
      <c r="E12058">
        <v>5.0999999999999997E-2</v>
      </c>
      <c r="F12058">
        <v>9.5100000000000004E-2</v>
      </c>
    </row>
    <row r="12059" spans="1:6" x14ac:dyDescent="0.3">
      <c r="A12059" t="s">
        <v>12094</v>
      </c>
      <c r="B12059" t="s">
        <v>74</v>
      </c>
      <c r="C12059">
        <v>95800</v>
      </c>
      <c r="D12059">
        <v>102.7</v>
      </c>
      <c r="E12059">
        <v>2.12E-2</v>
      </c>
      <c r="F12059">
        <v>6.5600000000000006E-2</v>
      </c>
    </row>
    <row r="12060" spans="1:6" x14ac:dyDescent="0.3">
      <c r="A12060" t="s">
        <v>12095</v>
      </c>
      <c r="B12060" t="s">
        <v>26</v>
      </c>
      <c r="C12060">
        <v>193000</v>
      </c>
      <c r="D12060">
        <v>2898</v>
      </c>
      <c r="E12060">
        <v>7.7000000000000002E-3</v>
      </c>
      <c r="F12060">
        <v>8.1100000000000005E-2</v>
      </c>
    </row>
    <row r="12061" spans="1:6" x14ac:dyDescent="0.3">
      <c r="A12061" t="s">
        <v>12096</v>
      </c>
      <c r="B12061" t="s">
        <v>214</v>
      </c>
      <c r="C12061">
        <v>115000</v>
      </c>
      <c r="D12061">
        <v>1132.0999999999999</v>
      </c>
      <c r="F12061">
        <v>7.5899999999999995E-2</v>
      </c>
    </row>
    <row r="12062" spans="1:6" x14ac:dyDescent="0.3">
      <c r="A12062" t="s">
        <v>12097</v>
      </c>
      <c r="B12062" t="s">
        <v>21</v>
      </c>
      <c r="C12062">
        <v>127000</v>
      </c>
      <c r="D12062">
        <v>568.9</v>
      </c>
      <c r="E12062">
        <v>2.1499999999999998E-2</v>
      </c>
      <c r="F12062">
        <v>0.13869999999999999</v>
      </c>
    </row>
    <row r="12063" spans="1:6" x14ac:dyDescent="0.3">
      <c r="A12063" t="s">
        <v>12098</v>
      </c>
      <c r="B12063" t="s">
        <v>92</v>
      </c>
      <c r="C12063">
        <v>411000</v>
      </c>
      <c r="D12063">
        <v>39766.199999999997</v>
      </c>
      <c r="E12063">
        <v>3.6700000000000003E-2</v>
      </c>
      <c r="F12063">
        <v>7.5899999999999995E-2</v>
      </c>
    </row>
    <row r="12064" spans="1:6" x14ac:dyDescent="0.3">
      <c r="A12064" t="s">
        <v>12099</v>
      </c>
      <c r="B12064" t="s">
        <v>214</v>
      </c>
      <c r="C12064">
        <v>97200</v>
      </c>
      <c r="D12064">
        <v>1220.5</v>
      </c>
      <c r="E12064">
        <v>1.41E-2</v>
      </c>
      <c r="F12064">
        <v>0.18890000000000001</v>
      </c>
    </row>
    <row r="12065" spans="1:6" x14ac:dyDescent="0.3">
      <c r="A12065" t="s">
        <v>12100</v>
      </c>
      <c r="B12065" t="s">
        <v>26</v>
      </c>
      <c r="C12065">
        <v>107000</v>
      </c>
      <c r="D12065">
        <v>20171.8</v>
      </c>
      <c r="E12065">
        <v>2.63E-2</v>
      </c>
      <c r="F12065">
        <v>7.5899999999999995E-2</v>
      </c>
    </row>
    <row r="12066" spans="1:6" x14ac:dyDescent="0.3">
      <c r="A12066" t="s">
        <v>12101</v>
      </c>
      <c r="B12066" t="s">
        <v>92</v>
      </c>
      <c r="C12066">
        <v>116000</v>
      </c>
      <c r="D12066">
        <v>1037.4000000000001</v>
      </c>
      <c r="E12066">
        <v>3.2199999999999999E-2</v>
      </c>
      <c r="F12066">
        <v>7.5899999999999995E-2</v>
      </c>
    </row>
    <row r="12067" spans="1:6" x14ac:dyDescent="0.3">
      <c r="A12067" t="s">
        <v>12102</v>
      </c>
      <c r="B12067" t="s">
        <v>92</v>
      </c>
      <c r="C12067">
        <v>91000</v>
      </c>
      <c r="D12067">
        <v>40951.699999999997</v>
      </c>
      <c r="E12067">
        <v>5.8700000000000002E-2</v>
      </c>
      <c r="F12067">
        <v>5.1799999999999999E-2</v>
      </c>
    </row>
    <row r="12068" spans="1:6" x14ac:dyDescent="0.3">
      <c r="A12068" t="s">
        <v>12103</v>
      </c>
      <c r="B12068" t="s">
        <v>26</v>
      </c>
      <c r="C12068">
        <v>94100</v>
      </c>
      <c r="D12068">
        <v>1494.9</v>
      </c>
      <c r="E12068">
        <v>4.4400000000000002E-2</v>
      </c>
      <c r="F12068">
        <v>9.5100000000000004E-2</v>
      </c>
    </row>
    <row r="12069" spans="1:6" x14ac:dyDescent="0.3">
      <c r="A12069" t="s">
        <v>12104</v>
      </c>
      <c r="B12069" t="s">
        <v>88</v>
      </c>
      <c r="C12069">
        <v>127000</v>
      </c>
      <c r="D12069">
        <v>6088.2</v>
      </c>
      <c r="F12069">
        <v>9.3799999999999994E-2</v>
      </c>
    </row>
    <row r="12070" spans="1:6" x14ac:dyDescent="0.3">
      <c r="A12070" t="s">
        <v>12105</v>
      </c>
      <c r="B12070" t="s">
        <v>26</v>
      </c>
      <c r="C12070">
        <v>119000</v>
      </c>
      <c r="D12070">
        <v>14757.8</v>
      </c>
      <c r="E12070">
        <v>4.4299999999999999E-2</v>
      </c>
      <c r="F12070">
        <v>7.5899999999999995E-2</v>
      </c>
    </row>
    <row r="12071" spans="1:6" x14ac:dyDescent="0.3">
      <c r="A12071" t="s">
        <v>12106</v>
      </c>
      <c r="B12071" t="s">
        <v>41</v>
      </c>
      <c r="C12071">
        <v>243000</v>
      </c>
      <c r="D12071">
        <v>69405.7</v>
      </c>
      <c r="E12071">
        <v>2.75E-2</v>
      </c>
      <c r="F12071">
        <v>5.3800000000000001E-2</v>
      </c>
    </row>
    <row r="12072" spans="1:6" x14ac:dyDescent="0.3">
      <c r="A12072" t="s">
        <v>12107</v>
      </c>
      <c r="B12072" t="s">
        <v>26</v>
      </c>
      <c r="C12072">
        <v>105000</v>
      </c>
      <c r="D12072">
        <v>1167.5999999999999</v>
      </c>
      <c r="E12072">
        <v>3.1399999999999997E-2</v>
      </c>
      <c r="F12072">
        <v>9.98E-2</v>
      </c>
    </row>
    <row r="12073" spans="1:6" x14ac:dyDescent="0.3">
      <c r="A12073" t="s">
        <v>12108</v>
      </c>
      <c r="B12073" t="s">
        <v>26</v>
      </c>
      <c r="C12073">
        <v>111000</v>
      </c>
      <c r="D12073">
        <v>1568.4</v>
      </c>
      <c r="E12073">
        <v>4.6699999999999998E-2</v>
      </c>
      <c r="F12073">
        <v>9.5100000000000004E-2</v>
      </c>
    </row>
    <row r="12074" spans="1:6" x14ac:dyDescent="0.3">
      <c r="A12074" t="s">
        <v>12109</v>
      </c>
      <c r="B12074" t="s">
        <v>81</v>
      </c>
      <c r="C12074">
        <v>100000</v>
      </c>
      <c r="D12074">
        <v>349.3</v>
      </c>
      <c r="E12074">
        <v>1.9E-2</v>
      </c>
      <c r="F12074">
        <v>0.1013</v>
      </c>
    </row>
    <row r="12075" spans="1:6" x14ac:dyDescent="0.3">
      <c r="A12075" t="s">
        <v>12110</v>
      </c>
      <c r="B12075" t="s">
        <v>26</v>
      </c>
      <c r="C12075">
        <v>117000</v>
      </c>
      <c r="D12075">
        <v>23231.8</v>
      </c>
      <c r="E12075">
        <v>1.7899999999999999E-2</v>
      </c>
      <c r="F12075">
        <v>5.8500000000000003E-2</v>
      </c>
    </row>
    <row r="12076" spans="1:6" x14ac:dyDescent="0.3">
      <c r="A12076" t="s">
        <v>12111</v>
      </c>
      <c r="B12076" t="s">
        <v>53</v>
      </c>
      <c r="C12076">
        <v>140000</v>
      </c>
      <c r="D12076">
        <v>756.1</v>
      </c>
      <c r="E12076">
        <v>2.3099999999999999E-2</v>
      </c>
      <c r="F12076">
        <v>9.3799999999999994E-2</v>
      </c>
    </row>
    <row r="12077" spans="1:6" x14ac:dyDescent="0.3">
      <c r="A12077" t="s">
        <v>12112</v>
      </c>
      <c r="B12077" t="s">
        <v>32</v>
      </c>
      <c r="C12077">
        <v>104000</v>
      </c>
      <c r="D12077">
        <v>30791</v>
      </c>
      <c r="E12077">
        <v>5.3800000000000001E-2</v>
      </c>
      <c r="F12077">
        <v>9.5100000000000004E-2</v>
      </c>
    </row>
    <row r="12078" spans="1:6" x14ac:dyDescent="0.3">
      <c r="A12078" t="s">
        <v>12113</v>
      </c>
      <c r="B12078" t="s">
        <v>24</v>
      </c>
      <c r="C12078">
        <v>240000</v>
      </c>
      <c r="D12078">
        <v>64101.2</v>
      </c>
      <c r="E12078">
        <v>1.23E-2</v>
      </c>
      <c r="F12078">
        <v>0.1067</v>
      </c>
    </row>
    <row r="12079" spans="1:6" x14ac:dyDescent="0.3">
      <c r="A12079" t="s">
        <v>12114</v>
      </c>
      <c r="B12079" t="s">
        <v>88</v>
      </c>
      <c r="C12079">
        <v>100000</v>
      </c>
      <c r="D12079">
        <v>9048.6</v>
      </c>
      <c r="E12079">
        <v>4.9599999999999998E-2</v>
      </c>
      <c r="F12079">
        <v>9.5100000000000004E-2</v>
      </c>
    </row>
    <row r="12080" spans="1:6" x14ac:dyDescent="0.3">
      <c r="A12080" t="s">
        <v>12115</v>
      </c>
      <c r="B12080" t="s">
        <v>81</v>
      </c>
      <c r="C12080">
        <v>173000</v>
      </c>
      <c r="D12080">
        <v>4425</v>
      </c>
      <c r="E12080">
        <v>2.4899999999999999E-2</v>
      </c>
      <c r="F12080">
        <v>0.13869999999999999</v>
      </c>
    </row>
    <row r="12081" spans="1:6" x14ac:dyDescent="0.3">
      <c r="A12081" t="s">
        <v>12116</v>
      </c>
      <c r="B12081" t="s">
        <v>41</v>
      </c>
      <c r="C12081">
        <v>182000</v>
      </c>
      <c r="D12081">
        <v>64415.1</v>
      </c>
      <c r="E12081">
        <v>2.7699999999999999E-2</v>
      </c>
      <c r="F12081">
        <v>4.0899999999999999E-2</v>
      </c>
    </row>
    <row r="12082" spans="1:6" x14ac:dyDescent="0.3">
      <c r="A12082" t="s">
        <v>12117</v>
      </c>
      <c r="B12082" t="s">
        <v>26</v>
      </c>
      <c r="C12082">
        <v>139000</v>
      </c>
      <c r="D12082">
        <v>16626.2</v>
      </c>
      <c r="E12082">
        <v>1.35E-2</v>
      </c>
      <c r="F12082">
        <v>8.5400000000000004E-2</v>
      </c>
    </row>
    <row r="12083" spans="1:6" x14ac:dyDescent="0.3">
      <c r="A12083" t="s">
        <v>12118</v>
      </c>
      <c r="B12083" t="s">
        <v>62</v>
      </c>
      <c r="C12083">
        <v>93000</v>
      </c>
      <c r="D12083">
        <v>622.1</v>
      </c>
      <c r="F12083">
        <v>9.5100000000000004E-2</v>
      </c>
    </row>
    <row r="12084" spans="1:6" x14ac:dyDescent="0.3">
      <c r="A12084" t="s">
        <v>12119</v>
      </c>
      <c r="B12084" t="s">
        <v>21</v>
      </c>
      <c r="C12084">
        <v>118000</v>
      </c>
      <c r="D12084">
        <v>1450.2</v>
      </c>
      <c r="E12084">
        <v>2.5999999999999999E-2</v>
      </c>
      <c r="F12084">
        <v>9.3799999999999994E-2</v>
      </c>
    </row>
    <row r="12085" spans="1:6" x14ac:dyDescent="0.3">
      <c r="A12085" t="s">
        <v>12120</v>
      </c>
      <c r="B12085" t="s">
        <v>88</v>
      </c>
      <c r="C12085">
        <v>246000</v>
      </c>
      <c r="D12085">
        <v>45939.3</v>
      </c>
      <c r="E12085">
        <v>2.3400000000000001E-2</v>
      </c>
      <c r="F12085">
        <v>9.0899999999999995E-2</v>
      </c>
    </row>
    <row r="12086" spans="1:6" x14ac:dyDescent="0.3">
      <c r="A12086" t="s">
        <v>12121</v>
      </c>
      <c r="B12086" t="s">
        <v>32</v>
      </c>
      <c r="C12086">
        <v>115000</v>
      </c>
      <c r="D12086">
        <v>203181.6</v>
      </c>
      <c r="E12086">
        <v>3.7699999999999997E-2</v>
      </c>
      <c r="F12086">
        <v>9.5100000000000004E-2</v>
      </c>
    </row>
    <row r="12087" spans="1:6" x14ac:dyDescent="0.3">
      <c r="A12087" t="s">
        <v>12122</v>
      </c>
      <c r="B12087" t="s">
        <v>53</v>
      </c>
      <c r="C12087">
        <v>95900</v>
      </c>
      <c r="D12087">
        <v>629.70000000000005</v>
      </c>
      <c r="E12087">
        <v>1.89E-2</v>
      </c>
      <c r="F12087">
        <v>5.8500000000000003E-2</v>
      </c>
    </row>
    <row r="12088" spans="1:6" x14ac:dyDescent="0.3">
      <c r="A12088" t="s">
        <v>12123</v>
      </c>
      <c r="B12088" t="s">
        <v>88</v>
      </c>
      <c r="C12088">
        <v>165000</v>
      </c>
      <c r="D12088">
        <v>5479.3</v>
      </c>
      <c r="E12088">
        <v>3.2399999999999998E-2</v>
      </c>
      <c r="F12088">
        <v>7.5899999999999995E-2</v>
      </c>
    </row>
    <row r="12089" spans="1:6" x14ac:dyDescent="0.3">
      <c r="A12089" t="s">
        <v>12124</v>
      </c>
      <c r="B12089" t="s">
        <v>92</v>
      </c>
      <c r="C12089">
        <v>94400</v>
      </c>
      <c r="D12089">
        <v>6135.9</v>
      </c>
      <c r="E12089">
        <v>6.1499999999999999E-2</v>
      </c>
      <c r="F12089">
        <v>9.5100000000000004E-2</v>
      </c>
    </row>
    <row r="12090" spans="1:6" x14ac:dyDescent="0.3">
      <c r="A12090" t="s">
        <v>12125</v>
      </c>
      <c r="B12090" t="s">
        <v>74</v>
      </c>
      <c r="C12090">
        <v>98900</v>
      </c>
      <c r="D12090">
        <v>503.4</v>
      </c>
      <c r="E12090">
        <v>6.3E-3</v>
      </c>
      <c r="F12090">
        <v>8.2199999999999995E-2</v>
      </c>
    </row>
    <row r="12091" spans="1:6" x14ac:dyDescent="0.3">
      <c r="A12091" t="s">
        <v>12126</v>
      </c>
      <c r="B12091" t="s">
        <v>26</v>
      </c>
      <c r="C12091">
        <v>167000</v>
      </c>
      <c r="D12091">
        <v>5910.5</v>
      </c>
      <c r="F12091">
        <v>5.0999999999999997E-2</v>
      </c>
    </row>
    <row r="12092" spans="1:6" x14ac:dyDescent="0.3">
      <c r="A12092" t="s">
        <v>12127</v>
      </c>
      <c r="B12092" t="s">
        <v>21</v>
      </c>
      <c r="C12092">
        <v>120000</v>
      </c>
      <c r="D12092">
        <v>36657.699999999997</v>
      </c>
      <c r="E12092">
        <v>1.37E-2</v>
      </c>
      <c r="F12092">
        <v>7.3599999999999999E-2</v>
      </c>
    </row>
    <row r="12093" spans="1:6" x14ac:dyDescent="0.3">
      <c r="A12093" t="s">
        <v>12128</v>
      </c>
      <c r="B12093" t="s">
        <v>24</v>
      </c>
      <c r="C12093">
        <v>116000</v>
      </c>
      <c r="D12093">
        <v>31469.1</v>
      </c>
      <c r="E12093">
        <v>3.1E-2</v>
      </c>
      <c r="F12093">
        <v>9.5100000000000004E-2</v>
      </c>
    </row>
    <row r="12094" spans="1:6" x14ac:dyDescent="0.3">
      <c r="A12094" t="s">
        <v>12129</v>
      </c>
      <c r="B12094" t="s">
        <v>53</v>
      </c>
      <c r="C12094">
        <v>97500</v>
      </c>
      <c r="D12094">
        <v>379.1</v>
      </c>
      <c r="E12094">
        <v>5.21E-2</v>
      </c>
      <c r="F12094">
        <v>9.98E-2</v>
      </c>
    </row>
    <row r="12095" spans="1:6" x14ac:dyDescent="0.3">
      <c r="A12095" t="s">
        <v>12130</v>
      </c>
      <c r="B12095" t="s">
        <v>26</v>
      </c>
      <c r="C12095">
        <v>177000</v>
      </c>
      <c r="D12095">
        <v>6855.9</v>
      </c>
      <c r="E12095">
        <v>4.4299999999999999E-2</v>
      </c>
      <c r="F12095">
        <v>9.5100000000000004E-2</v>
      </c>
    </row>
    <row r="12096" spans="1:6" x14ac:dyDescent="0.3">
      <c r="A12096" t="s">
        <v>12131</v>
      </c>
      <c r="B12096" t="s">
        <v>88</v>
      </c>
      <c r="C12096">
        <v>103000</v>
      </c>
      <c r="D12096">
        <v>1741.6</v>
      </c>
      <c r="E12096">
        <v>2.5700000000000001E-2</v>
      </c>
      <c r="F12096">
        <v>0.1067</v>
      </c>
    </row>
    <row r="12097" spans="1:6" x14ac:dyDescent="0.3">
      <c r="A12097" t="s">
        <v>12132</v>
      </c>
      <c r="B12097" t="s">
        <v>26</v>
      </c>
      <c r="C12097">
        <v>123000</v>
      </c>
      <c r="D12097">
        <v>137450.70000000001</v>
      </c>
      <c r="E12097">
        <v>3.0099999999999998E-2</v>
      </c>
      <c r="F12097">
        <v>8.4500000000000006E-2</v>
      </c>
    </row>
    <row r="12098" spans="1:6" x14ac:dyDescent="0.3">
      <c r="A12098" t="s">
        <v>12133</v>
      </c>
      <c r="B12098" t="s">
        <v>21</v>
      </c>
      <c r="C12098">
        <v>108000</v>
      </c>
      <c r="D12098">
        <v>1901</v>
      </c>
      <c r="E12098">
        <v>5.0200000000000002E-2</v>
      </c>
      <c r="F12098">
        <v>9.5100000000000004E-2</v>
      </c>
    </row>
    <row r="12099" spans="1:6" x14ac:dyDescent="0.3">
      <c r="A12099" t="s">
        <v>12134</v>
      </c>
      <c r="B12099" t="s">
        <v>214</v>
      </c>
      <c r="C12099">
        <v>95000</v>
      </c>
      <c r="D12099">
        <v>2829.1</v>
      </c>
      <c r="E12099">
        <v>0.03</v>
      </c>
      <c r="F12099">
        <v>9.5100000000000004E-2</v>
      </c>
    </row>
    <row r="12100" spans="1:6" x14ac:dyDescent="0.3">
      <c r="A12100" t="s">
        <v>12135</v>
      </c>
      <c r="B12100" t="s">
        <v>287</v>
      </c>
      <c r="C12100">
        <v>120000</v>
      </c>
      <c r="D12100">
        <v>4880.3</v>
      </c>
      <c r="E12100">
        <v>2.4799999999999999E-2</v>
      </c>
      <c r="F12100">
        <v>7.5899999999999995E-2</v>
      </c>
    </row>
    <row r="12101" spans="1:6" x14ac:dyDescent="0.3">
      <c r="A12101" t="s">
        <v>12136</v>
      </c>
      <c r="B12101" t="s">
        <v>81</v>
      </c>
      <c r="C12101">
        <v>105000</v>
      </c>
      <c r="D12101">
        <v>1377</v>
      </c>
      <c r="E12101">
        <v>3.9199999999999999E-2</v>
      </c>
      <c r="F12101">
        <v>7.5899999999999995E-2</v>
      </c>
    </row>
    <row r="12102" spans="1:6" x14ac:dyDescent="0.3">
      <c r="A12102" t="s">
        <v>12137</v>
      </c>
      <c r="B12102" t="s">
        <v>26</v>
      </c>
      <c r="C12102">
        <v>113000</v>
      </c>
      <c r="D12102">
        <v>771.9</v>
      </c>
      <c r="E12102">
        <v>5.1400000000000001E-2</v>
      </c>
      <c r="F12102">
        <v>9.5100000000000004E-2</v>
      </c>
    </row>
    <row r="12103" spans="1:6" x14ac:dyDescent="0.3">
      <c r="A12103" t="s">
        <v>12138</v>
      </c>
      <c r="B12103" t="s">
        <v>214</v>
      </c>
      <c r="C12103">
        <v>149000</v>
      </c>
      <c r="D12103">
        <v>27764.1</v>
      </c>
      <c r="E12103">
        <v>1.7999999999999999E-2</v>
      </c>
      <c r="F12103">
        <v>4.6199999999999998E-2</v>
      </c>
    </row>
    <row r="12104" spans="1:6" x14ac:dyDescent="0.3">
      <c r="A12104" t="s">
        <v>12139</v>
      </c>
      <c r="B12104" t="s">
        <v>30</v>
      </c>
      <c r="C12104">
        <v>95900</v>
      </c>
      <c r="D12104">
        <v>45708.5</v>
      </c>
      <c r="E12104">
        <v>2.3400000000000001E-2</v>
      </c>
      <c r="F12104">
        <v>9.5100000000000004E-2</v>
      </c>
    </row>
    <row r="12105" spans="1:6" x14ac:dyDescent="0.3">
      <c r="A12105" t="s">
        <v>12140</v>
      </c>
      <c r="B12105" t="s">
        <v>81</v>
      </c>
      <c r="C12105">
        <v>591000</v>
      </c>
      <c r="D12105">
        <v>529496.69999999995</v>
      </c>
      <c r="E12105">
        <v>1.8599999999999998E-2</v>
      </c>
      <c r="F12105">
        <v>0.13900000000000001</v>
      </c>
    </row>
    <row r="12106" spans="1:6" x14ac:dyDescent="0.3">
      <c r="A12106" t="s">
        <v>12141</v>
      </c>
      <c r="B12106" t="s">
        <v>24</v>
      </c>
      <c r="C12106">
        <v>134000</v>
      </c>
      <c r="D12106">
        <v>35739.599999999999</v>
      </c>
      <c r="E12106">
        <v>2.1100000000000001E-2</v>
      </c>
      <c r="F12106">
        <v>9.5100000000000004E-2</v>
      </c>
    </row>
    <row r="12107" spans="1:6" x14ac:dyDescent="0.3">
      <c r="A12107" t="s">
        <v>12142</v>
      </c>
      <c r="B12107" t="s">
        <v>71</v>
      </c>
      <c r="C12107">
        <v>100000</v>
      </c>
      <c r="D12107">
        <v>1202.5</v>
      </c>
      <c r="E12107">
        <v>4.1399999999999999E-2</v>
      </c>
      <c r="F12107">
        <v>7.5899999999999995E-2</v>
      </c>
    </row>
    <row r="12108" spans="1:6" x14ac:dyDescent="0.3">
      <c r="A12108" t="s">
        <v>12143</v>
      </c>
      <c r="B12108" t="s">
        <v>287</v>
      </c>
      <c r="C12108">
        <v>92300</v>
      </c>
      <c r="D12108">
        <v>67866.600000000006</v>
      </c>
      <c r="E12108">
        <v>5.9299999999999999E-2</v>
      </c>
      <c r="F12108">
        <v>8.4500000000000006E-2</v>
      </c>
    </row>
    <row r="12109" spans="1:6" x14ac:dyDescent="0.3">
      <c r="A12109" t="s">
        <v>12144</v>
      </c>
      <c r="B12109" t="s">
        <v>62</v>
      </c>
      <c r="C12109">
        <v>105000</v>
      </c>
      <c r="D12109">
        <v>1847.5</v>
      </c>
      <c r="E12109">
        <v>2.7699999999999999E-2</v>
      </c>
      <c r="F12109">
        <v>9.3799999999999994E-2</v>
      </c>
    </row>
    <row r="12110" spans="1:6" x14ac:dyDescent="0.3">
      <c r="A12110" t="s">
        <v>12145</v>
      </c>
      <c r="B12110" t="s">
        <v>214</v>
      </c>
      <c r="C12110">
        <v>97200</v>
      </c>
      <c r="D12110">
        <v>1856.8</v>
      </c>
      <c r="E12110">
        <v>2.2200000000000001E-2</v>
      </c>
      <c r="F12110">
        <v>9.5100000000000004E-2</v>
      </c>
    </row>
    <row r="12111" spans="1:6" x14ac:dyDescent="0.3">
      <c r="A12111" t="s">
        <v>12146</v>
      </c>
      <c r="B12111" t="s">
        <v>26</v>
      </c>
      <c r="C12111">
        <v>124000</v>
      </c>
      <c r="D12111">
        <v>6410.1</v>
      </c>
      <c r="E12111">
        <v>4.4400000000000002E-2</v>
      </c>
      <c r="F12111">
        <v>9.5100000000000004E-2</v>
      </c>
    </row>
    <row r="12112" spans="1:6" x14ac:dyDescent="0.3">
      <c r="A12112" t="s">
        <v>12147</v>
      </c>
      <c r="B12112" t="s">
        <v>26</v>
      </c>
      <c r="C12112">
        <v>93400</v>
      </c>
      <c r="D12112">
        <v>4189.2</v>
      </c>
      <c r="E12112">
        <v>5.04E-2</v>
      </c>
      <c r="F12112">
        <v>5.0999999999999997E-2</v>
      </c>
    </row>
    <row r="12113" spans="1:6" x14ac:dyDescent="0.3">
      <c r="A12113" t="s">
        <v>12148</v>
      </c>
      <c r="B12113" t="s">
        <v>195</v>
      </c>
      <c r="C12113">
        <v>94900</v>
      </c>
      <c r="D12113">
        <v>27116</v>
      </c>
      <c r="E12113">
        <v>1.8800000000000001E-2</v>
      </c>
      <c r="F12113">
        <v>5.1799999999999999E-2</v>
      </c>
    </row>
    <row r="12114" spans="1:6" x14ac:dyDescent="0.3">
      <c r="A12114" t="s">
        <v>12149</v>
      </c>
      <c r="B12114" t="s">
        <v>26</v>
      </c>
      <c r="C12114">
        <v>96300</v>
      </c>
      <c r="D12114">
        <v>9498.6</v>
      </c>
      <c r="E12114">
        <v>1.9599999999999999E-2</v>
      </c>
      <c r="F12114">
        <v>6.1600000000000002E-2</v>
      </c>
    </row>
    <row r="12115" spans="1:6" x14ac:dyDescent="0.3">
      <c r="A12115" t="s">
        <v>12150</v>
      </c>
      <c r="B12115" t="s">
        <v>41</v>
      </c>
      <c r="C12115">
        <v>278000</v>
      </c>
      <c r="D12115">
        <v>10989.9</v>
      </c>
      <c r="E12115">
        <v>2.1100000000000001E-2</v>
      </c>
      <c r="F12115">
        <v>7.5899999999999995E-2</v>
      </c>
    </row>
    <row r="12116" spans="1:6" x14ac:dyDescent="0.3">
      <c r="A12116" t="s">
        <v>12151</v>
      </c>
      <c r="B12116" t="s">
        <v>26</v>
      </c>
      <c r="C12116">
        <v>135000</v>
      </c>
      <c r="D12116">
        <v>3517.2</v>
      </c>
      <c r="E12116">
        <v>8.8999999999999999E-3</v>
      </c>
      <c r="F12116">
        <v>8.2100000000000006E-2</v>
      </c>
    </row>
    <row r="12117" spans="1:6" x14ac:dyDescent="0.3">
      <c r="A12117" t="s">
        <v>12152</v>
      </c>
      <c r="B12117" t="s">
        <v>88</v>
      </c>
      <c r="C12117">
        <v>127000</v>
      </c>
      <c r="D12117">
        <v>98.5</v>
      </c>
      <c r="E12117">
        <v>8.2000000000000007E-3</v>
      </c>
      <c r="F12117">
        <v>0.18010000000000001</v>
      </c>
    </row>
    <row r="12118" spans="1:6" x14ac:dyDescent="0.3">
      <c r="A12118" t="s">
        <v>12153</v>
      </c>
      <c r="B12118" t="s">
        <v>81</v>
      </c>
      <c r="C12118">
        <v>100000</v>
      </c>
      <c r="D12118">
        <v>440.6</v>
      </c>
      <c r="E12118">
        <v>4.9500000000000002E-2</v>
      </c>
      <c r="F12118">
        <v>9.5100000000000004E-2</v>
      </c>
    </row>
    <row r="12119" spans="1:6" x14ac:dyDescent="0.3">
      <c r="A12119" t="s">
        <v>12154</v>
      </c>
      <c r="B12119" t="s">
        <v>62</v>
      </c>
      <c r="C12119">
        <v>185000</v>
      </c>
      <c r="D12119">
        <v>34807.300000000003</v>
      </c>
      <c r="E12119">
        <v>3.3599999999999998E-2</v>
      </c>
      <c r="F12119">
        <v>9.5100000000000004E-2</v>
      </c>
    </row>
    <row r="12120" spans="1:6" x14ac:dyDescent="0.3">
      <c r="A12120" t="s">
        <v>12155</v>
      </c>
      <c r="B12120" t="s">
        <v>195</v>
      </c>
      <c r="C12120">
        <v>94500</v>
      </c>
      <c r="D12120">
        <v>1844.3</v>
      </c>
      <c r="E12120">
        <v>3.6400000000000002E-2</v>
      </c>
      <c r="F12120">
        <v>9.5100000000000004E-2</v>
      </c>
    </row>
    <row r="12121" spans="1:6" x14ac:dyDescent="0.3">
      <c r="A12121" t="s">
        <v>12156</v>
      </c>
      <c r="B12121" t="s">
        <v>26</v>
      </c>
      <c r="C12121">
        <v>94200</v>
      </c>
      <c r="D12121">
        <v>21437.4</v>
      </c>
      <c r="E12121">
        <v>4.0800000000000003E-2</v>
      </c>
      <c r="F12121">
        <v>9.5100000000000004E-2</v>
      </c>
    </row>
    <row r="12122" spans="1:6" x14ac:dyDescent="0.3">
      <c r="A12122" t="s">
        <v>12157</v>
      </c>
      <c r="B12122" t="s">
        <v>26</v>
      </c>
      <c r="C12122">
        <v>95100</v>
      </c>
      <c r="D12122">
        <v>5903.5</v>
      </c>
      <c r="E12122">
        <v>1.2999999999999999E-2</v>
      </c>
      <c r="F12122">
        <v>0.13270000000000001</v>
      </c>
    </row>
    <row r="12123" spans="1:6" x14ac:dyDescent="0.3">
      <c r="A12123" t="s">
        <v>12158</v>
      </c>
      <c r="B12123" t="s">
        <v>24</v>
      </c>
      <c r="C12123">
        <v>262000</v>
      </c>
      <c r="D12123">
        <v>8997.9</v>
      </c>
      <c r="E12123">
        <v>4.9399999999999999E-2</v>
      </c>
      <c r="F12123">
        <v>9.3799999999999994E-2</v>
      </c>
    </row>
    <row r="12124" spans="1:6" x14ac:dyDescent="0.3">
      <c r="A12124" t="s">
        <v>12159</v>
      </c>
      <c r="B12124" t="s">
        <v>53</v>
      </c>
      <c r="C12124">
        <v>100000</v>
      </c>
      <c r="D12124">
        <v>87</v>
      </c>
      <c r="E12124">
        <v>1.0999999999999999E-2</v>
      </c>
      <c r="F12124">
        <v>0.45760000000000001</v>
      </c>
    </row>
    <row r="12125" spans="1:6" x14ac:dyDescent="0.3">
      <c r="A12125" t="s">
        <v>12160</v>
      </c>
      <c r="B12125" t="s">
        <v>214</v>
      </c>
      <c r="C12125">
        <v>96000</v>
      </c>
      <c r="D12125">
        <v>232.6</v>
      </c>
      <c r="E12125">
        <v>3.27E-2</v>
      </c>
      <c r="F12125">
        <v>7.5899999999999995E-2</v>
      </c>
    </row>
    <row r="12126" spans="1:6" x14ac:dyDescent="0.3">
      <c r="A12126" t="s">
        <v>12161</v>
      </c>
      <c r="B12126" t="s">
        <v>50</v>
      </c>
      <c r="C12126">
        <v>102000</v>
      </c>
      <c r="D12126">
        <v>8332.2999999999993</v>
      </c>
      <c r="E12126">
        <v>2.5999999999999999E-2</v>
      </c>
      <c r="F12126">
        <v>9.5100000000000004E-2</v>
      </c>
    </row>
    <row r="12127" spans="1:6" x14ac:dyDescent="0.3">
      <c r="A12127" t="s">
        <v>12162</v>
      </c>
      <c r="B12127" t="s">
        <v>88</v>
      </c>
      <c r="C12127">
        <v>135000</v>
      </c>
      <c r="D12127">
        <v>11607</v>
      </c>
      <c r="E12127">
        <v>7.2900000000000006E-2</v>
      </c>
      <c r="F12127">
        <v>7.5899999999999995E-2</v>
      </c>
    </row>
    <row r="12128" spans="1:6" x14ac:dyDescent="0.3">
      <c r="A12128" t="s">
        <v>12163</v>
      </c>
      <c r="B12128" t="s">
        <v>88</v>
      </c>
      <c r="C12128">
        <v>107000</v>
      </c>
      <c r="D12128">
        <v>83.1</v>
      </c>
      <c r="E12128">
        <v>8.1600000000000006E-2</v>
      </c>
      <c r="F12128">
        <v>7.5899999999999995E-2</v>
      </c>
    </row>
    <row r="12129" spans="1:6" x14ac:dyDescent="0.3">
      <c r="A12129" t="s">
        <v>12164</v>
      </c>
      <c r="B12129" t="s">
        <v>26</v>
      </c>
      <c r="C12129">
        <v>105000</v>
      </c>
      <c r="D12129">
        <v>1736.6</v>
      </c>
      <c r="E12129">
        <v>1.38E-2</v>
      </c>
      <c r="F12129">
        <v>0.1067</v>
      </c>
    </row>
    <row r="12130" spans="1:6" x14ac:dyDescent="0.3">
      <c r="A12130" t="s">
        <v>12165</v>
      </c>
      <c r="B12130" t="s">
        <v>214</v>
      </c>
      <c r="C12130">
        <v>93800</v>
      </c>
      <c r="D12130">
        <v>1613.1</v>
      </c>
      <c r="E12130">
        <v>1.12E-2</v>
      </c>
      <c r="F12130">
        <v>0.1027</v>
      </c>
    </row>
    <row r="12131" spans="1:6" x14ac:dyDescent="0.3">
      <c r="A12131" t="s">
        <v>12166</v>
      </c>
      <c r="B12131" t="s">
        <v>88</v>
      </c>
      <c r="C12131">
        <v>139000</v>
      </c>
      <c r="D12131">
        <v>9444.7000000000007</v>
      </c>
      <c r="E12131">
        <v>4.4200000000000003E-2</v>
      </c>
      <c r="F12131">
        <v>9.5100000000000004E-2</v>
      </c>
    </row>
    <row r="12132" spans="1:6" x14ac:dyDescent="0.3">
      <c r="A12132" t="s">
        <v>12167</v>
      </c>
      <c r="B12132" t="s">
        <v>88</v>
      </c>
      <c r="C12132">
        <v>144000</v>
      </c>
      <c r="D12132">
        <v>8866.5</v>
      </c>
      <c r="E12132">
        <v>5.5399999999999998E-2</v>
      </c>
      <c r="F12132">
        <v>7.5899999999999995E-2</v>
      </c>
    </row>
    <row r="12133" spans="1:6" x14ac:dyDescent="0.3">
      <c r="A12133" t="s">
        <v>12168</v>
      </c>
      <c r="B12133" t="s">
        <v>26</v>
      </c>
      <c r="C12133">
        <v>106000</v>
      </c>
      <c r="D12133">
        <v>18162.8</v>
      </c>
      <c r="E12133">
        <v>4.41E-2</v>
      </c>
      <c r="F12133">
        <v>4.0899999999999999E-2</v>
      </c>
    </row>
    <row r="12134" spans="1:6" x14ac:dyDescent="0.3">
      <c r="A12134" t="s">
        <v>12169</v>
      </c>
      <c r="B12134" t="s">
        <v>41</v>
      </c>
      <c r="C12134">
        <v>108000</v>
      </c>
      <c r="D12134">
        <v>3633</v>
      </c>
      <c r="E12134">
        <v>2.64E-2</v>
      </c>
      <c r="F12134">
        <v>5.0999999999999997E-2</v>
      </c>
    </row>
    <row r="12135" spans="1:6" x14ac:dyDescent="0.3">
      <c r="A12135" t="s">
        <v>12170</v>
      </c>
      <c r="B12135" t="s">
        <v>88</v>
      </c>
      <c r="C12135">
        <v>161000</v>
      </c>
      <c r="D12135">
        <v>3061.1</v>
      </c>
      <c r="E12135">
        <v>4.1700000000000001E-2</v>
      </c>
      <c r="F12135">
        <v>7.5899999999999995E-2</v>
      </c>
    </row>
    <row r="12136" spans="1:6" x14ac:dyDescent="0.3">
      <c r="A12136" t="s">
        <v>12171</v>
      </c>
      <c r="B12136" t="s">
        <v>26</v>
      </c>
      <c r="C12136">
        <v>96400</v>
      </c>
      <c r="D12136">
        <v>3013.8</v>
      </c>
      <c r="E12136">
        <v>2.8899999999999999E-2</v>
      </c>
      <c r="F12136">
        <v>7.5899999999999995E-2</v>
      </c>
    </row>
    <row r="12137" spans="1:6" x14ac:dyDescent="0.3">
      <c r="A12137" t="s">
        <v>12172</v>
      </c>
      <c r="B12137" t="s">
        <v>74</v>
      </c>
      <c r="C12137">
        <v>205000</v>
      </c>
      <c r="D12137">
        <v>21508.3</v>
      </c>
      <c r="E12137">
        <v>4.3499999999999997E-2</v>
      </c>
      <c r="F12137">
        <v>7.5899999999999995E-2</v>
      </c>
    </row>
    <row r="12138" spans="1:6" x14ac:dyDescent="0.3">
      <c r="A12138" t="s">
        <v>12173</v>
      </c>
      <c r="B12138" t="s">
        <v>26</v>
      </c>
      <c r="C12138">
        <v>98900</v>
      </c>
      <c r="D12138">
        <v>1381.5</v>
      </c>
      <c r="E12138">
        <v>9.2999999999999992E-3</v>
      </c>
      <c r="F12138">
        <v>0.1027</v>
      </c>
    </row>
    <row r="12139" spans="1:6" x14ac:dyDescent="0.3">
      <c r="A12139" t="s">
        <v>12174</v>
      </c>
      <c r="B12139" t="s">
        <v>62</v>
      </c>
      <c r="C12139">
        <v>103000</v>
      </c>
      <c r="D12139">
        <v>1069.5</v>
      </c>
      <c r="E12139">
        <v>1.21E-2</v>
      </c>
      <c r="F12139">
        <v>4.6199999999999998E-2</v>
      </c>
    </row>
    <row r="12140" spans="1:6" x14ac:dyDescent="0.3">
      <c r="A12140" t="s">
        <v>12175</v>
      </c>
      <c r="B12140" t="s">
        <v>214</v>
      </c>
      <c r="C12140">
        <v>139000</v>
      </c>
      <c r="D12140">
        <v>2524.1999999999998</v>
      </c>
      <c r="E12140">
        <v>1.0500000000000001E-2</v>
      </c>
      <c r="F12140">
        <v>8.2199999999999995E-2</v>
      </c>
    </row>
    <row r="12141" spans="1:6" x14ac:dyDescent="0.3">
      <c r="A12141" t="s">
        <v>12176</v>
      </c>
      <c r="B12141" t="s">
        <v>53</v>
      </c>
      <c r="C12141">
        <v>108000</v>
      </c>
      <c r="D12141">
        <v>197835.3</v>
      </c>
      <c r="E12141">
        <v>2.0799999999999999E-2</v>
      </c>
      <c r="F12141">
        <v>0.11700000000000001</v>
      </c>
    </row>
    <row r="12142" spans="1:6" x14ac:dyDescent="0.3">
      <c r="A12142" t="s">
        <v>12177</v>
      </c>
      <c r="B12142" t="s">
        <v>26</v>
      </c>
      <c r="C12142">
        <v>105000</v>
      </c>
      <c r="D12142">
        <v>116.6</v>
      </c>
      <c r="E12142">
        <v>3.7100000000000001E-2</v>
      </c>
      <c r="F12142">
        <v>5.1799999999999999E-2</v>
      </c>
    </row>
    <row r="12143" spans="1:6" x14ac:dyDescent="0.3">
      <c r="A12143" t="s">
        <v>12178</v>
      </c>
      <c r="B12143" t="s">
        <v>26</v>
      </c>
      <c r="C12143">
        <v>122000</v>
      </c>
      <c r="D12143">
        <v>127</v>
      </c>
      <c r="E12143">
        <v>2.7900000000000001E-2</v>
      </c>
      <c r="F12143">
        <v>7.5899999999999995E-2</v>
      </c>
    </row>
    <row r="12144" spans="1:6" x14ac:dyDescent="0.3">
      <c r="A12144" t="s">
        <v>12179</v>
      </c>
      <c r="B12144" t="s">
        <v>88</v>
      </c>
      <c r="C12144">
        <v>149000</v>
      </c>
      <c r="D12144">
        <v>911.7</v>
      </c>
      <c r="E12144">
        <v>6.3700000000000007E-2</v>
      </c>
      <c r="F12144">
        <v>9.3799999999999994E-2</v>
      </c>
    </row>
    <row r="12145" spans="1:6" x14ac:dyDescent="0.3">
      <c r="A12145" t="s">
        <v>12180</v>
      </c>
      <c r="B12145" t="s">
        <v>53</v>
      </c>
      <c r="C12145">
        <v>97600</v>
      </c>
      <c r="D12145">
        <v>1206.9000000000001</v>
      </c>
      <c r="E12145">
        <v>2.4500000000000001E-2</v>
      </c>
      <c r="F12145">
        <v>7.5899999999999995E-2</v>
      </c>
    </row>
    <row r="12146" spans="1:6" x14ac:dyDescent="0.3">
      <c r="A12146" t="s">
        <v>12181</v>
      </c>
      <c r="B12146" t="s">
        <v>26</v>
      </c>
      <c r="C12146">
        <v>136000</v>
      </c>
      <c r="D12146">
        <v>20450.400000000001</v>
      </c>
      <c r="E12146">
        <v>3.0000000000000001E-3</v>
      </c>
      <c r="F12146">
        <v>6.54E-2</v>
      </c>
    </row>
    <row r="12147" spans="1:6" x14ac:dyDescent="0.3">
      <c r="A12147" t="s">
        <v>12182</v>
      </c>
      <c r="B12147" t="s">
        <v>92</v>
      </c>
      <c r="C12147">
        <v>181000</v>
      </c>
      <c r="D12147">
        <v>77204.100000000006</v>
      </c>
      <c r="E12147">
        <v>1.21E-2</v>
      </c>
      <c r="F12147">
        <v>5.1999999999999998E-2</v>
      </c>
    </row>
    <row r="12148" spans="1:6" x14ac:dyDescent="0.3">
      <c r="A12148" t="s">
        <v>12183</v>
      </c>
      <c r="B12148" t="s">
        <v>71</v>
      </c>
      <c r="C12148">
        <v>243000</v>
      </c>
      <c r="D12148">
        <v>38512</v>
      </c>
      <c r="E12148">
        <v>5.5E-2</v>
      </c>
      <c r="F12148">
        <v>7.5899999999999995E-2</v>
      </c>
    </row>
    <row r="12149" spans="1:6" x14ac:dyDescent="0.3">
      <c r="A12149" t="s">
        <v>12184</v>
      </c>
      <c r="B12149" t="s">
        <v>24</v>
      </c>
      <c r="C12149">
        <v>95600</v>
      </c>
      <c r="D12149">
        <v>66.3</v>
      </c>
      <c r="E12149">
        <v>6.08E-2</v>
      </c>
      <c r="F12149">
        <v>4.0899999999999999E-2</v>
      </c>
    </row>
    <row r="12150" spans="1:6" x14ac:dyDescent="0.3">
      <c r="A12150" t="s">
        <v>12185</v>
      </c>
      <c r="B12150" t="s">
        <v>50</v>
      </c>
      <c r="C12150">
        <v>94100</v>
      </c>
      <c r="D12150">
        <v>59505.9</v>
      </c>
      <c r="E12150">
        <v>1.11E-2</v>
      </c>
      <c r="F12150">
        <v>7.3599999999999999E-2</v>
      </c>
    </row>
    <row r="12151" spans="1:6" x14ac:dyDescent="0.3">
      <c r="A12151" t="s">
        <v>12186</v>
      </c>
      <c r="B12151" t="s">
        <v>24</v>
      </c>
      <c r="C12151">
        <v>102000</v>
      </c>
      <c r="D12151">
        <v>517.79999999999995</v>
      </c>
      <c r="E12151">
        <v>5.1299999999999998E-2</v>
      </c>
      <c r="F12151">
        <v>9.5100000000000004E-2</v>
      </c>
    </row>
    <row r="12152" spans="1:6" x14ac:dyDescent="0.3">
      <c r="A12152" t="s">
        <v>12187</v>
      </c>
      <c r="B12152" t="s">
        <v>287</v>
      </c>
      <c r="C12152">
        <v>87800</v>
      </c>
      <c r="D12152">
        <v>107164.1</v>
      </c>
      <c r="E12152">
        <v>2.6599999999999999E-2</v>
      </c>
      <c r="F12152">
        <v>9.5100000000000004E-2</v>
      </c>
    </row>
    <row r="12153" spans="1:6" x14ac:dyDescent="0.3">
      <c r="A12153" t="s">
        <v>12188</v>
      </c>
      <c r="B12153" t="s">
        <v>74</v>
      </c>
      <c r="C12153">
        <v>108000</v>
      </c>
      <c r="D12153">
        <v>1443.5</v>
      </c>
      <c r="E12153">
        <v>0.1045</v>
      </c>
      <c r="F12153">
        <v>7.5899999999999995E-2</v>
      </c>
    </row>
    <row r="12154" spans="1:6" x14ac:dyDescent="0.3">
      <c r="A12154" t="s">
        <v>12189</v>
      </c>
      <c r="B12154" t="s">
        <v>26</v>
      </c>
      <c r="C12154">
        <v>102000</v>
      </c>
      <c r="D12154">
        <v>15935.9</v>
      </c>
      <c r="E12154">
        <v>4.0800000000000003E-2</v>
      </c>
      <c r="F12154">
        <v>7.5899999999999995E-2</v>
      </c>
    </row>
    <row r="12155" spans="1:6" x14ac:dyDescent="0.3">
      <c r="A12155" t="s">
        <v>12190</v>
      </c>
      <c r="B12155" t="s">
        <v>41</v>
      </c>
      <c r="C12155">
        <v>149000</v>
      </c>
      <c r="D12155">
        <v>16990.599999999999</v>
      </c>
      <c r="E12155">
        <v>5.2400000000000002E-2</v>
      </c>
      <c r="F12155">
        <v>7.5899999999999995E-2</v>
      </c>
    </row>
    <row r="12156" spans="1:6" x14ac:dyDescent="0.3">
      <c r="A12156" t="s">
        <v>12191</v>
      </c>
      <c r="B12156" t="s">
        <v>92</v>
      </c>
      <c r="C12156">
        <v>282000</v>
      </c>
      <c r="D12156">
        <v>3158.2</v>
      </c>
      <c r="E12156">
        <v>1.1299999999999999E-2</v>
      </c>
      <c r="F12156">
        <v>0.1187</v>
      </c>
    </row>
    <row r="12157" spans="1:6" x14ac:dyDescent="0.3">
      <c r="A12157" t="s">
        <v>12192</v>
      </c>
      <c r="B12157" t="s">
        <v>214</v>
      </c>
      <c r="C12157">
        <v>100000</v>
      </c>
      <c r="D12157">
        <v>3050.8</v>
      </c>
      <c r="E12157">
        <v>4.2999999999999997E-2</v>
      </c>
      <c r="F12157">
        <v>9.5100000000000004E-2</v>
      </c>
    </row>
    <row r="12158" spans="1:6" x14ac:dyDescent="0.3">
      <c r="A12158" t="s">
        <v>12193</v>
      </c>
      <c r="B12158" t="s">
        <v>88</v>
      </c>
      <c r="C12158">
        <v>135000</v>
      </c>
      <c r="D12158">
        <v>1567.6</v>
      </c>
      <c r="E12158">
        <v>1.01E-2</v>
      </c>
      <c r="F12158">
        <v>0.17860000000000001</v>
      </c>
    </row>
    <row r="12159" spans="1:6" x14ac:dyDescent="0.3">
      <c r="A12159" t="s">
        <v>12194</v>
      </c>
      <c r="B12159" t="s">
        <v>26</v>
      </c>
      <c r="C12159">
        <v>182000</v>
      </c>
      <c r="D12159">
        <v>2247</v>
      </c>
      <c r="E12159">
        <v>2.2800000000000001E-2</v>
      </c>
      <c r="F12159">
        <v>9.3799999999999994E-2</v>
      </c>
    </row>
    <row r="12160" spans="1:6" x14ac:dyDescent="0.3">
      <c r="A12160" t="s">
        <v>12195</v>
      </c>
      <c r="B12160" t="s">
        <v>74</v>
      </c>
      <c r="C12160">
        <v>97300</v>
      </c>
      <c r="D12160">
        <v>12616.5</v>
      </c>
      <c r="E12160">
        <v>3.5799999999999998E-2</v>
      </c>
      <c r="F12160">
        <v>9.5100000000000004E-2</v>
      </c>
    </row>
    <row r="12161" spans="1:6" x14ac:dyDescent="0.3">
      <c r="A12161" t="s">
        <v>12196</v>
      </c>
      <c r="B12161" t="s">
        <v>92</v>
      </c>
      <c r="C12161">
        <v>508000</v>
      </c>
      <c r="D12161">
        <v>48944.3</v>
      </c>
      <c r="E12161">
        <v>8.2000000000000007E-3</v>
      </c>
      <c r="F12161">
        <v>8.2199999999999995E-2</v>
      </c>
    </row>
    <row r="12162" spans="1:6" x14ac:dyDescent="0.3">
      <c r="A12162" t="s">
        <v>12197</v>
      </c>
      <c r="B12162" t="s">
        <v>74</v>
      </c>
      <c r="C12162">
        <v>223000</v>
      </c>
      <c r="D12162">
        <v>22238.799999999999</v>
      </c>
      <c r="E12162">
        <v>9.5200000000000007E-2</v>
      </c>
      <c r="F12162">
        <v>9.5100000000000004E-2</v>
      </c>
    </row>
    <row r="12163" spans="1:6" x14ac:dyDescent="0.3">
      <c r="A12163" t="s">
        <v>12198</v>
      </c>
      <c r="B12163" t="s">
        <v>26</v>
      </c>
      <c r="C12163">
        <v>98000</v>
      </c>
      <c r="D12163">
        <v>977.6</v>
      </c>
      <c r="E12163">
        <v>2.2499999999999999E-2</v>
      </c>
      <c r="F12163">
        <v>9.5100000000000004E-2</v>
      </c>
    </row>
    <row r="12164" spans="1:6" x14ac:dyDescent="0.3">
      <c r="A12164" t="s">
        <v>12199</v>
      </c>
      <c r="B12164" t="s">
        <v>88</v>
      </c>
      <c r="C12164">
        <v>103000</v>
      </c>
      <c r="D12164">
        <v>1488.1</v>
      </c>
      <c r="E12164">
        <v>4.6899999999999997E-2</v>
      </c>
      <c r="F12164">
        <v>9.5100000000000004E-2</v>
      </c>
    </row>
    <row r="12165" spans="1:6" x14ac:dyDescent="0.3">
      <c r="A12165" t="s">
        <v>12200</v>
      </c>
      <c r="B12165" t="s">
        <v>88</v>
      </c>
      <c r="C12165">
        <v>150000</v>
      </c>
      <c r="D12165">
        <v>3579.4</v>
      </c>
      <c r="E12165">
        <v>5.8500000000000003E-2</v>
      </c>
      <c r="F12165">
        <v>0.13589999999999999</v>
      </c>
    </row>
    <row r="12166" spans="1:6" x14ac:dyDescent="0.3">
      <c r="A12166" t="s">
        <v>12201</v>
      </c>
      <c r="B12166" t="s">
        <v>50</v>
      </c>
      <c r="C12166">
        <v>186000</v>
      </c>
      <c r="D12166">
        <v>2799.2</v>
      </c>
      <c r="E12166">
        <v>3.7999999999999999E-2</v>
      </c>
      <c r="F12166">
        <v>0.14399999999999999</v>
      </c>
    </row>
    <row r="12167" spans="1:6" x14ac:dyDescent="0.3">
      <c r="A12167" t="s">
        <v>12202</v>
      </c>
      <c r="B12167" t="s">
        <v>24</v>
      </c>
      <c r="C12167">
        <v>126000</v>
      </c>
      <c r="D12167">
        <v>9615.4</v>
      </c>
      <c r="E12167">
        <v>5.33E-2</v>
      </c>
      <c r="F12167">
        <v>7.5899999999999995E-2</v>
      </c>
    </row>
    <row r="12168" spans="1:6" x14ac:dyDescent="0.3">
      <c r="A12168" t="s">
        <v>12203</v>
      </c>
      <c r="B12168" t="s">
        <v>88</v>
      </c>
      <c r="C12168">
        <v>93300</v>
      </c>
      <c r="D12168">
        <v>1286.8</v>
      </c>
      <c r="E12168">
        <v>5.62E-2</v>
      </c>
      <c r="F12168">
        <v>0.11700000000000001</v>
      </c>
    </row>
    <row r="12169" spans="1:6" x14ac:dyDescent="0.3">
      <c r="A12169" t="s">
        <v>12204</v>
      </c>
      <c r="B12169" t="s">
        <v>26</v>
      </c>
      <c r="C12169">
        <v>107000</v>
      </c>
      <c r="D12169">
        <v>26178.3</v>
      </c>
      <c r="E12169">
        <v>5.5100000000000003E-2</v>
      </c>
      <c r="F12169">
        <v>7.5899999999999995E-2</v>
      </c>
    </row>
    <row r="12170" spans="1:6" x14ac:dyDescent="0.3">
      <c r="A12170" t="s">
        <v>12205</v>
      </c>
      <c r="B12170" t="s">
        <v>92</v>
      </c>
      <c r="C12170">
        <v>95200</v>
      </c>
      <c r="D12170">
        <v>658648.6</v>
      </c>
      <c r="E12170">
        <v>2.3199999999999998E-2</v>
      </c>
      <c r="F12170">
        <v>5.1799999999999999E-2</v>
      </c>
    </row>
    <row r="12171" spans="1:6" x14ac:dyDescent="0.3">
      <c r="A12171" t="s">
        <v>12206</v>
      </c>
      <c r="B12171" t="s">
        <v>81</v>
      </c>
      <c r="C12171">
        <v>112000</v>
      </c>
      <c r="D12171">
        <v>7581.1</v>
      </c>
      <c r="E12171">
        <v>2.6700000000000002E-2</v>
      </c>
      <c r="F12171">
        <v>5.1799999999999999E-2</v>
      </c>
    </row>
    <row r="12172" spans="1:6" x14ac:dyDescent="0.3">
      <c r="A12172" t="s">
        <v>12207</v>
      </c>
      <c r="B12172" t="s">
        <v>74</v>
      </c>
      <c r="C12172">
        <v>110000</v>
      </c>
      <c r="D12172">
        <v>2055.1999999999998</v>
      </c>
      <c r="E12172">
        <v>5.67E-2</v>
      </c>
      <c r="F12172">
        <v>9.5100000000000004E-2</v>
      </c>
    </row>
    <row r="12173" spans="1:6" x14ac:dyDescent="0.3">
      <c r="A12173" t="s">
        <v>12208</v>
      </c>
      <c r="B12173" t="s">
        <v>26</v>
      </c>
      <c r="C12173">
        <v>95900</v>
      </c>
      <c r="D12173">
        <v>616873</v>
      </c>
      <c r="E12173">
        <v>4.3299999999999998E-2</v>
      </c>
      <c r="F12173">
        <v>5.1799999999999999E-2</v>
      </c>
    </row>
    <row r="12174" spans="1:6" x14ac:dyDescent="0.3">
      <c r="A12174" t="s">
        <v>12209</v>
      </c>
      <c r="B12174" t="s">
        <v>71</v>
      </c>
      <c r="C12174">
        <v>95600</v>
      </c>
      <c r="D12174">
        <v>27266.1</v>
      </c>
      <c r="E12174">
        <v>2.5100000000000001E-2</v>
      </c>
      <c r="F12174">
        <v>9.5100000000000004E-2</v>
      </c>
    </row>
    <row r="12175" spans="1:6" x14ac:dyDescent="0.3">
      <c r="A12175" t="s">
        <v>12210</v>
      </c>
      <c r="B12175" t="s">
        <v>26</v>
      </c>
      <c r="C12175">
        <v>97600</v>
      </c>
      <c r="D12175">
        <v>2851.7</v>
      </c>
      <c r="E12175">
        <v>3.7199999999999997E-2</v>
      </c>
      <c r="F12175">
        <v>9.3799999999999994E-2</v>
      </c>
    </row>
    <row r="12176" spans="1:6" x14ac:dyDescent="0.3">
      <c r="A12176" t="s">
        <v>12211</v>
      </c>
      <c r="B12176" t="s">
        <v>92</v>
      </c>
      <c r="C12176">
        <v>104000</v>
      </c>
      <c r="D12176">
        <v>1812.6</v>
      </c>
      <c r="F12176">
        <v>5.1799999999999999E-2</v>
      </c>
    </row>
    <row r="12177" spans="1:6" x14ac:dyDescent="0.3">
      <c r="A12177" t="s">
        <v>12212</v>
      </c>
      <c r="B12177" t="s">
        <v>490</v>
      </c>
      <c r="C12177">
        <v>121000</v>
      </c>
      <c r="D12177">
        <v>10613.1</v>
      </c>
      <c r="E12177">
        <v>1.43E-2</v>
      </c>
      <c r="F12177">
        <v>5.1999999999999998E-2</v>
      </c>
    </row>
    <row r="12178" spans="1:6" x14ac:dyDescent="0.3">
      <c r="A12178" t="s">
        <v>12213</v>
      </c>
      <c r="B12178" t="s">
        <v>74</v>
      </c>
      <c r="C12178">
        <v>161000</v>
      </c>
      <c r="D12178">
        <v>5040.5</v>
      </c>
      <c r="E12178">
        <v>5.7200000000000001E-2</v>
      </c>
      <c r="F12178">
        <v>7.5899999999999995E-2</v>
      </c>
    </row>
    <row r="12179" spans="1:6" x14ac:dyDescent="0.3">
      <c r="A12179" t="s">
        <v>12214</v>
      </c>
      <c r="B12179" t="s">
        <v>88</v>
      </c>
      <c r="C12179">
        <v>145000</v>
      </c>
      <c r="D12179">
        <v>2649.3</v>
      </c>
      <c r="E12179">
        <v>3.61E-2</v>
      </c>
      <c r="F12179">
        <v>6.4299999999999996E-2</v>
      </c>
    </row>
    <row r="12180" spans="1:6" x14ac:dyDescent="0.3">
      <c r="A12180" t="s">
        <v>12215</v>
      </c>
      <c r="B12180" t="s">
        <v>214</v>
      </c>
      <c r="C12180">
        <v>173000</v>
      </c>
      <c r="D12180">
        <v>178779.4</v>
      </c>
      <c r="E12180">
        <v>1.0200000000000001E-2</v>
      </c>
      <c r="F12180">
        <v>8.2199999999999995E-2</v>
      </c>
    </row>
    <row r="12181" spans="1:6" x14ac:dyDescent="0.3">
      <c r="A12181" t="s">
        <v>12216</v>
      </c>
      <c r="B12181" t="s">
        <v>74</v>
      </c>
      <c r="C12181">
        <v>108000</v>
      </c>
      <c r="D12181">
        <v>1626</v>
      </c>
      <c r="E12181">
        <v>7.6100000000000001E-2</v>
      </c>
      <c r="F12181">
        <v>9.3799999999999994E-2</v>
      </c>
    </row>
    <row r="12182" spans="1:6" x14ac:dyDescent="0.3">
      <c r="A12182" t="s">
        <v>12217</v>
      </c>
      <c r="B12182" t="s">
        <v>62</v>
      </c>
      <c r="C12182">
        <v>534000</v>
      </c>
      <c r="D12182">
        <v>34261.300000000003</v>
      </c>
      <c r="E12182">
        <v>3.4799999999999998E-2</v>
      </c>
      <c r="F12182">
        <v>7.5899999999999995E-2</v>
      </c>
    </row>
    <row r="12183" spans="1:6" x14ac:dyDescent="0.3">
      <c r="A12183" t="s">
        <v>12218</v>
      </c>
      <c r="B12183" t="s">
        <v>81</v>
      </c>
      <c r="C12183">
        <v>109000</v>
      </c>
      <c r="D12183">
        <v>6014.6</v>
      </c>
      <c r="E12183">
        <v>4.4299999999999999E-2</v>
      </c>
      <c r="F12183">
        <v>5.79E-2</v>
      </c>
    </row>
    <row r="12184" spans="1:6" x14ac:dyDescent="0.3">
      <c r="A12184" t="s">
        <v>12219</v>
      </c>
      <c r="B12184" t="s">
        <v>26</v>
      </c>
      <c r="C12184">
        <v>291000</v>
      </c>
      <c r="D12184">
        <v>5483.5</v>
      </c>
      <c r="E12184">
        <v>2.63E-2</v>
      </c>
      <c r="F12184">
        <v>4.0899999999999999E-2</v>
      </c>
    </row>
    <row r="12185" spans="1:6" x14ac:dyDescent="0.3">
      <c r="A12185" t="s">
        <v>12220</v>
      </c>
      <c r="B12185" t="s">
        <v>30</v>
      </c>
      <c r="C12185">
        <v>287000</v>
      </c>
      <c r="D12185">
        <v>2143.5</v>
      </c>
      <c r="E12185">
        <v>1.18E-2</v>
      </c>
      <c r="F12185">
        <v>8.2199999999999995E-2</v>
      </c>
    </row>
    <row r="12186" spans="1:6" x14ac:dyDescent="0.3">
      <c r="A12186" t="s">
        <v>12221</v>
      </c>
      <c r="B12186" t="s">
        <v>41</v>
      </c>
      <c r="C12186">
        <v>93900</v>
      </c>
      <c r="D12186">
        <v>438.5</v>
      </c>
      <c r="E12186">
        <v>5.33E-2</v>
      </c>
      <c r="F12186">
        <v>9.5100000000000004E-2</v>
      </c>
    </row>
    <row r="12187" spans="1:6" x14ac:dyDescent="0.3">
      <c r="A12187" t="s">
        <v>12222</v>
      </c>
      <c r="B12187" t="s">
        <v>92</v>
      </c>
      <c r="C12187">
        <v>156000</v>
      </c>
      <c r="D12187">
        <v>6990.3</v>
      </c>
      <c r="E12187">
        <v>1.32E-2</v>
      </c>
      <c r="F12187">
        <v>6.1600000000000002E-2</v>
      </c>
    </row>
    <row r="12188" spans="1:6" x14ac:dyDescent="0.3">
      <c r="A12188" t="s">
        <v>12223</v>
      </c>
      <c r="B12188" t="s">
        <v>81</v>
      </c>
      <c r="C12188">
        <v>100000</v>
      </c>
      <c r="D12188">
        <v>5106.3</v>
      </c>
      <c r="E12188">
        <v>0.03</v>
      </c>
      <c r="F12188">
        <v>9.5100000000000004E-2</v>
      </c>
    </row>
    <row r="12189" spans="1:6" x14ac:dyDescent="0.3">
      <c r="A12189" t="s">
        <v>12224</v>
      </c>
      <c r="B12189" t="s">
        <v>24</v>
      </c>
      <c r="C12189">
        <v>188000</v>
      </c>
      <c r="D12189">
        <v>1520</v>
      </c>
      <c r="E12189">
        <v>3.8600000000000002E-2</v>
      </c>
      <c r="F12189">
        <v>9.3799999999999994E-2</v>
      </c>
    </row>
    <row r="12190" spans="1:6" x14ac:dyDescent="0.3">
      <c r="A12190" t="s">
        <v>12225</v>
      </c>
      <c r="B12190" t="s">
        <v>88</v>
      </c>
      <c r="C12190">
        <v>95500</v>
      </c>
      <c r="D12190">
        <v>2841.6</v>
      </c>
      <c r="E12190">
        <v>2.5499999999999998E-2</v>
      </c>
      <c r="F12190">
        <v>9.5100000000000004E-2</v>
      </c>
    </row>
    <row r="12191" spans="1:6" x14ac:dyDescent="0.3">
      <c r="A12191" t="s">
        <v>12226</v>
      </c>
      <c r="B12191" t="s">
        <v>26</v>
      </c>
      <c r="C12191">
        <v>98100</v>
      </c>
      <c r="D12191">
        <v>93409.5</v>
      </c>
      <c r="E12191">
        <v>9.4999999999999998E-3</v>
      </c>
      <c r="F12191">
        <v>8.2199999999999995E-2</v>
      </c>
    </row>
    <row r="12192" spans="1:6" x14ac:dyDescent="0.3">
      <c r="A12192" t="s">
        <v>12227</v>
      </c>
      <c r="B12192" t="s">
        <v>88</v>
      </c>
      <c r="C12192">
        <v>158000</v>
      </c>
      <c r="D12192">
        <v>3532.9</v>
      </c>
      <c r="E12192">
        <v>3.0099999999999998E-2</v>
      </c>
      <c r="F12192">
        <v>7.5899999999999995E-2</v>
      </c>
    </row>
    <row r="12193" spans="1:6" x14ac:dyDescent="0.3">
      <c r="A12193" t="s">
        <v>12228</v>
      </c>
      <c r="B12193" t="s">
        <v>26</v>
      </c>
      <c r="C12193">
        <v>111000</v>
      </c>
      <c r="D12193">
        <v>14694.6</v>
      </c>
      <c r="E12193">
        <v>2.93E-2</v>
      </c>
      <c r="F12193">
        <v>9.3799999999999994E-2</v>
      </c>
    </row>
    <row r="12194" spans="1:6" x14ac:dyDescent="0.3">
      <c r="A12194" t="s">
        <v>12229</v>
      </c>
      <c r="B12194" t="s">
        <v>214</v>
      </c>
      <c r="C12194">
        <v>154000</v>
      </c>
      <c r="D12194">
        <v>16516.099999999999</v>
      </c>
      <c r="E12194">
        <v>1.0500000000000001E-2</v>
      </c>
      <c r="F12194">
        <v>0.14710000000000001</v>
      </c>
    </row>
    <row r="12195" spans="1:6" x14ac:dyDescent="0.3">
      <c r="A12195" t="s">
        <v>12230</v>
      </c>
      <c r="B12195" t="s">
        <v>26</v>
      </c>
      <c r="C12195">
        <v>130000</v>
      </c>
      <c r="D12195">
        <v>7154.1</v>
      </c>
      <c r="E12195">
        <v>2.1299999999999999E-2</v>
      </c>
      <c r="F12195">
        <v>6.7199999999999996E-2</v>
      </c>
    </row>
    <row r="12196" spans="1:6" x14ac:dyDescent="0.3">
      <c r="A12196" t="s">
        <v>12231</v>
      </c>
      <c r="B12196" t="s">
        <v>26</v>
      </c>
      <c r="C12196">
        <v>318000</v>
      </c>
      <c r="D12196">
        <v>90646.5</v>
      </c>
      <c r="E12196">
        <v>2.2200000000000001E-2</v>
      </c>
      <c r="F12196">
        <v>0.1308</v>
      </c>
    </row>
    <row r="12197" spans="1:6" x14ac:dyDescent="0.3">
      <c r="A12197" t="s">
        <v>12232</v>
      </c>
      <c r="B12197" t="s">
        <v>92</v>
      </c>
      <c r="C12197">
        <v>86900</v>
      </c>
      <c r="D12197">
        <v>2780.6</v>
      </c>
      <c r="E12197">
        <v>1.0500000000000001E-2</v>
      </c>
      <c r="F12197">
        <v>0.22939999999999999</v>
      </c>
    </row>
    <row r="12198" spans="1:6" x14ac:dyDescent="0.3">
      <c r="A12198" t="s">
        <v>12233</v>
      </c>
      <c r="B12198" t="s">
        <v>53</v>
      </c>
      <c r="C12198">
        <v>104000</v>
      </c>
      <c r="D12198">
        <v>15378.4</v>
      </c>
      <c r="E12198">
        <v>7.8799999999999995E-2</v>
      </c>
      <c r="F12198">
        <v>9.5100000000000004E-2</v>
      </c>
    </row>
    <row r="12199" spans="1:6" x14ac:dyDescent="0.3">
      <c r="A12199" t="s">
        <v>12234</v>
      </c>
      <c r="B12199" t="s">
        <v>50</v>
      </c>
      <c r="C12199">
        <v>111000</v>
      </c>
      <c r="D12199">
        <v>55.5</v>
      </c>
      <c r="E12199">
        <v>1.66E-2</v>
      </c>
      <c r="F12199">
        <v>0.32979999999999998</v>
      </c>
    </row>
    <row r="12200" spans="1:6" x14ac:dyDescent="0.3">
      <c r="A12200" t="s">
        <v>12235</v>
      </c>
      <c r="B12200" t="s">
        <v>26</v>
      </c>
      <c r="C12200">
        <v>325000</v>
      </c>
      <c r="D12200">
        <v>293587.40000000002</v>
      </c>
      <c r="E12200">
        <v>4.1399999999999999E-2</v>
      </c>
      <c r="F12200">
        <v>4.0899999999999999E-2</v>
      </c>
    </row>
    <row r="12201" spans="1:6" x14ac:dyDescent="0.3">
      <c r="A12201" t="s">
        <v>12236</v>
      </c>
      <c r="B12201" t="s">
        <v>26</v>
      </c>
      <c r="C12201">
        <v>122000</v>
      </c>
      <c r="D12201">
        <v>2119.8000000000002</v>
      </c>
      <c r="E12201">
        <v>1.9099999999999999E-2</v>
      </c>
      <c r="F12201">
        <v>7.5899999999999995E-2</v>
      </c>
    </row>
    <row r="12202" spans="1:6" x14ac:dyDescent="0.3">
      <c r="A12202" t="s">
        <v>12237</v>
      </c>
      <c r="B12202" t="s">
        <v>71</v>
      </c>
      <c r="C12202">
        <v>104000</v>
      </c>
      <c r="D12202">
        <v>43237.3</v>
      </c>
      <c r="E12202">
        <v>1.1299999999999999E-2</v>
      </c>
      <c r="F12202">
        <v>0.1187</v>
      </c>
    </row>
    <row r="12203" spans="1:6" x14ac:dyDescent="0.3">
      <c r="A12203" t="s">
        <v>12238</v>
      </c>
      <c r="B12203" t="s">
        <v>74</v>
      </c>
      <c r="C12203">
        <v>137000</v>
      </c>
      <c r="D12203">
        <v>1780.7</v>
      </c>
      <c r="E12203">
        <v>3.1199999999999999E-2</v>
      </c>
      <c r="F12203">
        <v>7.5899999999999995E-2</v>
      </c>
    </row>
    <row r="12204" spans="1:6" x14ac:dyDescent="0.3">
      <c r="A12204" t="s">
        <v>12239</v>
      </c>
      <c r="B12204" t="s">
        <v>92</v>
      </c>
      <c r="C12204">
        <v>120000</v>
      </c>
      <c r="D12204">
        <v>15359.6</v>
      </c>
      <c r="E12204">
        <v>0.02</v>
      </c>
      <c r="F12204">
        <v>4.6199999999999998E-2</v>
      </c>
    </row>
    <row r="12205" spans="1:6" x14ac:dyDescent="0.3">
      <c r="A12205" t="s">
        <v>12240</v>
      </c>
      <c r="B12205" t="s">
        <v>88</v>
      </c>
      <c r="C12205">
        <v>104000</v>
      </c>
      <c r="D12205">
        <v>1068.3</v>
      </c>
      <c r="E12205">
        <v>5.9400000000000001E-2</v>
      </c>
      <c r="F12205">
        <v>9.3799999999999994E-2</v>
      </c>
    </row>
    <row r="12206" spans="1:6" x14ac:dyDescent="0.3">
      <c r="A12206" t="s">
        <v>12241</v>
      </c>
      <c r="B12206" t="s">
        <v>26</v>
      </c>
      <c r="C12206">
        <v>93800</v>
      </c>
      <c r="D12206">
        <v>913.9</v>
      </c>
      <c r="E12206">
        <v>5.1999999999999998E-3</v>
      </c>
      <c r="F12206">
        <v>8.2199999999999995E-2</v>
      </c>
    </row>
    <row r="12207" spans="1:6" x14ac:dyDescent="0.3">
      <c r="A12207" t="s">
        <v>12242</v>
      </c>
      <c r="B12207" t="s">
        <v>41</v>
      </c>
      <c r="C12207">
        <v>111000</v>
      </c>
      <c r="D12207">
        <v>388.2</v>
      </c>
      <c r="E12207">
        <v>6.4000000000000003E-3</v>
      </c>
      <c r="F12207">
        <v>0.1676</v>
      </c>
    </row>
    <row r="12208" spans="1:6" x14ac:dyDescent="0.3">
      <c r="A12208" t="s">
        <v>12243</v>
      </c>
      <c r="B12208" t="s">
        <v>62</v>
      </c>
      <c r="C12208">
        <v>96800</v>
      </c>
      <c r="D12208">
        <v>6113.4</v>
      </c>
      <c r="E12208">
        <v>3.09E-2</v>
      </c>
      <c r="F12208">
        <v>0.17100000000000001</v>
      </c>
    </row>
    <row r="12209" spans="1:6" x14ac:dyDescent="0.3">
      <c r="A12209" t="s">
        <v>12244</v>
      </c>
      <c r="B12209" t="s">
        <v>195</v>
      </c>
      <c r="C12209">
        <v>104000</v>
      </c>
      <c r="D12209">
        <v>32362.2</v>
      </c>
      <c r="E12209">
        <v>1.1299999999999999E-2</v>
      </c>
      <c r="F12209">
        <v>8.2199999999999995E-2</v>
      </c>
    </row>
    <row r="12210" spans="1:6" x14ac:dyDescent="0.3">
      <c r="A12210" t="s">
        <v>12245</v>
      </c>
      <c r="B12210" t="s">
        <v>88</v>
      </c>
      <c r="C12210">
        <v>167000</v>
      </c>
      <c r="D12210">
        <v>1148.5</v>
      </c>
      <c r="E12210">
        <v>6.0499999999999998E-2</v>
      </c>
      <c r="F12210">
        <v>9.3799999999999994E-2</v>
      </c>
    </row>
    <row r="12211" spans="1:6" x14ac:dyDescent="0.3">
      <c r="A12211" t="s">
        <v>12246</v>
      </c>
      <c r="B12211" t="s">
        <v>26</v>
      </c>
      <c r="C12211">
        <v>161000</v>
      </c>
      <c r="D12211">
        <v>28161.4</v>
      </c>
      <c r="E12211">
        <v>9.2799999999999994E-2</v>
      </c>
      <c r="F12211">
        <v>9.5100000000000004E-2</v>
      </c>
    </row>
    <row r="12212" spans="1:6" x14ac:dyDescent="0.3">
      <c r="A12212" t="s">
        <v>12247</v>
      </c>
      <c r="B12212" t="s">
        <v>214</v>
      </c>
      <c r="C12212">
        <v>94500</v>
      </c>
      <c r="D12212">
        <v>2176.1</v>
      </c>
      <c r="E12212">
        <v>2.0199999999999999E-2</v>
      </c>
      <c r="F12212">
        <v>0.1067</v>
      </c>
    </row>
    <row r="12213" spans="1:6" x14ac:dyDescent="0.3">
      <c r="A12213" t="s">
        <v>12248</v>
      </c>
      <c r="B12213" t="s">
        <v>26</v>
      </c>
      <c r="C12213">
        <v>132000</v>
      </c>
      <c r="D12213">
        <v>535.79999999999995</v>
      </c>
      <c r="E12213">
        <v>6.2700000000000006E-2</v>
      </c>
      <c r="F12213">
        <v>9.98E-2</v>
      </c>
    </row>
    <row r="12214" spans="1:6" x14ac:dyDescent="0.3">
      <c r="A12214" t="s">
        <v>12249</v>
      </c>
      <c r="B12214" t="s">
        <v>88</v>
      </c>
      <c r="C12214">
        <v>113000</v>
      </c>
      <c r="D12214">
        <v>13014.5</v>
      </c>
      <c r="E12214">
        <v>1.4800000000000001E-2</v>
      </c>
      <c r="F12214">
        <v>0.13100000000000001</v>
      </c>
    </row>
    <row r="12215" spans="1:6" x14ac:dyDescent="0.3">
      <c r="A12215" t="s">
        <v>12250</v>
      </c>
      <c r="B12215" t="s">
        <v>26</v>
      </c>
      <c r="C12215">
        <v>157000</v>
      </c>
      <c r="D12215">
        <v>82953.100000000006</v>
      </c>
      <c r="E12215">
        <v>6.3100000000000003E-2</v>
      </c>
      <c r="F12215">
        <v>9.5100000000000004E-2</v>
      </c>
    </row>
    <row r="12216" spans="1:6" x14ac:dyDescent="0.3">
      <c r="A12216" t="s">
        <v>12251</v>
      </c>
      <c r="B12216" t="s">
        <v>26</v>
      </c>
      <c r="C12216">
        <v>94300</v>
      </c>
      <c r="D12216">
        <v>2419</v>
      </c>
      <c r="E12216">
        <v>1.44E-2</v>
      </c>
      <c r="F12216">
        <v>0.38969999999999999</v>
      </c>
    </row>
    <row r="12217" spans="1:6" x14ac:dyDescent="0.3">
      <c r="A12217" t="s">
        <v>12252</v>
      </c>
      <c r="B12217" t="s">
        <v>26</v>
      </c>
      <c r="C12217">
        <v>104000</v>
      </c>
      <c r="D12217">
        <v>169.3</v>
      </c>
      <c r="F12217">
        <v>7.5899999999999995E-2</v>
      </c>
    </row>
    <row r="12218" spans="1:6" x14ac:dyDescent="0.3">
      <c r="A12218" t="s">
        <v>12253</v>
      </c>
      <c r="B12218" t="s">
        <v>62</v>
      </c>
      <c r="C12218">
        <v>93400</v>
      </c>
      <c r="D12218">
        <v>1239.5</v>
      </c>
      <c r="E12218">
        <v>4.82E-2</v>
      </c>
      <c r="F12218">
        <v>9.5100000000000004E-2</v>
      </c>
    </row>
    <row r="12219" spans="1:6" x14ac:dyDescent="0.3">
      <c r="A12219" t="s">
        <v>12254</v>
      </c>
      <c r="B12219" t="s">
        <v>74</v>
      </c>
      <c r="C12219">
        <v>94900</v>
      </c>
      <c r="D12219">
        <v>1002.6</v>
      </c>
      <c r="E12219">
        <v>3.4099999999999998E-2</v>
      </c>
      <c r="F12219">
        <v>7.5899999999999995E-2</v>
      </c>
    </row>
    <row r="12220" spans="1:6" x14ac:dyDescent="0.3">
      <c r="A12220" t="s">
        <v>12255</v>
      </c>
      <c r="B12220" t="s">
        <v>81</v>
      </c>
      <c r="C12220">
        <v>149000</v>
      </c>
      <c r="D12220">
        <v>10733.5</v>
      </c>
      <c r="E12220">
        <v>5.11E-2</v>
      </c>
      <c r="F12220">
        <v>7.5899999999999995E-2</v>
      </c>
    </row>
    <row r="12221" spans="1:6" x14ac:dyDescent="0.3">
      <c r="A12221" t="s">
        <v>12256</v>
      </c>
      <c r="B12221" t="s">
        <v>214</v>
      </c>
      <c r="C12221">
        <v>108000</v>
      </c>
      <c r="D12221">
        <v>5409.4</v>
      </c>
      <c r="E12221">
        <v>3.9E-2</v>
      </c>
      <c r="F12221">
        <v>7.5899999999999995E-2</v>
      </c>
    </row>
    <row r="12222" spans="1:6" x14ac:dyDescent="0.3">
      <c r="A12222" t="s">
        <v>12257</v>
      </c>
      <c r="B12222" t="s">
        <v>88</v>
      </c>
      <c r="C12222">
        <v>226000</v>
      </c>
      <c r="D12222">
        <v>11602.8</v>
      </c>
      <c r="E12222">
        <v>5.16E-2</v>
      </c>
      <c r="F12222">
        <v>4.3200000000000002E-2</v>
      </c>
    </row>
    <row r="12223" spans="1:6" x14ac:dyDescent="0.3">
      <c r="A12223" t="s">
        <v>12258</v>
      </c>
      <c r="B12223" t="s">
        <v>490</v>
      </c>
      <c r="C12223">
        <v>531000</v>
      </c>
      <c r="D12223">
        <v>29387.4</v>
      </c>
      <c r="F12223">
        <v>4.0899999999999999E-2</v>
      </c>
    </row>
    <row r="12224" spans="1:6" x14ac:dyDescent="0.3">
      <c r="A12224" t="s">
        <v>12259</v>
      </c>
      <c r="B12224" t="s">
        <v>41</v>
      </c>
      <c r="C12224">
        <v>196000</v>
      </c>
      <c r="D12224">
        <v>25.4</v>
      </c>
      <c r="E12224">
        <v>9.1000000000000004E-3</v>
      </c>
      <c r="F12224">
        <v>0.15920000000000001</v>
      </c>
    </row>
    <row r="12225" spans="1:6" x14ac:dyDescent="0.3">
      <c r="A12225" t="s">
        <v>12260</v>
      </c>
      <c r="B12225" t="s">
        <v>88</v>
      </c>
      <c r="C12225">
        <v>420000</v>
      </c>
      <c r="D12225">
        <v>30799.9</v>
      </c>
      <c r="E12225">
        <v>5.57E-2</v>
      </c>
      <c r="F12225">
        <v>9.5100000000000004E-2</v>
      </c>
    </row>
    <row r="12226" spans="1:6" x14ac:dyDescent="0.3">
      <c r="A12226" t="s">
        <v>12261</v>
      </c>
      <c r="B12226" t="s">
        <v>88</v>
      </c>
      <c r="C12226">
        <v>94900</v>
      </c>
      <c r="D12226">
        <v>265.2</v>
      </c>
      <c r="E12226">
        <v>2.2800000000000001E-2</v>
      </c>
      <c r="F12226">
        <v>0.17100000000000001</v>
      </c>
    </row>
    <row r="12227" spans="1:6" x14ac:dyDescent="0.3">
      <c r="A12227" t="s">
        <v>12262</v>
      </c>
      <c r="B12227" t="s">
        <v>26</v>
      </c>
      <c r="C12227">
        <v>114000</v>
      </c>
      <c r="D12227">
        <v>44145.2</v>
      </c>
      <c r="E12227">
        <v>3.8800000000000001E-2</v>
      </c>
      <c r="F12227">
        <v>7.5899999999999995E-2</v>
      </c>
    </row>
    <row r="12228" spans="1:6" x14ac:dyDescent="0.3">
      <c r="A12228" t="s">
        <v>12263</v>
      </c>
      <c r="B12228" t="s">
        <v>92</v>
      </c>
      <c r="C12228">
        <v>123000</v>
      </c>
      <c r="D12228">
        <v>10499.5</v>
      </c>
      <c r="E12228">
        <v>2.9100000000000001E-2</v>
      </c>
      <c r="F12228">
        <v>7.5899999999999995E-2</v>
      </c>
    </row>
    <row r="12229" spans="1:6" x14ac:dyDescent="0.3">
      <c r="A12229" t="s">
        <v>12264</v>
      </c>
      <c r="B12229" t="s">
        <v>62</v>
      </c>
      <c r="C12229">
        <v>93900</v>
      </c>
      <c r="D12229">
        <v>969.8</v>
      </c>
      <c r="E12229">
        <v>2.5700000000000001E-2</v>
      </c>
      <c r="F12229">
        <v>0.13869999999999999</v>
      </c>
    </row>
    <row r="12230" spans="1:6" x14ac:dyDescent="0.3">
      <c r="A12230" t="s">
        <v>12265</v>
      </c>
      <c r="B12230" t="s">
        <v>88</v>
      </c>
      <c r="C12230">
        <v>186000</v>
      </c>
      <c r="D12230">
        <v>11788.9</v>
      </c>
      <c r="E12230">
        <v>3.1800000000000002E-2</v>
      </c>
      <c r="F12230">
        <v>7.5899999999999995E-2</v>
      </c>
    </row>
    <row r="12231" spans="1:6" x14ac:dyDescent="0.3">
      <c r="A12231" t="s">
        <v>12266</v>
      </c>
      <c r="B12231" t="s">
        <v>41</v>
      </c>
      <c r="C12231">
        <v>99000</v>
      </c>
      <c r="D12231">
        <v>59.9</v>
      </c>
      <c r="E12231">
        <v>3.8199999999999998E-2</v>
      </c>
      <c r="F12231">
        <v>5.0999999999999997E-2</v>
      </c>
    </row>
    <row r="12232" spans="1:6" x14ac:dyDescent="0.3">
      <c r="A12232" t="s">
        <v>12267</v>
      </c>
      <c r="B12232" t="s">
        <v>88</v>
      </c>
      <c r="C12232">
        <v>155000</v>
      </c>
      <c r="D12232">
        <v>17088.5</v>
      </c>
      <c r="E12232">
        <v>3.0099999999999998E-2</v>
      </c>
      <c r="F12232">
        <v>9.5100000000000004E-2</v>
      </c>
    </row>
    <row r="12233" spans="1:6" x14ac:dyDescent="0.3">
      <c r="A12233" t="s">
        <v>12268</v>
      </c>
      <c r="B12233" t="s">
        <v>26</v>
      </c>
      <c r="C12233">
        <v>91800</v>
      </c>
      <c r="D12233">
        <v>280.3</v>
      </c>
      <c r="E12233">
        <v>2.5100000000000001E-2</v>
      </c>
      <c r="F12233">
        <v>5.8400000000000001E-2</v>
      </c>
    </row>
    <row r="12234" spans="1:6" x14ac:dyDescent="0.3">
      <c r="A12234" t="s">
        <v>12269</v>
      </c>
      <c r="B12234" t="s">
        <v>41</v>
      </c>
      <c r="C12234">
        <v>161000</v>
      </c>
      <c r="D12234">
        <v>1148.8</v>
      </c>
      <c r="E12234">
        <v>2.7E-2</v>
      </c>
      <c r="F12234">
        <v>0.60550000000000004</v>
      </c>
    </row>
    <row r="12235" spans="1:6" x14ac:dyDescent="0.3">
      <c r="A12235" t="s">
        <v>12270</v>
      </c>
      <c r="B12235" t="s">
        <v>74</v>
      </c>
      <c r="C12235">
        <v>108000</v>
      </c>
      <c r="D12235">
        <v>19566.7</v>
      </c>
      <c r="E12235">
        <v>2.4199999999999999E-2</v>
      </c>
      <c r="F12235">
        <v>0.1067</v>
      </c>
    </row>
    <row r="12236" spans="1:6" x14ac:dyDescent="0.3">
      <c r="A12236" t="s">
        <v>12271</v>
      </c>
      <c r="B12236" t="s">
        <v>88</v>
      </c>
      <c r="C12236">
        <v>119000</v>
      </c>
      <c r="D12236">
        <v>5887.8</v>
      </c>
      <c r="E12236">
        <v>7.8E-2</v>
      </c>
      <c r="F12236">
        <v>7.5899999999999995E-2</v>
      </c>
    </row>
    <row r="12237" spans="1:6" x14ac:dyDescent="0.3">
      <c r="A12237" t="s">
        <v>12272</v>
      </c>
      <c r="B12237" t="s">
        <v>62</v>
      </c>
      <c r="C12237">
        <v>96100</v>
      </c>
      <c r="D12237">
        <v>2429</v>
      </c>
      <c r="E12237">
        <v>5.7200000000000001E-2</v>
      </c>
      <c r="F12237">
        <v>9.5100000000000004E-2</v>
      </c>
    </row>
    <row r="12238" spans="1:6" x14ac:dyDescent="0.3">
      <c r="A12238" t="s">
        <v>12273</v>
      </c>
      <c r="B12238" t="s">
        <v>26</v>
      </c>
      <c r="C12238">
        <v>95700</v>
      </c>
      <c r="D12238">
        <v>1952.1</v>
      </c>
      <c r="E12238">
        <v>2.5899999999999999E-2</v>
      </c>
      <c r="F12238">
        <v>9.5100000000000004E-2</v>
      </c>
    </row>
    <row r="12239" spans="1:6" x14ac:dyDescent="0.3">
      <c r="A12239" t="s">
        <v>12274</v>
      </c>
      <c r="B12239" t="s">
        <v>50</v>
      </c>
      <c r="C12239">
        <v>94700</v>
      </c>
      <c r="D12239">
        <v>13302</v>
      </c>
      <c r="E12239">
        <v>6.6799999999999998E-2</v>
      </c>
      <c r="F12239">
        <v>9.5100000000000004E-2</v>
      </c>
    </row>
    <row r="12240" spans="1:6" x14ac:dyDescent="0.3">
      <c r="A12240" t="s">
        <v>12275</v>
      </c>
      <c r="B12240" t="s">
        <v>71</v>
      </c>
      <c r="C12240">
        <v>128000</v>
      </c>
      <c r="D12240">
        <v>25714.3</v>
      </c>
      <c r="E12240">
        <v>2.01E-2</v>
      </c>
      <c r="F12240">
        <v>8.5400000000000004E-2</v>
      </c>
    </row>
    <row r="12241" spans="1:6" x14ac:dyDescent="0.3">
      <c r="A12241" t="s">
        <v>12276</v>
      </c>
      <c r="B12241" t="s">
        <v>24</v>
      </c>
      <c r="C12241">
        <v>96700</v>
      </c>
      <c r="D12241">
        <v>32539.5</v>
      </c>
      <c r="E12241">
        <v>3.0800000000000001E-2</v>
      </c>
      <c r="F12241">
        <v>9.5100000000000004E-2</v>
      </c>
    </row>
    <row r="12242" spans="1:6" x14ac:dyDescent="0.3">
      <c r="A12242" t="s">
        <v>12277</v>
      </c>
      <c r="B12242" t="s">
        <v>88</v>
      </c>
      <c r="C12242">
        <v>105000</v>
      </c>
      <c r="D12242">
        <v>15.8</v>
      </c>
      <c r="E12242">
        <v>2.8299999999999999E-2</v>
      </c>
      <c r="F12242">
        <v>0.2059</v>
      </c>
    </row>
    <row r="12243" spans="1:6" x14ac:dyDescent="0.3">
      <c r="A12243" t="s">
        <v>12278</v>
      </c>
      <c r="B12243" t="s">
        <v>92</v>
      </c>
      <c r="C12243">
        <v>94900</v>
      </c>
      <c r="D12243">
        <v>562.5</v>
      </c>
      <c r="E12243">
        <v>3.2300000000000002E-2</v>
      </c>
      <c r="F12243">
        <v>0.38490000000000002</v>
      </c>
    </row>
    <row r="12244" spans="1:6" x14ac:dyDescent="0.3">
      <c r="A12244" t="s">
        <v>12279</v>
      </c>
      <c r="B12244" t="s">
        <v>92</v>
      </c>
      <c r="C12244">
        <v>149000</v>
      </c>
      <c r="D12244">
        <v>5487.2</v>
      </c>
      <c r="E12244">
        <v>2.12E-2</v>
      </c>
      <c r="F12244">
        <v>0.1053</v>
      </c>
    </row>
    <row r="12245" spans="1:6" x14ac:dyDescent="0.3">
      <c r="A12245" t="s">
        <v>12280</v>
      </c>
      <c r="B12245" t="s">
        <v>26</v>
      </c>
      <c r="C12245">
        <v>90300</v>
      </c>
      <c r="D12245">
        <v>956.2</v>
      </c>
      <c r="E12245">
        <v>2.5899999999999999E-2</v>
      </c>
      <c r="F12245">
        <v>9.5100000000000004E-2</v>
      </c>
    </row>
    <row r="12246" spans="1:6" x14ac:dyDescent="0.3">
      <c r="A12246" t="s">
        <v>12281</v>
      </c>
      <c r="B12246" t="s">
        <v>81</v>
      </c>
      <c r="C12246">
        <v>106000</v>
      </c>
      <c r="D12246">
        <v>49053.1</v>
      </c>
      <c r="E12246">
        <v>8.9999999999999993E-3</v>
      </c>
      <c r="F12246">
        <v>8.2199999999999995E-2</v>
      </c>
    </row>
    <row r="12247" spans="1:6" x14ac:dyDescent="0.3">
      <c r="A12247" t="s">
        <v>12282</v>
      </c>
      <c r="B12247" t="s">
        <v>53</v>
      </c>
      <c r="C12247">
        <v>95600</v>
      </c>
      <c r="F12247">
        <v>7.5899999999999995E-2</v>
      </c>
    </row>
    <row r="12248" spans="1:6" x14ac:dyDescent="0.3">
      <c r="A12248" t="s">
        <v>12283</v>
      </c>
      <c r="B12248" t="s">
        <v>74</v>
      </c>
      <c r="C12248">
        <v>93000</v>
      </c>
      <c r="D12248">
        <v>1438.6</v>
      </c>
      <c r="F12248">
        <v>5.1799999999999999E-2</v>
      </c>
    </row>
    <row r="12249" spans="1:6" x14ac:dyDescent="0.3">
      <c r="A12249" t="s">
        <v>12284</v>
      </c>
      <c r="B12249" t="s">
        <v>24</v>
      </c>
      <c r="C12249">
        <v>633000</v>
      </c>
      <c r="D12249">
        <v>406953.3</v>
      </c>
      <c r="E12249">
        <v>1.8100000000000002E-2</v>
      </c>
      <c r="F12249">
        <v>5.7599999999999998E-2</v>
      </c>
    </row>
    <row r="12250" spans="1:6" x14ac:dyDescent="0.3">
      <c r="A12250" t="s">
        <v>12285</v>
      </c>
      <c r="B12250" t="s">
        <v>24</v>
      </c>
      <c r="C12250">
        <v>98900</v>
      </c>
      <c r="D12250">
        <v>62.4</v>
      </c>
      <c r="E12250">
        <v>6.7199999999999996E-2</v>
      </c>
      <c r="F12250">
        <v>7.5899999999999995E-2</v>
      </c>
    </row>
    <row r="12251" spans="1:6" x14ac:dyDescent="0.3">
      <c r="A12251" t="s">
        <v>12286</v>
      </c>
      <c r="B12251" t="s">
        <v>26</v>
      </c>
      <c r="C12251">
        <v>152000</v>
      </c>
      <c r="D12251">
        <v>15823.3</v>
      </c>
      <c r="E12251">
        <v>2.35E-2</v>
      </c>
      <c r="F12251">
        <v>4.0899999999999999E-2</v>
      </c>
    </row>
    <row r="12252" spans="1:6" x14ac:dyDescent="0.3">
      <c r="A12252" t="s">
        <v>12287</v>
      </c>
      <c r="B12252" t="s">
        <v>24</v>
      </c>
      <c r="C12252">
        <v>149000</v>
      </c>
      <c r="D12252">
        <v>5283.7</v>
      </c>
      <c r="E12252">
        <v>4.9000000000000002E-2</v>
      </c>
      <c r="F12252">
        <v>9.5100000000000004E-2</v>
      </c>
    </row>
    <row r="12253" spans="1:6" x14ac:dyDescent="0.3">
      <c r="A12253" t="s">
        <v>12288</v>
      </c>
      <c r="B12253" t="s">
        <v>71</v>
      </c>
      <c r="C12253">
        <v>99300</v>
      </c>
      <c r="D12253">
        <v>9970</v>
      </c>
      <c r="E12253">
        <v>3.0200000000000001E-2</v>
      </c>
      <c r="F12253">
        <v>9.5100000000000004E-2</v>
      </c>
    </row>
    <row r="12254" spans="1:6" x14ac:dyDescent="0.3">
      <c r="A12254" t="s">
        <v>12289</v>
      </c>
      <c r="B12254" t="s">
        <v>24</v>
      </c>
      <c r="C12254">
        <v>137000</v>
      </c>
      <c r="D12254">
        <v>12031.8</v>
      </c>
      <c r="E12254">
        <v>4.9399999999999999E-2</v>
      </c>
      <c r="F12254">
        <v>9.5100000000000004E-2</v>
      </c>
    </row>
    <row r="12255" spans="1:6" x14ac:dyDescent="0.3">
      <c r="A12255" t="s">
        <v>12290</v>
      </c>
      <c r="B12255" t="s">
        <v>92</v>
      </c>
      <c r="C12255">
        <v>109000</v>
      </c>
      <c r="D12255">
        <v>340.2</v>
      </c>
      <c r="E12255">
        <v>7.8100000000000003E-2</v>
      </c>
      <c r="F12255">
        <v>7.5899999999999995E-2</v>
      </c>
    </row>
    <row r="12256" spans="1:6" x14ac:dyDescent="0.3">
      <c r="A12256" t="s">
        <v>12291</v>
      </c>
      <c r="B12256" t="s">
        <v>26</v>
      </c>
      <c r="C12256">
        <v>95900</v>
      </c>
      <c r="D12256">
        <v>442</v>
      </c>
      <c r="E12256">
        <v>1.4E-2</v>
      </c>
      <c r="F12256">
        <v>7.2599999999999998E-2</v>
      </c>
    </row>
    <row r="12257" spans="1:6" x14ac:dyDescent="0.3">
      <c r="A12257" t="s">
        <v>12292</v>
      </c>
      <c r="B12257" t="s">
        <v>88</v>
      </c>
      <c r="C12257">
        <v>95700</v>
      </c>
      <c r="D12257">
        <v>418.8</v>
      </c>
      <c r="E12257">
        <v>4.7800000000000002E-2</v>
      </c>
      <c r="F12257">
        <v>9.3799999999999994E-2</v>
      </c>
    </row>
    <row r="12258" spans="1:6" x14ac:dyDescent="0.3">
      <c r="A12258" t="s">
        <v>12293</v>
      </c>
      <c r="B12258" t="s">
        <v>26</v>
      </c>
      <c r="C12258">
        <v>120000</v>
      </c>
      <c r="D12258">
        <v>2154.4</v>
      </c>
      <c r="E12258">
        <v>1.12E-2</v>
      </c>
      <c r="F12258">
        <v>0.14710000000000001</v>
      </c>
    </row>
    <row r="12259" spans="1:6" x14ac:dyDescent="0.3">
      <c r="A12259" t="s">
        <v>12294</v>
      </c>
      <c r="B12259" t="s">
        <v>88</v>
      </c>
      <c r="C12259">
        <v>126000</v>
      </c>
      <c r="D12259">
        <v>1051.5999999999999</v>
      </c>
      <c r="E12259">
        <v>1.44E-2</v>
      </c>
      <c r="F12259">
        <v>0.1457</v>
      </c>
    </row>
    <row r="12260" spans="1:6" x14ac:dyDescent="0.3">
      <c r="A12260" t="s">
        <v>12295</v>
      </c>
      <c r="B12260" t="s">
        <v>195</v>
      </c>
      <c r="C12260">
        <v>93000</v>
      </c>
      <c r="D12260">
        <v>123.8</v>
      </c>
      <c r="E12260">
        <v>1.46E-2</v>
      </c>
      <c r="F12260">
        <v>0.20660000000000001</v>
      </c>
    </row>
    <row r="12261" spans="1:6" x14ac:dyDescent="0.3">
      <c r="A12261" t="s">
        <v>12296</v>
      </c>
      <c r="B12261" t="s">
        <v>81</v>
      </c>
      <c r="C12261">
        <v>109000</v>
      </c>
      <c r="D12261">
        <v>19403.099999999999</v>
      </c>
      <c r="E12261">
        <v>2.4899999999999999E-2</v>
      </c>
      <c r="F12261">
        <v>9.5100000000000004E-2</v>
      </c>
    </row>
    <row r="12262" spans="1:6" x14ac:dyDescent="0.3">
      <c r="A12262" t="s">
        <v>12297</v>
      </c>
      <c r="B12262" t="s">
        <v>26</v>
      </c>
      <c r="C12262">
        <v>97200</v>
      </c>
      <c r="D12262">
        <v>20682.599999999999</v>
      </c>
      <c r="E12262">
        <v>5.5999999999999999E-3</v>
      </c>
      <c r="F12262">
        <v>8.2199999999999995E-2</v>
      </c>
    </row>
    <row r="12263" spans="1:6" x14ac:dyDescent="0.3">
      <c r="A12263" t="s">
        <v>12298</v>
      </c>
      <c r="B12263" t="s">
        <v>26</v>
      </c>
      <c r="C12263">
        <v>92200</v>
      </c>
      <c r="D12263">
        <v>5866.2</v>
      </c>
      <c r="E12263">
        <v>4.8000000000000001E-2</v>
      </c>
      <c r="F12263">
        <v>9.5100000000000004E-2</v>
      </c>
    </row>
    <row r="12264" spans="1:6" x14ac:dyDescent="0.3">
      <c r="A12264" t="s">
        <v>12299</v>
      </c>
      <c r="B12264" t="s">
        <v>53</v>
      </c>
      <c r="C12264">
        <v>100000</v>
      </c>
      <c r="D12264">
        <v>5829.3</v>
      </c>
      <c r="E12264">
        <v>1.6799999999999999E-2</v>
      </c>
      <c r="F12264">
        <v>0.1709</v>
      </c>
    </row>
    <row r="12265" spans="1:6" x14ac:dyDescent="0.3">
      <c r="A12265" t="s">
        <v>12300</v>
      </c>
      <c r="B12265" t="s">
        <v>88</v>
      </c>
      <c r="C12265">
        <v>167000</v>
      </c>
      <c r="D12265">
        <v>5588.6</v>
      </c>
      <c r="E12265">
        <v>8.8700000000000001E-2</v>
      </c>
      <c r="F12265">
        <v>5.1799999999999999E-2</v>
      </c>
    </row>
    <row r="12266" spans="1:6" x14ac:dyDescent="0.3">
      <c r="A12266" t="s">
        <v>12301</v>
      </c>
      <c r="B12266" t="s">
        <v>26</v>
      </c>
      <c r="C12266">
        <v>131000</v>
      </c>
      <c r="D12266">
        <v>3662.5</v>
      </c>
      <c r="E12266">
        <v>4.8500000000000001E-2</v>
      </c>
      <c r="F12266">
        <v>7.5899999999999995E-2</v>
      </c>
    </row>
    <row r="12267" spans="1:6" x14ac:dyDescent="0.3">
      <c r="A12267" t="s">
        <v>12302</v>
      </c>
      <c r="B12267" t="s">
        <v>41</v>
      </c>
      <c r="C12267">
        <v>113000</v>
      </c>
      <c r="D12267">
        <v>3413.8</v>
      </c>
      <c r="E12267">
        <v>1.8100000000000002E-2</v>
      </c>
      <c r="F12267">
        <v>5.8500000000000003E-2</v>
      </c>
    </row>
    <row r="12268" spans="1:6" x14ac:dyDescent="0.3">
      <c r="A12268" t="s">
        <v>12303</v>
      </c>
      <c r="B12268" t="s">
        <v>92</v>
      </c>
      <c r="C12268">
        <v>106000</v>
      </c>
      <c r="D12268">
        <v>5359.5</v>
      </c>
      <c r="E12268">
        <v>2.75E-2</v>
      </c>
      <c r="F12268">
        <v>9.5100000000000004E-2</v>
      </c>
    </row>
    <row r="12269" spans="1:6" x14ac:dyDescent="0.3">
      <c r="A12269" t="s">
        <v>12304</v>
      </c>
      <c r="B12269" t="s">
        <v>88</v>
      </c>
      <c r="C12269">
        <v>192000</v>
      </c>
      <c r="D12269">
        <v>12338.7</v>
      </c>
      <c r="E12269">
        <v>3.2599999999999997E-2</v>
      </c>
      <c r="F12269">
        <v>9.5100000000000004E-2</v>
      </c>
    </row>
    <row r="12270" spans="1:6" x14ac:dyDescent="0.3">
      <c r="A12270" t="s">
        <v>12305</v>
      </c>
      <c r="B12270" t="s">
        <v>24</v>
      </c>
      <c r="C12270">
        <v>128000</v>
      </c>
      <c r="D12270">
        <v>7448.5</v>
      </c>
      <c r="E12270">
        <v>2.4199999999999999E-2</v>
      </c>
      <c r="F12270">
        <v>8.3299999999999999E-2</v>
      </c>
    </row>
    <row r="12271" spans="1:6" x14ac:dyDescent="0.3">
      <c r="A12271" t="s">
        <v>12306</v>
      </c>
      <c r="B12271" t="s">
        <v>26</v>
      </c>
      <c r="C12271">
        <v>96000</v>
      </c>
      <c r="D12271">
        <v>5108</v>
      </c>
      <c r="E12271">
        <v>6.2300000000000001E-2</v>
      </c>
      <c r="F12271">
        <v>9.5100000000000004E-2</v>
      </c>
    </row>
    <row r="12272" spans="1:6" x14ac:dyDescent="0.3">
      <c r="A12272" t="s">
        <v>12307</v>
      </c>
      <c r="B12272" t="s">
        <v>92</v>
      </c>
      <c r="C12272">
        <v>249000</v>
      </c>
      <c r="D12272">
        <v>18123.5</v>
      </c>
      <c r="E12272">
        <v>2.3099999999999999E-2</v>
      </c>
      <c r="F12272">
        <v>7.5899999999999995E-2</v>
      </c>
    </row>
    <row r="12273" spans="1:6" x14ac:dyDescent="0.3">
      <c r="A12273" t="s">
        <v>12308</v>
      </c>
      <c r="B12273" t="s">
        <v>26</v>
      </c>
      <c r="C12273">
        <v>88500</v>
      </c>
      <c r="D12273">
        <v>1223.3</v>
      </c>
      <c r="E12273">
        <v>3.8600000000000002E-2</v>
      </c>
      <c r="F12273">
        <v>9.5100000000000004E-2</v>
      </c>
    </row>
    <row r="12274" spans="1:6" x14ac:dyDescent="0.3">
      <c r="A12274" t="s">
        <v>12309</v>
      </c>
      <c r="B12274" t="s">
        <v>490</v>
      </c>
      <c r="C12274">
        <v>107000</v>
      </c>
      <c r="D12274">
        <v>8773.2000000000007</v>
      </c>
      <c r="E12274">
        <v>2.2499999999999999E-2</v>
      </c>
      <c r="F12274">
        <v>5.8500000000000003E-2</v>
      </c>
    </row>
    <row r="12275" spans="1:6" x14ac:dyDescent="0.3">
      <c r="A12275" t="s">
        <v>12310</v>
      </c>
      <c r="B12275" t="s">
        <v>26</v>
      </c>
      <c r="C12275">
        <v>134000</v>
      </c>
      <c r="D12275">
        <v>5536.2</v>
      </c>
      <c r="E12275">
        <v>1.3899999999999999E-2</v>
      </c>
      <c r="F12275">
        <v>4.6199999999999998E-2</v>
      </c>
    </row>
    <row r="12276" spans="1:6" x14ac:dyDescent="0.3">
      <c r="A12276" t="s">
        <v>12311</v>
      </c>
      <c r="B12276" t="s">
        <v>490</v>
      </c>
      <c r="C12276">
        <v>92500</v>
      </c>
      <c r="D12276">
        <v>677.8</v>
      </c>
      <c r="E12276">
        <v>1.84E-2</v>
      </c>
      <c r="F12276">
        <v>0.12670000000000001</v>
      </c>
    </row>
    <row r="12277" spans="1:6" x14ac:dyDescent="0.3">
      <c r="A12277" t="s">
        <v>12312</v>
      </c>
      <c r="B12277" t="s">
        <v>71</v>
      </c>
      <c r="C12277">
        <v>171000</v>
      </c>
      <c r="D12277">
        <v>15205.8</v>
      </c>
      <c r="E12277">
        <v>4.3200000000000002E-2</v>
      </c>
      <c r="F12277">
        <v>9.3799999999999994E-2</v>
      </c>
    </row>
    <row r="12278" spans="1:6" x14ac:dyDescent="0.3">
      <c r="A12278" t="s">
        <v>12313</v>
      </c>
      <c r="B12278" t="s">
        <v>88</v>
      </c>
      <c r="C12278">
        <v>97400</v>
      </c>
      <c r="D12278">
        <v>5026.6000000000004</v>
      </c>
      <c r="E12278">
        <v>3.2000000000000001E-2</v>
      </c>
      <c r="F12278">
        <v>7.5899999999999995E-2</v>
      </c>
    </row>
    <row r="12279" spans="1:6" x14ac:dyDescent="0.3">
      <c r="A12279" t="s">
        <v>12314</v>
      </c>
      <c r="B12279" t="s">
        <v>92</v>
      </c>
      <c r="C12279">
        <v>128000</v>
      </c>
      <c r="D12279">
        <v>1649.4</v>
      </c>
      <c r="E12279">
        <v>1.37E-2</v>
      </c>
      <c r="F12279">
        <v>8.2199999999999995E-2</v>
      </c>
    </row>
    <row r="12280" spans="1:6" x14ac:dyDescent="0.3">
      <c r="A12280" t="s">
        <v>12315</v>
      </c>
      <c r="B12280" t="s">
        <v>71</v>
      </c>
      <c r="C12280">
        <v>95900</v>
      </c>
      <c r="D12280">
        <v>10003.700000000001</v>
      </c>
      <c r="E12280">
        <v>3.1399999999999997E-2</v>
      </c>
      <c r="F12280">
        <v>9.5100000000000004E-2</v>
      </c>
    </row>
    <row r="12281" spans="1:6" x14ac:dyDescent="0.3">
      <c r="A12281" t="s">
        <v>12316</v>
      </c>
      <c r="B12281" t="s">
        <v>92</v>
      </c>
      <c r="C12281">
        <v>98000</v>
      </c>
      <c r="D12281">
        <v>1706.4</v>
      </c>
      <c r="E12281">
        <v>3.09E-2</v>
      </c>
      <c r="F12281">
        <v>7.5899999999999995E-2</v>
      </c>
    </row>
    <row r="12282" spans="1:6" x14ac:dyDescent="0.3">
      <c r="A12282" t="s">
        <v>12317</v>
      </c>
      <c r="B12282" t="s">
        <v>71</v>
      </c>
      <c r="C12282">
        <v>92100</v>
      </c>
      <c r="D12282">
        <v>23951</v>
      </c>
      <c r="E12282">
        <v>2.1399999999999999E-2</v>
      </c>
      <c r="F12282">
        <v>0.1067</v>
      </c>
    </row>
    <row r="12283" spans="1:6" x14ac:dyDescent="0.3">
      <c r="A12283" t="s">
        <v>12318</v>
      </c>
      <c r="B12283" t="s">
        <v>92</v>
      </c>
      <c r="C12283">
        <v>94300</v>
      </c>
      <c r="D12283">
        <v>460.9</v>
      </c>
      <c r="E12283">
        <v>3.8199999999999998E-2</v>
      </c>
      <c r="F12283">
        <v>7.5899999999999995E-2</v>
      </c>
    </row>
    <row r="12284" spans="1:6" x14ac:dyDescent="0.3">
      <c r="A12284" t="s">
        <v>12319</v>
      </c>
      <c r="B12284" t="s">
        <v>26</v>
      </c>
      <c r="C12284">
        <v>102000</v>
      </c>
      <c r="D12284">
        <v>94.6</v>
      </c>
      <c r="E12284">
        <v>2.1100000000000001E-2</v>
      </c>
      <c r="F12284">
        <v>8.2400000000000001E-2</v>
      </c>
    </row>
    <row r="12285" spans="1:6" x14ac:dyDescent="0.3">
      <c r="A12285" t="s">
        <v>12320</v>
      </c>
      <c r="B12285" t="s">
        <v>26</v>
      </c>
      <c r="C12285">
        <v>105000</v>
      </c>
      <c r="D12285">
        <v>1160.2</v>
      </c>
      <c r="E12285">
        <v>4.5999999999999999E-3</v>
      </c>
      <c r="F12285">
        <v>8.1100000000000005E-2</v>
      </c>
    </row>
    <row r="12286" spans="1:6" x14ac:dyDescent="0.3">
      <c r="A12286" t="s">
        <v>12321</v>
      </c>
      <c r="B12286" t="s">
        <v>28</v>
      </c>
      <c r="C12286">
        <v>104000</v>
      </c>
      <c r="D12286">
        <v>16432.7</v>
      </c>
      <c r="E12286">
        <v>3.0999999999999999E-3</v>
      </c>
      <c r="F12286">
        <v>8.2199999999999995E-2</v>
      </c>
    </row>
    <row r="12287" spans="1:6" x14ac:dyDescent="0.3">
      <c r="A12287" t="s">
        <v>12322</v>
      </c>
      <c r="B12287" t="s">
        <v>81</v>
      </c>
      <c r="C12287">
        <v>93200</v>
      </c>
      <c r="D12287">
        <v>9032.6</v>
      </c>
      <c r="E12287">
        <v>3.3500000000000002E-2</v>
      </c>
      <c r="F12287">
        <v>9.5100000000000004E-2</v>
      </c>
    </row>
    <row r="12288" spans="1:6" x14ac:dyDescent="0.3">
      <c r="A12288" t="s">
        <v>12323</v>
      </c>
      <c r="B12288" t="s">
        <v>88</v>
      </c>
      <c r="C12288">
        <v>95100</v>
      </c>
      <c r="D12288">
        <v>1779.9</v>
      </c>
      <c r="E12288">
        <v>5.5500000000000001E-2</v>
      </c>
      <c r="F12288">
        <v>9.5100000000000004E-2</v>
      </c>
    </row>
    <row r="12289" spans="1:6" x14ac:dyDescent="0.3">
      <c r="A12289" t="s">
        <v>12324</v>
      </c>
      <c r="B12289" t="s">
        <v>74</v>
      </c>
      <c r="C12289">
        <v>90600</v>
      </c>
      <c r="D12289">
        <v>3163.4</v>
      </c>
      <c r="E12289">
        <v>4.5600000000000002E-2</v>
      </c>
      <c r="F12289">
        <v>0.12429999999999999</v>
      </c>
    </row>
    <row r="12290" spans="1:6" x14ac:dyDescent="0.3">
      <c r="A12290" t="s">
        <v>12325</v>
      </c>
      <c r="B12290" t="s">
        <v>26</v>
      </c>
      <c r="C12290">
        <v>109000</v>
      </c>
      <c r="D12290">
        <v>4361.6000000000004</v>
      </c>
      <c r="F12290">
        <v>9.5100000000000004E-2</v>
      </c>
    </row>
    <row r="12291" spans="1:6" x14ac:dyDescent="0.3">
      <c r="A12291" t="s">
        <v>12326</v>
      </c>
      <c r="B12291" t="s">
        <v>26</v>
      </c>
      <c r="C12291">
        <v>147000</v>
      </c>
      <c r="D12291">
        <v>6105.8</v>
      </c>
      <c r="E12291">
        <v>3.4299999999999997E-2</v>
      </c>
      <c r="F12291">
        <v>9.5100000000000004E-2</v>
      </c>
    </row>
    <row r="12292" spans="1:6" x14ac:dyDescent="0.3">
      <c r="A12292" t="s">
        <v>12327</v>
      </c>
      <c r="B12292" t="s">
        <v>26</v>
      </c>
      <c r="C12292">
        <v>174000</v>
      </c>
      <c r="D12292">
        <v>6744.3</v>
      </c>
      <c r="E12292">
        <v>3.0200000000000001E-2</v>
      </c>
      <c r="F12292">
        <v>9.3799999999999994E-2</v>
      </c>
    </row>
    <row r="12293" spans="1:6" x14ac:dyDescent="0.3">
      <c r="A12293" t="s">
        <v>12328</v>
      </c>
      <c r="B12293" t="s">
        <v>81</v>
      </c>
      <c r="C12293">
        <v>98800</v>
      </c>
      <c r="D12293">
        <v>1338.9</v>
      </c>
      <c r="E12293">
        <v>1.7500000000000002E-2</v>
      </c>
      <c r="F12293">
        <v>0.1067</v>
      </c>
    </row>
    <row r="12294" spans="1:6" x14ac:dyDescent="0.3">
      <c r="A12294" t="s">
        <v>12329</v>
      </c>
      <c r="B12294" t="s">
        <v>195</v>
      </c>
      <c r="C12294">
        <v>91600</v>
      </c>
      <c r="D12294">
        <v>847.9</v>
      </c>
      <c r="E12294">
        <v>3.4599999999999999E-2</v>
      </c>
      <c r="F12294">
        <v>9.5100000000000004E-2</v>
      </c>
    </row>
    <row r="12295" spans="1:6" x14ac:dyDescent="0.3">
      <c r="A12295" t="s">
        <v>12330</v>
      </c>
      <c r="B12295" t="s">
        <v>26</v>
      </c>
      <c r="C12295">
        <v>176000</v>
      </c>
      <c r="D12295">
        <v>4318.2</v>
      </c>
      <c r="E12295">
        <v>3.5299999999999998E-2</v>
      </c>
      <c r="F12295">
        <v>4.0899999999999999E-2</v>
      </c>
    </row>
    <row r="12296" spans="1:6" x14ac:dyDescent="0.3">
      <c r="A12296" t="s">
        <v>12331</v>
      </c>
      <c r="B12296" t="s">
        <v>88</v>
      </c>
      <c r="C12296">
        <v>103000</v>
      </c>
      <c r="D12296">
        <v>174.5</v>
      </c>
      <c r="F12296">
        <v>7.5899999999999995E-2</v>
      </c>
    </row>
    <row r="12297" spans="1:6" x14ac:dyDescent="0.3">
      <c r="A12297" t="s">
        <v>12332</v>
      </c>
      <c r="B12297" t="s">
        <v>62</v>
      </c>
      <c r="C12297">
        <v>103000</v>
      </c>
      <c r="D12297">
        <v>387.9</v>
      </c>
      <c r="E12297">
        <v>1.7000000000000001E-2</v>
      </c>
      <c r="F12297">
        <v>8.2100000000000006E-2</v>
      </c>
    </row>
    <row r="12298" spans="1:6" x14ac:dyDescent="0.3">
      <c r="A12298" t="s">
        <v>12333</v>
      </c>
      <c r="B12298" t="s">
        <v>26</v>
      </c>
      <c r="C12298">
        <v>151000</v>
      </c>
      <c r="D12298">
        <v>17612.8</v>
      </c>
      <c r="E12298">
        <v>1.66E-2</v>
      </c>
      <c r="F12298">
        <v>8.5400000000000004E-2</v>
      </c>
    </row>
    <row r="12299" spans="1:6" x14ac:dyDescent="0.3">
      <c r="A12299" t="s">
        <v>12334</v>
      </c>
      <c r="B12299" t="s">
        <v>26</v>
      </c>
      <c r="C12299">
        <v>232000</v>
      </c>
      <c r="D12299">
        <v>3984</v>
      </c>
      <c r="F12299">
        <v>7.5899999999999995E-2</v>
      </c>
    </row>
    <row r="12300" spans="1:6" x14ac:dyDescent="0.3">
      <c r="A12300" t="s">
        <v>12335</v>
      </c>
      <c r="B12300" t="s">
        <v>26</v>
      </c>
      <c r="C12300">
        <v>110000</v>
      </c>
      <c r="D12300">
        <v>1224.9000000000001</v>
      </c>
      <c r="F12300">
        <v>9.5100000000000004E-2</v>
      </c>
    </row>
    <row r="12301" spans="1:6" x14ac:dyDescent="0.3">
      <c r="A12301" t="s">
        <v>12336</v>
      </c>
      <c r="B12301" t="s">
        <v>21</v>
      </c>
      <c r="C12301">
        <v>108000</v>
      </c>
      <c r="D12301">
        <v>15747.5</v>
      </c>
      <c r="E12301">
        <v>4.3400000000000001E-2</v>
      </c>
      <c r="F12301">
        <v>7.5899999999999995E-2</v>
      </c>
    </row>
    <row r="12302" spans="1:6" x14ac:dyDescent="0.3">
      <c r="A12302" t="s">
        <v>12337</v>
      </c>
      <c r="B12302" t="s">
        <v>88</v>
      </c>
      <c r="C12302">
        <v>176000</v>
      </c>
      <c r="D12302">
        <v>1245.3</v>
      </c>
      <c r="E12302">
        <v>2.92E-2</v>
      </c>
      <c r="F12302">
        <v>9.3799999999999994E-2</v>
      </c>
    </row>
    <row r="12303" spans="1:6" x14ac:dyDescent="0.3">
      <c r="A12303" t="s">
        <v>12338</v>
      </c>
      <c r="B12303" t="s">
        <v>26</v>
      </c>
      <c r="C12303">
        <v>95700</v>
      </c>
      <c r="D12303">
        <v>43022</v>
      </c>
      <c r="E12303">
        <v>6.6199999999999995E-2</v>
      </c>
      <c r="F12303">
        <v>7.5899999999999995E-2</v>
      </c>
    </row>
    <row r="12304" spans="1:6" x14ac:dyDescent="0.3">
      <c r="A12304" t="s">
        <v>12339</v>
      </c>
      <c r="B12304" t="s">
        <v>50</v>
      </c>
      <c r="C12304">
        <v>101000</v>
      </c>
      <c r="D12304">
        <v>17598.900000000001</v>
      </c>
      <c r="F12304">
        <v>9.5100000000000004E-2</v>
      </c>
    </row>
    <row r="12305" spans="1:6" x14ac:dyDescent="0.3">
      <c r="A12305" t="s">
        <v>12340</v>
      </c>
      <c r="B12305" t="s">
        <v>26</v>
      </c>
      <c r="C12305">
        <v>91700</v>
      </c>
      <c r="D12305">
        <v>618.5</v>
      </c>
      <c r="E12305">
        <v>1.6799999999999999E-2</v>
      </c>
      <c r="F12305">
        <v>5.8500000000000003E-2</v>
      </c>
    </row>
    <row r="12306" spans="1:6" x14ac:dyDescent="0.3">
      <c r="A12306" t="s">
        <v>12341</v>
      </c>
      <c r="B12306" t="s">
        <v>88</v>
      </c>
      <c r="C12306">
        <v>102000</v>
      </c>
      <c r="D12306">
        <v>229.4</v>
      </c>
      <c r="E12306">
        <v>0.1215</v>
      </c>
      <c r="F12306">
        <v>0.11700000000000001</v>
      </c>
    </row>
    <row r="12307" spans="1:6" x14ac:dyDescent="0.3">
      <c r="A12307" t="s">
        <v>12342</v>
      </c>
      <c r="B12307" t="s">
        <v>26</v>
      </c>
      <c r="C12307">
        <v>111000</v>
      </c>
      <c r="D12307">
        <v>199408.1</v>
      </c>
      <c r="E12307">
        <v>4.2500000000000003E-2</v>
      </c>
      <c r="F12307">
        <v>5.1799999999999999E-2</v>
      </c>
    </row>
    <row r="12308" spans="1:6" x14ac:dyDescent="0.3">
      <c r="A12308" t="s">
        <v>12343</v>
      </c>
      <c r="B12308" t="s">
        <v>88</v>
      </c>
      <c r="C12308">
        <v>106000</v>
      </c>
      <c r="D12308">
        <v>565.70000000000005</v>
      </c>
      <c r="E12308">
        <v>1.3899999999999999E-2</v>
      </c>
      <c r="F12308">
        <v>0.1067</v>
      </c>
    </row>
    <row r="12309" spans="1:6" x14ac:dyDescent="0.3">
      <c r="A12309" t="s">
        <v>12344</v>
      </c>
      <c r="B12309" t="s">
        <v>24</v>
      </c>
      <c r="C12309">
        <v>188000</v>
      </c>
      <c r="D12309">
        <v>2204</v>
      </c>
      <c r="E12309">
        <v>8.8000000000000005E-3</v>
      </c>
      <c r="F12309">
        <v>6.54E-2</v>
      </c>
    </row>
    <row r="12310" spans="1:6" x14ac:dyDescent="0.3">
      <c r="A12310" t="s">
        <v>12345</v>
      </c>
      <c r="B12310" t="s">
        <v>74</v>
      </c>
      <c r="C12310">
        <v>101000</v>
      </c>
      <c r="D12310">
        <v>469</v>
      </c>
      <c r="E12310">
        <v>4.7899999999999998E-2</v>
      </c>
      <c r="F12310">
        <v>7.5899999999999995E-2</v>
      </c>
    </row>
    <row r="12311" spans="1:6" x14ac:dyDescent="0.3">
      <c r="A12311" t="s">
        <v>12346</v>
      </c>
      <c r="B12311" t="s">
        <v>26</v>
      </c>
      <c r="C12311">
        <v>90300</v>
      </c>
      <c r="D12311">
        <v>773</v>
      </c>
      <c r="E12311">
        <v>3.0300000000000001E-2</v>
      </c>
      <c r="F12311">
        <v>9.5100000000000004E-2</v>
      </c>
    </row>
    <row r="12312" spans="1:6" x14ac:dyDescent="0.3">
      <c r="A12312" t="s">
        <v>12347</v>
      </c>
      <c r="B12312" t="s">
        <v>74</v>
      </c>
      <c r="C12312">
        <v>110000</v>
      </c>
      <c r="D12312">
        <v>24607.1</v>
      </c>
      <c r="E12312">
        <v>1.5699999999999999E-2</v>
      </c>
      <c r="F12312">
        <v>0.1067</v>
      </c>
    </row>
    <row r="12313" spans="1:6" x14ac:dyDescent="0.3">
      <c r="A12313" t="s">
        <v>12348</v>
      </c>
      <c r="B12313" t="s">
        <v>62</v>
      </c>
      <c r="C12313">
        <v>492000</v>
      </c>
      <c r="D12313">
        <v>287799.7</v>
      </c>
      <c r="E12313">
        <v>2.8500000000000001E-2</v>
      </c>
      <c r="F12313">
        <v>6.7199999999999996E-2</v>
      </c>
    </row>
    <row r="12314" spans="1:6" x14ac:dyDescent="0.3">
      <c r="A12314" t="s">
        <v>12349</v>
      </c>
      <c r="B12314" t="s">
        <v>74</v>
      </c>
      <c r="C12314">
        <v>106000</v>
      </c>
      <c r="D12314">
        <v>6.7</v>
      </c>
      <c r="E12314">
        <v>4.0000000000000001E-3</v>
      </c>
      <c r="F12314">
        <v>0.26569999999999999</v>
      </c>
    </row>
    <row r="12315" spans="1:6" x14ac:dyDescent="0.3">
      <c r="A12315" t="s">
        <v>12350</v>
      </c>
      <c r="B12315" t="s">
        <v>26</v>
      </c>
      <c r="C12315">
        <v>93200</v>
      </c>
      <c r="D12315">
        <v>10.8</v>
      </c>
      <c r="F12315">
        <v>4.0899999999999999E-2</v>
      </c>
    </row>
    <row r="12316" spans="1:6" x14ac:dyDescent="0.3">
      <c r="A12316" t="s">
        <v>12351</v>
      </c>
      <c r="B12316" t="s">
        <v>74</v>
      </c>
      <c r="C12316">
        <v>142000</v>
      </c>
      <c r="F12316">
        <v>7.5899999999999995E-2</v>
      </c>
    </row>
    <row r="12317" spans="1:6" x14ac:dyDescent="0.3">
      <c r="A12317" t="s">
        <v>12352</v>
      </c>
      <c r="B12317" t="s">
        <v>26</v>
      </c>
      <c r="C12317">
        <v>351000</v>
      </c>
      <c r="D12317">
        <v>22521.5</v>
      </c>
      <c r="E12317">
        <v>1.1000000000000001E-3</v>
      </c>
      <c r="F12317">
        <v>8.1100000000000005E-2</v>
      </c>
    </row>
    <row r="12318" spans="1:6" x14ac:dyDescent="0.3">
      <c r="A12318" t="s">
        <v>12353</v>
      </c>
      <c r="B12318" t="s">
        <v>24</v>
      </c>
      <c r="C12318">
        <v>111000</v>
      </c>
      <c r="D12318">
        <v>30313.200000000001</v>
      </c>
      <c r="E12318">
        <v>3.1899999999999998E-2</v>
      </c>
      <c r="F12318">
        <v>9.5100000000000004E-2</v>
      </c>
    </row>
    <row r="12319" spans="1:6" x14ac:dyDescent="0.3">
      <c r="A12319" t="s">
        <v>12354</v>
      </c>
      <c r="B12319" t="s">
        <v>62</v>
      </c>
      <c r="C12319">
        <v>95200</v>
      </c>
      <c r="D12319">
        <v>948.3</v>
      </c>
      <c r="E12319">
        <v>1.6500000000000001E-2</v>
      </c>
      <c r="F12319">
        <v>4.6199999999999998E-2</v>
      </c>
    </row>
    <row r="12320" spans="1:6" x14ac:dyDescent="0.3">
      <c r="A12320" t="s">
        <v>12355</v>
      </c>
      <c r="B12320" t="s">
        <v>41</v>
      </c>
      <c r="C12320">
        <v>151000</v>
      </c>
      <c r="D12320">
        <v>3062.4</v>
      </c>
      <c r="E12320">
        <v>2.2599999999999999E-2</v>
      </c>
      <c r="F12320">
        <v>9.3799999999999994E-2</v>
      </c>
    </row>
    <row r="12321" spans="1:6" x14ac:dyDescent="0.3">
      <c r="A12321" t="s">
        <v>12356</v>
      </c>
      <c r="B12321" t="s">
        <v>53</v>
      </c>
      <c r="C12321">
        <v>110000</v>
      </c>
      <c r="D12321">
        <v>11737.7</v>
      </c>
      <c r="E12321">
        <v>2.5600000000000001E-2</v>
      </c>
      <c r="F12321">
        <v>0.1119</v>
      </c>
    </row>
    <row r="12322" spans="1:6" x14ac:dyDescent="0.3">
      <c r="A12322" t="s">
        <v>12357</v>
      </c>
      <c r="B12322" t="s">
        <v>24</v>
      </c>
      <c r="C12322">
        <v>98700</v>
      </c>
      <c r="D12322">
        <v>787.7</v>
      </c>
      <c r="E12322">
        <v>3.8E-3</v>
      </c>
      <c r="F12322">
        <v>8.6599999999999996E-2</v>
      </c>
    </row>
    <row r="12323" spans="1:6" x14ac:dyDescent="0.3">
      <c r="A12323" t="s">
        <v>12358</v>
      </c>
      <c r="B12323" t="s">
        <v>214</v>
      </c>
      <c r="C12323">
        <v>95500</v>
      </c>
      <c r="D12323">
        <v>3503.7</v>
      </c>
      <c r="E12323">
        <v>5.1999999999999998E-3</v>
      </c>
      <c r="F12323">
        <v>8.2199999999999995E-2</v>
      </c>
    </row>
    <row r="12324" spans="1:6" x14ac:dyDescent="0.3">
      <c r="A12324" t="s">
        <v>12359</v>
      </c>
      <c r="B12324" t="s">
        <v>26</v>
      </c>
      <c r="C12324">
        <v>114000</v>
      </c>
      <c r="D12324">
        <v>57193.9</v>
      </c>
      <c r="E12324">
        <v>5.1700000000000003E-2</v>
      </c>
      <c r="F12324">
        <v>6.7199999999999996E-2</v>
      </c>
    </row>
    <row r="12325" spans="1:6" x14ac:dyDescent="0.3">
      <c r="A12325" t="s">
        <v>12360</v>
      </c>
      <c r="B12325" t="s">
        <v>26</v>
      </c>
      <c r="C12325">
        <v>120000</v>
      </c>
      <c r="D12325">
        <v>2608.6</v>
      </c>
      <c r="E12325">
        <v>1.9300000000000001E-2</v>
      </c>
      <c r="F12325">
        <v>8.5400000000000004E-2</v>
      </c>
    </row>
    <row r="12326" spans="1:6" x14ac:dyDescent="0.3">
      <c r="A12326" t="s">
        <v>12361</v>
      </c>
      <c r="B12326" t="s">
        <v>88</v>
      </c>
      <c r="C12326">
        <v>130000</v>
      </c>
      <c r="D12326">
        <v>2907.8</v>
      </c>
      <c r="E12326">
        <v>2.8000000000000001E-2</v>
      </c>
      <c r="F12326">
        <v>7.5899999999999995E-2</v>
      </c>
    </row>
    <row r="12327" spans="1:6" x14ac:dyDescent="0.3">
      <c r="A12327" t="s">
        <v>12362</v>
      </c>
      <c r="B12327" t="s">
        <v>50</v>
      </c>
      <c r="C12327">
        <v>103000</v>
      </c>
      <c r="D12327">
        <v>2869</v>
      </c>
      <c r="E12327">
        <v>5.7099999999999998E-2</v>
      </c>
      <c r="F12327">
        <v>7.5899999999999995E-2</v>
      </c>
    </row>
    <row r="12328" spans="1:6" x14ac:dyDescent="0.3">
      <c r="A12328" t="s">
        <v>12363</v>
      </c>
      <c r="B12328" t="s">
        <v>88</v>
      </c>
      <c r="C12328">
        <v>97500</v>
      </c>
      <c r="D12328">
        <v>14216.4</v>
      </c>
      <c r="F12328">
        <v>5.1799999999999999E-2</v>
      </c>
    </row>
    <row r="12329" spans="1:6" x14ac:dyDescent="0.3">
      <c r="A12329" t="s">
        <v>12364</v>
      </c>
      <c r="B12329" t="s">
        <v>81</v>
      </c>
      <c r="C12329">
        <v>164000</v>
      </c>
      <c r="D12329">
        <v>13123.1</v>
      </c>
      <c r="E12329">
        <v>1.6400000000000001E-2</v>
      </c>
      <c r="F12329">
        <v>8.5400000000000004E-2</v>
      </c>
    </row>
    <row r="12330" spans="1:6" x14ac:dyDescent="0.3">
      <c r="A12330" t="s">
        <v>12365</v>
      </c>
      <c r="B12330" t="s">
        <v>214</v>
      </c>
      <c r="C12330">
        <v>141000</v>
      </c>
      <c r="D12330">
        <v>7361.5</v>
      </c>
      <c r="E12330">
        <v>6.8599999999999994E-2</v>
      </c>
      <c r="F12330">
        <v>9.5100000000000004E-2</v>
      </c>
    </row>
    <row r="12331" spans="1:6" x14ac:dyDescent="0.3">
      <c r="A12331" t="s">
        <v>12366</v>
      </c>
      <c r="B12331" t="s">
        <v>53</v>
      </c>
      <c r="C12331">
        <v>132000</v>
      </c>
      <c r="D12331">
        <v>14561.6</v>
      </c>
      <c r="E12331">
        <v>4.0300000000000002E-2</v>
      </c>
      <c r="F12331">
        <v>7.5899999999999995E-2</v>
      </c>
    </row>
    <row r="12332" spans="1:6" x14ac:dyDescent="0.3">
      <c r="A12332" t="s">
        <v>12367</v>
      </c>
      <c r="B12332" t="s">
        <v>26</v>
      </c>
      <c r="C12332">
        <v>106000</v>
      </c>
      <c r="D12332">
        <v>1009.6</v>
      </c>
      <c r="E12332">
        <v>6.0900000000000003E-2</v>
      </c>
      <c r="F12332">
        <v>7.5899999999999995E-2</v>
      </c>
    </row>
    <row r="12333" spans="1:6" x14ac:dyDescent="0.3">
      <c r="A12333" t="s">
        <v>12368</v>
      </c>
      <c r="B12333" t="s">
        <v>88</v>
      </c>
      <c r="C12333">
        <v>105000</v>
      </c>
      <c r="D12333">
        <v>950.6</v>
      </c>
      <c r="E12333">
        <v>1.12E-2</v>
      </c>
      <c r="F12333">
        <v>8.2199999999999995E-2</v>
      </c>
    </row>
    <row r="12334" spans="1:6" x14ac:dyDescent="0.3">
      <c r="A12334" t="s">
        <v>12369</v>
      </c>
      <c r="B12334" t="s">
        <v>26</v>
      </c>
      <c r="C12334">
        <v>91200</v>
      </c>
      <c r="F12334">
        <v>7.5899999999999995E-2</v>
      </c>
    </row>
    <row r="12335" spans="1:6" x14ac:dyDescent="0.3">
      <c r="A12335" t="s">
        <v>12370</v>
      </c>
      <c r="B12335" t="s">
        <v>88</v>
      </c>
      <c r="C12335">
        <v>190000</v>
      </c>
      <c r="D12335">
        <v>1130.2</v>
      </c>
      <c r="E12335">
        <v>9.9500000000000005E-2</v>
      </c>
      <c r="F12335">
        <v>9.3799999999999994E-2</v>
      </c>
    </row>
    <row r="12336" spans="1:6" x14ac:dyDescent="0.3">
      <c r="A12336" t="s">
        <v>12371</v>
      </c>
      <c r="B12336" t="s">
        <v>26</v>
      </c>
      <c r="C12336">
        <v>104000</v>
      </c>
      <c r="D12336">
        <v>8207.2999999999993</v>
      </c>
      <c r="F12336">
        <v>5.4600000000000003E-2</v>
      </c>
    </row>
    <row r="12337" spans="1:6" x14ac:dyDescent="0.3">
      <c r="A12337" t="s">
        <v>12372</v>
      </c>
      <c r="B12337" t="s">
        <v>74</v>
      </c>
      <c r="C12337">
        <v>115000</v>
      </c>
      <c r="D12337">
        <v>2842.9</v>
      </c>
      <c r="E12337">
        <v>3.5799999999999998E-2</v>
      </c>
      <c r="F12337">
        <v>4.0899999999999999E-2</v>
      </c>
    </row>
    <row r="12338" spans="1:6" x14ac:dyDescent="0.3">
      <c r="A12338" t="s">
        <v>12373</v>
      </c>
      <c r="B12338" t="s">
        <v>26</v>
      </c>
      <c r="C12338">
        <v>99300</v>
      </c>
      <c r="D12338">
        <v>53512.7</v>
      </c>
      <c r="E12338">
        <v>6.4999999999999997E-3</v>
      </c>
      <c r="F12338">
        <v>0.14710000000000001</v>
      </c>
    </row>
    <row r="12339" spans="1:6" x14ac:dyDescent="0.3">
      <c r="A12339" t="s">
        <v>12374</v>
      </c>
      <c r="B12339" t="s">
        <v>71</v>
      </c>
      <c r="C12339">
        <v>97300</v>
      </c>
      <c r="D12339">
        <v>1599.4</v>
      </c>
      <c r="E12339">
        <v>2.53E-2</v>
      </c>
      <c r="F12339">
        <v>7.5899999999999995E-2</v>
      </c>
    </row>
    <row r="12340" spans="1:6" x14ac:dyDescent="0.3">
      <c r="A12340" t="s">
        <v>12375</v>
      </c>
      <c r="B12340" t="s">
        <v>53</v>
      </c>
      <c r="C12340">
        <v>205000</v>
      </c>
      <c r="D12340">
        <v>3381.6</v>
      </c>
      <c r="E12340">
        <v>1.9199999999999998E-2</v>
      </c>
      <c r="F12340">
        <v>4.6199999999999998E-2</v>
      </c>
    </row>
    <row r="12341" spans="1:6" x14ac:dyDescent="0.3">
      <c r="A12341" t="s">
        <v>12376</v>
      </c>
      <c r="B12341" t="s">
        <v>26</v>
      </c>
      <c r="C12341">
        <v>91100</v>
      </c>
      <c r="D12341">
        <v>4022</v>
      </c>
      <c r="E12341">
        <v>3.5799999999999998E-2</v>
      </c>
      <c r="F12341">
        <v>9.5100000000000004E-2</v>
      </c>
    </row>
    <row r="12342" spans="1:6" x14ac:dyDescent="0.3">
      <c r="A12342" t="s">
        <v>12377</v>
      </c>
      <c r="B12342" t="s">
        <v>88</v>
      </c>
      <c r="C12342">
        <v>97800</v>
      </c>
      <c r="D12342">
        <v>30.8</v>
      </c>
      <c r="E12342">
        <v>1.67E-2</v>
      </c>
      <c r="F12342">
        <v>0.15920000000000001</v>
      </c>
    </row>
    <row r="12343" spans="1:6" x14ac:dyDescent="0.3">
      <c r="A12343" t="s">
        <v>12378</v>
      </c>
      <c r="B12343" t="s">
        <v>62</v>
      </c>
      <c r="C12343">
        <v>90100</v>
      </c>
      <c r="D12343">
        <v>425</v>
      </c>
      <c r="E12343">
        <v>5.7000000000000002E-3</v>
      </c>
      <c r="F12343">
        <v>8.2199999999999995E-2</v>
      </c>
    </row>
    <row r="12344" spans="1:6" x14ac:dyDescent="0.3">
      <c r="A12344" t="s">
        <v>12379</v>
      </c>
      <c r="B12344" t="s">
        <v>26</v>
      </c>
      <c r="C12344">
        <v>113000</v>
      </c>
      <c r="D12344">
        <v>963.8</v>
      </c>
      <c r="E12344">
        <v>1.4800000000000001E-2</v>
      </c>
      <c r="F12344">
        <v>5.8500000000000003E-2</v>
      </c>
    </row>
    <row r="12345" spans="1:6" x14ac:dyDescent="0.3">
      <c r="A12345" t="s">
        <v>12380</v>
      </c>
      <c r="B12345" t="s">
        <v>26</v>
      </c>
      <c r="C12345">
        <v>107000</v>
      </c>
      <c r="D12345">
        <v>624923.19999999995</v>
      </c>
      <c r="E12345">
        <v>3.44E-2</v>
      </c>
      <c r="F12345">
        <v>5.1799999999999999E-2</v>
      </c>
    </row>
    <row r="12346" spans="1:6" x14ac:dyDescent="0.3">
      <c r="A12346" t="s">
        <v>12381</v>
      </c>
      <c r="B12346" t="s">
        <v>88</v>
      </c>
      <c r="C12346">
        <v>258000</v>
      </c>
      <c r="D12346">
        <v>11788.5</v>
      </c>
      <c r="E12346">
        <v>2.4299999999999999E-2</v>
      </c>
      <c r="F12346">
        <v>7.5899999999999995E-2</v>
      </c>
    </row>
    <row r="12347" spans="1:6" x14ac:dyDescent="0.3">
      <c r="A12347" t="s">
        <v>12382</v>
      </c>
      <c r="B12347" t="s">
        <v>41</v>
      </c>
      <c r="C12347">
        <v>97900</v>
      </c>
      <c r="D12347">
        <v>383.6</v>
      </c>
      <c r="E12347">
        <v>1.8200000000000001E-2</v>
      </c>
      <c r="F12347">
        <v>0.1053</v>
      </c>
    </row>
    <row r="12348" spans="1:6" x14ac:dyDescent="0.3">
      <c r="A12348" t="s">
        <v>12383</v>
      </c>
      <c r="B12348" t="s">
        <v>62</v>
      </c>
      <c r="C12348">
        <v>92600</v>
      </c>
      <c r="D12348">
        <v>240</v>
      </c>
      <c r="E12348">
        <v>4.8000000000000001E-2</v>
      </c>
      <c r="F12348">
        <v>7.5899999999999995E-2</v>
      </c>
    </row>
    <row r="12349" spans="1:6" x14ac:dyDescent="0.3">
      <c r="A12349" t="s">
        <v>12384</v>
      </c>
      <c r="B12349" t="s">
        <v>41</v>
      </c>
      <c r="C12349">
        <v>129000</v>
      </c>
      <c r="D12349">
        <v>716.4</v>
      </c>
      <c r="E12349">
        <v>2.6599999999999999E-2</v>
      </c>
      <c r="F12349">
        <v>0.30409999999999998</v>
      </c>
    </row>
    <row r="12350" spans="1:6" x14ac:dyDescent="0.3">
      <c r="A12350" t="s">
        <v>12385</v>
      </c>
      <c r="B12350" t="s">
        <v>26</v>
      </c>
      <c r="C12350">
        <v>114000</v>
      </c>
      <c r="D12350">
        <v>1624.4</v>
      </c>
      <c r="E12350">
        <v>1.7100000000000001E-2</v>
      </c>
      <c r="F12350">
        <v>0.1067</v>
      </c>
    </row>
    <row r="12351" spans="1:6" x14ac:dyDescent="0.3">
      <c r="A12351" t="s">
        <v>12386</v>
      </c>
      <c r="B12351" t="s">
        <v>287</v>
      </c>
      <c r="C12351">
        <v>130000</v>
      </c>
      <c r="D12351">
        <v>5772.1</v>
      </c>
      <c r="E12351">
        <v>6.0100000000000001E-2</v>
      </c>
      <c r="F12351">
        <v>9.5100000000000004E-2</v>
      </c>
    </row>
    <row r="12352" spans="1:6" x14ac:dyDescent="0.3">
      <c r="A12352" t="s">
        <v>12387</v>
      </c>
      <c r="B12352" t="s">
        <v>74</v>
      </c>
      <c r="C12352">
        <v>269000</v>
      </c>
      <c r="D12352">
        <v>6423.6</v>
      </c>
      <c r="E12352">
        <v>3.9800000000000002E-2</v>
      </c>
      <c r="F12352">
        <v>4.0899999999999999E-2</v>
      </c>
    </row>
    <row r="12353" spans="1:6" x14ac:dyDescent="0.3">
      <c r="A12353" t="s">
        <v>12388</v>
      </c>
      <c r="B12353" t="s">
        <v>195</v>
      </c>
      <c r="C12353">
        <v>192000</v>
      </c>
      <c r="D12353">
        <v>2289.5</v>
      </c>
      <c r="E12353">
        <v>9.4000000000000004E-3</v>
      </c>
      <c r="F12353">
        <v>8.1100000000000005E-2</v>
      </c>
    </row>
    <row r="12354" spans="1:6" x14ac:dyDescent="0.3">
      <c r="A12354" t="s">
        <v>12389</v>
      </c>
      <c r="B12354" t="s">
        <v>88</v>
      </c>
      <c r="C12354">
        <v>121000</v>
      </c>
      <c r="D12354">
        <v>1097.5999999999999</v>
      </c>
      <c r="E12354">
        <v>6.2799999999999995E-2</v>
      </c>
      <c r="F12354">
        <v>9.3799999999999994E-2</v>
      </c>
    </row>
    <row r="12355" spans="1:6" x14ac:dyDescent="0.3">
      <c r="A12355" t="s">
        <v>12390</v>
      </c>
      <c r="B12355" t="s">
        <v>214</v>
      </c>
      <c r="C12355">
        <v>133000</v>
      </c>
      <c r="D12355">
        <v>6704.4</v>
      </c>
      <c r="E12355">
        <v>1.95E-2</v>
      </c>
      <c r="F12355">
        <v>5.1700000000000003E-2</v>
      </c>
    </row>
    <row r="12356" spans="1:6" x14ac:dyDescent="0.3">
      <c r="A12356" t="s">
        <v>12391</v>
      </c>
      <c r="B12356" t="s">
        <v>88</v>
      </c>
      <c r="C12356">
        <v>148000</v>
      </c>
      <c r="D12356">
        <v>4964.3999999999996</v>
      </c>
      <c r="E12356">
        <v>2.2700000000000001E-2</v>
      </c>
      <c r="F12356">
        <v>0.1053</v>
      </c>
    </row>
    <row r="12357" spans="1:6" x14ac:dyDescent="0.3">
      <c r="A12357" t="s">
        <v>12392</v>
      </c>
      <c r="B12357" t="s">
        <v>26</v>
      </c>
      <c r="C12357">
        <v>91400</v>
      </c>
      <c r="D12357">
        <v>9388.9</v>
      </c>
      <c r="E12357">
        <v>0.1016</v>
      </c>
      <c r="F12357">
        <v>9.5100000000000004E-2</v>
      </c>
    </row>
    <row r="12358" spans="1:6" x14ac:dyDescent="0.3">
      <c r="A12358" t="s">
        <v>12393</v>
      </c>
      <c r="B12358" t="s">
        <v>74</v>
      </c>
      <c r="C12358">
        <v>100000</v>
      </c>
      <c r="D12358">
        <v>3442.3</v>
      </c>
      <c r="F12358">
        <v>7.5899999999999995E-2</v>
      </c>
    </row>
    <row r="12359" spans="1:6" x14ac:dyDescent="0.3">
      <c r="A12359" t="s">
        <v>12394</v>
      </c>
      <c r="B12359" t="s">
        <v>88</v>
      </c>
      <c r="C12359">
        <v>93100</v>
      </c>
      <c r="D12359">
        <v>2120.1</v>
      </c>
      <c r="E12359">
        <v>2.1000000000000001E-2</v>
      </c>
      <c r="F12359">
        <v>0.38679999999999998</v>
      </c>
    </row>
    <row r="12360" spans="1:6" x14ac:dyDescent="0.3">
      <c r="A12360" t="s">
        <v>12395</v>
      </c>
      <c r="B12360" t="s">
        <v>74</v>
      </c>
      <c r="C12360">
        <v>101000</v>
      </c>
      <c r="D12360">
        <v>2060.1999999999998</v>
      </c>
      <c r="E12360">
        <v>7.0000000000000001E-3</v>
      </c>
      <c r="F12360">
        <v>0.35410000000000003</v>
      </c>
    </row>
    <row r="12361" spans="1:6" x14ac:dyDescent="0.3">
      <c r="A12361" t="s">
        <v>12396</v>
      </c>
      <c r="B12361" t="s">
        <v>26</v>
      </c>
      <c r="C12361">
        <v>99900</v>
      </c>
      <c r="D12361">
        <v>7855.7</v>
      </c>
      <c r="E12361">
        <v>1.1900000000000001E-2</v>
      </c>
      <c r="F12361">
        <v>8.2199999999999995E-2</v>
      </c>
    </row>
    <row r="12362" spans="1:6" x14ac:dyDescent="0.3">
      <c r="A12362" t="s">
        <v>12397</v>
      </c>
      <c r="B12362" t="s">
        <v>35</v>
      </c>
      <c r="C12362">
        <v>100000</v>
      </c>
      <c r="D12362">
        <v>6703.3</v>
      </c>
      <c r="E12362">
        <v>9.1999999999999998E-3</v>
      </c>
      <c r="F12362">
        <v>8.2199999999999995E-2</v>
      </c>
    </row>
    <row r="12363" spans="1:6" x14ac:dyDescent="0.3">
      <c r="A12363" t="s">
        <v>12398</v>
      </c>
      <c r="B12363" t="s">
        <v>195</v>
      </c>
      <c r="C12363">
        <v>109000</v>
      </c>
      <c r="D12363">
        <v>8164.3</v>
      </c>
      <c r="E12363">
        <v>3.4799999999999998E-2</v>
      </c>
      <c r="F12363">
        <v>7.5899999999999995E-2</v>
      </c>
    </row>
    <row r="12364" spans="1:6" x14ac:dyDescent="0.3">
      <c r="A12364" t="s">
        <v>12399</v>
      </c>
      <c r="B12364" t="s">
        <v>62</v>
      </c>
      <c r="C12364">
        <v>174000</v>
      </c>
      <c r="D12364">
        <v>18201.8</v>
      </c>
      <c r="F12364">
        <v>4.0899999999999999E-2</v>
      </c>
    </row>
    <row r="12365" spans="1:6" x14ac:dyDescent="0.3">
      <c r="A12365" t="s">
        <v>12400</v>
      </c>
      <c r="B12365" t="s">
        <v>92</v>
      </c>
      <c r="C12365">
        <v>119000</v>
      </c>
      <c r="D12365">
        <v>5831.2</v>
      </c>
      <c r="E12365">
        <v>1.0699999999999999E-2</v>
      </c>
      <c r="F12365">
        <v>6.54E-2</v>
      </c>
    </row>
    <row r="12366" spans="1:6" x14ac:dyDescent="0.3">
      <c r="A12366" t="s">
        <v>12401</v>
      </c>
      <c r="B12366" t="s">
        <v>24</v>
      </c>
      <c r="C12366">
        <v>92100</v>
      </c>
      <c r="D12366">
        <v>2522.1</v>
      </c>
      <c r="E12366">
        <v>3.56E-2</v>
      </c>
      <c r="F12366">
        <v>0.11700000000000001</v>
      </c>
    </row>
    <row r="12367" spans="1:6" x14ac:dyDescent="0.3">
      <c r="A12367" t="s">
        <v>12402</v>
      </c>
      <c r="B12367" t="s">
        <v>35</v>
      </c>
      <c r="C12367">
        <v>103000</v>
      </c>
      <c r="D12367">
        <v>233580.1</v>
      </c>
      <c r="E12367">
        <v>1.43E-2</v>
      </c>
      <c r="F12367">
        <v>4.6199999999999998E-2</v>
      </c>
    </row>
    <row r="12368" spans="1:6" x14ac:dyDescent="0.3">
      <c r="A12368" t="s">
        <v>12403</v>
      </c>
      <c r="B12368" t="s">
        <v>195</v>
      </c>
      <c r="C12368">
        <v>89500</v>
      </c>
      <c r="D12368">
        <v>1956.3</v>
      </c>
      <c r="E12368">
        <v>1.3599999999999999E-2</v>
      </c>
      <c r="F12368">
        <v>8.2100000000000006E-2</v>
      </c>
    </row>
    <row r="12369" spans="1:6" x14ac:dyDescent="0.3">
      <c r="A12369" t="s">
        <v>12404</v>
      </c>
      <c r="B12369" t="s">
        <v>195</v>
      </c>
      <c r="C12369">
        <v>153000</v>
      </c>
      <c r="D12369">
        <v>375371.3</v>
      </c>
      <c r="E12369">
        <v>1.03E-2</v>
      </c>
      <c r="F12369">
        <v>6.54E-2</v>
      </c>
    </row>
    <row r="12370" spans="1:6" x14ac:dyDescent="0.3">
      <c r="A12370" t="s">
        <v>12405</v>
      </c>
      <c r="B12370" t="s">
        <v>88</v>
      </c>
      <c r="C12370">
        <v>136000</v>
      </c>
      <c r="D12370">
        <v>1053</v>
      </c>
      <c r="E12370">
        <v>3.3799999999999997E-2</v>
      </c>
      <c r="F12370">
        <v>9.3799999999999994E-2</v>
      </c>
    </row>
    <row r="12371" spans="1:6" x14ac:dyDescent="0.3">
      <c r="A12371" t="s">
        <v>12406</v>
      </c>
      <c r="B12371" t="s">
        <v>81</v>
      </c>
      <c r="C12371">
        <v>209000</v>
      </c>
      <c r="D12371">
        <v>30522.9</v>
      </c>
      <c r="E12371">
        <v>2.41E-2</v>
      </c>
      <c r="F12371">
        <v>4.3200000000000002E-2</v>
      </c>
    </row>
    <row r="12372" spans="1:6" x14ac:dyDescent="0.3">
      <c r="A12372" t="s">
        <v>12407</v>
      </c>
      <c r="B12372" t="s">
        <v>88</v>
      </c>
      <c r="C12372">
        <v>162000</v>
      </c>
      <c r="D12372">
        <v>10600.2</v>
      </c>
      <c r="E12372">
        <v>4.1000000000000002E-2</v>
      </c>
      <c r="F12372">
        <v>7.5899999999999995E-2</v>
      </c>
    </row>
    <row r="12373" spans="1:6" x14ac:dyDescent="0.3">
      <c r="A12373" t="s">
        <v>12408</v>
      </c>
      <c r="B12373" t="s">
        <v>88</v>
      </c>
      <c r="C12373">
        <v>93200</v>
      </c>
      <c r="D12373">
        <v>1646</v>
      </c>
      <c r="E12373">
        <v>2.6599999999999999E-2</v>
      </c>
      <c r="F12373">
        <v>0.30409999999999998</v>
      </c>
    </row>
    <row r="12374" spans="1:6" x14ac:dyDescent="0.3">
      <c r="A12374" t="s">
        <v>12409</v>
      </c>
      <c r="B12374" t="s">
        <v>74</v>
      </c>
      <c r="C12374">
        <v>88800</v>
      </c>
      <c r="D12374">
        <v>2222.9</v>
      </c>
      <c r="E12374">
        <v>1.23E-2</v>
      </c>
      <c r="F12374">
        <v>5.8500000000000003E-2</v>
      </c>
    </row>
    <row r="12375" spans="1:6" x14ac:dyDescent="0.3">
      <c r="A12375" t="s">
        <v>12410</v>
      </c>
      <c r="B12375" t="s">
        <v>214</v>
      </c>
      <c r="C12375">
        <v>146000</v>
      </c>
      <c r="D12375">
        <v>32467.7</v>
      </c>
      <c r="E12375">
        <v>1.5299999999999999E-2</v>
      </c>
      <c r="F12375">
        <v>4.6199999999999998E-2</v>
      </c>
    </row>
    <row r="12376" spans="1:6" x14ac:dyDescent="0.3">
      <c r="A12376" t="s">
        <v>12411</v>
      </c>
      <c r="B12376" t="s">
        <v>53</v>
      </c>
      <c r="C12376">
        <v>139000</v>
      </c>
      <c r="D12376">
        <v>3246.6</v>
      </c>
      <c r="E12376">
        <v>6.8999999999999999E-3</v>
      </c>
      <c r="F12376">
        <v>9.0300000000000005E-2</v>
      </c>
    </row>
    <row r="12377" spans="1:6" x14ac:dyDescent="0.3">
      <c r="A12377" t="s">
        <v>12412</v>
      </c>
      <c r="B12377" t="s">
        <v>24</v>
      </c>
      <c r="C12377">
        <v>114000</v>
      </c>
      <c r="D12377">
        <v>1177</v>
      </c>
      <c r="E12377">
        <v>8.7999999999999995E-2</v>
      </c>
      <c r="F12377">
        <v>9.3799999999999994E-2</v>
      </c>
    </row>
    <row r="12378" spans="1:6" x14ac:dyDescent="0.3">
      <c r="A12378" t="s">
        <v>12413</v>
      </c>
      <c r="B12378" t="s">
        <v>26</v>
      </c>
      <c r="C12378">
        <v>97200</v>
      </c>
      <c r="D12378">
        <v>54978.1</v>
      </c>
      <c r="E12378">
        <v>3.4299999999999997E-2</v>
      </c>
      <c r="F12378">
        <v>9.5100000000000004E-2</v>
      </c>
    </row>
    <row r="12379" spans="1:6" x14ac:dyDescent="0.3">
      <c r="A12379" t="s">
        <v>12414</v>
      </c>
      <c r="B12379" t="s">
        <v>26</v>
      </c>
      <c r="C12379">
        <v>98500</v>
      </c>
      <c r="D12379">
        <v>3789.7</v>
      </c>
      <c r="E12379">
        <v>7.6200000000000004E-2</v>
      </c>
      <c r="F12379">
        <v>9.3799999999999994E-2</v>
      </c>
    </row>
    <row r="12380" spans="1:6" x14ac:dyDescent="0.3">
      <c r="A12380" t="s">
        <v>12415</v>
      </c>
      <c r="B12380" t="s">
        <v>81</v>
      </c>
      <c r="C12380">
        <v>109000</v>
      </c>
      <c r="D12380">
        <v>7386.1</v>
      </c>
      <c r="E12380">
        <v>2.69E-2</v>
      </c>
      <c r="F12380">
        <v>4.3200000000000002E-2</v>
      </c>
    </row>
    <row r="12381" spans="1:6" x14ac:dyDescent="0.3">
      <c r="A12381" t="s">
        <v>12416</v>
      </c>
      <c r="B12381" t="s">
        <v>71</v>
      </c>
      <c r="C12381">
        <v>93600</v>
      </c>
      <c r="D12381">
        <v>1856.2</v>
      </c>
      <c r="E12381">
        <v>1.03E-2</v>
      </c>
      <c r="F12381">
        <v>5.8400000000000001E-2</v>
      </c>
    </row>
    <row r="12382" spans="1:6" x14ac:dyDescent="0.3">
      <c r="A12382" t="s">
        <v>12417</v>
      </c>
      <c r="B12382" t="s">
        <v>26</v>
      </c>
      <c r="C12382">
        <v>112000</v>
      </c>
      <c r="D12382">
        <v>59865.8</v>
      </c>
      <c r="E12382">
        <v>3.5299999999999998E-2</v>
      </c>
      <c r="F12382">
        <v>0.13769999999999999</v>
      </c>
    </row>
    <row r="12383" spans="1:6" x14ac:dyDescent="0.3">
      <c r="A12383" t="s">
        <v>12418</v>
      </c>
      <c r="B12383" t="s">
        <v>88</v>
      </c>
      <c r="C12383">
        <v>134000</v>
      </c>
      <c r="D12383">
        <v>54103.199999999997</v>
      </c>
      <c r="E12383">
        <v>2.5899999999999999E-2</v>
      </c>
      <c r="F12383">
        <v>7.5899999999999995E-2</v>
      </c>
    </row>
    <row r="12384" spans="1:6" x14ac:dyDescent="0.3">
      <c r="A12384" t="s">
        <v>12419</v>
      </c>
      <c r="B12384" t="s">
        <v>88</v>
      </c>
      <c r="C12384">
        <v>184000</v>
      </c>
      <c r="D12384">
        <v>2975507.4</v>
      </c>
      <c r="E12384">
        <v>2.9899999999999999E-2</v>
      </c>
      <c r="F12384">
        <v>5.1799999999999999E-2</v>
      </c>
    </row>
    <row r="12385" spans="1:6" x14ac:dyDescent="0.3">
      <c r="A12385" t="s">
        <v>12420</v>
      </c>
      <c r="B12385" t="s">
        <v>71</v>
      </c>
      <c r="C12385">
        <v>97800</v>
      </c>
      <c r="D12385">
        <v>42309</v>
      </c>
      <c r="E12385">
        <v>2.5399999999999999E-2</v>
      </c>
      <c r="F12385">
        <v>9.5100000000000004E-2</v>
      </c>
    </row>
    <row r="12386" spans="1:6" x14ac:dyDescent="0.3">
      <c r="A12386" t="s">
        <v>12421</v>
      </c>
      <c r="B12386" t="s">
        <v>92</v>
      </c>
      <c r="C12386">
        <v>121000</v>
      </c>
      <c r="D12386">
        <v>5039.8999999999996</v>
      </c>
      <c r="E12386">
        <v>1.0699999999999999E-2</v>
      </c>
      <c r="F12386">
        <v>5.8400000000000001E-2</v>
      </c>
    </row>
    <row r="12387" spans="1:6" x14ac:dyDescent="0.3">
      <c r="A12387" t="s">
        <v>12422</v>
      </c>
      <c r="B12387" t="s">
        <v>88</v>
      </c>
      <c r="C12387">
        <v>109000</v>
      </c>
      <c r="D12387">
        <v>4228.8999999999996</v>
      </c>
      <c r="E12387">
        <v>1.9800000000000002E-2</v>
      </c>
      <c r="F12387">
        <v>7.5899999999999995E-2</v>
      </c>
    </row>
    <row r="12388" spans="1:6" x14ac:dyDescent="0.3">
      <c r="A12388" t="s">
        <v>12423</v>
      </c>
      <c r="B12388" t="s">
        <v>26</v>
      </c>
      <c r="C12388">
        <v>169000</v>
      </c>
      <c r="D12388">
        <v>955.1</v>
      </c>
      <c r="E12388">
        <v>9.2999999999999992E-3</v>
      </c>
      <c r="F12388">
        <v>8.1100000000000005E-2</v>
      </c>
    </row>
    <row r="12389" spans="1:6" x14ac:dyDescent="0.3">
      <c r="A12389" t="s">
        <v>12424</v>
      </c>
      <c r="B12389" t="s">
        <v>62</v>
      </c>
      <c r="C12389">
        <v>99200</v>
      </c>
      <c r="D12389">
        <v>791.2</v>
      </c>
      <c r="E12389">
        <v>0.03</v>
      </c>
      <c r="F12389">
        <v>0.13869999999999999</v>
      </c>
    </row>
    <row r="12390" spans="1:6" x14ac:dyDescent="0.3">
      <c r="A12390" t="s">
        <v>12425</v>
      </c>
      <c r="B12390" t="s">
        <v>26</v>
      </c>
      <c r="C12390">
        <v>116000</v>
      </c>
      <c r="D12390">
        <v>13253.1</v>
      </c>
      <c r="E12390">
        <v>3.9199999999999999E-2</v>
      </c>
      <c r="F12390">
        <v>7.5899999999999995E-2</v>
      </c>
    </row>
    <row r="12391" spans="1:6" x14ac:dyDescent="0.3">
      <c r="A12391" t="s">
        <v>12426</v>
      </c>
      <c r="B12391" t="s">
        <v>24</v>
      </c>
      <c r="C12391">
        <v>109000</v>
      </c>
      <c r="D12391">
        <v>542.70000000000005</v>
      </c>
      <c r="E12391">
        <v>6.3600000000000004E-2</v>
      </c>
      <c r="F12391">
        <v>9.5100000000000004E-2</v>
      </c>
    </row>
    <row r="12392" spans="1:6" x14ac:dyDescent="0.3">
      <c r="A12392" t="s">
        <v>12427</v>
      </c>
      <c r="B12392" t="s">
        <v>88</v>
      </c>
      <c r="C12392">
        <v>97600</v>
      </c>
      <c r="D12392">
        <v>1956.9</v>
      </c>
      <c r="E12392">
        <v>3.3799999999999997E-2</v>
      </c>
      <c r="F12392">
        <v>9.5100000000000004E-2</v>
      </c>
    </row>
    <row r="12393" spans="1:6" x14ac:dyDescent="0.3">
      <c r="A12393" t="s">
        <v>12428</v>
      </c>
      <c r="B12393" t="s">
        <v>26</v>
      </c>
      <c r="C12393">
        <v>104000</v>
      </c>
      <c r="D12393">
        <v>3121.4</v>
      </c>
      <c r="E12393">
        <v>1.4E-2</v>
      </c>
      <c r="F12393">
        <v>8.5400000000000004E-2</v>
      </c>
    </row>
    <row r="12394" spans="1:6" x14ac:dyDescent="0.3">
      <c r="A12394" t="s">
        <v>12429</v>
      </c>
      <c r="B12394" t="s">
        <v>53</v>
      </c>
      <c r="C12394">
        <v>90900</v>
      </c>
      <c r="D12394">
        <v>271.2</v>
      </c>
      <c r="E12394">
        <v>4.9500000000000002E-2</v>
      </c>
      <c r="F12394">
        <v>9.5100000000000004E-2</v>
      </c>
    </row>
    <row r="12395" spans="1:6" x14ac:dyDescent="0.3">
      <c r="A12395" t="s">
        <v>12430</v>
      </c>
      <c r="B12395" t="s">
        <v>53</v>
      </c>
      <c r="C12395">
        <v>90500</v>
      </c>
      <c r="D12395">
        <v>1513.5</v>
      </c>
      <c r="E12395">
        <v>7.6300000000000007E-2</v>
      </c>
      <c r="F12395">
        <v>9.5100000000000004E-2</v>
      </c>
    </row>
    <row r="12396" spans="1:6" x14ac:dyDescent="0.3">
      <c r="A12396" t="s">
        <v>12431</v>
      </c>
      <c r="B12396" t="s">
        <v>81</v>
      </c>
      <c r="C12396">
        <v>125000</v>
      </c>
      <c r="D12396">
        <v>13999.3</v>
      </c>
      <c r="E12396">
        <v>3.3000000000000002E-2</v>
      </c>
      <c r="F12396">
        <v>7.5899999999999995E-2</v>
      </c>
    </row>
    <row r="12397" spans="1:6" x14ac:dyDescent="0.3">
      <c r="A12397" t="s">
        <v>12432</v>
      </c>
      <c r="B12397" t="s">
        <v>41</v>
      </c>
      <c r="C12397">
        <v>148000</v>
      </c>
      <c r="D12397">
        <v>6075.7</v>
      </c>
      <c r="E12397">
        <v>3.4099999999999998E-2</v>
      </c>
      <c r="F12397">
        <v>7.5899999999999995E-2</v>
      </c>
    </row>
    <row r="12398" spans="1:6" x14ac:dyDescent="0.3">
      <c r="A12398" t="s">
        <v>12433</v>
      </c>
      <c r="B12398" t="s">
        <v>53</v>
      </c>
      <c r="C12398">
        <v>147000</v>
      </c>
      <c r="D12398">
        <v>85440.4</v>
      </c>
      <c r="E12398">
        <v>1.3899999999999999E-2</v>
      </c>
      <c r="F12398">
        <v>5.8500000000000003E-2</v>
      </c>
    </row>
    <row r="12399" spans="1:6" x14ac:dyDescent="0.3">
      <c r="A12399" t="s">
        <v>12434</v>
      </c>
      <c r="B12399" t="s">
        <v>62</v>
      </c>
      <c r="C12399">
        <v>124000</v>
      </c>
      <c r="D12399">
        <v>5381</v>
      </c>
      <c r="F12399">
        <v>5.0999999999999997E-2</v>
      </c>
    </row>
    <row r="12400" spans="1:6" x14ac:dyDescent="0.3">
      <c r="A12400" t="s">
        <v>12435</v>
      </c>
      <c r="B12400" t="s">
        <v>26</v>
      </c>
      <c r="C12400">
        <v>91600</v>
      </c>
      <c r="D12400">
        <v>13610.4</v>
      </c>
      <c r="E12400">
        <v>3.0800000000000001E-2</v>
      </c>
      <c r="F12400">
        <v>9.5100000000000004E-2</v>
      </c>
    </row>
    <row r="12401" spans="1:6" x14ac:dyDescent="0.3">
      <c r="A12401" t="s">
        <v>12436</v>
      </c>
      <c r="B12401" t="s">
        <v>26</v>
      </c>
      <c r="C12401">
        <v>90600</v>
      </c>
      <c r="D12401">
        <v>86528.8</v>
      </c>
      <c r="E12401">
        <v>2.52E-2</v>
      </c>
      <c r="F12401">
        <v>9.5100000000000004E-2</v>
      </c>
    </row>
    <row r="12402" spans="1:6" x14ac:dyDescent="0.3">
      <c r="A12402" t="s">
        <v>12437</v>
      </c>
      <c r="B12402" t="s">
        <v>26</v>
      </c>
      <c r="C12402">
        <v>96000</v>
      </c>
      <c r="D12402">
        <v>10935.6</v>
      </c>
      <c r="E12402">
        <v>2.4E-2</v>
      </c>
      <c r="F12402">
        <v>9.5100000000000004E-2</v>
      </c>
    </row>
    <row r="12403" spans="1:6" x14ac:dyDescent="0.3">
      <c r="A12403" t="s">
        <v>12438</v>
      </c>
      <c r="B12403" t="s">
        <v>26</v>
      </c>
      <c r="C12403">
        <v>121000</v>
      </c>
      <c r="D12403">
        <v>33316.800000000003</v>
      </c>
      <c r="E12403">
        <v>8.2000000000000007E-3</v>
      </c>
      <c r="F12403">
        <v>6.54E-2</v>
      </c>
    </row>
    <row r="12404" spans="1:6" x14ac:dyDescent="0.3">
      <c r="A12404" t="s">
        <v>12439</v>
      </c>
      <c r="B12404" t="s">
        <v>35</v>
      </c>
      <c r="C12404">
        <v>95500</v>
      </c>
      <c r="D12404">
        <v>656.3</v>
      </c>
      <c r="E12404">
        <v>1.83E-2</v>
      </c>
      <c r="F12404">
        <v>4.6199999999999998E-2</v>
      </c>
    </row>
    <row r="12405" spans="1:6" x14ac:dyDescent="0.3">
      <c r="A12405" t="s">
        <v>12440</v>
      </c>
      <c r="B12405" t="s">
        <v>26</v>
      </c>
      <c r="C12405">
        <v>457000</v>
      </c>
      <c r="D12405">
        <v>606420.9</v>
      </c>
      <c r="E12405">
        <v>3.5200000000000002E-2</v>
      </c>
      <c r="F12405">
        <v>6.7199999999999996E-2</v>
      </c>
    </row>
    <row r="12406" spans="1:6" x14ac:dyDescent="0.3">
      <c r="A12406" t="s">
        <v>12441</v>
      </c>
      <c r="B12406" t="s">
        <v>74</v>
      </c>
      <c r="C12406">
        <v>327000</v>
      </c>
      <c r="D12406">
        <v>6354.3</v>
      </c>
      <c r="E12406">
        <v>6.9000000000000006E-2</v>
      </c>
      <c r="F12406">
        <v>0.1226</v>
      </c>
    </row>
    <row r="12407" spans="1:6" x14ac:dyDescent="0.3">
      <c r="A12407" t="s">
        <v>12442</v>
      </c>
      <c r="B12407" t="s">
        <v>24</v>
      </c>
      <c r="C12407">
        <v>244000</v>
      </c>
      <c r="D12407">
        <v>37.299999999999997</v>
      </c>
      <c r="E12407">
        <v>1.11E-2</v>
      </c>
      <c r="F12407">
        <v>7.3599999999999999E-2</v>
      </c>
    </row>
    <row r="12408" spans="1:6" x14ac:dyDescent="0.3">
      <c r="A12408" t="s">
        <v>12443</v>
      </c>
      <c r="B12408" t="s">
        <v>26</v>
      </c>
      <c r="C12408">
        <v>135000</v>
      </c>
      <c r="D12408">
        <v>7298</v>
      </c>
      <c r="E12408">
        <v>7.9000000000000001E-2</v>
      </c>
      <c r="F12408">
        <v>7.5899999999999995E-2</v>
      </c>
    </row>
    <row r="12409" spans="1:6" x14ac:dyDescent="0.3">
      <c r="A12409" t="s">
        <v>12444</v>
      </c>
      <c r="B12409" t="s">
        <v>74</v>
      </c>
      <c r="C12409">
        <v>122000</v>
      </c>
      <c r="D12409">
        <v>2041.7</v>
      </c>
      <c r="E12409">
        <v>7.7999999999999996E-3</v>
      </c>
      <c r="F12409">
        <v>8.1100000000000005E-2</v>
      </c>
    </row>
    <row r="12410" spans="1:6" x14ac:dyDescent="0.3">
      <c r="A12410" t="s">
        <v>12445</v>
      </c>
      <c r="B12410" t="s">
        <v>26</v>
      </c>
      <c r="C12410">
        <v>152000</v>
      </c>
      <c r="D12410">
        <v>4764.7</v>
      </c>
      <c r="E12410">
        <v>3.1600000000000003E-2</v>
      </c>
      <c r="F12410">
        <v>7.5899999999999995E-2</v>
      </c>
    </row>
    <row r="12411" spans="1:6" x14ac:dyDescent="0.3">
      <c r="A12411" t="s">
        <v>12446</v>
      </c>
      <c r="B12411" t="s">
        <v>24</v>
      </c>
      <c r="C12411">
        <v>93900</v>
      </c>
      <c r="D12411">
        <v>932.4</v>
      </c>
      <c r="E12411">
        <v>1.06E-2</v>
      </c>
      <c r="F12411">
        <v>8.2199999999999995E-2</v>
      </c>
    </row>
    <row r="12412" spans="1:6" x14ac:dyDescent="0.3">
      <c r="A12412" t="s">
        <v>12447</v>
      </c>
      <c r="B12412" t="s">
        <v>81</v>
      </c>
      <c r="C12412">
        <v>102000</v>
      </c>
      <c r="D12412">
        <v>3226.4</v>
      </c>
      <c r="E12412">
        <v>2.4299999999999999E-2</v>
      </c>
      <c r="F12412">
        <v>5.1799999999999999E-2</v>
      </c>
    </row>
    <row r="12413" spans="1:6" x14ac:dyDescent="0.3">
      <c r="A12413" t="s">
        <v>12448</v>
      </c>
      <c r="B12413" t="s">
        <v>28</v>
      </c>
      <c r="C12413">
        <v>93300</v>
      </c>
      <c r="D12413">
        <v>1730.5</v>
      </c>
      <c r="E12413">
        <v>9.7999999999999997E-3</v>
      </c>
      <c r="F12413">
        <v>8.2199999999999995E-2</v>
      </c>
    </row>
    <row r="12414" spans="1:6" x14ac:dyDescent="0.3">
      <c r="A12414" t="s">
        <v>12449</v>
      </c>
      <c r="B12414" t="s">
        <v>92</v>
      </c>
      <c r="C12414">
        <v>104000</v>
      </c>
      <c r="D12414">
        <v>2453.1</v>
      </c>
      <c r="F12414">
        <v>7.5899999999999995E-2</v>
      </c>
    </row>
    <row r="12415" spans="1:6" x14ac:dyDescent="0.3">
      <c r="A12415" t="s">
        <v>12450</v>
      </c>
      <c r="B12415" t="s">
        <v>50</v>
      </c>
      <c r="C12415">
        <v>194000</v>
      </c>
      <c r="D12415">
        <v>2077.6999999999998</v>
      </c>
      <c r="E12415">
        <v>1.66E-2</v>
      </c>
      <c r="F12415">
        <v>4.6199999999999998E-2</v>
      </c>
    </row>
    <row r="12416" spans="1:6" x14ac:dyDescent="0.3">
      <c r="A12416" t="s">
        <v>12451</v>
      </c>
      <c r="B12416" t="s">
        <v>21</v>
      </c>
      <c r="C12416">
        <v>188000</v>
      </c>
      <c r="D12416">
        <v>95579</v>
      </c>
      <c r="E12416">
        <v>5.6500000000000002E-2</v>
      </c>
      <c r="F12416">
        <v>7.5899999999999995E-2</v>
      </c>
    </row>
    <row r="12417" spans="1:6" x14ac:dyDescent="0.3">
      <c r="A12417" t="s">
        <v>12452</v>
      </c>
      <c r="B12417" t="s">
        <v>30</v>
      </c>
      <c r="C12417">
        <v>287000</v>
      </c>
      <c r="D12417">
        <v>54433.599999999999</v>
      </c>
      <c r="E12417">
        <v>3.1099999999999999E-2</v>
      </c>
      <c r="F12417">
        <v>4.0899999999999999E-2</v>
      </c>
    </row>
    <row r="12418" spans="1:6" x14ac:dyDescent="0.3">
      <c r="A12418" t="s">
        <v>12453</v>
      </c>
      <c r="B12418" t="s">
        <v>74</v>
      </c>
      <c r="C12418">
        <v>91600</v>
      </c>
      <c r="D12418">
        <v>3665.4</v>
      </c>
      <c r="E12418">
        <v>7.17E-2</v>
      </c>
      <c r="F12418">
        <v>9.5100000000000004E-2</v>
      </c>
    </row>
    <row r="12419" spans="1:6" x14ac:dyDescent="0.3">
      <c r="A12419" t="s">
        <v>12454</v>
      </c>
      <c r="B12419" t="s">
        <v>41</v>
      </c>
      <c r="C12419">
        <v>105000</v>
      </c>
      <c r="D12419">
        <v>4056.9</v>
      </c>
      <c r="E12419">
        <v>5.0999999999999997E-2</v>
      </c>
      <c r="F12419">
        <v>9.3799999999999994E-2</v>
      </c>
    </row>
    <row r="12420" spans="1:6" x14ac:dyDescent="0.3">
      <c r="A12420" t="s">
        <v>12455</v>
      </c>
      <c r="B12420" t="s">
        <v>50</v>
      </c>
      <c r="C12420">
        <v>88100</v>
      </c>
      <c r="D12420">
        <v>1489.5</v>
      </c>
      <c r="E12420">
        <v>9.01E-2</v>
      </c>
      <c r="F12420">
        <v>9.5100000000000004E-2</v>
      </c>
    </row>
    <row r="12421" spans="1:6" x14ac:dyDescent="0.3">
      <c r="A12421" t="s">
        <v>12456</v>
      </c>
      <c r="B12421" t="s">
        <v>92</v>
      </c>
      <c r="C12421">
        <v>131000</v>
      </c>
      <c r="D12421">
        <v>14015.7</v>
      </c>
      <c r="E12421">
        <v>3.2899999999999999E-2</v>
      </c>
      <c r="F12421">
        <v>7.5899999999999995E-2</v>
      </c>
    </row>
    <row r="12422" spans="1:6" x14ac:dyDescent="0.3">
      <c r="A12422" t="s">
        <v>12457</v>
      </c>
      <c r="B12422" t="s">
        <v>26</v>
      </c>
      <c r="C12422">
        <v>114000</v>
      </c>
      <c r="D12422">
        <v>35407.199999999997</v>
      </c>
      <c r="E12422">
        <v>3.8100000000000002E-2</v>
      </c>
      <c r="F12422">
        <v>9.5100000000000004E-2</v>
      </c>
    </row>
    <row r="12423" spans="1:6" x14ac:dyDescent="0.3">
      <c r="A12423" t="s">
        <v>12458</v>
      </c>
      <c r="B12423" t="s">
        <v>50</v>
      </c>
      <c r="C12423">
        <v>127000</v>
      </c>
      <c r="D12423">
        <v>37829.300000000003</v>
      </c>
      <c r="E12423">
        <v>2.1100000000000001E-2</v>
      </c>
      <c r="F12423">
        <v>0.1067</v>
      </c>
    </row>
    <row r="12424" spans="1:6" x14ac:dyDescent="0.3">
      <c r="A12424" t="s">
        <v>12459</v>
      </c>
      <c r="B12424" t="s">
        <v>88</v>
      </c>
      <c r="C12424">
        <v>107000</v>
      </c>
      <c r="D12424">
        <v>827.4</v>
      </c>
      <c r="E12424">
        <v>3.5200000000000002E-2</v>
      </c>
      <c r="F12424">
        <v>7.5899999999999995E-2</v>
      </c>
    </row>
    <row r="12425" spans="1:6" x14ac:dyDescent="0.3">
      <c r="A12425" t="s">
        <v>12460</v>
      </c>
      <c r="B12425" t="s">
        <v>24</v>
      </c>
      <c r="C12425">
        <v>96100</v>
      </c>
      <c r="D12425">
        <v>6771</v>
      </c>
      <c r="E12425">
        <v>2.2700000000000001E-2</v>
      </c>
      <c r="F12425">
        <v>0.11700000000000001</v>
      </c>
    </row>
    <row r="12426" spans="1:6" x14ac:dyDescent="0.3">
      <c r="A12426" t="s">
        <v>12461</v>
      </c>
      <c r="B12426" t="s">
        <v>26</v>
      </c>
      <c r="C12426">
        <v>106000</v>
      </c>
      <c r="D12426">
        <v>1737.9</v>
      </c>
      <c r="E12426">
        <v>2.5499999999999998E-2</v>
      </c>
      <c r="F12426">
        <v>9.5100000000000004E-2</v>
      </c>
    </row>
    <row r="12427" spans="1:6" x14ac:dyDescent="0.3">
      <c r="A12427" t="s">
        <v>12462</v>
      </c>
      <c r="B12427" t="s">
        <v>71</v>
      </c>
      <c r="C12427">
        <v>96900</v>
      </c>
      <c r="D12427">
        <v>263.5</v>
      </c>
      <c r="E12427">
        <v>2.6700000000000002E-2</v>
      </c>
      <c r="F12427">
        <v>0.17100000000000001</v>
      </c>
    </row>
    <row r="12428" spans="1:6" x14ac:dyDescent="0.3">
      <c r="A12428" t="s">
        <v>12463</v>
      </c>
      <c r="B12428" t="s">
        <v>62</v>
      </c>
      <c r="C12428">
        <v>169000</v>
      </c>
      <c r="D12428">
        <v>30838.3</v>
      </c>
      <c r="E12428">
        <v>7.0499999999999993E-2</v>
      </c>
      <c r="F12428">
        <v>7.5899999999999995E-2</v>
      </c>
    </row>
    <row r="12429" spans="1:6" x14ac:dyDescent="0.3">
      <c r="A12429" t="s">
        <v>12464</v>
      </c>
      <c r="B12429" t="s">
        <v>26</v>
      </c>
      <c r="C12429">
        <v>96200</v>
      </c>
      <c r="D12429">
        <v>1978.8</v>
      </c>
      <c r="E12429">
        <v>1.5800000000000002E-2</v>
      </c>
      <c r="F12429">
        <v>5.8500000000000003E-2</v>
      </c>
    </row>
    <row r="12430" spans="1:6" x14ac:dyDescent="0.3">
      <c r="A12430" t="s">
        <v>12465</v>
      </c>
      <c r="B12430" t="s">
        <v>81</v>
      </c>
      <c r="C12430">
        <v>125000</v>
      </c>
      <c r="D12430">
        <v>2560.1999999999998</v>
      </c>
      <c r="E12430">
        <v>5.5100000000000003E-2</v>
      </c>
      <c r="F12430">
        <v>7.5899999999999995E-2</v>
      </c>
    </row>
    <row r="12431" spans="1:6" x14ac:dyDescent="0.3">
      <c r="A12431" t="s">
        <v>12466</v>
      </c>
      <c r="B12431" t="s">
        <v>92</v>
      </c>
      <c r="C12431">
        <v>130000</v>
      </c>
      <c r="D12431">
        <v>4453.8999999999996</v>
      </c>
      <c r="E12431">
        <v>1.9300000000000001E-2</v>
      </c>
      <c r="F12431">
        <v>0.1067</v>
      </c>
    </row>
    <row r="12432" spans="1:6" x14ac:dyDescent="0.3">
      <c r="A12432" t="s">
        <v>12467</v>
      </c>
      <c r="B12432" t="s">
        <v>88</v>
      </c>
      <c r="C12432">
        <v>101000</v>
      </c>
      <c r="D12432">
        <v>1037.4000000000001</v>
      </c>
      <c r="E12432">
        <v>0.1169</v>
      </c>
      <c r="F12432">
        <v>5.0999999999999997E-2</v>
      </c>
    </row>
    <row r="12433" spans="1:6" x14ac:dyDescent="0.3">
      <c r="A12433" t="s">
        <v>12468</v>
      </c>
      <c r="B12433" t="s">
        <v>81</v>
      </c>
      <c r="C12433">
        <v>93900</v>
      </c>
      <c r="D12433">
        <v>3812.1</v>
      </c>
      <c r="E12433">
        <v>9.4999999999999998E-3</v>
      </c>
      <c r="F12433">
        <v>8.2199999999999995E-2</v>
      </c>
    </row>
    <row r="12434" spans="1:6" x14ac:dyDescent="0.3">
      <c r="A12434" t="s">
        <v>12469</v>
      </c>
      <c r="B12434" t="s">
        <v>88</v>
      </c>
      <c r="C12434">
        <v>99400</v>
      </c>
      <c r="D12434">
        <v>2428.9</v>
      </c>
      <c r="E12434">
        <v>4.0599999999999997E-2</v>
      </c>
      <c r="F12434">
        <v>0.1241</v>
      </c>
    </row>
    <row r="12435" spans="1:6" x14ac:dyDescent="0.3">
      <c r="A12435" t="s">
        <v>12470</v>
      </c>
      <c r="B12435" t="s">
        <v>26</v>
      </c>
      <c r="C12435">
        <v>114000</v>
      </c>
      <c r="D12435">
        <v>8051.8</v>
      </c>
      <c r="E12435">
        <v>3.44E-2</v>
      </c>
      <c r="F12435">
        <v>8.4500000000000006E-2</v>
      </c>
    </row>
    <row r="12436" spans="1:6" x14ac:dyDescent="0.3">
      <c r="A12436" t="s">
        <v>12471</v>
      </c>
      <c r="B12436" t="s">
        <v>41</v>
      </c>
      <c r="C12436">
        <v>154000</v>
      </c>
      <c r="D12436">
        <v>593.1</v>
      </c>
      <c r="E12436">
        <v>1.7399999999999999E-2</v>
      </c>
      <c r="F12436">
        <v>0.1948</v>
      </c>
    </row>
    <row r="12437" spans="1:6" x14ac:dyDescent="0.3">
      <c r="A12437" t="s">
        <v>12472</v>
      </c>
      <c r="B12437" t="s">
        <v>24</v>
      </c>
      <c r="C12437">
        <v>149000</v>
      </c>
      <c r="D12437">
        <v>31.9</v>
      </c>
      <c r="E12437">
        <v>7.4999999999999997E-3</v>
      </c>
      <c r="F12437">
        <v>0.20949999999999999</v>
      </c>
    </row>
    <row r="12438" spans="1:6" x14ac:dyDescent="0.3">
      <c r="A12438" t="s">
        <v>12473</v>
      </c>
      <c r="B12438" t="s">
        <v>92</v>
      </c>
      <c r="C12438">
        <v>150000</v>
      </c>
      <c r="D12438">
        <v>6884</v>
      </c>
      <c r="E12438">
        <v>1.23E-2</v>
      </c>
      <c r="F12438">
        <v>0.1452</v>
      </c>
    </row>
    <row r="12439" spans="1:6" x14ac:dyDescent="0.3">
      <c r="A12439" t="s">
        <v>12474</v>
      </c>
      <c r="B12439" t="s">
        <v>24</v>
      </c>
      <c r="C12439">
        <v>121000</v>
      </c>
      <c r="D12439">
        <v>769.5</v>
      </c>
      <c r="E12439">
        <v>7.5399999999999995E-2</v>
      </c>
      <c r="F12439">
        <v>9.3799999999999994E-2</v>
      </c>
    </row>
    <row r="12440" spans="1:6" x14ac:dyDescent="0.3">
      <c r="A12440" t="s">
        <v>12475</v>
      </c>
      <c r="B12440" t="s">
        <v>74</v>
      </c>
      <c r="C12440">
        <v>100000</v>
      </c>
      <c r="D12440">
        <v>153044.29999999999</v>
      </c>
      <c r="E12440">
        <v>3.1899999999999998E-2</v>
      </c>
      <c r="F12440">
        <v>9.5100000000000004E-2</v>
      </c>
    </row>
    <row r="12441" spans="1:6" x14ac:dyDescent="0.3">
      <c r="A12441" t="s">
        <v>12476</v>
      </c>
      <c r="B12441" t="s">
        <v>287</v>
      </c>
      <c r="C12441">
        <v>91800</v>
      </c>
      <c r="D12441">
        <v>598.29999999999995</v>
      </c>
      <c r="E12441">
        <v>1.15E-2</v>
      </c>
      <c r="F12441">
        <v>7.3599999999999999E-2</v>
      </c>
    </row>
    <row r="12442" spans="1:6" x14ac:dyDescent="0.3">
      <c r="A12442" t="s">
        <v>12477</v>
      </c>
      <c r="B12442" t="s">
        <v>74</v>
      </c>
      <c r="C12442">
        <v>225000</v>
      </c>
      <c r="D12442">
        <v>10280.6</v>
      </c>
      <c r="E12442">
        <v>7.3599999999999999E-2</v>
      </c>
      <c r="F12442">
        <v>9.5100000000000004E-2</v>
      </c>
    </row>
    <row r="12443" spans="1:6" x14ac:dyDescent="0.3">
      <c r="A12443" t="s">
        <v>12478</v>
      </c>
      <c r="B12443" t="s">
        <v>50</v>
      </c>
      <c r="C12443">
        <v>134000</v>
      </c>
      <c r="D12443">
        <v>2304.9</v>
      </c>
      <c r="E12443">
        <v>1.3299999999999999E-2</v>
      </c>
      <c r="F12443">
        <v>0.1067</v>
      </c>
    </row>
    <row r="12444" spans="1:6" x14ac:dyDescent="0.3">
      <c r="A12444" t="s">
        <v>12479</v>
      </c>
      <c r="B12444" t="s">
        <v>74</v>
      </c>
      <c r="C12444">
        <v>209000</v>
      </c>
      <c r="D12444">
        <v>5784.1</v>
      </c>
      <c r="E12444">
        <v>3.1899999999999998E-2</v>
      </c>
      <c r="F12444">
        <v>9.5100000000000004E-2</v>
      </c>
    </row>
    <row r="12445" spans="1:6" x14ac:dyDescent="0.3">
      <c r="A12445" t="s">
        <v>12480</v>
      </c>
      <c r="B12445" t="s">
        <v>26</v>
      </c>
      <c r="C12445">
        <v>161000</v>
      </c>
      <c r="D12445">
        <v>18582.3</v>
      </c>
      <c r="E12445">
        <v>1.35E-2</v>
      </c>
      <c r="F12445">
        <v>0.1067</v>
      </c>
    </row>
    <row r="12446" spans="1:6" x14ac:dyDescent="0.3">
      <c r="A12446" t="s">
        <v>12481</v>
      </c>
      <c r="B12446" t="s">
        <v>26</v>
      </c>
      <c r="C12446">
        <v>2210000</v>
      </c>
      <c r="D12446">
        <v>651090.9</v>
      </c>
      <c r="F12446">
        <v>4.0899999999999999E-2</v>
      </c>
    </row>
    <row r="12447" spans="1:6" x14ac:dyDescent="0.3">
      <c r="A12447" t="s">
        <v>12482</v>
      </c>
      <c r="B12447" t="s">
        <v>214</v>
      </c>
      <c r="C12447">
        <v>174000</v>
      </c>
      <c r="D12447">
        <v>6516.2</v>
      </c>
      <c r="E12447">
        <v>3.3799999999999997E-2</v>
      </c>
      <c r="F12447">
        <v>4.3200000000000002E-2</v>
      </c>
    </row>
    <row r="12448" spans="1:6" x14ac:dyDescent="0.3">
      <c r="A12448" t="s">
        <v>12483</v>
      </c>
      <c r="B12448" t="s">
        <v>88</v>
      </c>
      <c r="C12448">
        <v>90600</v>
      </c>
      <c r="D12448">
        <v>422</v>
      </c>
      <c r="F12448">
        <v>7.5899999999999995E-2</v>
      </c>
    </row>
    <row r="12449" spans="1:6" x14ac:dyDescent="0.3">
      <c r="A12449" t="s">
        <v>12484</v>
      </c>
      <c r="B12449" t="s">
        <v>26</v>
      </c>
      <c r="C12449">
        <v>92800</v>
      </c>
      <c r="D12449">
        <v>21215.5</v>
      </c>
      <c r="E12449">
        <v>1.2500000000000001E-2</v>
      </c>
      <c r="F12449">
        <v>0.1192</v>
      </c>
    </row>
    <row r="12450" spans="1:6" x14ac:dyDescent="0.3">
      <c r="A12450" t="s">
        <v>12485</v>
      </c>
      <c r="B12450" t="s">
        <v>26</v>
      </c>
      <c r="C12450">
        <v>102000</v>
      </c>
      <c r="D12450">
        <v>849</v>
      </c>
      <c r="E12450">
        <v>2.0400000000000001E-2</v>
      </c>
      <c r="F12450">
        <v>4.6199999999999998E-2</v>
      </c>
    </row>
    <row r="12451" spans="1:6" x14ac:dyDescent="0.3">
      <c r="A12451" t="s">
        <v>12486</v>
      </c>
      <c r="B12451" t="s">
        <v>26</v>
      </c>
      <c r="C12451">
        <v>113000</v>
      </c>
      <c r="D12451">
        <v>926815.2</v>
      </c>
      <c r="E12451">
        <v>2.1600000000000001E-2</v>
      </c>
      <c r="F12451">
        <v>5.1799999999999999E-2</v>
      </c>
    </row>
    <row r="12452" spans="1:6" x14ac:dyDescent="0.3">
      <c r="A12452" t="s">
        <v>12487</v>
      </c>
      <c r="B12452" t="s">
        <v>26</v>
      </c>
      <c r="C12452">
        <v>88700</v>
      </c>
      <c r="D12452">
        <v>2204.8000000000002</v>
      </c>
      <c r="E12452">
        <v>1.9699999999999999E-2</v>
      </c>
      <c r="F12452">
        <v>9.5100000000000004E-2</v>
      </c>
    </row>
    <row r="12453" spans="1:6" x14ac:dyDescent="0.3">
      <c r="A12453" t="s">
        <v>12488</v>
      </c>
      <c r="B12453" t="s">
        <v>26</v>
      </c>
      <c r="C12453">
        <v>118000</v>
      </c>
      <c r="D12453">
        <v>2750.8</v>
      </c>
      <c r="E12453">
        <v>1.7000000000000001E-2</v>
      </c>
      <c r="F12453">
        <v>0.1067</v>
      </c>
    </row>
    <row r="12454" spans="1:6" x14ac:dyDescent="0.3">
      <c r="A12454" t="s">
        <v>12489</v>
      </c>
      <c r="B12454" t="s">
        <v>53</v>
      </c>
      <c r="C12454">
        <v>824000</v>
      </c>
      <c r="D12454">
        <v>5339.5</v>
      </c>
      <c r="E12454">
        <v>5.4999999999999997E-3</v>
      </c>
      <c r="F12454">
        <v>8.2199999999999995E-2</v>
      </c>
    </row>
    <row r="12455" spans="1:6" x14ac:dyDescent="0.3">
      <c r="A12455" t="s">
        <v>12490</v>
      </c>
      <c r="B12455" t="s">
        <v>32</v>
      </c>
      <c r="C12455">
        <v>106000</v>
      </c>
      <c r="D12455">
        <v>25314.5</v>
      </c>
      <c r="E12455">
        <v>4.53E-2</v>
      </c>
      <c r="F12455">
        <v>5.1799999999999999E-2</v>
      </c>
    </row>
    <row r="12456" spans="1:6" x14ac:dyDescent="0.3">
      <c r="A12456" t="s">
        <v>12491</v>
      </c>
      <c r="B12456" t="s">
        <v>26</v>
      </c>
      <c r="C12456">
        <v>215000</v>
      </c>
      <c r="D12456">
        <v>1311.1</v>
      </c>
      <c r="E12456">
        <v>6.7000000000000002E-3</v>
      </c>
      <c r="F12456">
        <v>8.1100000000000005E-2</v>
      </c>
    </row>
    <row r="12457" spans="1:6" x14ac:dyDescent="0.3">
      <c r="A12457" t="s">
        <v>12492</v>
      </c>
      <c r="B12457" t="s">
        <v>81</v>
      </c>
      <c r="C12457">
        <v>193000</v>
      </c>
      <c r="D12457">
        <v>100542.8</v>
      </c>
      <c r="E12457">
        <v>1.47E-2</v>
      </c>
      <c r="F12457">
        <v>4.6199999999999998E-2</v>
      </c>
    </row>
    <row r="12458" spans="1:6" x14ac:dyDescent="0.3">
      <c r="A12458" t="s">
        <v>12493</v>
      </c>
      <c r="B12458" t="s">
        <v>74</v>
      </c>
      <c r="C12458">
        <v>129000</v>
      </c>
      <c r="D12458">
        <v>911</v>
      </c>
      <c r="E12458">
        <v>8.2799999999999999E-2</v>
      </c>
      <c r="F12458">
        <v>7.5899999999999995E-2</v>
      </c>
    </row>
    <row r="12459" spans="1:6" x14ac:dyDescent="0.3">
      <c r="A12459" t="s">
        <v>12494</v>
      </c>
      <c r="B12459" t="s">
        <v>41</v>
      </c>
      <c r="C12459">
        <v>167000</v>
      </c>
      <c r="D12459">
        <v>13266.6</v>
      </c>
      <c r="E12459">
        <v>8.0699999999999994E-2</v>
      </c>
      <c r="F12459">
        <v>9.5100000000000004E-2</v>
      </c>
    </row>
    <row r="12460" spans="1:6" x14ac:dyDescent="0.3">
      <c r="A12460" t="s">
        <v>12495</v>
      </c>
      <c r="B12460" t="s">
        <v>53</v>
      </c>
      <c r="C12460">
        <v>91900</v>
      </c>
      <c r="D12460">
        <v>2191.3000000000002</v>
      </c>
      <c r="E12460">
        <v>5.1900000000000002E-2</v>
      </c>
      <c r="F12460">
        <v>9.5100000000000004E-2</v>
      </c>
    </row>
    <row r="12461" spans="1:6" x14ac:dyDescent="0.3">
      <c r="A12461" t="s">
        <v>12496</v>
      </c>
      <c r="B12461" t="s">
        <v>26</v>
      </c>
      <c r="C12461">
        <v>150000</v>
      </c>
      <c r="D12461">
        <v>6295.5</v>
      </c>
      <c r="E12461">
        <v>1.43E-2</v>
      </c>
      <c r="F12461">
        <v>0.1187</v>
      </c>
    </row>
    <row r="12462" spans="1:6" x14ac:dyDescent="0.3">
      <c r="A12462" t="s">
        <v>12497</v>
      </c>
      <c r="B12462" t="s">
        <v>26</v>
      </c>
      <c r="C12462">
        <v>326000</v>
      </c>
      <c r="D12462">
        <v>389611.9</v>
      </c>
      <c r="E12462">
        <v>1.72E-2</v>
      </c>
      <c r="F12462">
        <v>4.6199999999999998E-2</v>
      </c>
    </row>
    <row r="12463" spans="1:6" x14ac:dyDescent="0.3">
      <c r="A12463" t="s">
        <v>12498</v>
      </c>
      <c r="B12463" t="s">
        <v>81</v>
      </c>
      <c r="C12463">
        <v>113000</v>
      </c>
      <c r="D12463">
        <v>155399.6</v>
      </c>
      <c r="E12463">
        <v>2.6599999999999999E-2</v>
      </c>
      <c r="F12463">
        <v>0.12429999999999999</v>
      </c>
    </row>
    <row r="12464" spans="1:6" x14ac:dyDescent="0.3">
      <c r="A12464" t="s">
        <v>12499</v>
      </c>
      <c r="B12464" t="s">
        <v>88</v>
      </c>
      <c r="C12464">
        <v>87800</v>
      </c>
      <c r="D12464">
        <v>774.1</v>
      </c>
      <c r="E12464">
        <v>5.11E-2</v>
      </c>
      <c r="F12464">
        <v>9.5100000000000004E-2</v>
      </c>
    </row>
    <row r="12465" spans="1:6" x14ac:dyDescent="0.3">
      <c r="A12465" t="s">
        <v>12500</v>
      </c>
      <c r="B12465" t="s">
        <v>88</v>
      </c>
      <c r="C12465">
        <v>98200</v>
      </c>
      <c r="D12465">
        <v>592.9</v>
      </c>
      <c r="E12465">
        <v>2.9499999999999998E-2</v>
      </c>
      <c r="F12465">
        <v>9.5100000000000004E-2</v>
      </c>
    </row>
    <row r="12466" spans="1:6" x14ac:dyDescent="0.3">
      <c r="A12466" t="s">
        <v>12501</v>
      </c>
      <c r="B12466" t="s">
        <v>92</v>
      </c>
      <c r="C12466">
        <v>104000</v>
      </c>
      <c r="D12466">
        <v>8903.2999999999993</v>
      </c>
      <c r="E12466">
        <v>2.1399999999999999E-2</v>
      </c>
      <c r="F12466">
        <v>8.5400000000000004E-2</v>
      </c>
    </row>
    <row r="12467" spans="1:6" x14ac:dyDescent="0.3">
      <c r="A12467" t="s">
        <v>12502</v>
      </c>
      <c r="B12467" t="s">
        <v>26</v>
      </c>
      <c r="C12467">
        <v>88500</v>
      </c>
      <c r="D12467">
        <v>1296.4000000000001</v>
      </c>
      <c r="E12467">
        <v>9.8500000000000004E-2</v>
      </c>
      <c r="F12467">
        <v>9.5100000000000004E-2</v>
      </c>
    </row>
    <row r="12468" spans="1:6" x14ac:dyDescent="0.3">
      <c r="A12468" t="s">
        <v>12503</v>
      </c>
      <c r="B12468" t="s">
        <v>26</v>
      </c>
      <c r="C12468">
        <v>94300</v>
      </c>
      <c r="D12468">
        <v>669.1</v>
      </c>
      <c r="E12468">
        <v>1.78E-2</v>
      </c>
      <c r="F12468">
        <v>0.1053</v>
      </c>
    </row>
    <row r="12469" spans="1:6" x14ac:dyDescent="0.3">
      <c r="A12469" t="s">
        <v>12504</v>
      </c>
      <c r="B12469" t="s">
        <v>74</v>
      </c>
      <c r="C12469">
        <v>347000</v>
      </c>
      <c r="D12469">
        <v>178481.8</v>
      </c>
      <c r="E12469">
        <v>4.8500000000000001E-2</v>
      </c>
      <c r="F12469">
        <v>4.0899999999999999E-2</v>
      </c>
    </row>
    <row r="12470" spans="1:6" x14ac:dyDescent="0.3">
      <c r="A12470" t="s">
        <v>12505</v>
      </c>
      <c r="B12470" t="s">
        <v>92</v>
      </c>
      <c r="C12470">
        <v>108000</v>
      </c>
      <c r="D12470">
        <v>2573.6999999999998</v>
      </c>
      <c r="E12470">
        <v>1.9300000000000001E-2</v>
      </c>
      <c r="F12470">
        <v>5.8500000000000003E-2</v>
      </c>
    </row>
    <row r="12471" spans="1:6" x14ac:dyDescent="0.3">
      <c r="A12471" t="s">
        <v>12506</v>
      </c>
      <c r="B12471" t="s">
        <v>88</v>
      </c>
      <c r="C12471">
        <v>251000</v>
      </c>
      <c r="D12471">
        <v>28988.2</v>
      </c>
      <c r="E12471">
        <v>2.4799999999999999E-2</v>
      </c>
      <c r="F12471">
        <v>9.5100000000000004E-2</v>
      </c>
    </row>
    <row r="12472" spans="1:6" x14ac:dyDescent="0.3">
      <c r="A12472" t="s">
        <v>12507</v>
      </c>
      <c r="B12472" t="s">
        <v>62</v>
      </c>
      <c r="C12472">
        <v>198000</v>
      </c>
      <c r="D12472">
        <v>31427</v>
      </c>
      <c r="E12472">
        <v>2.7199999999999998E-2</v>
      </c>
      <c r="F12472">
        <v>9.5100000000000004E-2</v>
      </c>
    </row>
    <row r="12473" spans="1:6" x14ac:dyDescent="0.3">
      <c r="A12473" t="s">
        <v>12508</v>
      </c>
      <c r="B12473" t="s">
        <v>214</v>
      </c>
      <c r="C12473">
        <v>166000</v>
      </c>
      <c r="D12473">
        <v>11819.6</v>
      </c>
      <c r="E12473">
        <v>4.7500000000000001E-2</v>
      </c>
      <c r="F12473">
        <v>7.5899999999999995E-2</v>
      </c>
    </row>
    <row r="12474" spans="1:6" x14ac:dyDescent="0.3">
      <c r="A12474" t="s">
        <v>12509</v>
      </c>
      <c r="B12474" t="s">
        <v>92</v>
      </c>
      <c r="C12474">
        <v>126000</v>
      </c>
      <c r="D12474">
        <v>5676.6</v>
      </c>
      <c r="E12474">
        <v>5.7599999999999998E-2</v>
      </c>
      <c r="F12474">
        <v>7.5899999999999995E-2</v>
      </c>
    </row>
    <row r="12475" spans="1:6" x14ac:dyDescent="0.3">
      <c r="A12475" t="s">
        <v>12510</v>
      </c>
      <c r="B12475" t="s">
        <v>92</v>
      </c>
      <c r="C12475">
        <v>93500</v>
      </c>
      <c r="D12475">
        <v>2018536.6</v>
      </c>
      <c r="E12475">
        <v>3.8E-3</v>
      </c>
      <c r="F12475">
        <v>6.54E-2</v>
      </c>
    </row>
    <row r="12476" spans="1:6" x14ac:dyDescent="0.3">
      <c r="A12476" t="s">
        <v>12511</v>
      </c>
      <c r="B12476" t="s">
        <v>71</v>
      </c>
      <c r="C12476">
        <v>90800</v>
      </c>
      <c r="D12476">
        <v>9264.2999999999993</v>
      </c>
      <c r="E12476">
        <v>5.1799999999999999E-2</v>
      </c>
      <c r="F12476">
        <v>9.5100000000000004E-2</v>
      </c>
    </row>
    <row r="12477" spans="1:6" x14ac:dyDescent="0.3">
      <c r="A12477" t="s">
        <v>12512</v>
      </c>
      <c r="B12477" t="s">
        <v>41</v>
      </c>
      <c r="C12477">
        <v>142000</v>
      </c>
      <c r="D12477">
        <v>359.5</v>
      </c>
      <c r="E12477">
        <v>1.8700000000000001E-2</v>
      </c>
      <c r="F12477">
        <v>0.1067</v>
      </c>
    </row>
    <row r="12478" spans="1:6" x14ac:dyDescent="0.3">
      <c r="A12478" t="s">
        <v>12513</v>
      </c>
      <c r="B12478" t="s">
        <v>26</v>
      </c>
      <c r="C12478">
        <v>136000</v>
      </c>
      <c r="D12478">
        <v>2531.6999999999998</v>
      </c>
      <c r="E12478">
        <v>1.6799999999999999E-2</v>
      </c>
      <c r="F12478">
        <v>4.8800000000000003E-2</v>
      </c>
    </row>
    <row r="12479" spans="1:6" x14ac:dyDescent="0.3">
      <c r="A12479" t="s">
        <v>12514</v>
      </c>
      <c r="B12479" t="s">
        <v>26</v>
      </c>
      <c r="C12479">
        <v>108000</v>
      </c>
      <c r="D12479">
        <v>1890.4</v>
      </c>
      <c r="E12479">
        <v>3.39E-2</v>
      </c>
      <c r="F12479">
        <v>0.12429999999999999</v>
      </c>
    </row>
    <row r="12480" spans="1:6" x14ac:dyDescent="0.3">
      <c r="A12480" t="s">
        <v>12515</v>
      </c>
      <c r="B12480" t="s">
        <v>35</v>
      </c>
      <c r="C12480">
        <v>112000</v>
      </c>
      <c r="D12480">
        <v>15645.6</v>
      </c>
      <c r="E12480">
        <v>3.0599999999999999E-2</v>
      </c>
      <c r="F12480">
        <v>7.5899999999999995E-2</v>
      </c>
    </row>
    <row r="12481" spans="1:6" x14ac:dyDescent="0.3">
      <c r="A12481" t="s">
        <v>12516</v>
      </c>
      <c r="B12481" t="s">
        <v>88</v>
      </c>
      <c r="C12481">
        <v>106000</v>
      </c>
      <c r="D12481">
        <v>61.9</v>
      </c>
      <c r="E12481">
        <v>7.0000000000000001E-3</v>
      </c>
      <c r="F12481">
        <v>0.21199999999999999</v>
      </c>
    </row>
    <row r="12482" spans="1:6" x14ac:dyDescent="0.3">
      <c r="A12482" t="s">
        <v>12517</v>
      </c>
      <c r="B12482" t="s">
        <v>26</v>
      </c>
      <c r="C12482">
        <v>104000</v>
      </c>
      <c r="D12482">
        <v>8767.2999999999993</v>
      </c>
      <c r="E12482">
        <v>2.4899999999999999E-2</v>
      </c>
      <c r="F12482">
        <v>9.5100000000000004E-2</v>
      </c>
    </row>
    <row r="12483" spans="1:6" x14ac:dyDescent="0.3">
      <c r="A12483" t="s">
        <v>12518</v>
      </c>
      <c r="B12483" t="s">
        <v>26</v>
      </c>
      <c r="C12483">
        <v>104000</v>
      </c>
      <c r="D12483">
        <v>24314.7</v>
      </c>
      <c r="E12483">
        <v>5.5599999999999997E-2</v>
      </c>
      <c r="F12483">
        <v>4.0899999999999999E-2</v>
      </c>
    </row>
    <row r="12484" spans="1:6" x14ac:dyDescent="0.3">
      <c r="A12484" t="s">
        <v>12519</v>
      </c>
      <c r="B12484" t="s">
        <v>26</v>
      </c>
      <c r="C12484">
        <v>86400</v>
      </c>
      <c r="D12484">
        <v>98.2</v>
      </c>
      <c r="E12484">
        <v>2.8799999999999999E-2</v>
      </c>
      <c r="F12484">
        <v>0.11700000000000001</v>
      </c>
    </row>
    <row r="12485" spans="1:6" x14ac:dyDescent="0.3">
      <c r="A12485" t="s">
        <v>12520</v>
      </c>
      <c r="B12485" t="s">
        <v>26</v>
      </c>
      <c r="C12485">
        <v>336000</v>
      </c>
      <c r="D12485">
        <v>131099.70000000001</v>
      </c>
      <c r="E12485">
        <v>4.1099999999999998E-2</v>
      </c>
      <c r="F12485">
        <v>7.5899999999999995E-2</v>
      </c>
    </row>
    <row r="12486" spans="1:6" x14ac:dyDescent="0.3">
      <c r="A12486" t="s">
        <v>12521</v>
      </c>
      <c r="B12486" t="s">
        <v>71</v>
      </c>
      <c r="C12486">
        <v>89500</v>
      </c>
      <c r="D12486">
        <v>240</v>
      </c>
      <c r="E12486">
        <v>2.0899999999999998E-2</v>
      </c>
      <c r="F12486">
        <v>0.13250000000000001</v>
      </c>
    </row>
    <row r="12487" spans="1:6" x14ac:dyDescent="0.3">
      <c r="A12487" t="s">
        <v>12522</v>
      </c>
      <c r="B12487" t="s">
        <v>74</v>
      </c>
      <c r="C12487">
        <v>88500</v>
      </c>
      <c r="D12487">
        <v>1542.9</v>
      </c>
      <c r="E12487">
        <v>3.9399999999999998E-2</v>
      </c>
      <c r="F12487">
        <v>9.5100000000000004E-2</v>
      </c>
    </row>
    <row r="12488" spans="1:6" x14ac:dyDescent="0.3">
      <c r="A12488" t="s">
        <v>12523</v>
      </c>
      <c r="B12488" t="s">
        <v>88</v>
      </c>
      <c r="C12488">
        <v>98000</v>
      </c>
      <c r="D12488">
        <v>133</v>
      </c>
      <c r="E12488">
        <v>5.6300000000000003E-2</v>
      </c>
      <c r="F12488">
        <v>7.5899999999999995E-2</v>
      </c>
    </row>
    <row r="12489" spans="1:6" x14ac:dyDescent="0.3">
      <c r="A12489" t="s">
        <v>12524</v>
      </c>
      <c r="B12489" t="s">
        <v>74</v>
      </c>
      <c r="C12489">
        <v>89500</v>
      </c>
      <c r="D12489">
        <v>77.099999999999994</v>
      </c>
      <c r="E12489">
        <v>2.6700000000000002E-2</v>
      </c>
      <c r="F12489">
        <v>7.5899999999999995E-2</v>
      </c>
    </row>
    <row r="12490" spans="1:6" x14ac:dyDescent="0.3">
      <c r="A12490" t="s">
        <v>12525</v>
      </c>
      <c r="B12490" t="s">
        <v>53</v>
      </c>
      <c r="C12490">
        <v>117000</v>
      </c>
      <c r="D12490">
        <v>1188</v>
      </c>
      <c r="E12490">
        <v>2.64E-2</v>
      </c>
      <c r="F12490">
        <v>7.5899999999999995E-2</v>
      </c>
    </row>
    <row r="12491" spans="1:6" x14ac:dyDescent="0.3">
      <c r="A12491" t="s">
        <v>12526</v>
      </c>
      <c r="B12491" t="s">
        <v>92</v>
      </c>
      <c r="C12491">
        <v>96300</v>
      </c>
      <c r="D12491">
        <v>100.8</v>
      </c>
      <c r="E12491">
        <v>1.6799999999999999E-2</v>
      </c>
      <c r="F12491">
        <v>0.13900000000000001</v>
      </c>
    </row>
    <row r="12492" spans="1:6" x14ac:dyDescent="0.3">
      <c r="A12492" t="s">
        <v>12527</v>
      </c>
      <c r="B12492" t="s">
        <v>26</v>
      </c>
      <c r="C12492">
        <v>90300</v>
      </c>
      <c r="D12492">
        <v>251512.3</v>
      </c>
      <c r="E12492">
        <v>1.12E-2</v>
      </c>
      <c r="F12492">
        <v>0.11840000000000001</v>
      </c>
    </row>
    <row r="12493" spans="1:6" x14ac:dyDescent="0.3">
      <c r="A12493" t="s">
        <v>12528</v>
      </c>
      <c r="B12493" t="s">
        <v>26</v>
      </c>
      <c r="C12493">
        <v>109000</v>
      </c>
      <c r="D12493">
        <v>5065.1000000000004</v>
      </c>
      <c r="E12493">
        <v>4.8599999999999997E-2</v>
      </c>
      <c r="F12493">
        <v>0.15340000000000001</v>
      </c>
    </row>
    <row r="12494" spans="1:6" x14ac:dyDescent="0.3">
      <c r="A12494" t="s">
        <v>12529</v>
      </c>
      <c r="B12494" t="s">
        <v>26</v>
      </c>
      <c r="C12494">
        <v>97400</v>
      </c>
      <c r="D12494">
        <v>20.100000000000001</v>
      </c>
      <c r="E12494">
        <v>0</v>
      </c>
      <c r="F12494">
        <v>8.1100000000000005E-2</v>
      </c>
    </row>
    <row r="12495" spans="1:6" x14ac:dyDescent="0.3">
      <c r="A12495" t="s">
        <v>12530</v>
      </c>
      <c r="B12495" t="s">
        <v>24</v>
      </c>
      <c r="C12495">
        <v>113000</v>
      </c>
      <c r="D12495">
        <v>360.8</v>
      </c>
      <c r="E12495">
        <v>1.18E-2</v>
      </c>
      <c r="F12495">
        <v>0.28910000000000002</v>
      </c>
    </row>
    <row r="12496" spans="1:6" x14ac:dyDescent="0.3">
      <c r="A12496" t="s">
        <v>12531</v>
      </c>
      <c r="B12496" t="s">
        <v>26</v>
      </c>
      <c r="C12496">
        <v>92200</v>
      </c>
      <c r="D12496">
        <v>132162.70000000001</v>
      </c>
      <c r="F12496">
        <v>5.1799999999999999E-2</v>
      </c>
    </row>
    <row r="12497" spans="1:6" x14ac:dyDescent="0.3">
      <c r="A12497" t="s">
        <v>12532</v>
      </c>
      <c r="B12497" t="s">
        <v>74</v>
      </c>
      <c r="C12497">
        <v>118000</v>
      </c>
      <c r="D12497">
        <v>839.8</v>
      </c>
      <c r="E12497">
        <v>1.95E-2</v>
      </c>
      <c r="F12497">
        <v>5.1799999999999999E-2</v>
      </c>
    </row>
    <row r="12498" spans="1:6" x14ac:dyDescent="0.3">
      <c r="A12498" t="s">
        <v>12533</v>
      </c>
      <c r="B12498" t="s">
        <v>24</v>
      </c>
      <c r="C12498">
        <v>132000</v>
      </c>
      <c r="D12498">
        <v>12789</v>
      </c>
      <c r="E12498">
        <v>8.6999999999999994E-3</v>
      </c>
      <c r="F12498">
        <v>8.2199999999999995E-2</v>
      </c>
    </row>
    <row r="12499" spans="1:6" x14ac:dyDescent="0.3">
      <c r="A12499" t="s">
        <v>12534</v>
      </c>
      <c r="B12499" t="s">
        <v>214</v>
      </c>
      <c r="C12499">
        <v>85500</v>
      </c>
      <c r="D12499">
        <v>369.5</v>
      </c>
      <c r="E12499">
        <v>6.1199999999999997E-2</v>
      </c>
      <c r="F12499">
        <v>9.5100000000000004E-2</v>
      </c>
    </row>
    <row r="12500" spans="1:6" x14ac:dyDescent="0.3">
      <c r="A12500" t="s">
        <v>12535</v>
      </c>
      <c r="B12500" t="s">
        <v>74</v>
      </c>
      <c r="C12500">
        <v>98200</v>
      </c>
      <c r="D12500">
        <v>1265.7</v>
      </c>
      <c r="E12500">
        <v>5.0799999999999998E-2</v>
      </c>
      <c r="F12500">
        <v>9.5100000000000004E-2</v>
      </c>
    </row>
    <row r="12501" spans="1:6" x14ac:dyDescent="0.3">
      <c r="A12501" t="s">
        <v>12536</v>
      </c>
      <c r="B12501" t="s">
        <v>195</v>
      </c>
      <c r="C12501">
        <v>165000</v>
      </c>
      <c r="D12501">
        <v>1919.1</v>
      </c>
      <c r="E12501">
        <v>1.37E-2</v>
      </c>
      <c r="F12501">
        <v>4.6199999999999998E-2</v>
      </c>
    </row>
    <row r="12502" spans="1:6" x14ac:dyDescent="0.3">
      <c r="A12502" t="s">
        <v>12537</v>
      </c>
      <c r="B12502" t="s">
        <v>41</v>
      </c>
      <c r="C12502">
        <v>117000</v>
      </c>
      <c r="D12502">
        <v>2452</v>
      </c>
      <c r="E12502">
        <v>4.9200000000000001E-2</v>
      </c>
      <c r="F12502">
        <v>5.4600000000000003E-2</v>
      </c>
    </row>
    <row r="12503" spans="1:6" x14ac:dyDescent="0.3">
      <c r="A12503" t="s">
        <v>12538</v>
      </c>
      <c r="B12503" t="s">
        <v>53</v>
      </c>
      <c r="C12503">
        <v>87200</v>
      </c>
      <c r="D12503">
        <v>12011.2</v>
      </c>
      <c r="E12503">
        <v>2.53E-2</v>
      </c>
      <c r="F12503">
        <v>5.1799999999999999E-2</v>
      </c>
    </row>
    <row r="12504" spans="1:6" x14ac:dyDescent="0.3">
      <c r="A12504" t="s">
        <v>12539</v>
      </c>
      <c r="B12504" t="s">
        <v>81</v>
      </c>
      <c r="C12504">
        <v>155000</v>
      </c>
      <c r="D12504">
        <v>23567.5</v>
      </c>
      <c r="E12504">
        <v>4.5100000000000001E-2</v>
      </c>
      <c r="F12504">
        <v>7.5899999999999995E-2</v>
      </c>
    </row>
    <row r="12505" spans="1:6" x14ac:dyDescent="0.3">
      <c r="A12505" t="s">
        <v>12540</v>
      </c>
      <c r="B12505" t="s">
        <v>26</v>
      </c>
      <c r="C12505">
        <v>197000</v>
      </c>
      <c r="D12505">
        <v>325871.7</v>
      </c>
      <c r="E12505">
        <v>1.04E-2</v>
      </c>
      <c r="F12505">
        <v>8.2199999999999995E-2</v>
      </c>
    </row>
    <row r="12506" spans="1:6" x14ac:dyDescent="0.3">
      <c r="A12506" t="s">
        <v>12541</v>
      </c>
      <c r="B12506" t="s">
        <v>81</v>
      </c>
      <c r="C12506">
        <v>91800</v>
      </c>
      <c r="D12506">
        <v>72910.2</v>
      </c>
      <c r="E12506">
        <v>1.9900000000000001E-2</v>
      </c>
      <c r="F12506">
        <v>0.1067</v>
      </c>
    </row>
    <row r="12507" spans="1:6" x14ac:dyDescent="0.3">
      <c r="A12507" t="s">
        <v>12542</v>
      </c>
      <c r="B12507" t="s">
        <v>88</v>
      </c>
      <c r="C12507">
        <v>81600</v>
      </c>
      <c r="D12507">
        <v>1564.8</v>
      </c>
      <c r="F12507">
        <v>4.0899999999999999E-2</v>
      </c>
    </row>
    <row r="12508" spans="1:6" x14ac:dyDescent="0.3">
      <c r="A12508" t="s">
        <v>12543</v>
      </c>
      <c r="B12508" t="s">
        <v>214</v>
      </c>
      <c r="C12508">
        <v>130000</v>
      </c>
      <c r="D12508">
        <v>52374.1</v>
      </c>
      <c r="E12508">
        <v>3.5000000000000003E-2</v>
      </c>
      <c r="F12508">
        <v>4.0899999999999999E-2</v>
      </c>
    </row>
    <row r="12509" spans="1:6" x14ac:dyDescent="0.3">
      <c r="A12509" t="s">
        <v>12544</v>
      </c>
      <c r="B12509" t="s">
        <v>88</v>
      </c>
      <c r="C12509">
        <v>96900</v>
      </c>
      <c r="D12509">
        <v>650.6</v>
      </c>
      <c r="E12509">
        <v>5.5399999999999998E-2</v>
      </c>
      <c r="F12509">
        <v>7.5899999999999995E-2</v>
      </c>
    </row>
    <row r="12510" spans="1:6" x14ac:dyDescent="0.3">
      <c r="A12510" t="s">
        <v>12545</v>
      </c>
      <c r="B12510" t="s">
        <v>62</v>
      </c>
      <c r="C12510">
        <v>93800</v>
      </c>
      <c r="D12510">
        <v>84127.3</v>
      </c>
      <c r="E12510">
        <v>9.2200000000000004E-2</v>
      </c>
      <c r="F12510">
        <v>5.1799999999999999E-2</v>
      </c>
    </row>
    <row r="12511" spans="1:6" x14ac:dyDescent="0.3">
      <c r="A12511" t="s">
        <v>12546</v>
      </c>
      <c r="B12511" t="s">
        <v>24</v>
      </c>
      <c r="C12511">
        <v>254000</v>
      </c>
      <c r="D12511">
        <v>865</v>
      </c>
      <c r="E12511">
        <v>6.4399999999999999E-2</v>
      </c>
      <c r="F12511">
        <v>0.23089999999999999</v>
      </c>
    </row>
    <row r="12512" spans="1:6" x14ac:dyDescent="0.3">
      <c r="A12512" t="s">
        <v>12547</v>
      </c>
      <c r="B12512" t="s">
        <v>26</v>
      </c>
      <c r="C12512">
        <v>101000</v>
      </c>
      <c r="D12512">
        <v>122909.2</v>
      </c>
      <c r="E12512">
        <v>3.6799999999999999E-2</v>
      </c>
      <c r="F12512">
        <v>5.1799999999999999E-2</v>
      </c>
    </row>
    <row r="12513" spans="1:6" x14ac:dyDescent="0.3">
      <c r="A12513" t="s">
        <v>12548</v>
      </c>
      <c r="B12513" t="s">
        <v>88</v>
      </c>
      <c r="C12513">
        <v>102000</v>
      </c>
      <c r="D12513">
        <v>7754.7</v>
      </c>
      <c r="E12513">
        <v>3.2099999999999997E-2</v>
      </c>
      <c r="F12513">
        <v>9.3799999999999994E-2</v>
      </c>
    </row>
    <row r="12514" spans="1:6" x14ac:dyDescent="0.3">
      <c r="A12514" t="s">
        <v>12549</v>
      </c>
      <c r="B12514" t="s">
        <v>92</v>
      </c>
      <c r="C12514">
        <v>102000</v>
      </c>
      <c r="D12514">
        <v>2587.9</v>
      </c>
      <c r="E12514">
        <v>5.0799999999999998E-2</v>
      </c>
      <c r="F12514">
        <v>7.5899999999999995E-2</v>
      </c>
    </row>
    <row r="12515" spans="1:6" x14ac:dyDescent="0.3">
      <c r="A12515" t="s">
        <v>12550</v>
      </c>
      <c r="B12515" t="s">
        <v>41</v>
      </c>
      <c r="C12515">
        <v>109000</v>
      </c>
      <c r="D12515">
        <v>11174.7</v>
      </c>
      <c r="E12515">
        <v>1.3899999999999999E-2</v>
      </c>
      <c r="F12515">
        <v>8.5400000000000004E-2</v>
      </c>
    </row>
    <row r="12516" spans="1:6" x14ac:dyDescent="0.3">
      <c r="A12516" t="s">
        <v>12551</v>
      </c>
      <c r="B12516" t="s">
        <v>214</v>
      </c>
      <c r="C12516">
        <v>88100</v>
      </c>
      <c r="D12516">
        <v>14876.7</v>
      </c>
      <c r="E12516">
        <v>2.0299999999999999E-2</v>
      </c>
      <c r="F12516">
        <v>0.1067</v>
      </c>
    </row>
    <row r="12517" spans="1:6" x14ac:dyDescent="0.3">
      <c r="A12517" t="s">
        <v>12552</v>
      </c>
      <c r="B12517" t="s">
        <v>21</v>
      </c>
      <c r="C12517">
        <v>172000</v>
      </c>
      <c r="D12517">
        <v>1886</v>
      </c>
      <c r="E12517">
        <v>9.2999999999999992E-3</v>
      </c>
      <c r="F12517">
        <v>0.1013</v>
      </c>
    </row>
    <row r="12518" spans="1:6" x14ac:dyDescent="0.3">
      <c r="A12518" t="s">
        <v>12553</v>
      </c>
      <c r="B12518" t="s">
        <v>26</v>
      </c>
      <c r="C12518">
        <v>85800</v>
      </c>
      <c r="D12518">
        <v>10703.4</v>
      </c>
      <c r="F12518">
        <v>5.1799999999999999E-2</v>
      </c>
    </row>
    <row r="12519" spans="1:6" x14ac:dyDescent="0.3">
      <c r="A12519" t="s">
        <v>12554</v>
      </c>
      <c r="B12519" t="s">
        <v>88</v>
      </c>
      <c r="C12519">
        <v>91200</v>
      </c>
      <c r="D12519">
        <v>767.1</v>
      </c>
      <c r="E12519">
        <v>3.6200000000000003E-2</v>
      </c>
      <c r="F12519">
        <v>0.2545</v>
      </c>
    </row>
    <row r="12520" spans="1:6" x14ac:dyDescent="0.3">
      <c r="A12520" t="s">
        <v>12555</v>
      </c>
      <c r="B12520" t="s">
        <v>88</v>
      </c>
      <c r="C12520">
        <v>89700</v>
      </c>
      <c r="D12520">
        <v>536.1</v>
      </c>
      <c r="E12520">
        <v>3.1699999999999999E-2</v>
      </c>
      <c r="F12520">
        <v>5.1799999999999999E-2</v>
      </c>
    </row>
    <row r="12521" spans="1:6" x14ac:dyDescent="0.3">
      <c r="A12521" t="s">
        <v>12556</v>
      </c>
      <c r="B12521" t="s">
        <v>41</v>
      </c>
      <c r="C12521">
        <v>122000</v>
      </c>
      <c r="D12521">
        <v>391.1</v>
      </c>
      <c r="E12521">
        <v>1.9699999999999999E-2</v>
      </c>
      <c r="F12521">
        <v>0.1066</v>
      </c>
    </row>
    <row r="12522" spans="1:6" x14ac:dyDescent="0.3">
      <c r="A12522" t="s">
        <v>12557</v>
      </c>
      <c r="B12522" t="s">
        <v>26</v>
      </c>
      <c r="C12522">
        <v>123000</v>
      </c>
      <c r="D12522">
        <v>17267.900000000001</v>
      </c>
      <c r="F12522">
        <v>7.5899999999999995E-2</v>
      </c>
    </row>
    <row r="12523" spans="1:6" x14ac:dyDescent="0.3">
      <c r="A12523" t="s">
        <v>12558</v>
      </c>
      <c r="B12523" t="s">
        <v>214</v>
      </c>
      <c r="C12523">
        <v>124000</v>
      </c>
      <c r="D12523">
        <v>173261.2</v>
      </c>
      <c r="E12523">
        <v>1.4999999999999999E-2</v>
      </c>
      <c r="F12523">
        <v>0.13270000000000001</v>
      </c>
    </row>
    <row r="12524" spans="1:6" x14ac:dyDescent="0.3">
      <c r="A12524" t="s">
        <v>12559</v>
      </c>
      <c r="B12524" t="s">
        <v>287</v>
      </c>
      <c r="C12524">
        <v>90800</v>
      </c>
      <c r="D12524">
        <v>1505.5</v>
      </c>
      <c r="E12524">
        <v>3.61E-2</v>
      </c>
      <c r="F12524">
        <v>0.1241</v>
      </c>
    </row>
    <row r="12525" spans="1:6" x14ac:dyDescent="0.3">
      <c r="A12525" t="s">
        <v>12560</v>
      </c>
      <c r="B12525" t="s">
        <v>88</v>
      </c>
      <c r="C12525">
        <v>104000</v>
      </c>
      <c r="D12525">
        <v>208.4</v>
      </c>
      <c r="E12525">
        <v>2.7199999999999998E-2</v>
      </c>
      <c r="F12525">
        <v>9.5100000000000004E-2</v>
      </c>
    </row>
    <row r="12526" spans="1:6" x14ac:dyDescent="0.3">
      <c r="A12526" t="s">
        <v>12561</v>
      </c>
      <c r="B12526" t="s">
        <v>53</v>
      </c>
      <c r="C12526">
        <v>89900</v>
      </c>
      <c r="D12526">
        <v>1910.3</v>
      </c>
      <c r="E12526">
        <v>2.3199999999999998E-2</v>
      </c>
      <c r="F12526">
        <v>0.1067</v>
      </c>
    </row>
    <row r="12527" spans="1:6" x14ac:dyDescent="0.3">
      <c r="A12527" t="s">
        <v>12562</v>
      </c>
      <c r="B12527" t="s">
        <v>26</v>
      </c>
      <c r="C12527">
        <v>119000</v>
      </c>
      <c r="D12527">
        <v>18386.099999999999</v>
      </c>
      <c r="E12527">
        <v>1.9599999999999999E-2</v>
      </c>
      <c r="F12527">
        <v>0.1053</v>
      </c>
    </row>
    <row r="12528" spans="1:6" x14ac:dyDescent="0.3">
      <c r="A12528" t="s">
        <v>12563</v>
      </c>
      <c r="B12528" t="s">
        <v>74</v>
      </c>
      <c r="C12528">
        <v>99500</v>
      </c>
      <c r="D12528">
        <v>157.6</v>
      </c>
      <c r="E12528">
        <v>4.65E-2</v>
      </c>
      <c r="F12528">
        <v>0.13589999999999999</v>
      </c>
    </row>
    <row r="12529" spans="1:6" x14ac:dyDescent="0.3">
      <c r="A12529" t="s">
        <v>12564</v>
      </c>
      <c r="B12529" t="s">
        <v>62</v>
      </c>
      <c r="C12529">
        <v>89800</v>
      </c>
      <c r="D12529">
        <v>125244.8</v>
      </c>
      <c r="E12529">
        <v>3.7900000000000003E-2</v>
      </c>
      <c r="F12529">
        <v>9.5100000000000004E-2</v>
      </c>
    </row>
    <row r="12530" spans="1:6" x14ac:dyDescent="0.3">
      <c r="A12530" t="s">
        <v>12565</v>
      </c>
      <c r="B12530" t="s">
        <v>214</v>
      </c>
      <c r="C12530">
        <v>101000</v>
      </c>
      <c r="D12530">
        <v>7252.3</v>
      </c>
      <c r="E12530">
        <v>2.92E-2</v>
      </c>
      <c r="F12530">
        <v>9.3799999999999994E-2</v>
      </c>
    </row>
    <row r="12531" spans="1:6" x14ac:dyDescent="0.3">
      <c r="A12531" t="s">
        <v>12566</v>
      </c>
      <c r="B12531" t="s">
        <v>30</v>
      </c>
      <c r="C12531">
        <v>93600</v>
      </c>
      <c r="D12531">
        <v>3060.8</v>
      </c>
      <c r="E12531">
        <v>4.0399999999999998E-2</v>
      </c>
      <c r="F12531">
        <v>5.1799999999999999E-2</v>
      </c>
    </row>
    <row r="12532" spans="1:6" x14ac:dyDescent="0.3">
      <c r="A12532" t="s">
        <v>12567</v>
      </c>
      <c r="B12532" t="s">
        <v>26</v>
      </c>
      <c r="C12532">
        <v>91000</v>
      </c>
      <c r="D12532">
        <v>432765.1</v>
      </c>
      <c r="E12532">
        <v>3.8600000000000002E-2</v>
      </c>
      <c r="F12532">
        <v>5.8400000000000001E-2</v>
      </c>
    </row>
    <row r="12533" spans="1:6" x14ac:dyDescent="0.3">
      <c r="A12533" t="s">
        <v>12568</v>
      </c>
      <c r="B12533" t="s">
        <v>88</v>
      </c>
      <c r="C12533">
        <v>127000</v>
      </c>
      <c r="D12533">
        <v>280.10000000000002</v>
      </c>
      <c r="F12533">
        <v>9.3799999999999994E-2</v>
      </c>
    </row>
    <row r="12534" spans="1:6" x14ac:dyDescent="0.3">
      <c r="A12534" t="s">
        <v>12569</v>
      </c>
      <c r="B12534" t="s">
        <v>26</v>
      </c>
      <c r="C12534">
        <v>98800</v>
      </c>
      <c r="D12534">
        <v>2113.1999999999998</v>
      </c>
      <c r="F12534">
        <v>7.5899999999999995E-2</v>
      </c>
    </row>
    <row r="12535" spans="1:6" x14ac:dyDescent="0.3">
      <c r="A12535" t="s">
        <v>12570</v>
      </c>
      <c r="B12535" t="s">
        <v>71</v>
      </c>
      <c r="C12535">
        <v>87800</v>
      </c>
      <c r="D12535">
        <v>260.2</v>
      </c>
      <c r="F12535">
        <v>7.5899999999999995E-2</v>
      </c>
    </row>
    <row r="12536" spans="1:6" x14ac:dyDescent="0.3">
      <c r="A12536" t="s">
        <v>12571</v>
      </c>
      <c r="B12536" t="s">
        <v>214</v>
      </c>
      <c r="C12536">
        <v>110000</v>
      </c>
      <c r="D12536">
        <v>482.9</v>
      </c>
      <c r="E12536">
        <v>2.2100000000000002E-2</v>
      </c>
      <c r="F12536">
        <v>4.6199999999999998E-2</v>
      </c>
    </row>
    <row r="12537" spans="1:6" x14ac:dyDescent="0.3">
      <c r="A12537" t="s">
        <v>12572</v>
      </c>
      <c r="B12537" t="s">
        <v>26</v>
      </c>
      <c r="C12537">
        <v>89700</v>
      </c>
      <c r="D12537">
        <v>2413.8000000000002</v>
      </c>
      <c r="E12537">
        <v>4.1399999999999999E-2</v>
      </c>
      <c r="F12537">
        <v>9.5100000000000004E-2</v>
      </c>
    </row>
    <row r="12538" spans="1:6" x14ac:dyDescent="0.3">
      <c r="A12538" t="s">
        <v>12573</v>
      </c>
      <c r="B12538" t="s">
        <v>53</v>
      </c>
      <c r="C12538">
        <v>1100000</v>
      </c>
      <c r="D12538">
        <v>60577.1</v>
      </c>
      <c r="E12538">
        <v>9.1800000000000007E-2</v>
      </c>
      <c r="F12538">
        <v>6.7199999999999996E-2</v>
      </c>
    </row>
    <row r="12539" spans="1:6" x14ac:dyDescent="0.3">
      <c r="A12539" t="s">
        <v>12574</v>
      </c>
      <c r="B12539" t="s">
        <v>287</v>
      </c>
      <c r="C12539">
        <v>844000</v>
      </c>
      <c r="D12539">
        <v>974.4</v>
      </c>
      <c r="E12539">
        <v>0.02</v>
      </c>
      <c r="F12539">
        <v>9.3799999999999994E-2</v>
      </c>
    </row>
    <row r="12540" spans="1:6" x14ac:dyDescent="0.3">
      <c r="A12540" t="s">
        <v>12575</v>
      </c>
      <c r="B12540" t="s">
        <v>32</v>
      </c>
      <c r="C12540">
        <v>312000000</v>
      </c>
      <c r="D12540">
        <v>25908.400000000001</v>
      </c>
      <c r="E12540">
        <v>3.6499999999999998E-2</v>
      </c>
      <c r="F12540">
        <v>9.3799999999999994E-2</v>
      </c>
    </row>
    <row r="12541" spans="1:6" x14ac:dyDescent="0.3">
      <c r="A12541" t="s">
        <v>12576</v>
      </c>
      <c r="B12541" t="s">
        <v>32</v>
      </c>
      <c r="C12541">
        <v>122000000</v>
      </c>
      <c r="D12541">
        <v>31379.1</v>
      </c>
      <c r="E12541">
        <v>2.3400000000000001E-2</v>
      </c>
      <c r="F12541">
        <v>0.38319999999999999</v>
      </c>
    </row>
    <row r="12542" spans="1:6" x14ac:dyDescent="0.3">
      <c r="A12542" t="s">
        <v>12577</v>
      </c>
      <c r="B12542" t="s">
        <v>30</v>
      </c>
      <c r="C12542">
        <v>24400000</v>
      </c>
      <c r="D12542">
        <v>9981270.6999999993</v>
      </c>
      <c r="E12542">
        <v>2.6100000000000002E-2</v>
      </c>
      <c r="F12542">
        <v>5.1799999999999999E-2</v>
      </c>
    </row>
    <row r="12543" spans="1:6" x14ac:dyDescent="0.3">
      <c r="A12543" t="s">
        <v>12578</v>
      </c>
      <c r="B12543" t="s">
        <v>88</v>
      </c>
      <c r="C12543">
        <v>14200000</v>
      </c>
      <c r="D12543">
        <v>756812.80000000005</v>
      </c>
      <c r="E12543">
        <v>5.1400000000000001E-2</v>
      </c>
      <c r="F12543">
        <v>7.5899999999999995E-2</v>
      </c>
    </row>
    <row r="12544" spans="1:6" x14ac:dyDescent="0.3">
      <c r="A12544" t="s">
        <v>12579</v>
      </c>
      <c r="B12544" t="s">
        <v>74</v>
      </c>
      <c r="C12544">
        <v>5440000</v>
      </c>
      <c r="D12544">
        <v>594159.1</v>
      </c>
      <c r="E12544">
        <v>5.11E-2</v>
      </c>
      <c r="F12544">
        <v>8.3299999999999999E-2</v>
      </c>
    </row>
    <row r="12545" spans="1:6" x14ac:dyDescent="0.3">
      <c r="A12545" t="s">
        <v>12580</v>
      </c>
      <c r="B12545" t="s">
        <v>88</v>
      </c>
      <c r="C12545">
        <v>28400000</v>
      </c>
      <c r="D12545">
        <v>944465.8</v>
      </c>
      <c r="E12545">
        <v>3.9199999999999999E-2</v>
      </c>
      <c r="F12545">
        <v>9.5100000000000004E-2</v>
      </c>
    </row>
    <row r="12546" spans="1:6" x14ac:dyDescent="0.3">
      <c r="A12546" t="s">
        <v>12581</v>
      </c>
      <c r="B12546" t="s">
        <v>74</v>
      </c>
      <c r="C12546">
        <v>3900000</v>
      </c>
      <c r="D12546">
        <v>51778.5</v>
      </c>
      <c r="E12546">
        <v>2.86E-2</v>
      </c>
      <c r="F12546">
        <v>7.5899999999999995E-2</v>
      </c>
    </row>
    <row r="12547" spans="1:6" x14ac:dyDescent="0.3">
      <c r="A12547" t="s">
        <v>12582</v>
      </c>
      <c r="B12547" t="s">
        <v>71</v>
      </c>
      <c r="C12547">
        <v>3530000</v>
      </c>
      <c r="D12547">
        <v>138637.79999999999</v>
      </c>
      <c r="E12547">
        <v>3.61E-2</v>
      </c>
      <c r="F12547">
        <v>9.3799999999999994E-2</v>
      </c>
    </row>
    <row r="12548" spans="1:6" x14ac:dyDescent="0.3">
      <c r="A12548" t="s">
        <v>12583</v>
      </c>
      <c r="B12548" t="s">
        <v>35</v>
      </c>
      <c r="C12548">
        <v>1560000</v>
      </c>
      <c r="D12548">
        <v>142004.79999999999</v>
      </c>
      <c r="E12548">
        <v>3.4299999999999997E-2</v>
      </c>
      <c r="F12548">
        <v>9.5100000000000004E-2</v>
      </c>
    </row>
    <row r="12549" spans="1:6" x14ac:dyDescent="0.3">
      <c r="A12549" t="s">
        <v>12584</v>
      </c>
      <c r="B12549" t="s">
        <v>32</v>
      </c>
      <c r="C12549">
        <v>48500000</v>
      </c>
      <c r="D12549">
        <v>18491.3</v>
      </c>
      <c r="E12549">
        <v>2.0299999999999999E-2</v>
      </c>
      <c r="F12549">
        <v>0.1053</v>
      </c>
    </row>
    <row r="12550" spans="1:6" x14ac:dyDescent="0.3">
      <c r="A12550" t="s">
        <v>12585</v>
      </c>
      <c r="B12550" t="s">
        <v>50</v>
      </c>
      <c r="C12550">
        <v>10500000</v>
      </c>
      <c r="D12550">
        <v>11462087.1</v>
      </c>
      <c r="E12550">
        <v>3.2800000000000003E-2</v>
      </c>
      <c r="F12550">
        <v>9.5100000000000004E-2</v>
      </c>
    </row>
    <row r="12551" spans="1:6" x14ac:dyDescent="0.3">
      <c r="A12551" t="s">
        <v>12586</v>
      </c>
      <c r="B12551" t="s">
        <v>88</v>
      </c>
      <c r="C12551">
        <v>9720000</v>
      </c>
      <c r="D12551">
        <v>163765.4</v>
      </c>
      <c r="E12551">
        <v>4.6399999999999997E-2</v>
      </c>
      <c r="F12551">
        <v>9.3799999999999994E-2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52" customWidth="1"/>
    <col min="3" max="3" width="16" customWidth="1"/>
  </cols>
  <sheetData>
    <row r="1" spans="1:3" ht="21" x14ac:dyDescent="0.4">
      <c r="A1" s="2" t="s">
        <v>12587</v>
      </c>
    </row>
    <row r="2" spans="1:3" x14ac:dyDescent="0.3">
      <c r="A2" s="3" t="s">
        <v>12588</v>
      </c>
    </row>
    <row r="4" spans="1:3" x14ac:dyDescent="0.3">
      <c r="A4" s="11" t="s">
        <v>12589</v>
      </c>
      <c r="B4" s="11" t="s">
        <v>12590</v>
      </c>
      <c r="C4" s="11" t="s">
        <v>12591</v>
      </c>
    </row>
    <row r="5" spans="1:3" x14ac:dyDescent="0.3">
      <c r="A5" t="s">
        <v>12592</v>
      </c>
      <c r="B5" t="s">
        <v>12593</v>
      </c>
      <c r="C5" s="12">
        <v>3400</v>
      </c>
    </row>
    <row r="6" spans="1:3" x14ac:dyDescent="0.3">
      <c r="A6" t="s">
        <v>12594</v>
      </c>
      <c r="B6" t="s">
        <v>12595</v>
      </c>
      <c r="C6" s="13">
        <f>C5*SAM_pct</f>
        <v>510</v>
      </c>
    </row>
    <row r="7" spans="1:3" x14ac:dyDescent="0.3">
      <c r="A7" t="s">
        <v>12596</v>
      </c>
      <c r="B7" t="s">
        <v>12597</v>
      </c>
      <c r="C7" s="13">
        <f>C6*tooling_pct</f>
        <v>20.400000000000002</v>
      </c>
    </row>
    <row r="8" spans="1:3" x14ac:dyDescent="0.3">
      <c r="A8" t="s">
        <v>12598</v>
      </c>
      <c r="B8" t="s">
        <v>12599</v>
      </c>
      <c r="C8" s="14">
        <f>Financials!$B$31/10000000</f>
        <v>8.25</v>
      </c>
    </row>
    <row r="10" spans="1:3" x14ac:dyDescent="0.3">
      <c r="A10" s="10" t="s">
        <v>12600</v>
      </c>
    </row>
    <row r="11" spans="1:3" x14ac:dyDescent="0.3">
      <c r="A11" t="s">
        <v>12601</v>
      </c>
      <c r="B11" s="15">
        <v>0.15</v>
      </c>
    </row>
    <row r="12" spans="1:3" x14ac:dyDescent="0.3">
      <c r="A12" t="s">
        <v>12602</v>
      </c>
      <c r="B12" s="15">
        <v>0.04</v>
      </c>
    </row>
    <row r="14" spans="1:3" x14ac:dyDescent="0.3">
      <c r="A14" s="10" t="s">
        <v>12603</v>
      </c>
    </row>
    <row r="15" spans="1:3" x14ac:dyDescent="0.3">
      <c r="A15" t="s">
        <v>12604</v>
      </c>
      <c r="B15" s="12">
        <v>13500</v>
      </c>
    </row>
    <row r="16" spans="1:3" x14ac:dyDescent="0.3">
      <c r="A16" t="s">
        <v>12605</v>
      </c>
      <c r="B16" s="16">
        <v>2500000</v>
      </c>
    </row>
    <row r="17" spans="1:2" x14ac:dyDescent="0.3">
      <c r="A17" t="s">
        <v>12606</v>
      </c>
      <c r="B17" s="13">
        <f>B15*B16/10000000</f>
        <v>3375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6" width="16" customWidth="1"/>
    <col min="7" max="7" width="14" customWidth="1"/>
  </cols>
  <sheetData>
    <row r="1" spans="1:6" ht="21" x14ac:dyDescent="0.4">
      <c r="A1" s="2" t="s">
        <v>12607</v>
      </c>
    </row>
    <row r="2" spans="1:6" x14ac:dyDescent="0.3">
      <c r="A2" s="3" t="s">
        <v>12608</v>
      </c>
    </row>
    <row r="4" spans="1:6" x14ac:dyDescent="0.3">
      <c r="A4" s="10" t="s">
        <v>12609</v>
      </c>
    </row>
    <row r="5" spans="1:6" x14ac:dyDescent="0.3">
      <c r="A5" t="s">
        <v>12610</v>
      </c>
      <c r="B5" s="17">
        <v>1200</v>
      </c>
    </row>
    <row r="6" spans="1:6" x14ac:dyDescent="0.3">
      <c r="A6" t="s">
        <v>12611</v>
      </c>
      <c r="B6" s="18">
        <v>50000</v>
      </c>
    </row>
    <row r="7" spans="1:6" x14ac:dyDescent="0.3">
      <c r="A7" t="s">
        <v>12612</v>
      </c>
      <c r="B7" s="17">
        <v>150</v>
      </c>
    </row>
    <row r="8" spans="1:6" x14ac:dyDescent="0.3">
      <c r="A8" t="s">
        <v>12613</v>
      </c>
      <c r="B8" s="18">
        <v>150000</v>
      </c>
    </row>
    <row r="9" spans="1:6" x14ac:dyDescent="0.3">
      <c r="A9" t="s">
        <v>12614</v>
      </c>
      <c r="B9" s="15">
        <v>0.82</v>
      </c>
    </row>
    <row r="10" spans="1:6" x14ac:dyDescent="0.3">
      <c r="A10" t="s">
        <v>12615</v>
      </c>
      <c r="B10" s="15">
        <v>0.55000000000000004</v>
      </c>
    </row>
    <row r="11" spans="1:6" x14ac:dyDescent="0.3">
      <c r="A11" t="s">
        <v>12616</v>
      </c>
      <c r="B11" s="15">
        <v>0.25</v>
      </c>
    </row>
    <row r="12" spans="1:6" x14ac:dyDescent="0.3">
      <c r="A12" t="s">
        <v>12617</v>
      </c>
      <c r="B12" s="15">
        <v>0.18</v>
      </c>
    </row>
    <row r="13" spans="1:6" x14ac:dyDescent="0.3">
      <c r="A13" t="s">
        <v>12618</v>
      </c>
      <c r="B13" s="15">
        <v>0.04</v>
      </c>
    </row>
    <row r="14" spans="1:6" x14ac:dyDescent="0.3">
      <c r="A14" t="s">
        <v>12619</v>
      </c>
      <c r="B14" s="18">
        <v>5000000</v>
      </c>
    </row>
    <row r="16" spans="1:6" x14ac:dyDescent="0.3">
      <c r="A16" s="10" t="s">
        <v>12620</v>
      </c>
      <c r="B16" s="10" t="s">
        <v>12621</v>
      </c>
      <c r="C16" s="10" t="s">
        <v>12622</v>
      </c>
      <c r="D16" s="10" t="s">
        <v>12623</v>
      </c>
      <c r="E16" s="10" t="s">
        <v>12624</v>
      </c>
      <c r="F16" s="10" t="s">
        <v>12625</v>
      </c>
    </row>
    <row r="17" spans="1:6" x14ac:dyDescent="0.3">
      <c r="B17" s="19">
        <v>0.08</v>
      </c>
      <c r="C17" s="19">
        <v>0.22</v>
      </c>
      <c r="D17" s="19">
        <v>0.45</v>
      </c>
      <c r="E17" s="19">
        <v>0.72</v>
      </c>
      <c r="F17" s="19">
        <v>1</v>
      </c>
    </row>
    <row r="19" spans="1:6" x14ac:dyDescent="0.3">
      <c r="A19" s="10" t="s">
        <v>12626</v>
      </c>
    </row>
    <row r="20" spans="1:6" x14ac:dyDescent="0.3">
      <c r="A20" t="s">
        <v>12627</v>
      </c>
      <c r="B20" s="20" t="s">
        <v>12621</v>
      </c>
      <c r="C20" s="20" t="s">
        <v>12622</v>
      </c>
      <c r="D20" s="20" t="s">
        <v>12623</v>
      </c>
      <c r="E20" s="20" t="s">
        <v>12624</v>
      </c>
      <c r="F20" s="20" t="s">
        <v>12625</v>
      </c>
    </row>
    <row r="21" spans="1:6" x14ac:dyDescent="0.3">
      <c r="A21" t="s">
        <v>12628</v>
      </c>
      <c r="B21" s="21">
        <f>ROUND(brand_y5*B17,0)</f>
        <v>96</v>
      </c>
      <c r="C21" s="21">
        <f>ROUND(brand_y5*C17,0)</f>
        <v>264</v>
      </c>
      <c r="D21" s="21">
        <f>ROUND(brand_y5*D17,0)</f>
        <v>540</v>
      </c>
      <c r="E21" s="21">
        <f>ROUND(brand_y5*E17,0)</f>
        <v>864</v>
      </c>
      <c r="F21" s="21">
        <f>ROUND(brand_y5*F17,0)</f>
        <v>1200</v>
      </c>
    </row>
    <row r="22" spans="1:6" x14ac:dyDescent="0.3">
      <c r="A22" t="s">
        <v>12629</v>
      </c>
      <c r="B22" s="21">
        <f>ROUND(agency_y5*B17,0)</f>
        <v>12</v>
      </c>
      <c r="C22" s="21">
        <f>ROUND(agency_y5*C17,0)</f>
        <v>33</v>
      </c>
      <c r="D22" s="21">
        <f>ROUND(agency_y5*D17,0)</f>
        <v>68</v>
      </c>
      <c r="E22" s="21">
        <f>ROUND(agency_y5*E17,0)</f>
        <v>108</v>
      </c>
      <c r="F22" s="21">
        <f>ROUND(agency_y5*F17,0)</f>
        <v>150</v>
      </c>
    </row>
    <row r="23" spans="1:6" x14ac:dyDescent="0.3">
      <c r="A23" t="s">
        <v>12630</v>
      </c>
      <c r="B23" s="22">
        <f>B21*brand_price+B22*agency_price</f>
        <v>6600000</v>
      </c>
      <c r="C23" s="22">
        <f>C21*brand_price+C22*agency_price</f>
        <v>18150000</v>
      </c>
      <c r="D23" s="22">
        <f>D21*brand_price+D22*agency_price</f>
        <v>37200000</v>
      </c>
      <c r="E23" s="22">
        <f>E21*brand_price+E22*agency_price</f>
        <v>59400000</v>
      </c>
      <c r="F23" s="22">
        <f>F21*brand_price+F22*agency_price</f>
        <v>82500000</v>
      </c>
    </row>
    <row r="24" spans="1:6" x14ac:dyDescent="0.3">
      <c r="A24" t="s">
        <v>12631</v>
      </c>
      <c r="B24" s="22">
        <f>B23*gm</f>
        <v>5412000</v>
      </c>
      <c r="C24" s="22">
        <f>C23*gm</f>
        <v>14883000</v>
      </c>
      <c r="D24" s="22">
        <f>D23*gm</f>
        <v>30504000</v>
      </c>
      <c r="E24" s="22">
        <f>E23*gm</f>
        <v>48708000</v>
      </c>
      <c r="F24" s="22">
        <f>F23*gm</f>
        <v>67650000</v>
      </c>
    </row>
    <row r="25" spans="1:6" x14ac:dyDescent="0.3">
      <c r="A25" t="s">
        <v>12632</v>
      </c>
      <c r="B25" s="22">
        <f>B23*opex_pct</f>
        <v>3630000.0000000005</v>
      </c>
      <c r="C25" s="22">
        <f>C23*opex_pct</f>
        <v>9982500</v>
      </c>
      <c r="D25" s="22">
        <f>D23*opex_pct</f>
        <v>20460000</v>
      </c>
      <c r="E25" s="22">
        <f>E23*opex_pct</f>
        <v>32670000.000000004</v>
      </c>
      <c r="F25" s="22">
        <f>F23*opex_pct</f>
        <v>45375000</v>
      </c>
    </row>
    <row r="26" spans="1:6" x14ac:dyDescent="0.3">
      <c r="A26" t="s">
        <v>12633</v>
      </c>
      <c r="B26" s="22">
        <f>B24-B25</f>
        <v>1781999.9999999995</v>
      </c>
      <c r="C26" s="22">
        <f>C24-C25</f>
        <v>4900500</v>
      </c>
      <c r="D26" s="22">
        <f>D24-D25</f>
        <v>10044000</v>
      </c>
      <c r="E26" s="22">
        <f>E24-E25</f>
        <v>16037999.999999996</v>
      </c>
      <c r="F26" s="22">
        <f>F24-F25</f>
        <v>22275000</v>
      </c>
    </row>
    <row r="27" spans="1:6" x14ac:dyDescent="0.3">
      <c r="A27" t="s">
        <v>12634</v>
      </c>
      <c r="B27" s="22">
        <f>MAX(B26,0)*tax</f>
        <v>445499.99999999988</v>
      </c>
      <c r="C27" s="22">
        <f>MAX(C26,0)*tax</f>
        <v>1225125</v>
      </c>
      <c r="D27" s="22">
        <f>MAX(D26,0)*tax</f>
        <v>2511000</v>
      </c>
      <c r="E27" s="22">
        <f>MAX(E26,0)*tax</f>
        <v>4009499.9999999991</v>
      </c>
      <c r="F27" s="22">
        <f>MAX(F26,0)*tax</f>
        <v>5568750</v>
      </c>
    </row>
    <row r="28" spans="1:6" x14ac:dyDescent="0.3">
      <c r="A28" t="s">
        <v>12635</v>
      </c>
      <c r="B28" s="22">
        <f>B26-B27</f>
        <v>1336499.9999999995</v>
      </c>
      <c r="C28" s="22">
        <f>C26-C27</f>
        <v>3675375</v>
      </c>
      <c r="D28" s="22">
        <f>D26-D27</f>
        <v>7533000</v>
      </c>
      <c r="E28" s="22">
        <f>E26-E27</f>
        <v>12028499.999999996</v>
      </c>
      <c r="F28" s="22">
        <f>F26-F27</f>
        <v>16706250</v>
      </c>
    </row>
    <row r="30" spans="1:6" x14ac:dyDescent="0.3">
      <c r="A30" s="10" t="s">
        <v>12636</v>
      </c>
    </row>
    <row r="31" spans="1:6" x14ac:dyDescent="0.3">
      <c r="A31" t="s">
        <v>12637</v>
      </c>
      <c r="B31" s="22">
        <f>F23</f>
        <v>82500000</v>
      </c>
    </row>
    <row r="32" spans="1:6" x14ac:dyDescent="0.3">
      <c r="A32" t="s">
        <v>12638</v>
      </c>
      <c r="B32" s="22">
        <f>F28*(1+term_g)/(WACC-term_g)</f>
        <v>124103571.42857145</v>
      </c>
    </row>
    <row r="33" spans="1:7" x14ac:dyDescent="0.3">
      <c r="A33" t="s">
        <v>12639</v>
      </c>
      <c r="B33" s="22">
        <f>NPV(WACC,B28:F28)</f>
        <v>21863662.909487288</v>
      </c>
    </row>
    <row r="34" spans="1:7" x14ac:dyDescent="0.3">
      <c r="A34" t="s">
        <v>12640</v>
      </c>
      <c r="B34" s="22">
        <f>B32/(1+WACC)^5</f>
        <v>54246814.838543616</v>
      </c>
    </row>
    <row r="35" spans="1:7" x14ac:dyDescent="0.3">
      <c r="A35" t="s">
        <v>12641</v>
      </c>
      <c r="B35" s="22">
        <f>B33+B34-init_inv</f>
        <v>71110477.748030901</v>
      </c>
    </row>
    <row r="36" spans="1:7" x14ac:dyDescent="0.3">
      <c r="A36" t="s">
        <v>12642</v>
      </c>
      <c r="B36" s="23">
        <f>IFERROR(IRR(B38:G38),0)</f>
        <v>1.2368582866802234</v>
      </c>
    </row>
    <row r="37" spans="1:7" x14ac:dyDescent="0.3">
      <c r="A37" t="s">
        <v>12643</v>
      </c>
      <c r="B37" s="22">
        <f>IFERROR(XNPV(WACC,B38:G38,B39:G39),0)</f>
        <v>71077682.375004575</v>
      </c>
    </row>
    <row r="38" spans="1:7" x14ac:dyDescent="0.3">
      <c r="A38" t="s">
        <v>12644</v>
      </c>
      <c r="B38" s="22">
        <f>-init_inv</f>
        <v>-5000000</v>
      </c>
      <c r="C38" s="22">
        <f>B28</f>
        <v>1336499.9999999995</v>
      </c>
      <c r="D38" s="22">
        <f>C28</f>
        <v>3675375</v>
      </c>
      <c r="E38" s="22">
        <f>D28</f>
        <v>7533000</v>
      </c>
      <c r="F38" s="22">
        <f>E28</f>
        <v>12028499.999999996</v>
      </c>
      <c r="G38" s="22">
        <f>F28+B32</f>
        <v>140809821.42857146</v>
      </c>
    </row>
    <row r="39" spans="1:7" x14ac:dyDescent="0.3">
      <c r="A39" t="s">
        <v>12645</v>
      </c>
      <c r="B39" s="24">
        <v>45747</v>
      </c>
      <c r="C39" s="24">
        <v>46112</v>
      </c>
      <c r="D39" s="24">
        <v>46477</v>
      </c>
      <c r="E39" s="24">
        <v>46843</v>
      </c>
      <c r="F39" s="24">
        <v>47208</v>
      </c>
      <c r="G39" s="24">
        <v>47573</v>
      </c>
    </row>
    <row r="41" spans="1:7" x14ac:dyDescent="0.3">
      <c r="A41" s="10" t="s">
        <v>12646</v>
      </c>
    </row>
    <row r="42" spans="1:7" x14ac:dyDescent="0.3">
      <c r="B42" s="19">
        <v>0.14000000000000001</v>
      </c>
      <c r="C42" s="19">
        <v>0.16</v>
      </c>
      <c r="D42" s="19">
        <v>0.18</v>
      </c>
      <c r="E42" s="19">
        <v>0.2</v>
      </c>
      <c r="F42" s="19">
        <v>0.22</v>
      </c>
    </row>
    <row r="43" spans="1:7" x14ac:dyDescent="0.3">
      <c r="A43" t="s">
        <v>12641</v>
      </c>
      <c r="B43" s="22">
        <f>NPV(B42,B28:F28)+(F28*(1+term_g)/(B42-term_g))/(1+B42)^5-init_inv</f>
        <v>110121259.52455853</v>
      </c>
      <c r="C43" s="22">
        <f>NPV(C42,B28:F28)+(F28*(1+term_g)/(C42-term_g))/(1+C42)^5-init_inv</f>
        <v>87242141.52949819</v>
      </c>
      <c r="D43" s="22">
        <f>NPV(D42,B28:F28)+(F28*(1+term_g)/(D42-term_g))/(1+D42)^5-init_inv</f>
        <v>71110477.748030901</v>
      </c>
      <c r="E43" s="22">
        <f>NPV(E42,B28:F28)+(F28*(1+term_g)/(E42-term_g))/(1+E42)^5-init_inv</f>
        <v>59180253.90625</v>
      </c>
      <c r="F43" s="22">
        <f>NPV(F42,B28:F28)+(F28*(1+term_g)/(F42-term_g))/(1+F42)^5-init_inv</f>
        <v>50038444.848709449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6" width="16" customWidth="1"/>
  </cols>
  <sheetData>
    <row r="1" spans="1:6" ht="21" x14ac:dyDescent="0.4">
      <c r="A1" s="2" t="s">
        <v>12647</v>
      </c>
    </row>
    <row r="2" spans="1:6" x14ac:dyDescent="0.3">
      <c r="A2" s="3" t="s">
        <v>12648</v>
      </c>
    </row>
    <row r="4" spans="1:6" x14ac:dyDescent="0.3">
      <c r="A4" s="10" t="s">
        <v>12649</v>
      </c>
      <c r="B4" s="25">
        <v>0.8</v>
      </c>
      <c r="C4" s="25">
        <v>0.9</v>
      </c>
      <c r="D4" s="25">
        <v>1</v>
      </c>
      <c r="E4" s="25">
        <v>1.1000000000000001</v>
      </c>
      <c r="F4" s="25">
        <v>1.2</v>
      </c>
    </row>
    <row r="5" spans="1:6" x14ac:dyDescent="0.3">
      <c r="A5" s="19">
        <v>0.6</v>
      </c>
      <c r="B5" s="22">
        <f t="shared" ref="B5:F9" si="0">(brand_y5*$A5*brand_price*B$4)+(agency_y5*$A5*agency_price*B$4)</f>
        <v>39600000</v>
      </c>
      <c r="C5" s="22">
        <f t="shared" si="0"/>
        <v>44550000</v>
      </c>
      <c r="D5" s="22">
        <f t="shared" si="0"/>
        <v>49500000</v>
      </c>
      <c r="E5" s="22">
        <f t="shared" si="0"/>
        <v>54450000</v>
      </c>
      <c r="F5" s="22">
        <f t="shared" si="0"/>
        <v>59400000</v>
      </c>
    </row>
    <row r="6" spans="1:6" x14ac:dyDescent="0.3">
      <c r="A6" s="19">
        <v>0.8</v>
      </c>
      <c r="B6" s="22">
        <f t="shared" si="0"/>
        <v>52800000</v>
      </c>
      <c r="C6" s="22">
        <f t="shared" si="0"/>
        <v>59400000</v>
      </c>
      <c r="D6" s="22">
        <f t="shared" si="0"/>
        <v>66000000</v>
      </c>
      <c r="E6" s="22">
        <f t="shared" si="0"/>
        <v>72600000</v>
      </c>
      <c r="F6" s="22">
        <f t="shared" si="0"/>
        <v>79200000</v>
      </c>
    </row>
    <row r="7" spans="1:6" x14ac:dyDescent="0.3">
      <c r="A7" s="19">
        <v>1</v>
      </c>
      <c r="B7" s="22">
        <f t="shared" si="0"/>
        <v>66000000</v>
      </c>
      <c r="C7" s="22">
        <f t="shared" si="0"/>
        <v>74250000</v>
      </c>
      <c r="D7" s="22">
        <f t="shared" si="0"/>
        <v>82500000</v>
      </c>
      <c r="E7" s="22">
        <f t="shared" si="0"/>
        <v>90750000.000000015</v>
      </c>
      <c r="F7" s="22">
        <f t="shared" si="0"/>
        <v>99000000</v>
      </c>
    </row>
    <row r="8" spans="1:6" x14ac:dyDescent="0.3">
      <c r="A8" s="19">
        <v>1.2</v>
      </c>
      <c r="B8" s="22">
        <f t="shared" si="0"/>
        <v>79200000</v>
      </c>
      <c r="C8" s="22">
        <f t="shared" si="0"/>
        <v>89100000</v>
      </c>
      <c r="D8" s="22">
        <f t="shared" si="0"/>
        <v>99000000</v>
      </c>
      <c r="E8" s="22">
        <f t="shared" si="0"/>
        <v>108900000</v>
      </c>
      <c r="F8" s="22">
        <f t="shared" si="0"/>
        <v>118800000</v>
      </c>
    </row>
    <row r="9" spans="1:6" x14ac:dyDescent="0.3">
      <c r="A9" s="19">
        <v>1.4</v>
      </c>
      <c r="B9" s="22">
        <f t="shared" si="0"/>
        <v>92400000</v>
      </c>
      <c r="C9" s="22">
        <f t="shared" si="0"/>
        <v>103950000</v>
      </c>
      <c r="D9" s="22">
        <f t="shared" si="0"/>
        <v>115500000</v>
      </c>
      <c r="E9" s="22">
        <f t="shared" si="0"/>
        <v>127050000.00000001</v>
      </c>
      <c r="F9" s="22">
        <f t="shared" si="0"/>
        <v>138600000</v>
      </c>
    </row>
    <row r="11" spans="1:6" x14ac:dyDescent="0.3">
      <c r="A11" s="3" t="s">
        <v>12650</v>
      </c>
    </row>
  </sheetData>
  <conditionalFormatting sqref="B5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showGridLines="0" topLeftCell="F1" zoomScale="72" zoomScaleNormal="100" workbookViewId="0">
      <selection activeCell="L34" sqref="L34"/>
    </sheetView>
  </sheetViews>
  <sheetFormatPr defaultColWidth="8.6640625" defaultRowHeight="14.4" x14ac:dyDescent="0.3"/>
  <cols>
    <col min="1" max="1" width="16" customWidth="1"/>
    <col min="2" max="2" width="10" customWidth="1"/>
    <col min="3" max="5" width="14" customWidth="1"/>
    <col min="6" max="6" width="13" customWidth="1"/>
    <col min="7" max="7" width="16" customWidth="1"/>
    <col min="8" max="8" width="9" customWidth="1"/>
    <col min="9" max="9" width="16" customWidth="1"/>
    <col min="11" max="11" width="14" customWidth="1"/>
    <col min="12" max="12" width="10" customWidth="1"/>
    <col min="13" max="13" width="12.5546875" bestFit="1" customWidth="1"/>
    <col min="14" max="14" width="22.88671875" bestFit="1" customWidth="1"/>
    <col min="15" max="15" width="15.21875" bestFit="1" customWidth="1"/>
  </cols>
  <sheetData>
    <row r="1" spans="1:16" ht="21" x14ac:dyDescent="0.4">
      <c r="A1" s="2" t="s">
        <v>12651</v>
      </c>
    </row>
    <row r="2" spans="1:16" x14ac:dyDescent="0.3">
      <c r="A2" s="3" t="s">
        <v>12652</v>
      </c>
    </row>
    <row r="4" spans="1:16" ht="28.8" x14ac:dyDescent="0.3">
      <c r="A4" s="11" t="s">
        <v>12653</v>
      </c>
      <c r="B4" s="11" t="s">
        <v>12654</v>
      </c>
      <c r="C4" s="11" t="s">
        <v>12655</v>
      </c>
      <c r="D4" s="11" t="s">
        <v>12656</v>
      </c>
      <c r="E4" s="11" t="s">
        <v>12657</v>
      </c>
      <c r="F4" s="11" t="s">
        <v>12658</v>
      </c>
      <c r="G4" s="11" t="s">
        <v>12659</v>
      </c>
      <c r="H4" s="11" t="s">
        <v>12660</v>
      </c>
      <c r="I4" s="11" t="s">
        <v>12661</v>
      </c>
      <c r="K4" s="10" t="s">
        <v>15</v>
      </c>
      <c r="L4" s="10" t="s">
        <v>12660</v>
      </c>
      <c r="N4" s="35" t="s">
        <v>12756</v>
      </c>
      <c r="O4" t="s">
        <v>12758</v>
      </c>
      <c r="P4" t="s">
        <v>12759</v>
      </c>
    </row>
    <row r="5" spans="1:16" x14ac:dyDescent="0.3">
      <c r="A5" t="s">
        <v>81</v>
      </c>
      <c r="B5" s="21">
        <f>COUNTIF(Data!B:B,A5)</f>
        <v>405</v>
      </c>
      <c r="C5" s="21">
        <f>AVERAGEIF(Data!B:B,A5,Data!C:C)</f>
        <v>624439.75308641978</v>
      </c>
      <c r="D5" s="21">
        <f>AVERAGEIF(Data!B:B,A5,Data!D:D)</f>
        <v>274826.77209876513</v>
      </c>
      <c r="E5" s="23">
        <f>AVERAGEIF(Data!B:B,A5,Data!E:E)</f>
        <v>3.13520202020202E-2</v>
      </c>
      <c r="F5" s="26">
        <f>AVERAGEIF(Data!B:B,A5,Data!F:F)</f>
        <v>8.7922962962962897E-2</v>
      </c>
      <c r="G5" s="22">
        <f t="shared" ref="G5:G24" si="0">D5*H5*20/1000</f>
        <v>137413.38604938256</v>
      </c>
      <c r="H5" s="21">
        <f t="shared" ref="H5:H24" si="1">VLOOKUP(A5,CPM_table,2,FALSE())</f>
        <v>25</v>
      </c>
      <c r="I5" s="12">
        <v>9.01170232769236</v>
      </c>
      <c r="K5" t="s">
        <v>81</v>
      </c>
      <c r="L5">
        <v>25</v>
      </c>
      <c r="N5" s="36" t="s">
        <v>81</v>
      </c>
      <c r="O5" s="21">
        <v>9.01170232769236</v>
      </c>
      <c r="P5" s="21">
        <v>405</v>
      </c>
    </row>
    <row r="6" spans="1:16" x14ac:dyDescent="0.3">
      <c r="A6" t="s">
        <v>287</v>
      </c>
      <c r="B6" s="21">
        <f>COUNTIF(Data!B:B,A6)</f>
        <v>239</v>
      </c>
      <c r="C6" s="21">
        <f>AVERAGEIF(Data!B:B,A6,Data!C:C)</f>
        <v>959042.25941422593</v>
      </c>
      <c r="D6" s="21">
        <f>AVERAGEIF(Data!B:B,A6,Data!D:D)</f>
        <v>210792.64411764708</v>
      </c>
      <c r="E6" s="23">
        <f>AVERAGEIF(Data!B:B,A6,Data!E:E)</f>
        <v>2.6629824561403521E-2</v>
      </c>
      <c r="F6" s="26">
        <f>AVERAGEIF(Data!B:B,A6,Data!F:F)</f>
        <v>8.7108368200836866E-2</v>
      </c>
      <c r="G6" s="22">
        <f t="shared" si="0"/>
        <v>105396.32205882354</v>
      </c>
      <c r="H6" s="21">
        <f t="shared" si="1"/>
        <v>25</v>
      </c>
      <c r="I6" s="12">
        <v>267.374535052726</v>
      </c>
      <c r="K6" t="s">
        <v>287</v>
      </c>
      <c r="L6">
        <v>25</v>
      </c>
      <c r="N6" s="36" t="s">
        <v>287</v>
      </c>
      <c r="O6" s="21">
        <v>267.374535052726</v>
      </c>
      <c r="P6" s="21">
        <v>239</v>
      </c>
    </row>
    <row r="7" spans="1:16" x14ac:dyDescent="0.3">
      <c r="A7" t="s">
        <v>30</v>
      </c>
      <c r="B7" s="21">
        <f>COUNTIF(Data!B:B,A7)</f>
        <v>271</v>
      </c>
      <c r="C7" s="21">
        <f>AVERAGEIF(Data!B:B,A7,Data!C:C)</f>
        <v>3648357.5645756456</v>
      </c>
      <c r="D7" s="21">
        <f>AVERAGEIF(Data!B:B,A7,Data!D:D)</f>
        <v>1680177.2900000003</v>
      </c>
      <c r="E7" s="23">
        <f>AVERAGEIF(Data!B:B,A7,Data!E:E)</f>
        <v>2.6183333333333336E-2</v>
      </c>
      <c r="F7" s="26">
        <f>AVERAGEIF(Data!B:B,A7,Data!F:F)</f>
        <v>8.0670479704797113E-2</v>
      </c>
      <c r="G7" s="22">
        <f t="shared" si="0"/>
        <v>840088.64500000014</v>
      </c>
      <c r="H7" s="21">
        <f t="shared" si="1"/>
        <v>25</v>
      </c>
      <c r="I7" s="12">
        <v>-111872.088642977</v>
      </c>
      <c r="K7" t="s">
        <v>30</v>
      </c>
      <c r="L7">
        <v>25</v>
      </c>
      <c r="N7" s="36" t="s">
        <v>30</v>
      </c>
      <c r="O7" s="21">
        <v>-111872.088642977</v>
      </c>
      <c r="P7" s="21">
        <v>271</v>
      </c>
    </row>
    <row r="8" spans="1:16" x14ac:dyDescent="0.3">
      <c r="A8" t="s">
        <v>214</v>
      </c>
      <c r="B8" s="21">
        <f>COUNTIF(Data!B:B,A8)</f>
        <v>608</v>
      </c>
      <c r="C8" s="21">
        <f>AVERAGEIF(Data!B:B,A8,Data!C:C)</f>
        <v>863902.79605263157</v>
      </c>
      <c r="D8" s="21">
        <f>AVERAGEIF(Data!B:B,A8,Data!D:D)</f>
        <v>124468.7105436573</v>
      </c>
      <c r="E8" s="23">
        <f>AVERAGEIF(Data!B:B,A8,Data!E:E)</f>
        <v>2.5718867924528283E-2</v>
      </c>
      <c r="F8" s="26">
        <f>AVERAGEIF(Data!B:B,A8,Data!F:F)</f>
        <v>8.7609868421052464E-2</v>
      </c>
      <c r="G8" s="22">
        <f t="shared" si="0"/>
        <v>62234.355271828652</v>
      </c>
      <c r="H8" s="21">
        <f t="shared" si="1"/>
        <v>25</v>
      </c>
      <c r="I8" s="12">
        <v>473.97033586571001</v>
      </c>
      <c r="K8" t="s">
        <v>214</v>
      </c>
      <c r="L8">
        <v>25</v>
      </c>
      <c r="N8" s="36" t="s">
        <v>24</v>
      </c>
      <c r="O8" s="21">
        <v>-349.23324878019503</v>
      </c>
      <c r="P8" s="21">
        <v>787</v>
      </c>
    </row>
    <row r="9" spans="1:16" x14ac:dyDescent="0.3">
      <c r="A9" t="s">
        <v>24</v>
      </c>
      <c r="B9" s="21">
        <f>COUNTIF(Data!B:B,A9)</f>
        <v>787</v>
      </c>
      <c r="C9" s="21">
        <f>AVERAGEIF(Data!B:B,A9,Data!C:C)</f>
        <v>1858022.7445997458</v>
      </c>
      <c r="D9" s="21">
        <f>AVERAGEIF(Data!B:B,A9,Data!D:D)</f>
        <v>380090.68360863981</v>
      </c>
      <c r="E9" s="23">
        <f>AVERAGEIF(Data!B:B,A9,Data!E:E)</f>
        <v>3.5539531859557896E-2</v>
      </c>
      <c r="F9" s="26">
        <f>AVERAGEIF(Data!B:B,A9,Data!F:F)</f>
        <v>9.3812960609911247E-2</v>
      </c>
      <c r="G9" s="22">
        <f t="shared" si="0"/>
        <v>190045.34180431991</v>
      </c>
      <c r="H9" s="21">
        <f t="shared" si="1"/>
        <v>25</v>
      </c>
      <c r="I9" s="12">
        <v>-349.23324878019503</v>
      </c>
      <c r="K9" t="s">
        <v>24</v>
      </c>
      <c r="L9">
        <v>25</v>
      </c>
      <c r="N9" s="36" t="s">
        <v>214</v>
      </c>
      <c r="O9" s="21">
        <v>473.97033586571001</v>
      </c>
      <c r="P9" s="21">
        <v>608</v>
      </c>
    </row>
    <row r="10" spans="1:16" x14ac:dyDescent="0.3">
      <c r="A10" t="s">
        <v>88</v>
      </c>
      <c r="B10" s="21">
        <f>COUNTIF(Data!B:B,A10)</f>
        <v>1438</v>
      </c>
      <c r="C10" s="21">
        <f>AVERAGEIF(Data!B:B,A10,Data!C:C)</f>
        <v>815621.27955493738</v>
      </c>
      <c r="D10" s="21">
        <f>AVERAGEIF(Data!B:B,A10,Data!D:D)</f>
        <v>43523.68639218418</v>
      </c>
      <c r="E10" s="23">
        <f>AVERAGEIF(Data!B:B,A10,Data!E:E)</f>
        <v>4.1914469914040089E-2</v>
      </c>
      <c r="F10" s="26">
        <f>AVERAGEIF(Data!B:B,A10,Data!F:F)</f>
        <v>9.8524200278164442E-2</v>
      </c>
      <c r="G10" s="22">
        <f t="shared" si="0"/>
        <v>30466.580474528928</v>
      </c>
      <c r="H10" s="21">
        <f t="shared" si="1"/>
        <v>35</v>
      </c>
      <c r="I10" s="12">
        <v>2.4033114150677402</v>
      </c>
      <c r="K10" t="s">
        <v>88</v>
      </c>
      <c r="L10">
        <v>35</v>
      </c>
      <c r="N10" s="36" t="s">
        <v>88</v>
      </c>
      <c r="O10" s="21">
        <v>2.4033114150677402</v>
      </c>
      <c r="P10" s="21">
        <v>1438</v>
      </c>
    </row>
    <row r="11" spans="1:16" x14ac:dyDescent="0.3">
      <c r="A11" t="s">
        <v>490</v>
      </c>
      <c r="B11" s="21">
        <f>COUNTIF(Data!B:B,A11)</f>
        <v>107</v>
      </c>
      <c r="C11" s="21">
        <f>AVERAGEIF(Data!B:B,A11,Data!C:C)</f>
        <v>679602.8037383178</v>
      </c>
      <c r="D11" s="21">
        <f>AVERAGEIF(Data!B:B,A11,Data!D:D)</f>
        <v>72724.790654205601</v>
      </c>
      <c r="E11" s="23">
        <f>AVERAGEIF(Data!B:B,A11,Data!E:E)</f>
        <v>2.2504901960784311E-2</v>
      </c>
      <c r="F11" s="26">
        <f>AVERAGEIF(Data!B:B,A11,Data!F:F)</f>
        <v>7.7318691588785071E-2</v>
      </c>
      <c r="G11" s="22">
        <f t="shared" si="0"/>
        <v>36362.3953271028</v>
      </c>
      <c r="H11" s="21">
        <f t="shared" si="1"/>
        <v>25</v>
      </c>
      <c r="I11" s="12">
        <v>331.05797875210698</v>
      </c>
      <c r="K11" t="s">
        <v>490</v>
      </c>
      <c r="L11">
        <v>25</v>
      </c>
      <c r="N11" s="36" t="s">
        <v>490</v>
      </c>
      <c r="O11" s="21">
        <v>331.05797875210698</v>
      </c>
      <c r="P11" s="21">
        <v>107</v>
      </c>
    </row>
    <row r="12" spans="1:16" x14ac:dyDescent="0.3">
      <c r="A12" t="s">
        <v>74</v>
      </c>
      <c r="B12" s="21">
        <f>COUNTIF(Data!B:B,A12)</f>
        <v>652</v>
      </c>
      <c r="C12" s="21">
        <f>AVERAGEIF(Data!B:B,A12,Data!C:C)</f>
        <v>847528.22085889569</v>
      </c>
      <c r="D12" s="21">
        <f>AVERAGEIF(Data!B:B,A12,Data!D:D)</f>
        <v>75220.035147744857</v>
      </c>
      <c r="E12" s="23">
        <f>AVERAGEIF(Data!B:B,A12,Data!E:E)</f>
        <v>4.2335852090032183E-2</v>
      </c>
      <c r="F12" s="26">
        <f>AVERAGEIF(Data!B:B,A12,Data!F:F)</f>
        <v>9.4463957055214542E-2</v>
      </c>
      <c r="G12" s="22">
        <f t="shared" si="0"/>
        <v>120352.05623639179</v>
      </c>
      <c r="H12" s="21">
        <f t="shared" si="1"/>
        <v>80</v>
      </c>
      <c r="I12" s="12">
        <v>234.76110276349101</v>
      </c>
      <c r="K12" t="s">
        <v>74</v>
      </c>
      <c r="L12">
        <v>80</v>
      </c>
      <c r="N12" s="36" t="s">
        <v>74</v>
      </c>
      <c r="O12" s="21">
        <v>234.76110276349101</v>
      </c>
      <c r="P12" s="21">
        <v>652</v>
      </c>
    </row>
    <row r="13" spans="1:16" x14ac:dyDescent="0.3">
      <c r="A13" t="s">
        <v>62</v>
      </c>
      <c r="B13" s="21">
        <f>COUNTIF(Data!B:B,A13)</f>
        <v>470</v>
      </c>
      <c r="C13" s="21">
        <f>AVERAGEIF(Data!B:B,A13,Data!C:C)</f>
        <v>1075687.8723404256</v>
      </c>
      <c r="D13" s="21">
        <f>AVERAGEIF(Data!B:B,A13,Data!D:D)</f>
        <v>122947.81897654585</v>
      </c>
      <c r="E13" s="23">
        <f>AVERAGEIF(Data!B:B,A13,Data!E:E)</f>
        <v>3.3546696035242282E-2</v>
      </c>
      <c r="F13" s="26">
        <f>AVERAGEIF(Data!B:B,A13,Data!F:F)</f>
        <v>8.3788085106382859E-2</v>
      </c>
      <c r="G13" s="22">
        <f t="shared" si="0"/>
        <v>61473.909488272926</v>
      </c>
      <c r="H13" s="21">
        <f t="shared" si="1"/>
        <v>25</v>
      </c>
      <c r="I13" s="12">
        <v>-498.616548896263</v>
      </c>
      <c r="K13" t="s">
        <v>62</v>
      </c>
      <c r="L13">
        <v>25</v>
      </c>
      <c r="N13" s="36" t="s">
        <v>62</v>
      </c>
      <c r="O13" s="21">
        <v>-498.616548896263</v>
      </c>
      <c r="P13" s="21">
        <v>470</v>
      </c>
    </row>
    <row r="14" spans="1:16" x14ac:dyDescent="0.3">
      <c r="A14" t="s">
        <v>92</v>
      </c>
      <c r="B14" s="21">
        <f>COUNTIF(Data!B:B,A14)</f>
        <v>812</v>
      </c>
      <c r="C14" s="21">
        <f>AVERAGEIF(Data!B:B,A14,Data!C:C)</f>
        <v>1176582.881773399</v>
      </c>
      <c r="D14" s="21">
        <f>AVERAGEIF(Data!B:B,A14,Data!D:D)</f>
        <v>116547.07832512328</v>
      </c>
      <c r="E14" s="23">
        <f>AVERAGEIF(Data!B:B,A14,Data!E:E)</f>
        <v>2.4780384615384593E-2</v>
      </c>
      <c r="F14" s="26">
        <f>AVERAGEIF(Data!B:B,A14,Data!F:F)</f>
        <v>8.5919088669950822E-2</v>
      </c>
      <c r="G14" s="22">
        <f t="shared" si="0"/>
        <v>58273.539162561639</v>
      </c>
      <c r="H14" s="21">
        <f t="shared" si="1"/>
        <v>25</v>
      </c>
      <c r="I14" s="12">
        <v>6593.67203575438</v>
      </c>
      <c r="K14" t="s">
        <v>92</v>
      </c>
      <c r="L14">
        <v>25</v>
      </c>
      <c r="N14" s="36" t="s">
        <v>92</v>
      </c>
      <c r="O14" s="21">
        <v>6593.67203575438</v>
      </c>
      <c r="P14" s="21">
        <v>812</v>
      </c>
    </row>
    <row r="15" spans="1:16" x14ac:dyDescent="0.3">
      <c r="A15" t="s">
        <v>53</v>
      </c>
      <c r="B15" s="21">
        <f>COUNTIF(Data!B:B,A15)</f>
        <v>534</v>
      </c>
      <c r="C15" s="21">
        <f>AVERAGEIF(Data!B:B,A15,Data!C:C)</f>
        <v>1939370.7865168538</v>
      </c>
      <c r="D15" s="21">
        <f>AVERAGEIF(Data!B:B,A15,Data!D:D)</f>
        <v>272397.59207547212</v>
      </c>
      <c r="E15" s="23">
        <f>AVERAGEIF(Data!B:B,A15,Data!E:E)</f>
        <v>4.2268800000000037E-2</v>
      </c>
      <c r="F15" s="26">
        <f>AVERAGEIF(Data!B:B,A15,Data!F:F)</f>
        <v>8.9179588014981367E-2</v>
      </c>
      <c r="G15" s="22">
        <f t="shared" si="0"/>
        <v>108959.03683018885</v>
      </c>
      <c r="H15" s="21">
        <f t="shared" si="1"/>
        <v>20</v>
      </c>
      <c r="I15" s="12">
        <v>-12701.6522983791</v>
      </c>
      <c r="K15" t="s">
        <v>53</v>
      </c>
      <c r="L15">
        <v>20</v>
      </c>
      <c r="N15" s="36" t="s">
        <v>53</v>
      </c>
      <c r="O15" s="21">
        <v>-12701.6522983791</v>
      </c>
      <c r="P15" s="21">
        <v>534</v>
      </c>
    </row>
    <row r="16" spans="1:16" x14ac:dyDescent="0.3">
      <c r="A16" t="s">
        <v>195</v>
      </c>
      <c r="B16" s="21">
        <f>COUNTIF(Data!B:B,A16)</f>
        <v>236</v>
      </c>
      <c r="C16" s="21">
        <f>AVERAGEIF(Data!B:B,A16,Data!C:C)</f>
        <v>868858.47457627114</v>
      </c>
      <c r="D16" s="21">
        <f>AVERAGEIF(Data!B:B,A16,Data!D:D)</f>
        <v>55356.42000000002</v>
      </c>
      <c r="E16" s="23">
        <f>AVERAGEIF(Data!B:B,A16,Data!E:E)</f>
        <v>2.649555555555556E-2</v>
      </c>
      <c r="F16" s="26">
        <f>AVERAGEIF(Data!B:B,A16,Data!F:F)</f>
        <v>9.2983050847457671E-2</v>
      </c>
      <c r="G16" s="22">
        <f t="shared" si="0"/>
        <v>27678.210000000006</v>
      </c>
      <c r="H16" s="21">
        <f t="shared" si="1"/>
        <v>25</v>
      </c>
      <c r="I16" s="12">
        <v>-4.6850206860997501</v>
      </c>
      <c r="K16" t="s">
        <v>195</v>
      </c>
      <c r="L16">
        <v>25</v>
      </c>
      <c r="N16" s="36" t="s">
        <v>195</v>
      </c>
      <c r="O16" s="21">
        <v>-4.6850206860997501</v>
      </c>
      <c r="P16" s="21">
        <v>236</v>
      </c>
    </row>
    <row r="17" spans="1:16" x14ac:dyDescent="0.3">
      <c r="A17" t="s">
        <v>32</v>
      </c>
      <c r="B17" s="21">
        <f>COUNTIF(Data!B:B,A17)</f>
        <v>316</v>
      </c>
      <c r="C17" s="21">
        <f>AVERAGEIF(Data!B:B,A17,Data!C:C)</f>
        <v>4757696.202531646</v>
      </c>
      <c r="D17" s="21">
        <f>AVERAGEIF(Data!B:B,A17,Data!D:D)</f>
        <v>569334.67523809522</v>
      </c>
      <c r="E17" s="23">
        <f>AVERAGEIF(Data!B:B,A17,Data!E:E)</f>
        <v>2.2588216560509546E-2</v>
      </c>
      <c r="F17" s="26">
        <f>AVERAGEIF(Data!B:B,A17,Data!F:F)</f>
        <v>9.5289240506329073E-2</v>
      </c>
      <c r="G17" s="22">
        <f t="shared" si="0"/>
        <v>284667.33761904767</v>
      </c>
      <c r="H17" s="21">
        <f t="shared" si="1"/>
        <v>25</v>
      </c>
      <c r="I17" s="12">
        <v>46.261778431131901</v>
      </c>
      <c r="K17" t="s">
        <v>32</v>
      </c>
      <c r="L17">
        <v>25</v>
      </c>
      <c r="N17" s="36" t="s">
        <v>32</v>
      </c>
      <c r="O17" s="21">
        <v>46.261778431131901</v>
      </c>
      <c r="P17" s="21">
        <v>316</v>
      </c>
    </row>
    <row r="18" spans="1:16" x14ac:dyDescent="0.3">
      <c r="A18" t="s">
        <v>41</v>
      </c>
      <c r="B18" s="21">
        <f>COUNTIF(Data!B:B,A18)</f>
        <v>900</v>
      </c>
      <c r="C18" s="21">
        <f>AVERAGEIF(Data!B:B,A18,Data!C:C)</f>
        <v>2465483.3333333335</v>
      </c>
      <c r="D18" s="21">
        <f>AVERAGEIF(Data!B:B,A18,Data!D:D)</f>
        <v>67767.132513966571</v>
      </c>
      <c r="E18" s="23">
        <f>AVERAGEIF(Data!B:B,A18,Data!E:E)</f>
        <v>3.1843749999999955E-2</v>
      </c>
      <c r="F18" s="26">
        <f>AVERAGEIF(Data!B:B,A18,Data!F:F)</f>
        <v>0.11652377777777835</v>
      </c>
      <c r="G18" s="22">
        <f t="shared" si="0"/>
        <v>33883.566256983286</v>
      </c>
      <c r="H18" s="21">
        <f t="shared" si="1"/>
        <v>25</v>
      </c>
      <c r="I18" s="12">
        <v>28.268647920540801</v>
      </c>
      <c r="K18" t="s">
        <v>41</v>
      </c>
      <c r="L18">
        <v>25</v>
      </c>
      <c r="N18" s="36" t="s">
        <v>41</v>
      </c>
      <c r="O18" s="21">
        <v>28.268647920540801</v>
      </c>
      <c r="P18" s="21">
        <v>900</v>
      </c>
    </row>
    <row r="19" spans="1:16" x14ac:dyDescent="0.3">
      <c r="A19" t="s">
        <v>28</v>
      </c>
      <c r="B19" s="21">
        <f>COUNTIF(Data!B:B,A19)</f>
        <v>101</v>
      </c>
      <c r="C19" s="21">
        <f>AVERAGEIF(Data!B:B,A19,Data!C:C)</f>
        <v>4531440.5940594058</v>
      </c>
      <c r="D19" s="21">
        <f>AVERAGEIF(Data!B:B,A19,Data!D:D)</f>
        <v>226739.29207920789</v>
      </c>
      <c r="E19" s="23">
        <f>AVERAGEIF(Data!B:B,A19,Data!E:E)</f>
        <v>1.4364646464646464E-2</v>
      </c>
      <c r="F19" s="26">
        <f>AVERAGEIF(Data!B:B,A19,Data!F:F)</f>
        <v>8.5649504950495114E-2</v>
      </c>
      <c r="G19" s="22">
        <f t="shared" si="0"/>
        <v>113369.64603960395</v>
      </c>
      <c r="H19" s="21">
        <f t="shared" si="1"/>
        <v>25</v>
      </c>
      <c r="I19" s="12">
        <v>-413.51294650026398</v>
      </c>
      <c r="K19" t="s">
        <v>28</v>
      </c>
      <c r="L19">
        <v>25</v>
      </c>
      <c r="N19" s="36" t="s">
        <v>28</v>
      </c>
      <c r="O19" s="21">
        <v>-413.51294650026398</v>
      </c>
      <c r="P19" s="21">
        <v>101</v>
      </c>
    </row>
    <row r="20" spans="1:16" x14ac:dyDescent="0.3">
      <c r="A20" t="s">
        <v>50</v>
      </c>
      <c r="B20" s="21">
        <f>COUNTIF(Data!B:B,A20)</f>
        <v>372</v>
      </c>
      <c r="C20" s="21">
        <f>AVERAGEIF(Data!B:B,A20,Data!C:C)</f>
        <v>1835919.0860215053</v>
      </c>
      <c r="D20" s="21">
        <f>AVERAGEIF(Data!B:B,A20,Data!D:D)</f>
        <v>340396.08780487801</v>
      </c>
      <c r="E20" s="23">
        <f>AVERAGEIF(Data!B:B,A20,Data!E:E)</f>
        <v>3.3573521126760569E-2</v>
      </c>
      <c r="F20" s="26">
        <f>AVERAGEIF(Data!B:B,A20,Data!F:F)</f>
        <v>8.5827688172043018E-2</v>
      </c>
      <c r="G20" s="22">
        <f t="shared" si="0"/>
        <v>170198.04390243901</v>
      </c>
      <c r="H20" s="21">
        <f t="shared" si="1"/>
        <v>25</v>
      </c>
      <c r="I20" s="12">
        <v>1421.6089169478801</v>
      </c>
      <c r="K20" t="s">
        <v>50</v>
      </c>
      <c r="L20">
        <v>25</v>
      </c>
      <c r="N20" s="36" t="s">
        <v>50</v>
      </c>
      <c r="O20" s="21">
        <v>1421.6089169478801</v>
      </c>
      <c r="P20" s="21">
        <v>372</v>
      </c>
    </row>
    <row r="21" spans="1:16" x14ac:dyDescent="0.3">
      <c r="A21" t="s">
        <v>21</v>
      </c>
      <c r="B21" s="21">
        <f>COUNTIF(Data!B:B,A21)</f>
        <v>371</v>
      </c>
      <c r="C21" s="21">
        <f>AVERAGEIF(Data!B:B,A21,Data!C:C)</f>
        <v>4733611.5902964957</v>
      </c>
      <c r="D21" s="21">
        <f>AVERAGEIF(Data!B:B,A21,Data!D:D)</f>
        <v>351448.10708446882</v>
      </c>
      <c r="E21" s="23">
        <f>AVERAGEIF(Data!B:B,A21,Data!E:E)</f>
        <v>2.8970704225352105E-2</v>
      </c>
      <c r="F21" s="26">
        <f>AVERAGEIF(Data!B:B,A21,Data!F:F)</f>
        <v>8.872641509433965E-2</v>
      </c>
      <c r="G21" s="22">
        <f t="shared" si="0"/>
        <v>175724.05354223441</v>
      </c>
      <c r="H21" s="21">
        <f t="shared" si="1"/>
        <v>25</v>
      </c>
      <c r="I21" s="12">
        <v>-401.08418008433398</v>
      </c>
      <c r="K21" t="s">
        <v>21</v>
      </c>
      <c r="L21">
        <v>25</v>
      </c>
      <c r="N21" s="36" t="s">
        <v>21</v>
      </c>
      <c r="O21" s="21">
        <v>-401.08418008433398</v>
      </c>
      <c r="P21" s="21">
        <v>371</v>
      </c>
    </row>
    <row r="22" spans="1:16" x14ac:dyDescent="0.3">
      <c r="A22" t="s">
        <v>71</v>
      </c>
      <c r="B22" s="21">
        <f>COUNTIF(Data!B:B,A22)</f>
        <v>348</v>
      </c>
      <c r="C22" s="21">
        <f>AVERAGEIF(Data!B:B,A22,Data!C:C)</f>
        <v>1206883.9080459771</v>
      </c>
      <c r="D22" s="21">
        <f>AVERAGEIF(Data!B:B,A22,Data!D:D)</f>
        <v>145846.23890489907</v>
      </c>
      <c r="E22" s="23">
        <f>AVERAGEIF(Data!B:B,A22,Data!E:E)</f>
        <v>3.1395588235294127E-2</v>
      </c>
      <c r="F22" s="26">
        <f>AVERAGEIF(Data!B:B,A22,Data!F:F)</f>
        <v>9.4066091954023032E-2</v>
      </c>
      <c r="G22" s="22">
        <f t="shared" si="0"/>
        <v>116676.99112391926</v>
      </c>
      <c r="H22" s="21">
        <f t="shared" si="1"/>
        <v>40</v>
      </c>
      <c r="I22" s="12">
        <v>187.459654199733</v>
      </c>
      <c r="K22" t="s">
        <v>71</v>
      </c>
      <c r="L22">
        <v>40</v>
      </c>
      <c r="N22" s="36" t="s">
        <v>71</v>
      </c>
      <c r="O22" s="21">
        <v>187.459654199733</v>
      </c>
      <c r="P22" s="21">
        <v>348</v>
      </c>
    </row>
    <row r="23" spans="1:16" x14ac:dyDescent="0.3">
      <c r="A23" t="s">
        <v>35</v>
      </c>
      <c r="B23" s="21">
        <f>COUNTIF(Data!B:B,A23)</f>
        <v>121</v>
      </c>
      <c r="C23" s="21">
        <f>AVERAGEIF(Data!B:B,A23,Data!C:C)</f>
        <v>1804706.6115702479</v>
      </c>
      <c r="D23" s="21">
        <f>AVERAGEIF(Data!B:B,A23,Data!D:D)</f>
        <v>116829.21652892567</v>
      </c>
      <c r="E23" s="23">
        <f>AVERAGEIF(Data!B:B,A23,Data!E:E)</f>
        <v>2.7056302521008407E-2</v>
      </c>
      <c r="F23" s="26">
        <f>AVERAGEIF(Data!B:B,A23,Data!F:F)</f>
        <v>8.4290082644628173E-2</v>
      </c>
      <c r="G23" s="22">
        <f t="shared" si="0"/>
        <v>58414.608264462833</v>
      </c>
      <c r="H23" s="21">
        <f t="shared" si="1"/>
        <v>25</v>
      </c>
      <c r="I23" s="12">
        <v>25.874450871726701</v>
      </c>
      <c r="K23" t="s">
        <v>35</v>
      </c>
      <c r="L23">
        <v>25</v>
      </c>
      <c r="N23" s="36" t="s">
        <v>35</v>
      </c>
      <c r="O23" s="21">
        <v>25.874450871726701</v>
      </c>
      <c r="P23" s="21">
        <v>121</v>
      </c>
    </row>
    <row r="24" spans="1:16" x14ac:dyDescent="0.3">
      <c r="A24" t="s">
        <v>26</v>
      </c>
      <c r="B24" s="21">
        <f>COUNTIF(Data!B:B,A24)</f>
        <v>3459</v>
      </c>
      <c r="C24" s="21">
        <f>AVERAGEIF(Data!B:B,A24,Data!C:C)</f>
        <v>1559683.7525296328</v>
      </c>
      <c r="D24" s="21">
        <f>AVERAGEIF(Data!B:B,A24,Data!D:D)</f>
        <v>301926.56029668433</v>
      </c>
      <c r="E24" s="23">
        <f>AVERAGEIF(Data!B:B,A24,Data!E:E)</f>
        <v>3.4419079548918097E-2</v>
      </c>
      <c r="F24" s="26">
        <f>AVERAGEIF(Data!B:B,A24,Data!F:F)</f>
        <v>8.4060653368023999E-2</v>
      </c>
      <c r="G24" s="22">
        <f t="shared" si="0"/>
        <v>150963.28014834216</v>
      </c>
      <c r="H24" s="21">
        <f t="shared" si="1"/>
        <v>25</v>
      </c>
      <c r="I24" s="12">
        <v>283.57584396842498</v>
      </c>
      <c r="K24" t="s">
        <v>26</v>
      </c>
      <c r="L24">
        <v>25</v>
      </c>
      <c r="N24" s="36" t="s">
        <v>26</v>
      </c>
      <c r="O24" s="21">
        <v>283.57584396842498</v>
      </c>
      <c r="P24" s="21">
        <v>3459</v>
      </c>
    </row>
    <row r="25" spans="1:16" x14ac:dyDescent="0.3">
      <c r="N25" s="36" t="s">
        <v>12757</v>
      </c>
      <c r="O25" s="21">
        <v>-5816.778629601632</v>
      </c>
      <c r="P25" s="21">
        <v>12547</v>
      </c>
    </row>
    <row r="26" spans="1:16" x14ac:dyDescent="0.3">
      <c r="A26" s="10" t="s">
        <v>12662</v>
      </c>
      <c r="D26" s="27" t="str">
        <f>INDEX(A5:A24,MATCH(MAX(I5:I24),I5:I24,0))</f>
        <v>Food</v>
      </c>
    </row>
    <row r="27" spans="1:16" x14ac:dyDescent="0.3">
      <c r="A27" s="10" t="s">
        <v>12663</v>
      </c>
      <c r="D27" s="27" t="str">
        <f>INDEX(A5:A24,MATCH(MAX(F5:F24),F5:F24,0))</f>
        <v>News</v>
      </c>
    </row>
  </sheetData>
  <conditionalFormatting sqref="F5:F24">
    <cfRule type="colorScale" priority="3">
      <colorScale>
        <cfvo type="min"/>
        <cfvo type="max"/>
        <color rgb="FF63BE7B"/>
        <color rgb="FFF8696B"/>
      </colorScale>
    </cfRule>
  </conditionalFormatting>
  <conditionalFormatting sqref="I5:I24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{827FE2C3-8B34-4F61-BC6B-83C6F0A49EEC}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FE2C3-8B34-4F61-BC6B-83C6F0A49EEC}">
            <x14:dataBar axisPosition="none">
              <x14:cfvo type="min"/>
              <x14:cfvo type="max"/>
              <x14:negativeFillColor rgb="FF5B9BD5"/>
            </x14:dataBar>
          </x14:cfRule>
          <xm:sqref>I5:I24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showGridLines="0" tabSelected="1" zoomScale="62" zoomScaleNormal="100" workbookViewId="0">
      <selection activeCell="K17" sqref="K17"/>
    </sheetView>
  </sheetViews>
  <sheetFormatPr defaultColWidth="8.6640625" defaultRowHeight="14.4" x14ac:dyDescent="0.3"/>
  <cols>
    <col min="1" max="1" width="28" customWidth="1"/>
    <col min="2" max="2" width="16" customWidth="1"/>
    <col min="3" max="3" width="18" customWidth="1"/>
    <col min="4" max="4" width="16" customWidth="1"/>
    <col min="5" max="5" width="14" customWidth="1"/>
    <col min="7" max="7" width="13.88671875" bestFit="1" customWidth="1"/>
    <col min="8" max="8" width="15.21875" bestFit="1" customWidth="1"/>
    <col min="9" max="9" width="20.5546875" bestFit="1" customWidth="1"/>
  </cols>
  <sheetData>
    <row r="1" spans="1:9" ht="21" x14ac:dyDescent="0.4">
      <c r="A1" s="2" t="s">
        <v>12664</v>
      </c>
    </row>
    <row r="2" spans="1:9" x14ac:dyDescent="0.3">
      <c r="A2" s="3" t="s">
        <v>12665</v>
      </c>
    </row>
    <row r="4" spans="1:9" x14ac:dyDescent="0.3">
      <c r="A4" s="11" t="s">
        <v>12666</v>
      </c>
      <c r="B4" s="11" t="s">
        <v>12667</v>
      </c>
      <c r="C4" s="11" t="s">
        <v>12668</v>
      </c>
      <c r="D4" s="11" t="s">
        <v>12654</v>
      </c>
      <c r="E4" s="11" t="s">
        <v>12669</v>
      </c>
      <c r="G4" s="35" t="s">
        <v>12756</v>
      </c>
      <c r="H4" t="s">
        <v>12759</v>
      </c>
      <c r="I4" t="s">
        <v>12767</v>
      </c>
    </row>
    <row r="5" spans="1:9" x14ac:dyDescent="0.3">
      <c r="A5" t="s">
        <v>12670</v>
      </c>
      <c r="B5" s="28">
        <v>0</v>
      </c>
      <c r="C5" s="28">
        <v>0.05</v>
      </c>
      <c r="D5" s="21">
        <f>COUNTIFS(Data!F:F,"&gt;="&amp;B5,Data!F:F,"&lt;"&amp;C5)</f>
        <v>1161</v>
      </c>
      <c r="E5" s="23">
        <f t="shared" ref="E5:E10" si="0">D5/SUM($D$5:$D$10)</f>
        <v>9.2532079381525467E-2</v>
      </c>
      <c r="G5" s="36" t="s">
        <v>12673</v>
      </c>
      <c r="H5" s="21">
        <v>189</v>
      </c>
      <c r="I5" s="37">
        <v>1.5063361759783215E-2</v>
      </c>
    </row>
    <row r="6" spans="1:9" x14ac:dyDescent="0.3">
      <c r="A6" t="s">
        <v>12671</v>
      </c>
      <c r="B6" s="28">
        <v>0.05</v>
      </c>
      <c r="C6" s="28">
        <v>0.1</v>
      </c>
      <c r="D6" s="21">
        <f>COUNTIFS(Data!F:F,"&gt;="&amp;B6,Data!F:F,"&lt;"&amp;C6)</f>
        <v>9238</v>
      </c>
      <c r="E6" s="23">
        <f t="shared" si="0"/>
        <v>0.73627161871363678</v>
      </c>
      <c r="G6" s="36" t="s">
        <v>12674</v>
      </c>
      <c r="H6" s="21">
        <v>148</v>
      </c>
      <c r="I6" s="37">
        <v>1.1795648362158285E-2</v>
      </c>
    </row>
    <row r="7" spans="1:9" x14ac:dyDescent="0.3">
      <c r="A7" t="s">
        <v>12672</v>
      </c>
      <c r="B7" s="28">
        <v>0.1</v>
      </c>
      <c r="C7" s="28">
        <v>0.2</v>
      </c>
      <c r="D7" s="21">
        <f>COUNTIFS(Data!F:F,"&gt;="&amp;B7,Data!F:F,"&lt;"&amp;C7)</f>
        <v>1751</v>
      </c>
      <c r="E7" s="23">
        <f t="shared" si="0"/>
        <v>0.13955527217661592</v>
      </c>
      <c r="G7" s="36" t="s">
        <v>12671</v>
      </c>
      <c r="H7" s="21">
        <v>9238</v>
      </c>
      <c r="I7" s="37">
        <v>0.73627161871363678</v>
      </c>
    </row>
    <row r="8" spans="1:9" x14ac:dyDescent="0.3">
      <c r="A8" t="s">
        <v>12673</v>
      </c>
      <c r="B8" s="28">
        <v>0.2</v>
      </c>
      <c r="C8" s="28">
        <v>0.3</v>
      </c>
      <c r="D8" s="21">
        <f>COUNTIFS(Data!F:F,"&gt;="&amp;B8,Data!F:F,"&lt;"&amp;C8)</f>
        <v>189</v>
      </c>
      <c r="E8" s="23">
        <f t="shared" si="0"/>
        <v>1.5063361759783215E-2</v>
      </c>
      <c r="G8" s="36" t="s">
        <v>12672</v>
      </c>
      <c r="H8" s="21">
        <v>1751</v>
      </c>
      <c r="I8" s="37">
        <v>0.13955527217661592</v>
      </c>
    </row>
    <row r="9" spans="1:9" x14ac:dyDescent="0.3">
      <c r="A9" t="s">
        <v>12674</v>
      </c>
      <c r="B9" s="28">
        <v>0.3</v>
      </c>
      <c r="C9" s="28">
        <v>0.5</v>
      </c>
      <c r="D9" s="21">
        <f>COUNTIFS(Data!F:F,"&gt;="&amp;B9,Data!F:F,"&lt;"&amp;C9)</f>
        <v>148</v>
      </c>
      <c r="E9" s="23">
        <f t="shared" si="0"/>
        <v>1.1795648362158285E-2</v>
      </c>
      <c r="G9" s="36" t="s">
        <v>12675</v>
      </c>
      <c r="H9" s="21">
        <v>60</v>
      </c>
      <c r="I9" s="37">
        <v>4.7820196062803855E-3</v>
      </c>
    </row>
    <row r="10" spans="1:9" x14ac:dyDescent="0.3">
      <c r="A10" t="s">
        <v>12675</v>
      </c>
      <c r="B10" s="28">
        <v>0.5</v>
      </c>
      <c r="C10" s="28">
        <v>1.01</v>
      </c>
      <c r="D10" s="21">
        <f>COUNTIFS(Data!F:F,"&gt;="&amp;B10,Data!F:F,"&lt;"&amp;C10)</f>
        <v>60</v>
      </c>
      <c r="E10" s="23">
        <f t="shared" si="0"/>
        <v>4.7820196062803855E-3</v>
      </c>
      <c r="G10" s="36" t="s">
        <v>12676</v>
      </c>
      <c r="H10" s="21">
        <v>12547</v>
      </c>
      <c r="I10" s="37"/>
    </row>
    <row r="11" spans="1:9" x14ac:dyDescent="0.3">
      <c r="A11" s="10" t="s">
        <v>12676</v>
      </c>
      <c r="D11" s="29">
        <f>SUM(D5:D10)</f>
        <v>12547</v>
      </c>
      <c r="G11" s="36" t="s">
        <v>12670</v>
      </c>
      <c r="H11" s="21">
        <v>1161</v>
      </c>
      <c r="I11" s="37">
        <v>9.2532079381525467E-2</v>
      </c>
    </row>
    <row r="12" spans="1:9" x14ac:dyDescent="0.3">
      <c r="G12" s="36" t="s">
        <v>12757</v>
      </c>
      <c r="H12" s="21">
        <v>25094</v>
      </c>
      <c r="I12" s="37">
        <v>0.16666666666666666</v>
      </c>
    </row>
    <row r="13" spans="1:9" x14ac:dyDescent="0.3">
      <c r="A13" s="10" t="s">
        <v>12677</v>
      </c>
    </row>
    <row r="14" spans="1:9" x14ac:dyDescent="0.3">
      <c r="A14" s="3" t="s">
        <v>12600</v>
      </c>
    </row>
    <row r="15" spans="1:9" x14ac:dyDescent="0.3">
      <c r="A15" t="s">
        <v>12678</v>
      </c>
      <c r="B15" s="15">
        <v>0.04</v>
      </c>
    </row>
    <row r="16" spans="1:9" x14ac:dyDescent="0.3">
      <c r="A16" t="s">
        <v>12679</v>
      </c>
      <c r="B16" s="18">
        <v>80000</v>
      </c>
    </row>
    <row r="18" spans="1:4" x14ac:dyDescent="0.3">
      <c r="A18" s="11" t="s">
        <v>12680</v>
      </c>
      <c r="B18" s="11" t="s">
        <v>12681</v>
      </c>
      <c r="C18" s="11" t="s">
        <v>12682</v>
      </c>
      <c r="D18" s="11" t="s">
        <v>12683</v>
      </c>
    </row>
    <row r="19" spans="1:4" x14ac:dyDescent="0.3">
      <c r="A19" s="30">
        <v>0.2</v>
      </c>
      <c r="B19" s="21">
        <f>COUNTIF(Data!F:F,"&gt;="&amp;A19)</f>
        <v>397</v>
      </c>
      <c r="C19" s="21">
        <f>B19*(1-$B$15)</f>
        <v>381.12</v>
      </c>
      <c r="D19" s="22">
        <f>C19*$B$16</f>
        <v>30489600</v>
      </c>
    </row>
    <row r="20" spans="1:4" x14ac:dyDescent="0.3">
      <c r="A20" s="30">
        <v>0.3</v>
      </c>
      <c r="B20" s="21">
        <f>COUNTIF(Data!F:F,"&gt;="&amp;A20)</f>
        <v>208</v>
      </c>
      <c r="C20" s="21">
        <f>B20*(1-$B$15)</f>
        <v>199.68</v>
      </c>
      <c r="D20" s="22">
        <f>C20*$B$16</f>
        <v>15974400</v>
      </c>
    </row>
    <row r="21" spans="1:4" x14ac:dyDescent="0.3">
      <c r="A21" s="30">
        <v>0.5</v>
      </c>
      <c r="B21" s="21">
        <f>COUNTIF(Data!F:F,"&gt;="&amp;A21)</f>
        <v>60</v>
      </c>
      <c r="C21" s="21">
        <f>B21*(1-$B$15)</f>
        <v>57.599999999999994</v>
      </c>
      <c r="D21" s="22">
        <f>C21*$B$16</f>
        <v>4608000</v>
      </c>
    </row>
  </sheetData>
  <conditionalFormatting sqref="D5:D10">
    <cfRule type="dataBar" priority="2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{4AE59F3E-4C39-42B0-BAA6-7160A5CF7220}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E59F3E-4C39-42B0-BAA6-7160A5CF7220}">
            <x14:dataBar axisPosition="none">
              <x14:cfvo type="min"/>
              <x14:cfvo type="max"/>
              <x14:negativeFillColor rgb="FFF4B183"/>
            </x14:dataBar>
          </x14:cfRule>
          <xm:sqref>D5:D10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"/>
  <sheetViews>
    <sheetView showGridLines="0" topLeftCell="F3" zoomScale="69" zoomScaleNormal="100" workbookViewId="0">
      <selection activeCell="L6" sqref="L6"/>
    </sheetView>
  </sheetViews>
  <sheetFormatPr defaultColWidth="8.6640625" defaultRowHeight="14.4" x14ac:dyDescent="0.3"/>
  <cols>
    <col min="1" max="1" width="30" customWidth="1"/>
    <col min="2" max="2" width="12" customWidth="1"/>
    <col min="3" max="5" width="10" customWidth="1"/>
    <col min="6" max="7" width="12" customWidth="1"/>
    <col min="10" max="10" width="14.109375" bestFit="1" customWidth="1"/>
    <col min="11" max="12" width="10.77734375" bestFit="1" customWidth="1"/>
    <col min="13" max="13" width="14.44140625" bestFit="1" customWidth="1"/>
    <col min="14" max="22" width="10.77734375" bestFit="1" customWidth="1"/>
    <col min="23" max="25" width="15.77734375" bestFit="1" customWidth="1"/>
    <col min="26" max="26" width="14.77734375" bestFit="1" customWidth="1"/>
    <col min="27" max="28" width="15.77734375" bestFit="1" customWidth="1"/>
  </cols>
  <sheetData>
    <row r="1" spans="1:14" ht="21" x14ac:dyDescent="0.4">
      <c r="A1" s="2" t="s">
        <v>12684</v>
      </c>
    </row>
    <row r="2" spans="1:14" x14ac:dyDescent="0.3">
      <c r="A2" s="3" t="s">
        <v>12685</v>
      </c>
    </row>
    <row r="4" spans="1:14" x14ac:dyDescent="0.3">
      <c r="A4" s="11" t="s">
        <v>12686</v>
      </c>
      <c r="B4" s="11" t="s">
        <v>12687</v>
      </c>
      <c r="C4" s="11" t="s">
        <v>12688</v>
      </c>
      <c r="D4" s="11" t="s">
        <v>12689</v>
      </c>
      <c r="E4" s="11" t="s">
        <v>12690</v>
      </c>
      <c r="F4" s="11" t="s">
        <v>12691</v>
      </c>
      <c r="G4" s="11" t="s">
        <v>12692</v>
      </c>
      <c r="J4" s="35" t="s">
        <v>12756</v>
      </c>
      <c r="K4" t="s">
        <v>12761</v>
      </c>
      <c r="L4" t="s">
        <v>12762</v>
      </c>
      <c r="M4" t="s">
        <v>12764</v>
      </c>
      <c r="N4" t="s">
        <v>12763</v>
      </c>
    </row>
    <row r="5" spans="1:14" x14ac:dyDescent="0.3">
      <c r="A5" t="s">
        <v>12693</v>
      </c>
      <c r="B5" s="12">
        <v>520</v>
      </c>
      <c r="C5" s="12">
        <v>198</v>
      </c>
      <c r="D5" s="12">
        <v>150</v>
      </c>
      <c r="E5" s="12">
        <v>96</v>
      </c>
      <c r="F5" s="23">
        <f>C5/B5</f>
        <v>0.38076923076923075</v>
      </c>
      <c r="G5" s="23">
        <f>E5/B5</f>
        <v>0.18461538461538463</v>
      </c>
      <c r="J5" s="36" t="s">
        <v>12693</v>
      </c>
      <c r="K5" s="21">
        <v>198</v>
      </c>
      <c r="L5" s="21">
        <v>96</v>
      </c>
      <c r="M5" s="21">
        <v>520</v>
      </c>
      <c r="N5" s="21">
        <v>150</v>
      </c>
    </row>
    <row r="6" spans="1:14" x14ac:dyDescent="0.3">
      <c r="A6" t="s">
        <v>12694</v>
      </c>
      <c r="B6" s="12">
        <v>610</v>
      </c>
      <c r="C6" s="12">
        <v>232</v>
      </c>
      <c r="D6" s="12">
        <v>171</v>
      </c>
      <c r="E6" s="12">
        <v>108</v>
      </c>
      <c r="F6" s="23">
        <f>C6/B6</f>
        <v>0.38032786885245901</v>
      </c>
      <c r="G6" s="23">
        <f>E6/B6</f>
        <v>0.17704918032786884</v>
      </c>
      <c r="J6" s="36" t="s">
        <v>12694</v>
      </c>
      <c r="K6" s="21">
        <v>232</v>
      </c>
      <c r="L6" s="21">
        <v>108</v>
      </c>
      <c r="M6" s="21">
        <v>610</v>
      </c>
      <c r="N6" s="21">
        <v>171</v>
      </c>
    </row>
    <row r="7" spans="1:14" x14ac:dyDescent="0.3">
      <c r="A7" t="s">
        <v>12695</v>
      </c>
      <c r="B7" s="12">
        <v>565</v>
      </c>
      <c r="C7" s="12">
        <v>221</v>
      </c>
      <c r="D7" s="12">
        <v>160</v>
      </c>
      <c r="E7" s="12">
        <v>101</v>
      </c>
      <c r="F7" s="23">
        <f>C7/B7</f>
        <v>0.39115044247787611</v>
      </c>
      <c r="G7" s="23">
        <f>E7/B7</f>
        <v>0.17876106194690267</v>
      </c>
      <c r="J7" s="36" t="s">
        <v>12695</v>
      </c>
      <c r="K7" s="21">
        <v>221</v>
      </c>
      <c r="L7" s="21">
        <v>101</v>
      </c>
      <c r="M7" s="21">
        <v>565</v>
      </c>
      <c r="N7" s="21">
        <v>160</v>
      </c>
    </row>
    <row r="8" spans="1:14" x14ac:dyDescent="0.3">
      <c r="A8" t="s">
        <v>12696</v>
      </c>
      <c r="B8" s="12">
        <v>640</v>
      </c>
      <c r="C8" s="12">
        <v>256</v>
      </c>
      <c r="D8" s="12">
        <v>189</v>
      </c>
      <c r="E8" s="12">
        <v>121</v>
      </c>
      <c r="F8" s="23">
        <f>C8/B8</f>
        <v>0.4</v>
      </c>
      <c r="G8" s="23">
        <f>E8/B8</f>
        <v>0.18906249999999999</v>
      </c>
      <c r="J8" s="36" t="s">
        <v>12696</v>
      </c>
      <c r="K8" s="21">
        <v>256</v>
      </c>
      <c r="L8" s="21">
        <v>121</v>
      </c>
      <c r="M8" s="21">
        <v>640</v>
      </c>
      <c r="N8" s="21">
        <v>189</v>
      </c>
    </row>
    <row r="9" spans="1:14" x14ac:dyDescent="0.3">
      <c r="J9" s="36" t="s">
        <v>12757</v>
      </c>
      <c r="K9" s="21">
        <v>907</v>
      </c>
      <c r="L9" s="21">
        <v>426</v>
      </c>
      <c r="M9" s="21">
        <v>2335</v>
      </c>
      <c r="N9" s="21">
        <v>670</v>
      </c>
    </row>
    <row r="10" spans="1:14" x14ac:dyDescent="0.3">
      <c r="A10" s="10" t="s">
        <v>12697</v>
      </c>
    </row>
    <row r="11" spans="1:14" ht="28.8" x14ac:dyDescent="0.3">
      <c r="A11" s="11" t="s">
        <v>12698</v>
      </c>
      <c r="B11" s="11" t="s">
        <v>12699</v>
      </c>
      <c r="C11" s="11" t="s">
        <v>12700</v>
      </c>
    </row>
    <row r="12" spans="1:14" x14ac:dyDescent="0.3">
      <c r="A12" t="s">
        <v>12701</v>
      </c>
      <c r="B12" s="12">
        <v>84</v>
      </c>
      <c r="C12" s="23">
        <f>B12/SUM($B$12:$B$15)</f>
        <v>5.4794520547945202E-2</v>
      </c>
    </row>
    <row r="13" spans="1:14" x14ac:dyDescent="0.3">
      <c r="A13" t="s">
        <v>12702</v>
      </c>
      <c r="B13" s="12">
        <v>212</v>
      </c>
      <c r="C13" s="23">
        <f>B13/SUM($B$12:$B$15)</f>
        <v>0.13829093281148075</v>
      </c>
    </row>
    <row r="14" spans="1:14" x14ac:dyDescent="0.3">
      <c r="A14" t="s">
        <v>12703</v>
      </c>
      <c r="B14" s="12">
        <v>47</v>
      </c>
      <c r="C14" s="23">
        <f>B14/SUM($B$12:$B$15)</f>
        <v>3.0658838878016959E-2</v>
      </c>
    </row>
    <row r="15" spans="1:14" x14ac:dyDescent="0.3">
      <c r="A15" t="s">
        <v>12704</v>
      </c>
      <c r="B15" s="12">
        <v>1190</v>
      </c>
      <c r="C15" s="23">
        <f>B15/SUM($B$12:$B$15)</f>
        <v>0.77625570776255703</v>
      </c>
    </row>
  </sheetData>
  <conditionalFormatting sqref="F5:G8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showGridLines="0" zoomScale="69" zoomScaleNormal="100" workbookViewId="0">
      <selection activeCell="F20" sqref="F20"/>
    </sheetView>
  </sheetViews>
  <sheetFormatPr defaultColWidth="8.6640625" defaultRowHeight="14.4" x14ac:dyDescent="0.3"/>
  <cols>
    <col min="1" max="1" width="30" customWidth="1"/>
    <col min="2" max="4" width="12" customWidth="1"/>
    <col min="6" max="6" width="24.109375" bestFit="1" customWidth="1"/>
    <col min="7" max="7" width="12.5546875" bestFit="1" customWidth="1"/>
    <col min="8" max="8" width="20.44140625" bestFit="1" customWidth="1"/>
    <col min="9" max="9" width="20.88671875" bestFit="1" customWidth="1"/>
  </cols>
  <sheetData>
    <row r="1" spans="1:9" ht="21" x14ac:dyDescent="0.4">
      <c r="A1" s="2" t="s">
        <v>12705</v>
      </c>
    </row>
    <row r="2" spans="1:9" x14ac:dyDescent="0.3">
      <c r="A2" s="3" t="s">
        <v>12706</v>
      </c>
    </row>
    <row r="4" spans="1:9" x14ac:dyDescent="0.3">
      <c r="A4" s="11" t="s">
        <v>12707</v>
      </c>
      <c r="B4" s="11" t="s">
        <v>12699</v>
      </c>
      <c r="C4" s="11" t="s">
        <v>12708</v>
      </c>
      <c r="D4" s="11" t="s">
        <v>12709</v>
      </c>
      <c r="F4" s="35" t="s">
        <v>12756</v>
      </c>
      <c r="G4" t="s">
        <v>12760</v>
      </c>
      <c r="H4" t="s">
        <v>12765</v>
      </c>
      <c r="I4" t="s">
        <v>12766</v>
      </c>
    </row>
    <row r="5" spans="1:9" x14ac:dyDescent="0.3">
      <c r="A5" t="s">
        <v>12710</v>
      </c>
      <c r="B5" s="12">
        <v>1000</v>
      </c>
      <c r="C5" s="23">
        <f>1</f>
        <v>1</v>
      </c>
      <c r="D5" s="23">
        <f>B5/$B$5</f>
        <v>1</v>
      </c>
      <c r="F5" s="36" t="s">
        <v>12711</v>
      </c>
      <c r="G5" s="21">
        <v>640</v>
      </c>
      <c r="H5" s="23">
        <v>0.64</v>
      </c>
      <c r="I5" s="23">
        <v>0.64</v>
      </c>
    </row>
    <row r="6" spans="1:9" x14ac:dyDescent="0.3">
      <c r="A6" t="s">
        <v>12711</v>
      </c>
      <c r="B6" s="12">
        <v>640</v>
      </c>
      <c r="C6" s="23">
        <f>B6/B5</f>
        <v>0.64</v>
      </c>
      <c r="D6" s="23">
        <f>B6/$B$5</f>
        <v>0.64</v>
      </c>
      <c r="F6" s="36" t="s">
        <v>12714</v>
      </c>
      <c r="G6" s="21">
        <v>190</v>
      </c>
      <c r="H6" s="23">
        <v>0.5757575757575758</v>
      </c>
      <c r="I6" s="23">
        <v>0.19</v>
      </c>
    </row>
    <row r="7" spans="1:9" x14ac:dyDescent="0.3">
      <c r="A7" t="s">
        <v>12712</v>
      </c>
      <c r="B7" s="12">
        <v>520</v>
      </c>
      <c r="C7" s="23">
        <f>B7/B6</f>
        <v>0.8125</v>
      </c>
      <c r="D7" s="23">
        <f>B7/$B$5</f>
        <v>0.52</v>
      </c>
      <c r="F7" s="36" t="s">
        <v>12713</v>
      </c>
      <c r="G7" s="21">
        <v>330</v>
      </c>
      <c r="H7" s="23">
        <v>0.63461538461538458</v>
      </c>
      <c r="I7" s="23">
        <v>0.33</v>
      </c>
    </row>
    <row r="8" spans="1:9" x14ac:dyDescent="0.3">
      <c r="A8" t="s">
        <v>12713</v>
      </c>
      <c r="B8" s="12">
        <v>330</v>
      </c>
      <c r="C8" s="23">
        <f>B8/B7</f>
        <v>0.63461538461538458</v>
      </c>
      <c r="D8" s="23">
        <f>B8/$B$5</f>
        <v>0.33</v>
      </c>
      <c r="F8" s="36" t="s">
        <v>12712</v>
      </c>
      <c r="G8" s="21">
        <v>520</v>
      </c>
      <c r="H8" s="23">
        <v>0.8125</v>
      </c>
      <c r="I8" s="23">
        <v>0.52</v>
      </c>
    </row>
    <row r="9" spans="1:9" x14ac:dyDescent="0.3">
      <c r="A9" t="s">
        <v>12714</v>
      </c>
      <c r="B9" s="12">
        <v>190</v>
      </c>
      <c r="C9" s="23">
        <f>B9/B8</f>
        <v>0.5757575757575758</v>
      </c>
      <c r="D9" s="23">
        <f>B9/$B$5</f>
        <v>0.19</v>
      </c>
      <c r="F9" s="36" t="s">
        <v>12710</v>
      </c>
      <c r="G9" s="21">
        <v>1000</v>
      </c>
      <c r="H9" s="23">
        <v>1</v>
      </c>
      <c r="I9" s="23">
        <v>1</v>
      </c>
    </row>
    <row r="10" spans="1:9" x14ac:dyDescent="0.3">
      <c r="F10" s="36" t="s">
        <v>12757</v>
      </c>
      <c r="G10" s="21">
        <v>2680</v>
      </c>
      <c r="H10" s="23">
        <v>0.73257459207459208</v>
      </c>
      <c r="I10" s="23">
        <v>0.53600000000000003</v>
      </c>
    </row>
    <row r="11" spans="1:9" x14ac:dyDescent="0.3">
      <c r="A11" s="11" t="s">
        <v>12715</v>
      </c>
      <c r="B11" s="11" t="s">
        <v>12699</v>
      </c>
      <c r="C11" s="11" t="s">
        <v>12708</v>
      </c>
      <c r="D11" s="11" t="s">
        <v>12709</v>
      </c>
    </row>
    <row r="12" spans="1:9" x14ac:dyDescent="0.3">
      <c r="A12" t="s">
        <v>12716</v>
      </c>
      <c r="B12" s="12">
        <v>1400</v>
      </c>
      <c r="C12" s="23">
        <f>1</f>
        <v>1</v>
      </c>
      <c r="D12" s="23">
        <f>B12/$B$12</f>
        <v>1</v>
      </c>
    </row>
    <row r="13" spans="1:9" x14ac:dyDescent="0.3">
      <c r="A13" t="s">
        <v>12717</v>
      </c>
      <c r="B13" s="12">
        <v>980</v>
      </c>
      <c r="C13" s="23">
        <f>B13/B12</f>
        <v>0.7</v>
      </c>
      <c r="D13" s="23">
        <f>B13/$B$12</f>
        <v>0.7</v>
      </c>
    </row>
    <row r="14" spans="1:9" x14ac:dyDescent="0.3">
      <c r="A14" t="s">
        <v>12718</v>
      </c>
      <c r="B14" s="12">
        <v>710</v>
      </c>
      <c r="C14" s="23">
        <f>B14/B13</f>
        <v>0.72448979591836737</v>
      </c>
      <c r="D14" s="23">
        <f>B14/$B$12</f>
        <v>0.50714285714285712</v>
      </c>
    </row>
    <row r="15" spans="1:9" x14ac:dyDescent="0.3">
      <c r="A15" t="s">
        <v>12719</v>
      </c>
      <c r="B15" s="12">
        <v>430</v>
      </c>
      <c r="C15" s="23">
        <f>B15/B14</f>
        <v>0.60563380281690138</v>
      </c>
      <c r="D15" s="23">
        <f>B15/$B$12</f>
        <v>0.30714285714285716</v>
      </c>
    </row>
    <row r="17" spans="1:2" x14ac:dyDescent="0.3">
      <c r="A17" s="10" t="s">
        <v>12720</v>
      </c>
      <c r="B17" s="14">
        <f>B8</f>
        <v>330</v>
      </c>
    </row>
  </sheetData>
  <conditionalFormatting sqref="D5:D9">
    <cfRule type="dataBar" priority="2">
      <dataBar>
        <cfvo type="num" val="0"/>
        <cfvo type="num" val="1"/>
        <color rgb="FF9DC3E6"/>
      </dataBar>
      <extLst>
        <ext xmlns:x14="http://schemas.microsoft.com/office/spreadsheetml/2009/9/main" uri="{B025F937-C7B1-47D3-B67F-A62EFF666E3E}">
          <x14:id>{EF4835BB-A97A-4764-B5FC-90E0796EA173}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4835BB-A97A-4764-B5FC-90E0796EA17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9DC3E6"/>
            </x14:dataBar>
          </x14:cfRule>
          <xm:sqref>D5:D9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9" customWidth="1"/>
    <col min="3" max="4" width="13" customWidth="1"/>
    <col min="5" max="5" width="11" customWidth="1"/>
    <col min="6" max="6" width="12" customWidth="1"/>
    <col min="7" max="7" width="15" customWidth="1"/>
  </cols>
  <sheetData>
    <row r="1" spans="1:7" ht="21" x14ac:dyDescent="0.4">
      <c r="A1" s="2" t="s">
        <v>12721</v>
      </c>
    </row>
    <row r="2" spans="1:7" x14ac:dyDescent="0.3">
      <c r="A2" s="3" t="s">
        <v>12722</v>
      </c>
    </row>
    <row r="4" spans="1:7" x14ac:dyDescent="0.3">
      <c r="A4" s="31" t="s">
        <v>12723</v>
      </c>
      <c r="B4" s="31" t="s">
        <v>12724</v>
      </c>
      <c r="C4" s="11" t="s">
        <v>12725</v>
      </c>
      <c r="D4" s="11" t="s">
        <v>12726</v>
      </c>
      <c r="E4" s="11" t="s">
        <v>12727</v>
      </c>
      <c r="F4" s="11" t="s">
        <v>12728</v>
      </c>
      <c r="G4" s="11" t="s">
        <v>12729</v>
      </c>
    </row>
    <row r="5" spans="1:7" x14ac:dyDescent="0.3">
      <c r="A5" t="s">
        <v>12730</v>
      </c>
      <c r="B5" s="19">
        <v>0.22</v>
      </c>
      <c r="C5" s="32">
        <v>5</v>
      </c>
      <c r="D5" s="32">
        <v>2</v>
      </c>
      <c r="E5" s="32">
        <v>3</v>
      </c>
      <c r="F5" s="32">
        <v>4</v>
      </c>
      <c r="G5" s="32">
        <v>4</v>
      </c>
    </row>
    <row r="6" spans="1:7" x14ac:dyDescent="0.3">
      <c r="A6" t="s">
        <v>12731</v>
      </c>
      <c r="B6" s="19">
        <v>0.2</v>
      </c>
      <c r="C6" s="32">
        <v>5</v>
      </c>
      <c r="D6" s="32">
        <v>5</v>
      </c>
      <c r="E6" s="32">
        <v>4</v>
      </c>
      <c r="F6" s="32">
        <v>2</v>
      </c>
      <c r="G6" s="32">
        <v>2</v>
      </c>
    </row>
    <row r="7" spans="1:7" x14ac:dyDescent="0.3">
      <c r="A7" t="s">
        <v>12732</v>
      </c>
      <c r="B7" s="19">
        <v>0.15</v>
      </c>
      <c r="C7" s="32">
        <v>5</v>
      </c>
      <c r="D7" s="32">
        <v>2</v>
      </c>
      <c r="E7" s="32">
        <v>2</v>
      </c>
      <c r="F7" s="32">
        <v>3</v>
      </c>
      <c r="G7" s="32">
        <v>2</v>
      </c>
    </row>
    <row r="8" spans="1:7" x14ac:dyDescent="0.3">
      <c r="A8" t="s">
        <v>12733</v>
      </c>
      <c r="B8" s="19">
        <v>0.18</v>
      </c>
      <c r="C8" s="32">
        <v>5</v>
      </c>
      <c r="D8" s="32">
        <v>3</v>
      </c>
      <c r="E8" s="32">
        <v>3</v>
      </c>
      <c r="F8" s="32">
        <v>4</v>
      </c>
      <c r="G8" s="32">
        <v>5</v>
      </c>
    </row>
    <row r="9" spans="1:7" x14ac:dyDescent="0.3">
      <c r="A9" t="s">
        <v>12734</v>
      </c>
      <c r="B9" s="19">
        <v>0.15</v>
      </c>
      <c r="C9" s="32">
        <v>4</v>
      </c>
      <c r="D9" s="32">
        <v>4</v>
      </c>
      <c r="E9" s="32">
        <v>4</v>
      </c>
      <c r="F9" s="32">
        <v>3</v>
      </c>
      <c r="G9" s="32">
        <v>2</v>
      </c>
    </row>
    <row r="10" spans="1:7" x14ac:dyDescent="0.3">
      <c r="A10" t="s">
        <v>12735</v>
      </c>
      <c r="B10" s="19">
        <v>0.1</v>
      </c>
      <c r="C10" s="32">
        <v>4</v>
      </c>
      <c r="D10" s="32">
        <v>3</v>
      </c>
      <c r="E10" s="32">
        <v>4</v>
      </c>
      <c r="F10" s="32">
        <v>3</v>
      </c>
      <c r="G10" s="32">
        <v>3</v>
      </c>
    </row>
    <row r="11" spans="1:7" x14ac:dyDescent="0.3">
      <c r="A11" s="10" t="s">
        <v>12736</v>
      </c>
      <c r="B11" s="23">
        <f>SUM(B5:B10)</f>
        <v>1</v>
      </c>
      <c r="C11" s="33">
        <f>SUMPRODUCT($B$5:$B$10,C5:C10)</f>
        <v>4.75</v>
      </c>
      <c r="D11" s="33">
        <f>SUMPRODUCT($B$5:$B$10,D5:D10)</f>
        <v>3.1800000000000006</v>
      </c>
      <c r="E11" s="33">
        <f>SUMPRODUCT($B$5:$B$10,E5:E10)</f>
        <v>3.3</v>
      </c>
      <c r="F11" s="33">
        <f>SUMPRODUCT($B$5:$B$10,F5:F10)</f>
        <v>3.2</v>
      </c>
      <c r="G11" s="33">
        <f>SUMPRODUCT($B$5:$B$10,G5:G10)</f>
        <v>3.08</v>
      </c>
    </row>
  </sheetData>
  <conditionalFormatting sqref="C5:G10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30" customWidth="1"/>
    <col min="3" max="4" width="10" customWidth="1"/>
    <col min="5" max="6" width="12" customWidth="1"/>
  </cols>
  <sheetData>
    <row r="1" spans="1:6" ht="21" x14ac:dyDescent="0.4">
      <c r="A1" s="2" t="s">
        <v>12737</v>
      </c>
    </row>
    <row r="2" spans="1:6" x14ac:dyDescent="0.3">
      <c r="A2" s="3" t="s">
        <v>12738</v>
      </c>
    </row>
    <row r="4" spans="1:6" x14ac:dyDescent="0.3">
      <c r="A4" s="11" t="s">
        <v>12739</v>
      </c>
      <c r="B4" s="11" t="s">
        <v>12740</v>
      </c>
      <c r="C4" s="11" t="s">
        <v>12741</v>
      </c>
      <c r="D4" s="11" t="s">
        <v>12742</v>
      </c>
      <c r="E4" s="11" t="s">
        <v>12743</v>
      </c>
      <c r="F4" s="11" t="s">
        <v>12744</v>
      </c>
    </row>
    <row r="5" spans="1:6" x14ac:dyDescent="0.3">
      <c r="A5" t="s">
        <v>12745</v>
      </c>
      <c r="B5" t="s">
        <v>12746</v>
      </c>
      <c r="C5" s="34">
        <v>2</v>
      </c>
      <c r="D5" s="34">
        <v>2</v>
      </c>
      <c r="E5" s="23">
        <f t="shared" ref="E5:E10" si="0">MIN(D5/C5,1.5)</f>
        <v>1</v>
      </c>
      <c r="F5" t="str">
        <f t="shared" ref="F5:F10" si="1">IF(E5&gt;=1,"On track",IF(E5&gt;=0.7,"At risk","Behind"))</f>
        <v>On track</v>
      </c>
    </row>
    <row r="6" spans="1:6" x14ac:dyDescent="0.3">
      <c r="A6" t="s">
        <v>12747</v>
      </c>
      <c r="B6" t="s">
        <v>12748</v>
      </c>
      <c r="C6" s="34">
        <v>10000</v>
      </c>
      <c r="D6" s="34">
        <v>12547</v>
      </c>
      <c r="E6" s="23">
        <f t="shared" si="0"/>
        <v>1.2546999999999999</v>
      </c>
      <c r="F6" t="str">
        <f t="shared" si="1"/>
        <v>On track</v>
      </c>
    </row>
    <row r="7" spans="1:6" x14ac:dyDescent="0.3">
      <c r="A7" t="s">
        <v>12749</v>
      </c>
      <c r="B7" t="s">
        <v>12750</v>
      </c>
      <c r="C7" s="34">
        <v>15</v>
      </c>
      <c r="D7" s="34">
        <v>23</v>
      </c>
      <c r="E7" s="23">
        <f t="shared" si="0"/>
        <v>1.5</v>
      </c>
      <c r="F7" t="str">
        <f t="shared" si="1"/>
        <v>On track</v>
      </c>
    </row>
    <row r="8" spans="1:6" x14ac:dyDescent="0.3">
      <c r="A8" t="s">
        <v>12751</v>
      </c>
      <c r="B8" t="s">
        <v>8</v>
      </c>
      <c r="C8" s="34">
        <v>0.8</v>
      </c>
      <c r="D8" s="34">
        <v>0.83</v>
      </c>
      <c r="E8" s="23">
        <f t="shared" si="0"/>
        <v>1.0374999999999999</v>
      </c>
      <c r="F8" t="str">
        <f t="shared" si="1"/>
        <v>On track</v>
      </c>
    </row>
    <row r="9" spans="1:6" x14ac:dyDescent="0.3">
      <c r="A9" t="s">
        <v>12752</v>
      </c>
      <c r="B9" t="s">
        <v>12753</v>
      </c>
      <c r="C9" s="34">
        <v>20</v>
      </c>
      <c r="D9" s="34">
        <v>20</v>
      </c>
      <c r="E9" s="23">
        <f t="shared" si="0"/>
        <v>1</v>
      </c>
      <c r="F9" t="str">
        <f t="shared" si="1"/>
        <v>On track</v>
      </c>
    </row>
    <row r="10" spans="1:6" x14ac:dyDescent="0.3">
      <c r="A10" t="s">
        <v>12754</v>
      </c>
      <c r="B10" t="s">
        <v>12755</v>
      </c>
      <c r="C10" s="34">
        <v>10</v>
      </c>
      <c r="D10" s="34">
        <v>12</v>
      </c>
      <c r="E10" s="23">
        <f t="shared" si="0"/>
        <v>1.2</v>
      </c>
      <c r="F10" t="str">
        <f t="shared" si="1"/>
        <v>On track</v>
      </c>
    </row>
  </sheetData>
  <conditionalFormatting sqref="E5:E10">
    <cfRule type="iconSet" priority="2">
      <iconSet>
        <cfvo type="percent" val="0"/>
        <cfvo type="percent" val="70"/>
        <cfvo type="percent" val="100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Summary</vt:lpstr>
      <vt:lpstr>Data</vt:lpstr>
      <vt:lpstr>Market_Sizing</vt:lpstr>
      <vt:lpstr>Financials</vt:lpstr>
      <vt:lpstr>Scenarios</vt:lpstr>
      <vt:lpstr>Niches</vt:lpstr>
      <vt:lpstr>Fraud_Stats</vt:lpstr>
      <vt:lpstr>Cohorts</vt:lpstr>
      <vt:lpstr>Funnel</vt:lpstr>
      <vt:lpstr>Competitive</vt:lpstr>
      <vt:lpstr>OKRs</vt:lpstr>
      <vt:lpstr>agency_price</vt:lpstr>
      <vt:lpstr>agency_y5</vt:lpstr>
      <vt:lpstr>brand_price</vt:lpstr>
      <vt:lpstr>brand_y5</vt:lpstr>
      <vt:lpstr>CPM_table</vt:lpstr>
      <vt:lpstr>gm</vt:lpstr>
      <vt:lpstr>init_inv</vt:lpstr>
      <vt:lpstr>opex_pct</vt:lpstr>
      <vt:lpstr>SAM_pct</vt:lpstr>
      <vt:lpstr>tax</vt:lpstr>
      <vt:lpstr>term_g</vt:lpstr>
      <vt:lpstr>tooling_pct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Gupta</cp:lastModifiedBy>
  <cp:revision>0</cp:revision>
  <dcterms:created xsi:type="dcterms:W3CDTF">2026-06-16T10:47:13Z</dcterms:created>
  <dcterms:modified xsi:type="dcterms:W3CDTF">2026-07-02T17:43:51Z</dcterms:modified>
  <dc:language>en-US</dc:language>
</cp:coreProperties>
</file>